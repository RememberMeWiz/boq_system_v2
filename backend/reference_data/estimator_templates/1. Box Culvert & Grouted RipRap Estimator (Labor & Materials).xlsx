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 Culvert" sheetId="1" r:id="rId4"/>
    <sheet state="visible" name="Grouted Riprap" sheetId="2" r:id="rId5"/>
  </sheets>
  <definedNames/>
  <calcPr/>
  <extLst>
    <ext uri="GoogleSheetsCustomDataVersion2">
      <go:sheetsCustomData xmlns:go="http://customooxmlschemas.google.com/" r:id="rId6" roundtripDataChecksum="hlYMZRFFHftjT2oZW3A9HS42trWZ7eqY0yO5CP0gV2g="/>
    </ext>
  </extLst>
</workbook>
</file>

<file path=xl/sharedStrings.xml><?xml version="1.0" encoding="utf-8"?>
<sst xmlns="http://schemas.openxmlformats.org/spreadsheetml/2006/main" count="78" uniqueCount="59">
  <si>
    <t>BOX CULVERT ESTIMATE</t>
  </si>
  <si>
    <t>Box Culvert Details</t>
  </si>
  <si>
    <t>Single</t>
  </si>
  <si>
    <t>B   =</t>
  </si>
  <si>
    <t>meters</t>
  </si>
  <si>
    <t>Double</t>
  </si>
  <si>
    <t>Thickness   =</t>
  </si>
  <si>
    <t>mm</t>
  </si>
  <si>
    <t>Triple</t>
  </si>
  <si>
    <t>Rebar   =</t>
  </si>
  <si>
    <t>Quadruple</t>
  </si>
  <si>
    <t>Rebar Spacing   =</t>
  </si>
  <si>
    <t>Barrels   =</t>
  </si>
  <si>
    <t>barrel</t>
  </si>
  <si>
    <t>Length   =</t>
  </si>
  <si>
    <t>Calculations</t>
  </si>
  <si>
    <t>Concrete Volume   =</t>
  </si>
  <si>
    <t>cubic meters</t>
  </si>
  <si>
    <t>Materials</t>
  </si>
  <si>
    <t>Unit Cost</t>
  </si>
  <si>
    <t>Cost</t>
  </si>
  <si>
    <t>Cement   =</t>
  </si>
  <si>
    <t>bags</t>
  </si>
  <si>
    <t>Gravel   =</t>
  </si>
  <si>
    <t>Sand   =</t>
  </si>
  <si>
    <t>No. of Rebars    =</t>
  </si>
  <si>
    <t>1/2 Phenolic   =</t>
  </si>
  <si>
    <t>pcs</t>
  </si>
  <si>
    <t>2x3x10 Palochina   =</t>
  </si>
  <si>
    <t>Tie Wire   =</t>
  </si>
  <si>
    <t>kg</t>
  </si>
  <si>
    <t>rolls</t>
  </si>
  <si>
    <t>MATERIAL COST   =</t>
  </si>
  <si>
    <t>LABOR COST  (35% MATERIAL COST)   =</t>
  </si>
  <si>
    <t>TOTAL PROJECT QUOTE   =</t>
  </si>
  <si>
    <t>GROUTED RIPRAP COSTING</t>
  </si>
  <si>
    <t>INPUTS</t>
  </si>
  <si>
    <t>B top   =</t>
  </si>
  <si>
    <t>B bottom  =</t>
  </si>
  <si>
    <t>H   =</t>
  </si>
  <si>
    <t>CALCULATION</t>
  </si>
  <si>
    <t>Volume of Riprap   =</t>
  </si>
  <si>
    <t>MATERIALS</t>
  </si>
  <si>
    <t>Boulders   =</t>
  </si>
  <si>
    <t>Weepholes   =</t>
  </si>
  <si>
    <t>TOTAL MATERIALS COST   =</t>
  </si>
  <si>
    <t>Output   =</t>
  </si>
  <si>
    <t>cubic meter/hr</t>
  </si>
  <si>
    <t>Duration   =</t>
  </si>
  <si>
    <t>hrs</t>
  </si>
  <si>
    <t>Manpower</t>
  </si>
  <si>
    <t>2 Skilled   =</t>
  </si>
  <si>
    <t>pesos/hr</t>
  </si>
  <si>
    <t>3 Labor   =</t>
  </si>
  <si>
    <t>pesos/r</t>
  </si>
  <si>
    <t>TOTAL LABOR COST   -</t>
  </si>
  <si>
    <t>Estimated Cost Per Cubic Meter</t>
  </si>
  <si>
    <t>Materials   =</t>
  </si>
  <si>
    <t>Labor  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</si>
</sst>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&quot;₱&quot;* #,##0.00_-;\-&quot;₱&quot;* #,##0.00_-;_-&quot;₱&quot;* &quot;-&quot;??_-;_-@"/>
  </numFmts>
  <fonts count="22">
    <font>
      <sz val="11.0"/>
      <color theme="1"/>
      <name val="Calibri"/>
      <scheme val="minor"/>
    </font>
    <font>
      <b/>
      <sz val="24.0"/>
      <color theme="0"/>
      <name val="Calibri"/>
    </font>
    <font/>
    <font>
      <sz val="11.0"/>
      <color theme="0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1.0"/>
      <color rgb="FF002060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b/>
      <i/>
      <sz val="11.0"/>
      <color theme="1"/>
      <name val="Calibri"/>
    </font>
    <font>
      <i/>
      <sz val="11.0"/>
      <color theme="0"/>
      <name val="Calibri"/>
    </font>
    <font>
      <b/>
      <sz val="11.0"/>
      <color theme="0"/>
      <name val="Calibri"/>
    </font>
    <font>
      <sz val="11.0"/>
      <color theme="1"/>
      <name val="Arial"/>
    </font>
    <font>
      <b/>
      <sz val="16.0"/>
      <color rgb="FFFFD965"/>
      <name val="Arial"/>
    </font>
    <font>
      <b/>
      <sz val="11.0"/>
      <color rgb="FF1E4E79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sz val="11.0"/>
      <color theme="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u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833C0B"/>
        <bgColor rgb="FF833C0B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1E4E79"/>
        <bgColor rgb="FF1E4E79"/>
      </patternFill>
    </fill>
    <fill>
      <patternFill patternType="solid">
        <fgColor rgb="FF222A35"/>
        <bgColor rgb="FF222A35"/>
      </patternFill>
    </fill>
    <fill>
      <patternFill patternType="solid">
        <fgColor rgb="FFD0CECE"/>
        <bgColor rgb="FFD0CECE"/>
      </patternFill>
    </fill>
    <fill>
      <patternFill patternType="solid">
        <fgColor rgb="FF548135"/>
        <bgColor rgb="FF548135"/>
      </patternFill>
    </fill>
  </fills>
  <borders count="22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10" xfId="0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horizontal="right"/>
    </xf>
    <xf borderId="0" fillId="0" fontId="5" numFmtId="164" xfId="0" applyFont="1" applyNumberFormat="1"/>
    <xf borderId="0" fillId="0" fontId="6" numFmtId="0" xfId="0" applyFont="1"/>
    <xf borderId="9" fillId="3" fontId="5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7" numFmtId="0" xfId="0" applyBorder="1" applyFont="1"/>
    <xf borderId="0" fillId="0" fontId="8" numFmtId="164" xfId="0" applyAlignment="1" applyFont="1" applyNumberFormat="1">
      <alignment horizontal="right"/>
    </xf>
    <xf borderId="13" fillId="0" fontId="6" numFmtId="0" xfId="0" applyBorder="1" applyFont="1"/>
    <xf borderId="14" fillId="0" fontId="5" numFmtId="164" xfId="0" applyBorder="1" applyFont="1" applyNumberFormat="1"/>
    <xf borderId="15" fillId="0" fontId="7" numFmtId="0" xfId="0" applyBorder="1" applyFont="1"/>
    <xf borderId="14" fillId="0" fontId="4" numFmtId="0" xfId="0" applyAlignment="1" applyBorder="1" applyFont="1">
      <alignment horizontal="right"/>
    </xf>
    <xf borderId="16" fillId="0" fontId="6" numFmtId="0" xfId="0" applyBorder="1" applyFont="1"/>
    <xf borderId="9" fillId="4" fontId="5" numFmtId="0" xfId="0" applyAlignment="1" applyBorder="1" applyFill="1" applyFont="1">
      <alignment horizontal="center"/>
    </xf>
    <xf borderId="17" fillId="0" fontId="4" numFmtId="0" xfId="0" applyAlignment="1" applyBorder="1" applyFont="1">
      <alignment horizontal="right"/>
    </xf>
    <xf borderId="17" fillId="0" fontId="4" numFmtId="164" xfId="0" applyBorder="1" applyFont="1" applyNumberFormat="1"/>
    <xf borderId="12" fillId="0" fontId="7" numFmtId="0" xfId="0" applyAlignment="1" applyBorder="1" applyFont="1">
      <alignment horizontal="center"/>
    </xf>
    <xf borderId="0" fillId="0" fontId="7" numFmtId="0" xfId="0" applyAlignment="1" applyFont="1">
      <alignment horizontal="right"/>
    </xf>
    <xf borderId="17" fillId="0" fontId="4" numFmtId="164" xfId="0" applyAlignment="1" applyBorder="1" applyFont="1" applyNumberFormat="1">
      <alignment horizontal="right"/>
    </xf>
    <xf borderId="0" fillId="0" fontId="5" numFmtId="0" xfId="0" applyFont="1"/>
    <xf borderId="0" fillId="0" fontId="9" numFmtId="0" xfId="0" applyAlignment="1" applyFont="1">
      <alignment horizontal="right"/>
    </xf>
    <xf borderId="18" fillId="5" fontId="3" numFmtId="0" xfId="0" applyBorder="1" applyFill="1" applyFont="1"/>
    <xf borderId="18" fillId="5" fontId="10" numFmtId="0" xfId="0" applyAlignment="1" applyBorder="1" applyFont="1">
      <alignment horizontal="right"/>
    </xf>
    <xf borderId="18" fillId="5" fontId="11" numFmtId="164" xfId="0" applyBorder="1" applyFont="1" applyNumberFormat="1"/>
    <xf borderId="0" fillId="0" fontId="12" numFmtId="0" xfId="0" applyFont="1"/>
    <xf borderId="1" fillId="6" fontId="13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right"/>
    </xf>
    <xf borderId="0" fillId="0" fontId="12" numFmtId="164" xfId="0" applyFont="1" applyNumberFormat="1"/>
    <xf borderId="0" fillId="0" fontId="14" numFmtId="0" xfId="0" applyFont="1"/>
    <xf borderId="0" fillId="0" fontId="12" numFmtId="165" xfId="0" applyFont="1" applyNumberFormat="1"/>
    <xf borderId="0" fillId="0" fontId="12" numFmtId="0" xfId="0" applyAlignment="1" applyFont="1">
      <alignment horizontal="center"/>
    </xf>
    <xf borderId="9" fillId="7" fontId="15" numFmtId="0" xfId="0" applyAlignment="1" applyBorder="1" applyFill="1" applyFont="1">
      <alignment horizontal="center"/>
    </xf>
    <xf borderId="12" fillId="0" fontId="16" numFmtId="0" xfId="0" applyAlignment="1" applyBorder="1" applyFont="1">
      <alignment horizontal="right"/>
    </xf>
    <xf borderId="14" fillId="0" fontId="12" numFmtId="164" xfId="0" applyBorder="1" applyFont="1" applyNumberFormat="1"/>
    <xf borderId="13" fillId="0" fontId="14" numFmtId="0" xfId="0" applyBorder="1" applyFont="1"/>
    <xf borderId="15" fillId="0" fontId="16" numFmtId="0" xfId="0" applyAlignment="1" applyBorder="1" applyFont="1">
      <alignment horizontal="right"/>
    </xf>
    <xf borderId="16" fillId="0" fontId="14" numFmtId="0" xfId="0" applyBorder="1" applyFont="1"/>
    <xf borderId="0" fillId="0" fontId="16" numFmtId="0" xfId="0" applyAlignment="1" applyFont="1">
      <alignment horizontal="right"/>
    </xf>
    <xf borderId="19" fillId="0" fontId="17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15" fillId="0" fontId="12" numFmtId="0" xfId="0" applyAlignment="1" applyBorder="1" applyFont="1">
      <alignment horizontal="right"/>
    </xf>
    <xf borderId="20" fillId="0" fontId="12" numFmtId="0" xfId="0" applyBorder="1" applyFont="1"/>
    <xf borderId="21" fillId="0" fontId="12" numFmtId="165" xfId="0" applyBorder="1" applyFont="1" applyNumberFormat="1"/>
    <xf borderId="12" fillId="0" fontId="12" numFmtId="0" xfId="0" applyAlignment="1" applyBorder="1" applyFont="1">
      <alignment horizontal="right"/>
    </xf>
    <xf borderId="13" fillId="0" fontId="12" numFmtId="165" xfId="0" applyBorder="1" applyFont="1" applyNumberFormat="1"/>
    <xf borderId="16" fillId="0" fontId="12" numFmtId="165" xfId="0" applyBorder="1" applyFont="1" applyNumberFormat="1"/>
    <xf borderId="14" fillId="0" fontId="2" numFmtId="0" xfId="0" applyBorder="1" applyFont="1"/>
    <xf borderId="16" fillId="0" fontId="16" numFmtId="165" xfId="0" applyBorder="1" applyFont="1" applyNumberFormat="1"/>
    <xf borderId="19" fillId="0" fontId="12" numFmtId="0" xfId="0" applyAlignment="1" applyBorder="1" applyFont="1">
      <alignment horizontal="right"/>
    </xf>
    <xf borderId="20" fillId="0" fontId="12" numFmtId="164" xfId="0" applyBorder="1" applyFont="1" applyNumberFormat="1"/>
    <xf borderId="20" fillId="0" fontId="14" numFmtId="0" xfId="0" applyBorder="1" applyFont="1"/>
    <xf borderId="16" fillId="0" fontId="16" numFmtId="164" xfId="0" applyBorder="1" applyFont="1" applyNumberFormat="1"/>
    <xf borderId="0" fillId="0" fontId="16" numFmtId="164" xfId="0" applyFont="1" applyNumberFormat="1"/>
    <xf borderId="9" fillId="8" fontId="18" numFmtId="0" xfId="0" applyAlignment="1" applyBorder="1" applyFill="1" applyFont="1">
      <alignment horizontal="center"/>
    </xf>
    <xf borderId="0" fillId="0" fontId="19" numFmtId="164" xfId="0" applyFont="1" applyNumberFormat="1"/>
    <xf borderId="14" fillId="0" fontId="20" numFmtId="164" xfId="0" applyBorder="1" applyFont="1" applyNumberFormat="1"/>
    <xf borderId="0" fillId="0" fontId="2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3</xdr:row>
      <xdr:rowOff>0</xdr:rowOff>
    </xdr:from>
    <xdr:ext cx="342900" cy="409575"/>
    <xdr:sp>
      <xdr:nvSpPr>
        <xdr:cNvPr id="3" name="Shape 3"/>
        <xdr:cNvSpPr/>
      </xdr:nvSpPr>
      <xdr:spPr>
        <a:xfrm>
          <a:off x="5177082" y="3577284"/>
          <a:ext cx="337836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000" cap="none">
              <a:solidFill>
                <a:schemeClr val="dk1"/>
              </a:solidFill>
            </a:rPr>
            <a:t>B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38100</xdr:rowOff>
    </xdr:from>
    <xdr:ext cx="342900" cy="409575"/>
    <xdr:sp>
      <xdr:nvSpPr>
        <xdr:cNvPr id="4" name="Shape 4"/>
        <xdr:cNvSpPr/>
      </xdr:nvSpPr>
      <xdr:spPr>
        <a:xfrm>
          <a:off x="5177082" y="3577284"/>
          <a:ext cx="337836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000" cap="none">
              <a:solidFill>
                <a:schemeClr val="dk1"/>
              </a:solidFill>
            </a:rPr>
            <a:t>B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4</xdr:row>
      <xdr:rowOff>180975</xdr:rowOff>
    </xdr:from>
    <xdr:ext cx="2228850" cy="2276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4</xdr:row>
      <xdr:rowOff>66675</xdr:rowOff>
    </xdr:from>
    <xdr:ext cx="628650" cy="342900"/>
    <xdr:sp>
      <xdr:nvSpPr>
        <xdr:cNvPr id="5" name="Shape 5"/>
        <xdr:cNvSpPr/>
      </xdr:nvSpPr>
      <xdr:spPr>
        <a:xfrm>
          <a:off x="5032293" y="3608607"/>
          <a:ext cx="627415" cy="342786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600" cap="none">
              <a:solidFill>
                <a:schemeClr val="lt1"/>
              </a:solidFill>
            </a:rPr>
            <a:t>B</a:t>
          </a:r>
          <a:r>
            <a:rPr b="0" lang="en-US" sz="1600" cap="none">
              <a:solidFill>
                <a:schemeClr val="lt1"/>
              </a:solidFill>
            </a:rPr>
            <a:t> top</a:t>
          </a:r>
          <a:endParaRPr b="0" sz="16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</xdr:col>
      <xdr:colOff>295275</xdr:colOff>
      <xdr:row>17</xdr:row>
      <xdr:rowOff>142875</xdr:rowOff>
    </xdr:from>
    <xdr:ext cx="971550" cy="342900"/>
    <xdr:sp>
      <xdr:nvSpPr>
        <xdr:cNvPr id="6" name="Shape 6"/>
        <xdr:cNvSpPr/>
      </xdr:nvSpPr>
      <xdr:spPr>
        <a:xfrm>
          <a:off x="4861861" y="3608607"/>
          <a:ext cx="968278" cy="342786"/>
        </a:xfrm>
        <a:prstGeom prst="rect">
          <a:avLst/>
        </a:prstGeom>
        <a:solidFill>
          <a:srgbClr val="2E75B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600" cap="none">
              <a:solidFill>
                <a:schemeClr val="lt1"/>
              </a:solidFill>
            </a:rPr>
            <a:t>B</a:t>
          </a:r>
          <a:r>
            <a:rPr b="0" lang="en-US" sz="1600" cap="none">
              <a:solidFill>
                <a:schemeClr val="lt1"/>
              </a:solidFill>
            </a:rPr>
            <a:t> bottom</a:t>
          </a:r>
          <a:endParaRPr b="0" sz="160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533400</xdr:colOff>
      <xdr:row>10</xdr:row>
      <xdr:rowOff>133350</xdr:rowOff>
    </xdr:from>
    <xdr:ext cx="314325" cy="342900"/>
    <xdr:sp>
      <xdr:nvSpPr>
        <xdr:cNvPr id="7" name="Shape 7"/>
        <xdr:cNvSpPr/>
      </xdr:nvSpPr>
      <xdr:spPr>
        <a:xfrm>
          <a:off x="5189740" y="3608607"/>
          <a:ext cx="312521" cy="342786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600" cap="none">
              <a:solidFill>
                <a:schemeClr val="lt1"/>
              </a:solidFill>
            </a:rPr>
            <a:t>H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5</xdr:row>
      <xdr:rowOff>152400</xdr:rowOff>
    </xdr:from>
    <xdr:ext cx="1162050" cy="2686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</xdr:row>
      <xdr:rowOff>85725</xdr:rowOff>
    </xdr:from>
    <xdr:ext cx="0" cy="2800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9.14"/>
    <col customWidth="1" min="5" max="5" width="12.29"/>
    <col customWidth="1" min="6" max="6" width="10.14"/>
    <col customWidth="1" min="7" max="7" width="13.29"/>
    <col customWidth="1" min="8" max="8" width="12.29"/>
    <col customWidth="1" min="9" max="9" width="9.14"/>
    <col customWidth="1" hidden="1" min="10" max="16" width="9.14"/>
    <col customWidth="1" hidden="1" min="17" max="17" width="10.43"/>
    <col customWidth="1" hidden="1" min="18" max="18" width="8.71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M1" s="4"/>
      <c r="N1" s="5"/>
      <c r="O1" s="4"/>
      <c r="P1" s="4"/>
      <c r="Q1" s="4"/>
      <c r="R1" s="4"/>
      <c r="S1" s="4"/>
    </row>
    <row r="2">
      <c r="A2" s="6"/>
      <c r="I2" s="7"/>
      <c r="M2" s="4"/>
      <c r="N2" s="5"/>
      <c r="O2" s="4"/>
      <c r="P2" s="4"/>
      <c r="Q2" s="4"/>
      <c r="R2" s="4"/>
      <c r="S2" s="4"/>
    </row>
    <row r="3">
      <c r="A3" s="8"/>
      <c r="B3" s="9"/>
      <c r="C3" s="9"/>
      <c r="D3" s="9"/>
      <c r="E3" s="9"/>
      <c r="F3" s="9"/>
      <c r="G3" s="9"/>
      <c r="H3" s="9"/>
      <c r="I3" s="10"/>
      <c r="M3" s="4"/>
      <c r="N3" s="5"/>
      <c r="O3" s="4"/>
      <c r="P3" s="4"/>
      <c r="Q3" s="4"/>
      <c r="R3" s="4"/>
      <c r="S3" s="4"/>
    </row>
    <row r="4">
      <c r="F4" s="11"/>
      <c r="G4" s="12"/>
      <c r="H4" s="13"/>
      <c r="M4" s="4"/>
      <c r="N4" s="5"/>
      <c r="O4" s="4"/>
      <c r="P4" s="4"/>
      <c r="Q4" s="4"/>
      <c r="R4" s="4"/>
      <c r="S4" s="4"/>
    </row>
    <row r="5">
      <c r="F5" s="11"/>
      <c r="G5" s="12"/>
      <c r="H5" s="13"/>
      <c r="M5" s="4"/>
      <c r="N5" s="5"/>
      <c r="O5" s="4"/>
      <c r="P5" s="4"/>
      <c r="Q5" s="4"/>
      <c r="R5" s="4"/>
      <c r="S5" s="4"/>
    </row>
    <row r="6">
      <c r="E6" s="14" t="s">
        <v>1</v>
      </c>
      <c r="F6" s="15"/>
      <c r="G6" s="15"/>
      <c r="H6" s="16"/>
      <c r="M6" s="4"/>
      <c r="N6" s="5"/>
      <c r="O6" s="4"/>
      <c r="P6" s="4"/>
      <c r="Q6" s="4" t="s">
        <v>2</v>
      </c>
      <c r="R6" s="4">
        <v>1.0</v>
      </c>
      <c r="S6" s="4"/>
    </row>
    <row r="7">
      <c r="E7" s="17"/>
      <c r="F7" s="11" t="s">
        <v>3</v>
      </c>
      <c r="G7" s="18">
        <v>1.2</v>
      </c>
      <c r="H7" s="19" t="s">
        <v>4</v>
      </c>
      <c r="M7" s="4"/>
      <c r="N7" s="5"/>
      <c r="O7" s="4"/>
      <c r="P7" s="4"/>
      <c r="Q7" s="4" t="s">
        <v>5</v>
      </c>
      <c r="R7" s="4">
        <v>2.0</v>
      </c>
      <c r="S7" s="4"/>
    </row>
    <row r="8">
      <c r="E8" s="17"/>
      <c r="F8" s="11" t="s">
        <v>6</v>
      </c>
      <c r="G8" s="18">
        <v>150.0</v>
      </c>
      <c r="H8" s="19" t="s">
        <v>7</v>
      </c>
      <c r="M8" s="4"/>
      <c r="N8" s="5"/>
      <c r="O8" s="4"/>
      <c r="P8" s="4"/>
      <c r="Q8" s="4" t="s">
        <v>8</v>
      </c>
      <c r="R8" s="4">
        <v>3.0</v>
      </c>
      <c r="S8" s="4"/>
    </row>
    <row r="9">
      <c r="E9" s="17"/>
      <c r="F9" s="11" t="s">
        <v>9</v>
      </c>
      <c r="G9" s="18">
        <v>16.0</v>
      </c>
      <c r="H9" s="19" t="s">
        <v>7</v>
      </c>
      <c r="M9" s="4"/>
      <c r="N9" s="5"/>
      <c r="O9" s="4"/>
      <c r="P9" s="4"/>
      <c r="Q9" s="4" t="s">
        <v>10</v>
      </c>
      <c r="R9" s="4">
        <v>4.0</v>
      </c>
      <c r="S9" s="4"/>
    </row>
    <row r="10">
      <c r="E10" s="17"/>
      <c r="F10" s="11" t="s">
        <v>11</v>
      </c>
      <c r="G10" s="18">
        <v>200.0</v>
      </c>
      <c r="H10" s="19" t="s">
        <v>7</v>
      </c>
      <c r="M10" s="4">
        <v>810000.0</v>
      </c>
      <c r="N10" s="5"/>
      <c r="O10" s="4"/>
      <c r="P10" s="4"/>
      <c r="Q10" s="4"/>
      <c r="R10" s="4"/>
      <c r="S10" s="4"/>
    </row>
    <row r="11">
      <c r="E11" s="17"/>
      <c r="F11" s="11" t="s">
        <v>12</v>
      </c>
      <c r="G11" s="18" t="s">
        <v>5</v>
      </c>
      <c r="H11" s="19" t="s">
        <v>13</v>
      </c>
      <c r="M11" s="4">
        <v>11250.0</v>
      </c>
      <c r="N11" s="5">
        <f>M11*4/M10</f>
        <v>0.05555555556</v>
      </c>
      <c r="O11" s="4"/>
      <c r="P11" s="4"/>
      <c r="Q11" s="4"/>
      <c r="R11" s="4"/>
      <c r="S11" s="4"/>
    </row>
    <row r="12">
      <c r="E12" s="17"/>
      <c r="F12" s="11" t="s">
        <v>14</v>
      </c>
      <c r="G12" s="20">
        <v>15.0</v>
      </c>
      <c r="H12" s="19" t="s">
        <v>4</v>
      </c>
      <c r="M12" s="4"/>
      <c r="N12" s="5"/>
      <c r="O12" s="4"/>
      <c r="P12" s="4"/>
      <c r="Q12" s="4"/>
      <c r="R12" s="4">
        <f>VLOOKUP(G11,Q6:R9,2,FALSE)</f>
        <v>2</v>
      </c>
      <c r="S12" s="4"/>
    </row>
    <row r="13">
      <c r="E13" s="21"/>
      <c r="F13" s="22"/>
      <c r="G13" s="20"/>
      <c r="H13" s="23"/>
      <c r="M13" s="4"/>
      <c r="N13" s="5"/>
      <c r="O13" s="4"/>
      <c r="P13" s="4"/>
      <c r="Q13" s="4"/>
      <c r="R13" s="4"/>
      <c r="S13" s="4"/>
    </row>
    <row r="14">
      <c r="E14" s="14" t="s">
        <v>15</v>
      </c>
      <c r="F14" s="15"/>
      <c r="G14" s="15"/>
      <c r="H14" s="16"/>
      <c r="M14" s="4"/>
      <c r="N14" s="5"/>
      <c r="O14" s="4"/>
      <c r="P14" s="4"/>
      <c r="Q14" s="4">
        <v>16.0</v>
      </c>
      <c r="R14" s="4">
        <f>1.589*6</f>
        <v>9.534</v>
      </c>
      <c r="S14" s="4"/>
    </row>
    <row r="15">
      <c r="E15" s="17"/>
      <c r="F15" s="11" t="s">
        <v>16</v>
      </c>
      <c r="G15" s="12">
        <f>(1+N11)*(G7^2-(G7-2*(G8/1000))^2)*R12*G12</f>
        <v>19.95</v>
      </c>
      <c r="H15" s="19" t="s">
        <v>17</v>
      </c>
      <c r="M15" s="4"/>
      <c r="N15" s="5"/>
      <c r="O15" s="4"/>
      <c r="P15" s="4"/>
      <c r="Q15" s="4">
        <v>12.0</v>
      </c>
      <c r="R15" s="4">
        <f>0.8889*6</f>
        <v>5.3334</v>
      </c>
      <c r="S15" s="4"/>
    </row>
    <row r="16">
      <c r="E16" s="21"/>
      <c r="F16" s="22"/>
      <c r="G16" s="20"/>
      <c r="H16" s="23"/>
      <c r="M16" s="4"/>
      <c r="N16" s="5"/>
      <c r="O16" s="4"/>
      <c r="P16" s="4"/>
      <c r="Q16" s="4">
        <v>10.0</v>
      </c>
      <c r="R16" s="4">
        <f>0.62*6</f>
        <v>3.72</v>
      </c>
      <c r="S16" s="4"/>
    </row>
    <row r="17">
      <c r="F17" s="11"/>
      <c r="G17" s="12"/>
      <c r="H17" s="13"/>
      <c r="M17" s="4"/>
      <c r="N17" s="5"/>
      <c r="O17" s="4"/>
      <c r="P17" s="4"/>
      <c r="Q17" s="4"/>
      <c r="R17" s="4"/>
      <c r="S17" s="4"/>
    </row>
    <row r="18">
      <c r="B18" s="24" t="s">
        <v>18</v>
      </c>
      <c r="C18" s="15"/>
      <c r="D18" s="15"/>
      <c r="E18" s="16"/>
      <c r="F18" s="25" t="s">
        <v>19</v>
      </c>
      <c r="G18" s="26" t="s">
        <v>20</v>
      </c>
      <c r="H18" s="13"/>
      <c r="M18" s="4"/>
      <c r="N18" s="5"/>
      <c r="O18" s="4"/>
      <c r="P18" s="4"/>
      <c r="Q18" s="4"/>
      <c r="R18" s="4">
        <f>VLOOKUP(G9,Q14:R16,2,FALSE)</f>
        <v>9.534</v>
      </c>
      <c r="S18" s="4"/>
    </row>
    <row r="19">
      <c r="B19" s="27"/>
      <c r="C19" s="28" t="s">
        <v>21</v>
      </c>
      <c r="D19" s="12">
        <f>CEILING(G15*9,1)</f>
        <v>180</v>
      </c>
      <c r="E19" s="19" t="s">
        <v>22</v>
      </c>
      <c r="F19" s="29">
        <v>215.0</v>
      </c>
      <c r="G19" s="26">
        <f t="shared" ref="G19:G26" si="1">D19*F19</f>
        <v>38700</v>
      </c>
      <c r="H19" s="13"/>
      <c r="M19" s="4"/>
      <c r="N19" s="5"/>
      <c r="O19" s="4"/>
      <c r="P19" s="4"/>
      <c r="Q19" s="4"/>
      <c r="R19" s="4"/>
      <c r="S19" s="4"/>
    </row>
    <row r="20">
      <c r="B20" s="27"/>
      <c r="C20" s="28" t="s">
        <v>23</v>
      </c>
      <c r="D20" s="12">
        <f>G15</f>
        <v>19.95</v>
      </c>
      <c r="E20" s="19" t="s">
        <v>17</v>
      </c>
      <c r="F20" s="29">
        <f>1250</f>
        <v>1250</v>
      </c>
      <c r="G20" s="26">
        <f t="shared" si="1"/>
        <v>24937.5</v>
      </c>
      <c r="H20" s="13"/>
      <c r="M20" s="4"/>
      <c r="N20" s="5"/>
      <c r="O20" s="4"/>
      <c r="P20" s="4"/>
      <c r="Q20" s="4"/>
      <c r="R20" s="4"/>
      <c r="S20" s="4"/>
    </row>
    <row r="21" ht="15.75" customHeight="1">
      <c r="B21" s="27"/>
      <c r="C21" s="28" t="s">
        <v>24</v>
      </c>
      <c r="D21" s="12">
        <f>G15/2</f>
        <v>9.975</v>
      </c>
      <c r="E21" s="19" t="s">
        <v>17</v>
      </c>
      <c r="F21" s="29">
        <v>200.0</v>
      </c>
      <c r="G21" s="26">
        <f t="shared" si="1"/>
        <v>1995</v>
      </c>
      <c r="H21" s="13"/>
      <c r="M21" s="4"/>
      <c r="N21" s="5"/>
      <c r="O21" s="4"/>
      <c r="P21" s="4"/>
      <c r="Q21" s="4"/>
      <c r="R21" s="4"/>
      <c r="S21" s="4"/>
    </row>
    <row r="22" ht="15.75" customHeight="1">
      <c r="B22" s="17"/>
      <c r="C22" s="11" t="s">
        <v>25</v>
      </c>
      <c r="D22" s="12">
        <f>CEILING((((G7*4/(G8/1000))+1)*R12+(((G7-2*(G8/1000))*4/(G8/1000))+1)*R12)*G12/5.4,1)</f>
        <v>323</v>
      </c>
      <c r="E22" s="19" t="str">
        <f>CONCATENATE("pcs of ",G9,H9)</f>
        <v>pcs of 16mm</v>
      </c>
      <c r="F22" s="29">
        <v>395.0</v>
      </c>
      <c r="G22" s="26">
        <f t="shared" si="1"/>
        <v>127585</v>
      </c>
      <c r="H22" s="13"/>
      <c r="M22" s="4"/>
      <c r="N22" s="5"/>
      <c r="O22" s="4"/>
      <c r="P22" s="4"/>
      <c r="Q22" s="4"/>
      <c r="R22" s="4"/>
      <c r="S22" s="4"/>
    </row>
    <row r="23" ht="15.75" customHeight="1">
      <c r="B23" s="17"/>
      <c r="C23" s="11" t="s">
        <v>26</v>
      </c>
      <c r="D23" s="12">
        <f>CEILING(5*(G7*G12)/(1.2*2.4),1)*R12</f>
        <v>64</v>
      </c>
      <c r="E23" s="19" t="s">
        <v>27</v>
      </c>
      <c r="F23" s="29">
        <v>1250.0</v>
      </c>
      <c r="G23" s="26">
        <f t="shared" si="1"/>
        <v>80000</v>
      </c>
      <c r="H23" s="13"/>
      <c r="M23" s="4"/>
      <c r="N23" s="5"/>
      <c r="O23" s="4"/>
      <c r="P23" s="4"/>
      <c r="Q23" s="4"/>
      <c r="R23" s="4"/>
      <c r="S23" s="4"/>
    </row>
    <row r="24" ht="15.75" customHeight="1">
      <c r="B24" s="17"/>
      <c r="C24" s="11" t="s">
        <v>28</v>
      </c>
      <c r="D24" s="12">
        <f>D23*6</f>
        <v>384</v>
      </c>
      <c r="E24" s="19" t="s">
        <v>27</v>
      </c>
      <c r="F24" s="29">
        <v>350.0</v>
      </c>
      <c r="G24" s="26">
        <f t="shared" si="1"/>
        <v>134400</v>
      </c>
      <c r="H24" s="13"/>
      <c r="M24" s="4"/>
      <c r="N24" s="5"/>
      <c r="O24" s="4"/>
      <c r="P24" s="4"/>
      <c r="Q24" s="4"/>
      <c r="R24" s="4"/>
      <c r="S24" s="4"/>
    </row>
    <row r="25" ht="15.75" customHeight="1">
      <c r="B25" s="17"/>
      <c r="C25" s="11" t="s">
        <v>29</v>
      </c>
      <c r="D25" s="12">
        <f>(R18*D22)*0.1</f>
        <v>307.9482</v>
      </c>
      <c r="E25" s="19" t="s">
        <v>30</v>
      </c>
      <c r="F25" s="29"/>
      <c r="G25" s="26">
        <f t="shared" si="1"/>
        <v>0</v>
      </c>
      <c r="H25" s="13"/>
      <c r="M25" s="4"/>
      <c r="N25" s="5"/>
      <c r="O25" s="4"/>
      <c r="P25" s="4"/>
      <c r="Q25" s="4"/>
      <c r="R25" s="4"/>
      <c r="S25" s="4"/>
    </row>
    <row r="26" ht="15.75" customHeight="1">
      <c r="B26" s="21"/>
      <c r="C26" s="22"/>
      <c r="D26" s="20">
        <f>CEILING(D25/25,1)</f>
        <v>13</v>
      </c>
      <c r="E26" s="23" t="s">
        <v>31</v>
      </c>
      <c r="F26" s="29">
        <v>2250.0</v>
      </c>
      <c r="G26" s="26">
        <f t="shared" si="1"/>
        <v>29250</v>
      </c>
      <c r="H26" s="13"/>
      <c r="M26" s="4"/>
      <c r="N26" s="5"/>
      <c r="O26" s="4"/>
      <c r="P26" s="4"/>
      <c r="Q26" s="4"/>
      <c r="R26" s="4"/>
      <c r="S26" s="4"/>
    </row>
    <row r="27" ht="15.75" customHeight="1">
      <c r="E27" s="30"/>
      <c r="F27" s="31" t="s">
        <v>32</v>
      </c>
      <c r="G27" s="12">
        <f>SUM(G19:G26)</f>
        <v>436867.5</v>
      </c>
      <c r="H27" s="13"/>
      <c r="M27" s="4"/>
      <c r="N27" s="5"/>
      <c r="O27" s="4"/>
      <c r="P27" s="4"/>
      <c r="Q27" s="4"/>
      <c r="R27" s="4"/>
      <c r="S27" s="4"/>
    </row>
    <row r="28" ht="15.75" customHeight="1">
      <c r="C28" s="31" t="s">
        <v>33</v>
      </c>
      <c r="G28" s="12">
        <f>G27*0.35</f>
        <v>152903.625</v>
      </c>
      <c r="H28" s="13"/>
      <c r="M28" s="4"/>
      <c r="N28" s="5"/>
      <c r="O28" s="4"/>
      <c r="P28" s="4"/>
      <c r="Q28" s="4"/>
      <c r="R28" s="4"/>
      <c r="S28" s="4"/>
    </row>
    <row r="29" ht="15.75" customHeight="1">
      <c r="C29" s="31"/>
      <c r="D29" s="31"/>
      <c r="E29" s="31"/>
      <c r="F29" s="31"/>
      <c r="G29" s="12"/>
      <c r="H29" s="13"/>
      <c r="M29" s="4"/>
      <c r="N29" s="5"/>
      <c r="O29" s="4"/>
      <c r="P29" s="4"/>
      <c r="Q29" s="4"/>
      <c r="R29" s="4"/>
      <c r="S29" s="4"/>
    </row>
    <row r="30" ht="15.75" customHeight="1">
      <c r="D30" s="32"/>
      <c r="E30" s="32"/>
      <c r="F30" s="33" t="s">
        <v>34</v>
      </c>
      <c r="G30" s="34">
        <f>SUM(G27:G28)</f>
        <v>589771.125</v>
      </c>
      <c r="H30" s="13"/>
      <c r="M30" s="4"/>
      <c r="N30" s="5"/>
      <c r="O30" s="4"/>
      <c r="P30" s="4"/>
      <c r="Q30" s="4"/>
      <c r="R30" s="4"/>
      <c r="S30" s="4"/>
    </row>
    <row r="31" ht="15.75" customHeight="1">
      <c r="F31" s="11"/>
      <c r="G31" s="12"/>
      <c r="H31" s="13"/>
      <c r="M31" s="4"/>
      <c r="N31" s="5"/>
      <c r="O31" s="4"/>
      <c r="P31" s="4"/>
      <c r="Q31" s="4"/>
      <c r="R31" s="4"/>
      <c r="S31" s="4"/>
    </row>
    <row r="32" ht="15.75" customHeight="1">
      <c r="F32" s="11"/>
      <c r="G32" s="12"/>
      <c r="H32" s="13"/>
      <c r="M32" s="4"/>
      <c r="N32" s="5"/>
      <c r="O32" s="4"/>
      <c r="P32" s="4"/>
      <c r="Q32" s="4"/>
      <c r="R32" s="4"/>
      <c r="S32" s="4"/>
    </row>
    <row r="33" ht="15.75" customHeight="1">
      <c r="F33" s="11"/>
      <c r="G33" s="12"/>
      <c r="H33" s="13"/>
      <c r="M33" s="4"/>
      <c r="N33" s="5"/>
      <c r="O33" s="4"/>
      <c r="P33" s="4"/>
      <c r="Q33" s="4"/>
      <c r="R33" s="4"/>
      <c r="S33" s="4"/>
    </row>
    <row r="34" ht="15.75" customHeight="1">
      <c r="F34" s="11"/>
      <c r="G34" s="12"/>
      <c r="H34" s="13"/>
      <c r="M34" s="4"/>
      <c r="N34" s="5"/>
      <c r="O34" s="4"/>
      <c r="P34" s="4"/>
      <c r="Q34" s="4"/>
      <c r="R34" s="4"/>
      <c r="S34" s="4"/>
    </row>
    <row r="35" ht="15.75" customHeight="1">
      <c r="F35" s="11"/>
      <c r="G35" s="12"/>
      <c r="H35" s="13"/>
      <c r="M35" s="4"/>
      <c r="N35" s="5"/>
      <c r="O35" s="4"/>
      <c r="P35" s="4"/>
      <c r="Q35" s="4"/>
      <c r="R35" s="4"/>
      <c r="S35" s="4"/>
    </row>
    <row r="36" ht="15.75" customHeight="1">
      <c r="F36" s="11"/>
      <c r="G36" s="12"/>
      <c r="H36" s="13"/>
      <c r="M36" s="4"/>
      <c r="N36" s="5"/>
      <c r="O36" s="4"/>
      <c r="P36" s="4"/>
      <c r="Q36" s="4"/>
      <c r="R36" s="4"/>
      <c r="S36" s="4"/>
    </row>
    <row r="37" ht="15.75" customHeight="1">
      <c r="F37" s="11"/>
      <c r="G37" s="12"/>
      <c r="H37" s="13"/>
      <c r="M37" s="4"/>
      <c r="N37" s="5"/>
      <c r="O37" s="4"/>
      <c r="P37" s="4"/>
      <c r="Q37" s="4"/>
      <c r="R37" s="4"/>
      <c r="S37" s="4"/>
    </row>
    <row r="38" ht="15.75" customHeight="1">
      <c r="F38" s="11"/>
      <c r="G38" s="12"/>
      <c r="H38" s="13"/>
      <c r="M38" s="4"/>
      <c r="N38" s="5"/>
      <c r="O38" s="4"/>
      <c r="P38" s="4"/>
      <c r="Q38" s="4"/>
      <c r="R38" s="4"/>
      <c r="S38" s="4"/>
    </row>
    <row r="39" ht="15.75" customHeight="1">
      <c r="F39" s="11"/>
      <c r="G39" s="12"/>
      <c r="H39" s="13"/>
      <c r="M39" s="4"/>
      <c r="N39" s="5"/>
      <c r="O39" s="4"/>
      <c r="P39" s="4"/>
      <c r="Q39" s="4"/>
      <c r="R39" s="4"/>
      <c r="S39" s="4"/>
    </row>
    <row r="40" ht="15.75" customHeight="1">
      <c r="F40" s="11"/>
      <c r="G40" s="12"/>
      <c r="H40" s="13"/>
      <c r="M40" s="4"/>
      <c r="N40" s="5"/>
      <c r="O40" s="4"/>
      <c r="P40" s="4"/>
      <c r="Q40" s="4"/>
      <c r="R40" s="4"/>
      <c r="S40" s="4"/>
    </row>
    <row r="41" ht="15.75" customHeight="1">
      <c r="F41" s="11"/>
      <c r="G41" s="12"/>
      <c r="H41" s="13"/>
      <c r="M41" s="4"/>
      <c r="N41" s="5"/>
      <c r="O41" s="4"/>
      <c r="P41" s="4"/>
      <c r="Q41" s="4"/>
      <c r="R41" s="4"/>
      <c r="S41" s="4"/>
    </row>
    <row r="42" ht="15.75" customHeight="1">
      <c r="F42" s="11"/>
      <c r="G42" s="12"/>
      <c r="H42" s="13"/>
      <c r="M42" s="4"/>
      <c r="N42" s="5"/>
      <c r="O42" s="4"/>
      <c r="P42" s="4"/>
      <c r="Q42" s="4"/>
      <c r="R42" s="4"/>
      <c r="S42" s="4"/>
    </row>
    <row r="43" ht="15.75" customHeight="1">
      <c r="F43" s="11"/>
      <c r="G43" s="12"/>
      <c r="H43" s="13"/>
      <c r="M43" s="4"/>
      <c r="N43" s="5"/>
      <c r="O43" s="4"/>
      <c r="P43" s="4"/>
      <c r="Q43" s="4"/>
      <c r="R43" s="4"/>
      <c r="S43" s="4"/>
    </row>
    <row r="44" ht="15.75" customHeight="1">
      <c r="F44" s="11"/>
      <c r="G44" s="12"/>
      <c r="H44" s="13"/>
      <c r="M44" s="4"/>
      <c r="N44" s="5"/>
      <c r="O44" s="4"/>
      <c r="P44" s="4"/>
      <c r="Q44" s="4"/>
      <c r="R44" s="4"/>
      <c r="S44" s="4"/>
    </row>
    <row r="45" ht="15.75" customHeight="1">
      <c r="F45" s="11"/>
      <c r="G45" s="12"/>
      <c r="H45" s="13"/>
      <c r="M45" s="4"/>
      <c r="N45" s="5"/>
      <c r="O45" s="4"/>
      <c r="P45" s="4"/>
      <c r="Q45" s="4"/>
      <c r="R45" s="4"/>
      <c r="S45" s="4"/>
    </row>
    <row r="46" ht="15.75" customHeight="1">
      <c r="F46" s="11"/>
      <c r="G46" s="12"/>
      <c r="H46" s="13"/>
      <c r="M46" s="4"/>
      <c r="N46" s="5"/>
      <c r="O46" s="4"/>
      <c r="P46" s="4"/>
      <c r="Q46" s="4"/>
      <c r="R46" s="4"/>
      <c r="S46" s="4"/>
    </row>
    <row r="47" ht="15.75" customHeight="1">
      <c r="F47" s="11"/>
      <c r="G47" s="12"/>
      <c r="H47" s="13"/>
      <c r="M47" s="4"/>
      <c r="N47" s="5"/>
      <c r="O47" s="4"/>
      <c r="P47" s="4"/>
      <c r="Q47" s="4"/>
      <c r="R47" s="4"/>
      <c r="S47" s="4"/>
    </row>
    <row r="48" ht="15.75" customHeight="1">
      <c r="F48" s="11"/>
      <c r="G48" s="12"/>
      <c r="H48" s="13"/>
      <c r="M48" s="4"/>
      <c r="N48" s="5"/>
      <c r="O48" s="4"/>
      <c r="P48" s="4"/>
      <c r="Q48" s="4"/>
      <c r="R48" s="4"/>
      <c r="S48" s="4"/>
    </row>
    <row r="49" ht="15.75" customHeight="1">
      <c r="F49" s="11"/>
      <c r="G49" s="12"/>
      <c r="H49" s="13"/>
      <c r="M49" s="4"/>
      <c r="N49" s="5"/>
      <c r="O49" s="4"/>
      <c r="P49" s="4"/>
      <c r="Q49" s="4"/>
      <c r="R49" s="4"/>
      <c r="S49" s="4"/>
    </row>
    <row r="50" ht="15.75" customHeight="1">
      <c r="F50" s="11"/>
      <c r="G50" s="12"/>
      <c r="H50" s="13"/>
      <c r="M50" s="4"/>
      <c r="N50" s="5"/>
      <c r="O50" s="4"/>
      <c r="P50" s="4"/>
      <c r="Q50" s="4"/>
      <c r="R50" s="4"/>
      <c r="S50" s="4"/>
    </row>
    <row r="51" ht="15.75" customHeight="1">
      <c r="F51" s="11"/>
      <c r="G51" s="12"/>
      <c r="H51" s="13"/>
      <c r="M51" s="4"/>
      <c r="N51" s="5"/>
      <c r="O51" s="4"/>
      <c r="P51" s="4"/>
      <c r="Q51" s="4"/>
      <c r="R51" s="4"/>
      <c r="S51" s="4"/>
    </row>
    <row r="52" ht="15.75" customHeight="1">
      <c r="F52" s="11"/>
      <c r="G52" s="12"/>
      <c r="H52" s="13"/>
      <c r="M52" s="4"/>
      <c r="N52" s="5"/>
      <c r="O52" s="4"/>
      <c r="P52" s="4"/>
      <c r="Q52" s="4"/>
      <c r="R52" s="4"/>
      <c r="S52" s="4"/>
    </row>
    <row r="53" ht="15.75" customHeight="1">
      <c r="F53" s="11"/>
      <c r="G53" s="12"/>
      <c r="H53" s="13"/>
      <c r="M53" s="4"/>
      <c r="N53" s="5"/>
      <c r="O53" s="4"/>
      <c r="P53" s="4"/>
      <c r="Q53" s="4"/>
      <c r="R53" s="4"/>
      <c r="S53" s="4"/>
    </row>
    <row r="54" ht="15.75" customHeight="1">
      <c r="F54" s="11"/>
      <c r="G54" s="12"/>
      <c r="H54" s="13"/>
      <c r="M54" s="4"/>
      <c r="N54" s="5"/>
      <c r="O54" s="4"/>
      <c r="P54" s="4"/>
      <c r="Q54" s="4"/>
      <c r="R54" s="4"/>
      <c r="S54" s="4"/>
    </row>
    <row r="55" ht="15.75" customHeight="1">
      <c r="F55" s="11"/>
      <c r="G55" s="12"/>
      <c r="H55" s="13"/>
      <c r="M55" s="4"/>
      <c r="N55" s="5"/>
      <c r="O55" s="4"/>
      <c r="P55" s="4"/>
      <c r="Q55" s="4"/>
      <c r="R55" s="4"/>
      <c r="S55" s="4"/>
    </row>
    <row r="56" ht="15.75" customHeight="1">
      <c r="F56" s="11"/>
      <c r="G56" s="12"/>
      <c r="H56" s="13"/>
      <c r="M56" s="4"/>
      <c r="N56" s="5"/>
      <c r="O56" s="4"/>
      <c r="P56" s="4"/>
      <c r="Q56" s="4"/>
      <c r="R56" s="4"/>
      <c r="S56" s="4"/>
    </row>
    <row r="57" ht="15.75" customHeight="1">
      <c r="F57" s="11"/>
      <c r="G57" s="12"/>
      <c r="H57" s="13"/>
      <c r="M57" s="4"/>
      <c r="N57" s="5"/>
      <c r="O57" s="4"/>
      <c r="P57" s="4"/>
      <c r="Q57" s="4"/>
      <c r="R57" s="4"/>
      <c r="S57" s="4"/>
    </row>
    <row r="58" ht="15.75" customHeight="1">
      <c r="F58" s="11"/>
      <c r="G58" s="12"/>
      <c r="H58" s="13"/>
      <c r="M58" s="4"/>
      <c r="N58" s="5"/>
      <c r="O58" s="4"/>
      <c r="P58" s="4"/>
      <c r="Q58" s="4"/>
      <c r="R58" s="4"/>
      <c r="S58" s="4"/>
    </row>
    <row r="59" ht="15.75" customHeight="1">
      <c r="F59" s="11"/>
      <c r="G59" s="12"/>
      <c r="H59" s="13"/>
      <c r="M59" s="4"/>
      <c r="N59" s="5"/>
      <c r="O59" s="4"/>
      <c r="P59" s="4"/>
      <c r="Q59" s="4"/>
      <c r="R59" s="4"/>
      <c r="S59" s="4"/>
    </row>
    <row r="60" ht="15.75" customHeight="1">
      <c r="F60" s="11"/>
      <c r="G60" s="12"/>
      <c r="H60" s="13"/>
      <c r="M60" s="4"/>
      <c r="N60" s="5"/>
      <c r="O60" s="4"/>
      <c r="P60" s="4"/>
      <c r="Q60" s="4"/>
      <c r="R60" s="4"/>
      <c r="S60" s="4"/>
    </row>
    <row r="61" ht="15.75" customHeight="1">
      <c r="F61" s="11"/>
      <c r="G61" s="12"/>
      <c r="H61" s="13"/>
      <c r="M61" s="4"/>
      <c r="N61" s="5"/>
      <c r="O61" s="4"/>
      <c r="P61" s="4"/>
      <c r="Q61" s="4"/>
      <c r="R61" s="4"/>
      <c r="S61" s="4"/>
    </row>
    <row r="62" ht="15.75" customHeight="1">
      <c r="F62" s="11"/>
      <c r="G62" s="12"/>
      <c r="H62" s="13"/>
      <c r="M62" s="4"/>
      <c r="N62" s="5"/>
      <c r="O62" s="4"/>
      <c r="P62" s="4"/>
      <c r="Q62" s="4"/>
      <c r="R62" s="4"/>
      <c r="S62" s="4"/>
    </row>
    <row r="63" ht="15.75" customHeight="1">
      <c r="F63" s="11"/>
      <c r="G63" s="12"/>
      <c r="H63" s="13"/>
      <c r="M63" s="4"/>
      <c r="N63" s="5"/>
      <c r="O63" s="4"/>
      <c r="P63" s="4"/>
      <c r="Q63" s="4"/>
      <c r="R63" s="4"/>
      <c r="S63" s="4"/>
    </row>
    <row r="64" ht="15.75" customHeight="1">
      <c r="F64" s="11"/>
      <c r="G64" s="12"/>
      <c r="H64" s="13"/>
      <c r="M64" s="4"/>
      <c r="N64" s="5"/>
      <c r="O64" s="4"/>
      <c r="P64" s="4"/>
      <c r="Q64" s="4"/>
      <c r="R64" s="4"/>
      <c r="S64" s="4"/>
    </row>
    <row r="65" ht="15.75" customHeight="1">
      <c r="F65" s="11"/>
      <c r="G65" s="12"/>
      <c r="H65" s="13"/>
      <c r="M65" s="4"/>
      <c r="N65" s="5"/>
      <c r="O65" s="4"/>
      <c r="P65" s="4"/>
      <c r="Q65" s="4"/>
      <c r="R65" s="4"/>
      <c r="S65" s="4"/>
    </row>
    <row r="66" ht="15.75" customHeight="1">
      <c r="F66" s="11"/>
      <c r="G66" s="12"/>
      <c r="H66" s="13"/>
      <c r="M66" s="4"/>
      <c r="N66" s="5"/>
      <c r="O66" s="4"/>
      <c r="P66" s="4"/>
      <c r="Q66" s="4"/>
      <c r="R66" s="4"/>
      <c r="S66" s="4"/>
    </row>
    <row r="67" ht="15.75" customHeight="1">
      <c r="F67" s="11"/>
      <c r="G67" s="12"/>
      <c r="H67" s="13"/>
      <c r="M67" s="4"/>
      <c r="N67" s="5"/>
      <c r="O67" s="4"/>
      <c r="P67" s="4"/>
      <c r="Q67" s="4"/>
      <c r="R67" s="4"/>
      <c r="S67" s="4"/>
    </row>
    <row r="68" ht="15.75" customHeight="1">
      <c r="F68" s="11"/>
      <c r="G68" s="12"/>
      <c r="H68" s="13"/>
      <c r="M68" s="4"/>
      <c r="N68" s="5"/>
      <c r="O68" s="4"/>
      <c r="P68" s="4"/>
      <c r="Q68" s="4"/>
      <c r="R68" s="4"/>
      <c r="S68" s="4"/>
    </row>
    <row r="69" ht="15.75" customHeight="1">
      <c r="F69" s="11"/>
      <c r="G69" s="12"/>
      <c r="H69" s="13"/>
      <c r="M69" s="4"/>
      <c r="N69" s="5"/>
      <c r="O69" s="4"/>
      <c r="P69" s="4"/>
      <c r="Q69" s="4"/>
      <c r="R69" s="4"/>
      <c r="S69" s="4"/>
    </row>
    <row r="70" ht="15.75" customHeight="1">
      <c r="F70" s="11"/>
      <c r="G70" s="12"/>
      <c r="H70" s="13"/>
      <c r="M70" s="4"/>
      <c r="N70" s="5"/>
      <c r="O70" s="4"/>
      <c r="P70" s="4"/>
      <c r="Q70" s="4"/>
      <c r="R70" s="4"/>
      <c r="S70" s="4"/>
    </row>
    <row r="71" ht="15.75" customHeight="1">
      <c r="F71" s="11"/>
      <c r="G71" s="12"/>
      <c r="H71" s="13"/>
      <c r="M71" s="4"/>
      <c r="N71" s="5"/>
      <c r="O71" s="4"/>
      <c r="P71" s="4"/>
      <c r="Q71" s="4"/>
      <c r="R71" s="4"/>
      <c r="S71" s="4"/>
    </row>
    <row r="72" ht="15.75" customHeight="1">
      <c r="F72" s="11"/>
      <c r="G72" s="12"/>
      <c r="H72" s="13"/>
      <c r="M72" s="4"/>
      <c r="N72" s="5"/>
      <c r="O72" s="4"/>
      <c r="P72" s="4"/>
      <c r="Q72" s="4"/>
      <c r="R72" s="4"/>
      <c r="S72" s="4"/>
    </row>
    <row r="73" ht="15.75" customHeight="1">
      <c r="F73" s="11"/>
      <c r="G73" s="12"/>
      <c r="H73" s="13"/>
      <c r="M73" s="4"/>
      <c r="N73" s="5"/>
      <c r="O73" s="4"/>
      <c r="P73" s="4"/>
      <c r="Q73" s="4"/>
      <c r="R73" s="4"/>
      <c r="S73" s="4"/>
    </row>
    <row r="74" ht="15.75" customHeight="1">
      <c r="F74" s="11"/>
      <c r="G74" s="12"/>
      <c r="H74" s="13"/>
      <c r="M74" s="4"/>
      <c r="N74" s="5"/>
      <c r="O74" s="4"/>
      <c r="P74" s="4"/>
      <c r="Q74" s="4"/>
      <c r="R74" s="4"/>
      <c r="S74" s="4"/>
    </row>
    <row r="75" ht="15.75" customHeight="1">
      <c r="F75" s="11"/>
      <c r="G75" s="12"/>
      <c r="H75" s="13"/>
      <c r="M75" s="4"/>
      <c r="N75" s="5"/>
      <c r="O75" s="4"/>
      <c r="P75" s="4"/>
      <c r="Q75" s="4"/>
      <c r="R75" s="4"/>
      <c r="S75" s="4"/>
    </row>
    <row r="76" ht="15.75" customHeight="1">
      <c r="F76" s="11"/>
      <c r="G76" s="12"/>
      <c r="H76" s="13"/>
      <c r="M76" s="4"/>
      <c r="N76" s="5"/>
      <c r="O76" s="4"/>
      <c r="P76" s="4"/>
      <c r="Q76" s="4"/>
      <c r="R76" s="4"/>
      <c r="S76" s="4"/>
    </row>
    <row r="77" ht="15.75" customHeight="1">
      <c r="F77" s="11"/>
      <c r="G77" s="12"/>
      <c r="H77" s="13"/>
      <c r="M77" s="4"/>
      <c r="N77" s="5"/>
      <c r="O77" s="4"/>
      <c r="P77" s="4"/>
      <c r="Q77" s="4"/>
      <c r="R77" s="4"/>
      <c r="S77" s="4"/>
    </row>
    <row r="78" ht="15.75" customHeight="1">
      <c r="F78" s="11"/>
      <c r="G78" s="12"/>
      <c r="H78" s="13"/>
      <c r="M78" s="4"/>
      <c r="N78" s="5"/>
      <c r="O78" s="4"/>
      <c r="P78" s="4"/>
      <c r="Q78" s="4"/>
      <c r="R78" s="4"/>
      <c r="S78" s="4"/>
    </row>
    <row r="79" ht="15.75" customHeight="1">
      <c r="F79" s="11"/>
      <c r="G79" s="12"/>
      <c r="H79" s="13"/>
      <c r="M79" s="4"/>
      <c r="N79" s="5"/>
      <c r="O79" s="4"/>
      <c r="P79" s="4"/>
      <c r="Q79" s="4"/>
      <c r="R79" s="4"/>
      <c r="S79" s="4"/>
    </row>
    <row r="80" ht="15.75" customHeight="1">
      <c r="F80" s="11"/>
      <c r="G80" s="12"/>
      <c r="H80" s="13"/>
      <c r="M80" s="4"/>
      <c r="N80" s="5"/>
      <c r="O80" s="4"/>
      <c r="P80" s="4"/>
      <c r="Q80" s="4"/>
      <c r="R80" s="4"/>
      <c r="S80" s="4"/>
    </row>
    <row r="81" ht="15.75" customHeight="1">
      <c r="F81" s="11"/>
      <c r="G81" s="12"/>
      <c r="H81" s="13"/>
      <c r="M81" s="4"/>
      <c r="N81" s="5"/>
      <c r="O81" s="4"/>
      <c r="P81" s="4"/>
      <c r="Q81" s="4"/>
      <c r="R81" s="4"/>
      <c r="S81" s="4"/>
    </row>
    <row r="82" ht="15.75" customHeight="1">
      <c r="F82" s="11"/>
      <c r="G82" s="12"/>
      <c r="H82" s="13"/>
      <c r="M82" s="4"/>
      <c r="N82" s="5"/>
      <c r="O82" s="4"/>
      <c r="P82" s="4"/>
      <c r="Q82" s="4"/>
      <c r="R82" s="4"/>
      <c r="S82" s="4"/>
    </row>
    <row r="83" ht="15.75" customHeight="1">
      <c r="F83" s="11"/>
      <c r="G83" s="12"/>
      <c r="H83" s="13"/>
      <c r="M83" s="4"/>
      <c r="N83" s="5"/>
      <c r="O83" s="4"/>
      <c r="P83" s="4"/>
      <c r="Q83" s="4"/>
      <c r="R83" s="4"/>
      <c r="S83" s="4"/>
    </row>
    <row r="84" ht="15.75" customHeight="1">
      <c r="F84" s="11"/>
      <c r="G84" s="12"/>
      <c r="H84" s="13"/>
      <c r="M84" s="4"/>
      <c r="N84" s="5"/>
      <c r="O84" s="4"/>
      <c r="P84" s="4"/>
      <c r="Q84" s="4"/>
      <c r="R84" s="4"/>
      <c r="S84" s="4"/>
    </row>
    <row r="85" ht="15.75" customHeight="1">
      <c r="F85" s="11"/>
      <c r="G85" s="12"/>
      <c r="H85" s="13"/>
      <c r="M85" s="4"/>
      <c r="N85" s="5"/>
      <c r="O85" s="4"/>
      <c r="P85" s="4"/>
      <c r="Q85" s="4"/>
      <c r="R85" s="4"/>
      <c r="S85" s="4"/>
    </row>
    <row r="86" ht="15.75" customHeight="1">
      <c r="F86" s="11"/>
      <c r="G86" s="12"/>
      <c r="H86" s="13"/>
      <c r="M86" s="4"/>
      <c r="N86" s="5"/>
      <c r="O86" s="4"/>
      <c r="P86" s="4"/>
      <c r="Q86" s="4"/>
      <c r="R86" s="4"/>
      <c r="S86" s="4"/>
    </row>
    <row r="87" ht="15.75" customHeight="1">
      <c r="F87" s="11"/>
      <c r="G87" s="12"/>
      <c r="H87" s="13"/>
      <c r="M87" s="4"/>
      <c r="N87" s="5"/>
      <c r="O87" s="4"/>
      <c r="P87" s="4"/>
      <c r="Q87" s="4"/>
      <c r="R87" s="4"/>
      <c r="S87" s="4"/>
    </row>
    <row r="88" ht="15.75" customHeight="1">
      <c r="F88" s="11"/>
      <c r="G88" s="12"/>
      <c r="H88" s="13"/>
      <c r="M88" s="4"/>
      <c r="N88" s="5"/>
      <c r="O88" s="4"/>
      <c r="P88" s="4"/>
      <c r="Q88" s="4"/>
      <c r="R88" s="4"/>
      <c r="S88" s="4"/>
    </row>
    <row r="89" ht="15.75" customHeight="1">
      <c r="F89" s="11"/>
      <c r="G89" s="12"/>
      <c r="H89" s="13"/>
      <c r="M89" s="4"/>
      <c r="N89" s="5"/>
      <c r="O89" s="4"/>
      <c r="P89" s="4"/>
      <c r="Q89" s="4"/>
      <c r="R89" s="4"/>
      <c r="S89" s="4"/>
    </row>
    <row r="90" ht="15.75" customHeight="1">
      <c r="F90" s="11"/>
      <c r="G90" s="12"/>
      <c r="H90" s="13"/>
      <c r="M90" s="4"/>
      <c r="N90" s="5"/>
      <c r="O90" s="4"/>
      <c r="P90" s="4"/>
      <c r="Q90" s="4"/>
      <c r="R90" s="4"/>
      <c r="S90" s="4"/>
    </row>
    <row r="91" ht="15.75" customHeight="1">
      <c r="F91" s="11"/>
      <c r="G91" s="12"/>
      <c r="H91" s="13"/>
      <c r="M91" s="4"/>
      <c r="N91" s="5"/>
      <c r="O91" s="4"/>
      <c r="P91" s="4"/>
      <c r="Q91" s="4"/>
      <c r="R91" s="4"/>
      <c r="S91" s="4"/>
    </row>
    <row r="92" ht="15.75" customHeight="1">
      <c r="F92" s="11"/>
      <c r="G92" s="12"/>
      <c r="H92" s="13"/>
      <c r="M92" s="4"/>
      <c r="N92" s="5"/>
      <c r="O92" s="4"/>
      <c r="P92" s="4"/>
      <c r="Q92" s="4"/>
      <c r="R92" s="4"/>
      <c r="S92" s="4"/>
    </row>
    <row r="93" ht="15.75" customHeight="1">
      <c r="F93" s="11"/>
      <c r="G93" s="12"/>
      <c r="H93" s="13"/>
      <c r="M93" s="4"/>
      <c r="N93" s="5"/>
      <c r="O93" s="4"/>
      <c r="P93" s="4"/>
      <c r="Q93" s="4"/>
      <c r="R93" s="4"/>
      <c r="S93" s="4"/>
    </row>
    <row r="94" ht="15.75" customHeight="1">
      <c r="F94" s="11"/>
      <c r="G94" s="12"/>
      <c r="H94" s="13"/>
      <c r="M94" s="4"/>
      <c r="N94" s="5"/>
      <c r="O94" s="4"/>
      <c r="P94" s="4"/>
      <c r="Q94" s="4"/>
      <c r="R94" s="4"/>
      <c r="S94" s="4"/>
    </row>
    <row r="95" ht="15.75" customHeight="1">
      <c r="F95" s="11"/>
      <c r="G95" s="12"/>
      <c r="H95" s="13"/>
      <c r="M95" s="4"/>
      <c r="N95" s="5"/>
      <c r="O95" s="4"/>
      <c r="P95" s="4"/>
      <c r="Q95" s="4"/>
      <c r="R95" s="4"/>
      <c r="S95" s="4"/>
    </row>
    <row r="96" ht="15.75" customHeight="1">
      <c r="F96" s="11"/>
      <c r="G96" s="12"/>
      <c r="H96" s="13"/>
      <c r="M96" s="4"/>
      <c r="N96" s="5"/>
      <c r="O96" s="4"/>
      <c r="P96" s="4"/>
      <c r="Q96" s="4"/>
      <c r="R96" s="4"/>
      <c r="S96" s="4"/>
    </row>
    <row r="97" ht="15.75" customHeight="1">
      <c r="F97" s="11"/>
      <c r="G97" s="12"/>
      <c r="H97" s="13"/>
      <c r="M97" s="4"/>
      <c r="N97" s="5"/>
      <c r="O97" s="4"/>
      <c r="P97" s="4"/>
      <c r="Q97" s="4"/>
      <c r="R97" s="4"/>
      <c r="S97" s="4"/>
    </row>
    <row r="98" ht="15.75" customHeight="1">
      <c r="F98" s="11"/>
      <c r="G98" s="12"/>
      <c r="H98" s="13"/>
      <c r="M98" s="4"/>
      <c r="N98" s="5"/>
      <c r="O98" s="4"/>
      <c r="P98" s="4"/>
      <c r="Q98" s="4"/>
      <c r="R98" s="4"/>
      <c r="S98" s="4"/>
    </row>
    <row r="99" ht="15.75" customHeight="1">
      <c r="F99" s="11"/>
      <c r="G99" s="12"/>
      <c r="H99" s="13"/>
      <c r="M99" s="4"/>
      <c r="N99" s="5"/>
      <c r="O99" s="4"/>
      <c r="P99" s="4"/>
      <c r="Q99" s="4"/>
      <c r="R99" s="4"/>
      <c r="S99" s="4"/>
    </row>
    <row r="100" ht="15.75" customHeight="1">
      <c r="F100" s="11"/>
      <c r="G100" s="12"/>
      <c r="H100" s="13"/>
      <c r="M100" s="4"/>
      <c r="N100" s="5"/>
      <c r="O100" s="4"/>
      <c r="P100" s="4"/>
      <c r="Q100" s="4"/>
      <c r="R100" s="4"/>
      <c r="S100" s="4"/>
    </row>
    <row r="101" ht="15.75" customHeight="1">
      <c r="F101" s="11"/>
      <c r="G101" s="12"/>
      <c r="H101" s="13"/>
      <c r="M101" s="4"/>
      <c r="N101" s="5"/>
      <c r="O101" s="4"/>
      <c r="P101" s="4"/>
      <c r="Q101" s="4"/>
      <c r="R101" s="4"/>
      <c r="S101" s="4"/>
    </row>
    <row r="102" ht="15.75" customHeight="1">
      <c r="F102" s="11"/>
      <c r="G102" s="12"/>
      <c r="H102" s="13"/>
      <c r="M102" s="4"/>
      <c r="N102" s="5"/>
      <c r="O102" s="4"/>
      <c r="P102" s="4"/>
      <c r="Q102" s="4"/>
      <c r="R102" s="4"/>
      <c r="S102" s="4"/>
    </row>
    <row r="103" ht="15.75" customHeight="1">
      <c r="F103" s="11"/>
      <c r="G103" s="12"/>
      <c r="H103" s="13"/>
      <c r="M103" s="4"/>
      <c r="N103" s="5"/>
      <c r="O103" s="4"/>
      <c r="P103" s="4"/>
      <c r="Q103" s="4"/>
      <c r="R103" s="4"/>
      <c r="S103" s="4"/>
    </row>
    <row r="104" ht="15.75" customHeight="1">
      <c r="F104" s="11"/>
      <c r="G104" s="12"/>
      <c r="H104" s="13"/>
      <c r="M104" s="4"/>
      <c r="N104" s="5"/>
      <c r="O104" s="4"/>
      <c r="P104" s="4"/>
      <c r="Q104" s="4"/>
      <c r="R104" s="4"/>
      <c r="S104" s="4"/>
    </row>
    <row r="105" ht="15.75" customHeight="1">
      <c r="F105" s="11"/>
      <c r="G105" s="12"/>
      <c r="H105" s="13"/>
      <c r="M105" s="4"/>
      <c r="N105" s="5"/>
      <c r="O105" s="4"/>
      <c r="P105" s="4"/>
      <c r="Q105" s="4"/>
      <c r="R105" s="4"/>
      <c r="S105" s="4"/>
    </row>
    <row r="106" ht="15.75" customHeight="1">
      <c r="F106" s="11"/>
      <c r="G106" s="12"/>
      <c r="H106" s="13"/>
      <c r="M106" s="4"/>
      <c r="N106" s="5"/>
      <c r="O106" s="4"/>
      <c r="P106" s="4"/>
      <c r="Q106" s="4"/>
      <c r="R106" s="4"/>
      <c r="S106" s="4"/>
    </row>
    <row r="107" ht="15.75" customHeight="1">
      <c r="F107" s="11"/>
      <c r="G107" s="12"/>
      <c r="H107" s="13"/>
      <c r="M107" s="4"/>
      <c r="N107" s="5"/>
      <c r="O107" s="4"/>
      <c r="P107" s="4"/>
      <c r="Q107" s="4"/>
      <c r="R107" s="4"/>
      <c r="S107" s="4"/>
    </row>
    <row r="108" ht="15.75" customHeight="1">
      <c r="F108" s="11"/>
      <c r="G108" s="12"/>
      <c r="H108" s="13"/>
      <c r="M108" s="4"/>
      <c r="N108" s="5"/>
      <c r="O108" s="4"/>
      <c r="P108" s="4"/>
      <c r="Q108" s="4"/>
      <c r="R108" s="4"/>
      <c r="S108" s="4"/>
    </row>
    <row r="109" ht="15.75" customHeight="1">
      <c r="F109" s="11"/>
      <c r="G109" s="12"/>
      <c r="H109" s="13"/>
      <c r="M109" s="4"/>
      <c r="N109" s="5"/>
      <c r="O109" s="4"/>
      <c r="P109" s="4"/>
      <c r="Q109" s="4"/>
      <c r="R109" s="4"/>
      <c r="S109" s="4"/>
    </row>
    <row r="110" ht="15.75" customHeight="1">
      <c r="F110" s="11"/>
      <c r="G110" s="12"/>
      <c r="H110" s="13"/>
      <c r="M110" s="4"/>
      <c r="N110" s="5"/>
      <c r="O110" s="4"/>
      <c r="P110" s="4"/>
      <c r="Q110" s="4"/>
      <c r="R110" s="4"/>
      <c r="S110" s="4"/>
    </row>
    <row r="111" ht="15.75" customHeight="1">
      <c r="F111" s="11"/>
      <c r="G111" s="12"/>
      <c r="H111" s="13"/>
      <c r="M111" s="4"/>
      <c r="N111" s="5"/>
      <c r="O111" s="4"/>
      <c r="P111" s="4"/>
      <c r="Q111" s="4"/>
      <c r="R111" s="4"/>
      <c r="S111" s="4"/>
    </row>
    <row r="112" ht="15.75" customHeight="1">
      <c r="F112" s="11"/>
      <c r="G112" s="12"/>
      <c r="H112" s="13"/>
      <c r="M112" s="4"/>
      <c r="N112" s="5"/>
      <c r="O112" s="4"/>
      <c r="P112" s="4"/>
      <c r="Q112" s="4"/>
      <c r="R112" s="4"/>
      <c r="S112" s="4"/>
    </row>
    <row r="113" ht="15.75" customHeight="1">
      <c r="F113" s="11"/>
      <c r="G113" s="12"/>
      <c r="H113" s="13"/>
      <c r="M113" s="4"/>
      <c r="N113" s="5"/>
      <c r="O113" s="4"/>
      <c r="P113" s="4"/>
      <c r="Q113" s="4"/>
      <c r="R113" s="4"/>
      <c r="S113" s="4"/>
    </row>
    <row r="114" ht="15.75" customHeight="1">
      <c r="F114" s="11"/>
      <c r="G114" s="12"/>
      <c r="H114" s="13"/>
      <c r="M114" s="4"/>
      <c r="N114" s="5"/>
      <c r="O114" s="4"/>
      <c r="P114" s="4"/>
      <c r="Q114" s="4"/>
      <c r="R114" s="4"/>
      <c r="S114" s="4"/>
    </row>
    <row r="115" ht="15.75" customHeight="1">
      <c r="F115" s="11"/>
      <c r="G115" s="12"/>
      <c r="H115" s="13"/>
      <c r="M115" s="4"/>
      <c r="N115" s="5"/>
      <c r="O115" s="4"/>
      <c r="P115" s="4"/>
      <c r="Q115" s="4"/>
      <c r="R115" s="4"/>
      <c r="S115" s="4"/>
    </row>
    <row r="116" ht="15.75" customHeight="1">
      <c r="F116" s="11"/>
      <c r="G116" s="12"/>
      <c r="H116" s="13"/>
      <c r="M116" s="4"/>
      <c r="N116" s="5"/>
      <c r="O116" s="4"/>
      <c r="P116" s="4"/>
      <c r="Q116" s="4"/>
      <c r="R116" s="4"/>
      <c r="S116" s="4"/>
    </row>
    <row r="117" ht="15.75" customHeight="1">
      <c r="F117" s="11"/>
      <c r="G117" s="12"/>
      <c r="H117" s="13"/>
      <c r="M117" s="4"/>
      <c r="N117" s="5"/>
      <c r="O117" s="4"/>
      <c r="P117" s="4"/>
      <c r="Q117" s="4"/>
      <c r="R117" s="4"/>
      <c r="S117" s="4"/>
    </row>
    <row r="118" ht="15.75" customHeight="1">
      <c r="F118" s="11"/>
      <c r="G118" s="12"/>
      <c r="H118" s="13"/>
      <c r="M118" s="4"/>
      <c r="N118" s="5"/>
      <c r="O118" s="4"/>
      <c r="P118" s="4"/>
      <c r="Q118" s="4"/>
      <c r="R118" s="4"/>
      <c r="S118" s="4"/>
    </row>
    <row r="119" ht="15.75" customHeight="1">
      <c r="F119" s="11"/>
      <c r="G119" s="12"/>
      <c r="H119" s="13"/>
      <c r="M119" s="4"/>
      <c r="N119" s="5"/>
      <c r="O119" s="4"/>
      <c r="P119" s="4"/>
      <c r="Q119" s="4"/>
      <c r="R119" s="4"/>
      <c r="S119" s="4"/>
    </row>
    <row r="120" ht="15.75" customHeight="1">
      <c r="F120" s="11"/>
      <c r="G120" s="12"/>
      <c r="H120" s="13"/>
      <c r="M120" s="4"/>
      <c r="N120" s="5"/>
      <c r="O120" s="4"/>
      <c r="P120" s="4"/>
      <c r="Q120" s="4"/>
      <c r="R120" s="4"/>
      <c r="S120" s="4"/>
    </row>
    <row r="121" ht="15.75" customHeight="1">
      <c r="F121" s="11"/>
      <c r="G121" s="12"/>
      <c r="H121" s="13"/>
      <c r="M121" s="4"/>
      <c r="N121" s="5"/>
      <c r="O121" s="4"/>
      <c r="P121" s="4"/>
      <c r="Q121" s="4"/>
      <c r="R121" s="4"/>
      <c r="S121" s="4"/>
    </row>
    <row r="122" ht="15.75" customHeight="1">
      <c r="F122" s="11"/>
      <c r="G122" s="12"/>
      <c r="H122" s="13"/>
      <c r="M122" s="4"/>
      <c r="N122" s="5"/>
      <c r="O122" s="4"/>
      <c r="P122" s="4"/>
      <c r="Q122" s="4"/>
      <c r="R122" s="4"/>
      <c r="S122" s="4"/>
    </row>
    <row r="123" ht="15.75" customHeight="1">
      <c r="F123" s="11"/>
      <c r="G123" s="12"/>
      <c r="H123" s="13"/>
      <c r="M123" s="4"/>
      <c r="N123" s="5"/>
      <c r="O123" s="4"/>
      <c r="P123" s="4"/>
      <c r="Q123" s="4"/>
      <c r="R123" s="4"/>
      <c r="S123" s="4"/>
    </row>
    <row r="124" ht="15.75" customHeight="1">
      <c r="F124" s="11"/>
      <c r="G124" s="12"/>
      <c r="H124" s="13"/>
      <c r="M124" s="4"/>
      <c r="N124" s="5"/>
      <c r="O124" s="4"/>
      <c r="P124" s="4"/>
      <c r="Q124" s="4"/>
      <c r="R124" s="4"/>
      <c r="S124" s="4"/>
    </row>
    <row r="125" ht="15.75" customHeight="1">
      <c r="F125" s="11"/>
      <c r="G125" s="12"/>
      <c r="H125" s="13"/>
      <c r="M125" s="4"/>
      <c r="N125" s="5"/>
      <c r="O125" s="4"/>
      <c r="P125" s="4"/>
      <c r="Q125" s="4"/>
      <c r="R125" s="4"/>
      <c r="S125" s="4"/>
    </row>
    <row r="126" ht="15.75" customHeight="1">
      <c r="F126" s="11"/>
      <c r="G126" s="12"/>
      <c r="H126" s="13"/>
      <c r="M126" s="4"/>
      <c r="N126" s="5"/>
      <c r="O126" s="4"/>
      <c r="P126" s="4"/>
      <c r="Q126" s="4"/>
      <c r="R126" s="4"/>
      <c r="S126" s="4"/>
    </row>
    <row r="127" ht="15.75" customHeight="1">
      <c r="F127" s="11"/>
      <c r="G127" s="12"/>
      <c r="H127" s="13"/>
      <c r="M127" s="4"/>
      <c r="N127" s="5"/>
      <c r="O127" s="4"/>
      <c r="P127" s="4"/>
      <c r="Q127" s="4"/>
      <c r="R127" s="4"/>
      <c r="S127" s="4"/>
    </row>
    <row r="128" ht="15.75" customHeight="1">
      <c r="F128" s="11"/>
      <c r="G128" s="12"/>
      <c r="H128" s="13"/>
      <c r="M128" s="4"/>
      <c r="N128" s="5"/>
      <c r="O128" s="4"/>
      <c r="P128" s="4"/>
      <c r="Q128" s="4"/>
      <c r="R128" s="4"/>
      <c r="S128" s="4"/>
    </row>
    <row r="129" ht="15.75" customHeight="1">
      <c r="F129" s="11"/>
      <c r="G129" s="12"/>
      <c r="H129" s="13"/>
      <c r="M129" s="4"/>
      <c r="N129" s="5"/>
      <c r="O129" s="4"/>
      <c r="P129" s="4"/>
      <c r="Q129" s="4"/>
      <c r="R129" s="4"/>
      <c r="S129" s="4"/>
    </row>
    <row r="130" ht="15.75" customHeight="1">
      <c r="F130" s="11"/>
      <c r="G130" s="12"/>
      <c r="H130" s="13"/>
      <c r="M130" s="4"/>
      <c r="N130" s="5"/>
      <c r="O130" s="4"/>
      <c r="P130" s="4"/>
      <c r="Q130" s="4"/>
      <c r="R130" s="4"/>
      <c r="S130" s="4"/>
    </row>
    <row r="131" ht="15.75" customHeight="1">
      <c r="F131" s="11"/>
      <c r="G131" s="12"/>
      <c r="H131" s="13"/>
      <c r="M131" s="4"/>
      <c r="N131" s="5"/>
      <c r="O131" s="4"/>
      <c r="P131" s="4"/>
      <c r="Q131" s="4"/>
      <c r="R131" s="4"/>
      <c r="S131" s="4"/>
    </row>
    <row r="132" ht="15.75" customHeight="1">
      <c r="F132" s="11"/>
      <c r="G132" s="12"/>
      <c r="H132" s="13"/>
      <c r="M132" s="4"/>
      <c r="N132" s="5"/>
      <c r="O132" s="4"/>
      <c r="P132" s="4"/>
      <c r="Q132" s="4"/>
      <c r="R132" s="4"/>
      <c r="S132" s="4"/>
    </row>
    <row r="133" ht="15.75" customHeight="1">
      <c r="F133" s="11"/>
      <c r="G133" s="12"/>
      <c r="H133" s="13"/>
      <c r="M133" s="4"/>
      <c r="N133" s="5"/>
      <c r="O133" s="4"/>
      <c r="P133" s="4"/>
      <c r="Q133" s="4"/>
      <c r="R133" s="4"/>
      <c r="S133" s="4"/>
    </row>
    <row r="134" ht="15.75" customHeight="1">
      <c r="F134" s="11"/>
      <c r="G134" s="12"/>
      <c r="H134" s="13"/>
      <c r="M134" s="4"/>
      <c r="N134" s="5"/>
      <c r="O134" s="4"/>
      <c r="P134" s="4"/>
      <c r="Q134" s="4"/>
      <c r="R134" s="4"/>
      <c r="S134" s="4"/>
    </row>
    <row r="135" ht="15.75" customHeight="1">
      <c r="F135" s="11"/>
      <c r="G135" s="12"/>
      <c r="H135" s="13"/>
      <c r="M135" s="4"/>
      <c r="N135" s="5"/>
      <c r="O135" s="4"/>
      <c r="P135" s="4"/>
      <c r="Q135" s="4"/>
      <c r="R135" s="4"/>
      <c r="S135" s="4"/>
    </row>
    <row r="136" ht="15.75" customHeight="1">
      <c r="F136" s="11"/>
      <c r="G136" s="12"/>
      <c r="H136" s="13"/>
      <c r="M136" s="4"/>
      <c r="N136" s="5"/>
      <c r="O136" s="4"/>
      <c r="P136" s="4"/>
      <c r="Q136" s="4"/>
      <c r="R136" s="4"/>
      <c r="S136" s="4"/>
    </row>
    <row r="137" ht="15.75" customHeight="1">
      <c r="F137" s="11"/>
      <c r="G137" s="12"/>
      <c r="H137" s="13"/>
      <c r="M137" s="4"/>
      <c r="N137" s="5"/>
      <c r="O137" s="4"/>
      <c r="P137" s="4"/>
      <c r="Q137" s="4"/>
      <c r="R137" s="4"/>
      <c r="S137" s="4"/>
    </row>
    <row r="138" ht="15.75" customHeight="1">
      <c r="F138" s="11"/>
      <c r="G138" s="12"/>
      <c r="H138" s="13"/>
      <c r="M138" s="4"/>
      <c r="N138" s="5"/>
      <c r="O138" s="4"/>
      <c r="P138" s="4"/>
      <c r="Q138" s="4"/>
      <c r="R138" s="4"/>
      <c r="S138" s="4"/>
    </row>
    <row r="139" ht="15.75" customHeight="1">
      <c r="F139" s="11"/>
      <c r="G139" s="12"/>
      <c r="H139" s="13"/>
      <c r="M139" s="4"/>
      <c r="N139" s="5"/>
      <c r="O139" s="4"/>
      <c r="P139" s="4"/>
      <c r="Q139" s="4"/>
      <c r="R139" s="4"/>
      <c r="S139" s="4"/>
    </row>
    <row r="140" ht="15.75" customHeight="1">
      <c r="F140" s="11"/>
      <c r="G140" s="12"/>
      <c r="H140" s="13"/>
      <c r="M140" s="4"/>
      <c r="N140" s="5"/>
      <c r="O140" s="4"/>
      <c r="P140" s="4"/>
      <c r="Q140" s="4"/>
      <c r="R140" s="4"/>
      <c r="S140" s="4"/>
    </row>
    <row r="141" ht="15.75" customHeight="1">
      <c r="F141" s="11"/>
      <c r="G141" s="12"/>
      <c r="H141" s="13"/>
      <c r="M141" s="4"/>
      <c r="N141" s="5"/>
      <c r="O141" s="4"/>
      <c r="P141" s="4"/>
      <c r="Q141" s="4"/>
      <c r="R141" s="4"/>
      <c r="S141" s="4"/>
    </row>
    <row r="142" ht="15.75" customHeight="1">
      <c r="F142" s="11"/>
      <c r="G142" s="12"/>
      <c r="H142" s="13"/>
      <c r="M142" s="4"/>
      <c r="N142" s="5"/>
      <c r="O142" s="4"/>
      <c r="P142" s="4"/>
      <c r="Q142" s="4"/>
      <c r="R142" s="4"/>
      <c r="S142" s="4"/>
    </row>
    <row r="143" ht="15.75" customHeight="1">
      <c r="F143" s="11"/>
      <c r="G143" s="12"/>
      <c r="H143" s="13"/>
      <c r="M143" s="4"/>
      <c r="N143" s="5"/>
      <c r="O143" s="4"/>
      <c r="P143" s="4"/>
      <c r="Q143" s="4"/>
      <c r="R143" s="4"/>
      <c r="S143" s="4"/>
    </row>
    <row r="144" ht="15.75" customHeight="1">
      <c r="F144" s="11"/>
      <c r="G144" s="12"/>
      <c r="H144" s="13"/>
      <c r="M144" s="4"/>
      <c r="N144" s="5"/>
      <c r="O144" s="4"/>
      <c r="P144" s="4"/>
      <c r="Q144" s="4"/>
      <c r="R144" s="4"/>
      <c r="S144" s="4"/>
    </row>
    <row r="145" ht="15.75" customHeight="1">
      <c r="F145" s="11"/>
      <c r="G145" s="12"/>
      <c r="H145" s="13"/>
      <c r="M145" s="4"/>
      <c r="N145" s="5"/>
      <c r="O145" s="4"/>
      <c r="P145" s="4"/>
      <c r="Q145" s="4"/>
      <c r="R145" s="4"/>
      <c r="S145" s="4"/>
    </row>
    <row r="146" ht="15.75" customHeight="1">
      <c r="F146" s="11"/>
      <c r="G146" s="12"/>
      <c r="H146" s="13"/>
      <c r="M146" s="4"/>
      <c r="N146" s="5"/>
      <c r="O146" s="4"/>
      <c r="P146" s="4"/>
      <c r="Q146" s="4"/>
      <c r="R146" s="4"/>
      <c r="S146" s="4"/>
    </row>
    <row r="147" ht="15.75" customHeight="1">
      <c r="F147" s="11"/>
      <c r="G147" s="12"/>
      <c r="H147" s="13"/>
      <c r="M147" s="4"/>
      <c r="N147" s="5"/>
      <c r="O147" s="4"/>
      <c r="P147" s="4"/>
      <c r="Q147" s="4"/>
      <c r="R147" s="4"/>
      <c r="S147" s="4"/>
    </row>
    <row r="148" ht="15.75" customHeight="1">
      <c r="F148" s="11"/>
      <c r="G148" s="12"/>
      <c r="H148" s="13"/>
      <c r="M148" s="4"/>
      <c r="N148" s="5"/>
      <c r="O148" s="4"/>
      <c r="P148" s="4"/>
      <c r="Q148" s="4"/>
      <c r="R148" s="4"/>
      <c r="S148" s="4"/>
    </row>
    <row r="149" ht="15.75" customHeight="1">
      <c r="F149" s="11"/>
      <c r="G149" s="12"/>
      <c r="H149" s="13"/>
      <c r="M149" s="4"/>
      <c r="N149" s="5"/>
      <c r="O149" s="4"/>
      <c r="P149" s="4"/>
      <c r="Q149" s="4"/>
      <c r="R149" s="4"/>
      <c r="S149" s="4"/>
    </row>
    <row r="150" ht="15.75" customHeight="1">
      <c r="F150" s="11"/>
      <c r="G150" s="12"/>
      <c r="H150" s="13"/>
      <c r="M150" s="4"/>
      <c r="N150" s="5"/>
      <c r="O150" s="4"/>
      <c r="P150" s="4"/>
      <c r="Q150" s="4"/>
      <c r="R150" s="4"/>
      <c r="S150" s="4"/>
    </row>
    <row r="151" ht="15.75" customHeight="1">
      <c r="F151" s="11"/>
      <c r="G151" s="12"/>
      <c r="H151" s="13"/>
      <c r="M151" s="4"/>
      <c r="N151" s="5"/>
      <c r="O151" s="4"/>
      <c r="P151" s="4"/>
      <c r="Q151" s="4"/>
      <c r="R151" s="4"/>
      <c r="S151" s="4"/>
    </row>
    <row r="152" ht="15.75" customHeight="1">
      <c r="F152" s="11"/>
      <c r="G152" s="12"/>
      <c r="H152" s="13"/>
      <c r="M152" s="4"/>
      <c r="N152" s="5"/>
      <c r="O152" s="4"/>
      <c r="P152" s="4"/>
      <c r="Q152" s="4"/>
      <c r="R152" s="4"/>
      <c r="S152" s="4"/>
    </row>
    <row r="153" ht="15.75" customHeight="1">
      <c r="F153" s="11"/>
      <c r="G153" s="12"/>
      <c r="H153" s="13"/>
      <c r="M153" s="4"/>
      <c r="N153" s="5"/>
      <c r="O153" s="4"/>
      <c r="P153" s="4"/>
      <c r="Q153" s="4"/>
      <c r="R153" s="4"/>
      <c r="S153" s="4"/>
    </row>
    <row r="154" ht="15.75" customHeight="1">
      <c r="F154" s="11"/>
      <c r="G154" s="12"/>
      <c r="H154" s="13"/>
      <c r="M154" s="4"/>
      <c r="N154" s="5"/>
      <c r="O154" s="4"/>
      <c r="P154" s="4"/>
      <c r="Q154" s="4"/>
      <c r="R154" s="4"/>
      <c r="S154" s="4"/>
    </row>
    <row r="155" ht="15.75" customHeight="1">
      <c r="F155" s="11"/>
      <c r="G155" s="12"/>
      <c r="H155" s="13"/>
      <c r="M155" s="4"/>
      <c r="N155" s="5"/>
      <c r="O155" s="4"/>
      <c r="P155" s="4"/>
      <c r="Q155" s="4"/>
      <c r="R155" s="4"/>
      <c r="S155" s="4"/>
    </row>
    <row r="156" ht="15.75" customHeight="1">
      <c r="F156" s="11"/>
      <c r="G156" s="12"/>
      <c r="H156" s="13"/>
      <c r="M156" s="4"/>
      <c r="N156" s="5"/>
      <c r="O156" s="4"/>
      <c r="P156" s="4"/>
      <c r="Q156" s="4"/>
      <c r="R156" s="4"/>
      <c r="S156" s="4"/>
    </row>
    <row r="157" ht="15.75" customHeight="1">
      <c r="F157" s="11"/>
      <c r="G157" s="12"/>
      <c r="H157" s="13"/>
      <c r="M157" s="4"/>
      <c r="N157" s="5"/>
      <c r="O157" s="4"/>
      <c r="P157" s="4"/>
      <c r="Q157" s="4"/>
      <c r="R157" s="4"/>
      <c r="S157" s="4"/>
    </row>
    <row r="158" ht="15.75" customHeight="1">
      <c r="F158" s="11"/>
      <c r="G158" s="12"/>
      <c r="H158" s="13"/>
      <c r="M158" s="4"/>
      <c r="N158" s="5"/>
      <c r="O158" s="4"/>
      <c r="P158" s="4"/>
      <c r="Q158" s="4"/>
      <c r="R158" s="4"/>
      <c r="S158" s="4"/>
    </row>
    <row r="159" ht="15.75" customHeight="1">
      <c r="F159" s="11"/>
      <c r="G159" s="12"/>
      <c r="H159" s="13"/>
      <c r="M159" s="4"/>
      <c r="N159" s="5"/>
      <c r="O159" s="4"/>
      <c r="P159" s="4"/>
      <c r="Q159" s="4"/>
      <c r="R159" s="4"/>
      <c r="S159" s="4"/>
    </row>
    <row r="160" ht="15.75" customHeight="1">
      <c r="F160" s="11"/>
      <c r="G160" s="12"/>
      <c r="H160" s="13"/>
      <c r="M160" s="4"/>
      <c r="N160" s="5"/>
      <c r="O160" s="4"/>
      <c r="P160" s="4"/>
      <c r="Q160" s="4"/>
      <c r="R160" s="4"/>
      <c r="S160" s="4"/>
    </row>
    <row r="161" ht="15.75" customHeight="1">
      <c r="F161" s="11"/>
      <c r="G161" s="12"/>
      <c r="H161" s="13"/>
      <c r="M161" s="4"/>
      <c r="N161" s="5"/>
      <c r="O161" s="4"/>
      <c r="P161" s="4"/>
      <c r="Q161" s="4"/>
      <c r="R161" s="4"/>
      <c r="S161" s="4"/>
    </row>
    <row r="162" ht="15.75" customHeight="1">
      <c r="F162" s="11"/>
      <c r="G162" s="12"/>
      <c r="H162" s="13"/>
      <c r="M162" s="4"/>
      <c r="N162" s="5"/>
      <c r="O162" s="4"/>
      <c r="P162" s="4"/>
      <c r="Q162" s="4"/>
      <c r="R162" s="4"/>
      <c r="S162" s="4"/>
    </row>
    <row r="163" ht="15.75" customHeight="1">
      <c r="F163" s="11"/>
      <c r="G163" s="12"/>
      <c r="H163" s="13"/>
      <c r="M163" s="4"/>
      <c r="N163" s="5"/>
      <c r="O163" s="4"/>
      <c r="P163" s="4"/>
      <c r="Q163" s="4"/>
      <c r="R163" s="4"/>
      <c r="S163" s="4"/>
    </row>
    <row r="164" ht="15.75" customHeight="1">
      <c r="F164" s="11"/>
      <c r="G164" s="12"/>
      <c r="H164" s="13"/>
      <c r="M164" s="4"/>
      <c r="N164" s="5"/>
      <c r="O164" s="4"/>
      <c r="P164" s="4"/>
      <c r="Q164" s="4"/>
      <c r="R164" s="4"/>
      <c r="S164" s="4"/>
    </row>
    <row r="165" ht="15.75" customHeight="1">
      <c r="F165" s="11"/>
      <c r="G165" s="12"/>
      <c r="H165" s="13"/>
      <c r="M165" s="4"/>
      <c r="N165" s="5"/>
      <c r="O165" s="4"/>
      <c r="P165" s="4"/>
      <c r="Q165" s="4"/>
      <c r="R165" s="4"/>
      <c r="S165" s="4"/>
    </row>
    <row r="166" ht="15.75" customHeight="1">
      <c r="F166" s="11"/>
      <c r="G166" s="12"/>
      <c r="H166" s="13"/>
      <c r="M166" s="4"/>
      <c r="N166" s="5"/>
      <c r="O166" s="4"/>
      <c r="P166" s="4"/>
      <c r="Q166" s="4"/>
      <c r="R166" s="4"/>
      <c r="S166" s="4"/>
    </row>
    <row r="167" ht="15.75" customHeight="1">
      <c r="F167" s="11"/>
      <c r="G167" s="12"/>
      <c r="H167" s="13"/>
      <c r="M167" s="4"/>
      <c r="N167" s="5"/>
      <c r="O167" s="4"/>
      <c r="P167" s="4"/>
      <c r="Q167" s="4"/>
      <c r="R167" s="4"/>
      <c r="S167" s="4"/>
    </row>
    <row r="168" ht="15.75" customHeight="1">
      <c r="F168" s="11"/>
      <c r="G168" s="12"/>
      <c r="H168" s="13"/>
      <c r="M168" s="4"/>
      <c r="N168" s="5"/>
      <c r="O168" s="4"/>
      <c r="P168" s="4"/>
      <c r="Q168" s="4"/>
      <c r="R168" s="4"/>
      <c r="S168" s="4"/>
    </row>
    <row r="169" ht="15.75" customHeight="1">
      <c r="F169" s="11"/>
      <c r="G169" s="12"/>
      <c r="H169" s="13"/>
      <c r="M169" s="4"/>
      <c r="N169" s="5"/>
      <c r="O169" s="4"/>
      <c r="P169" s="4"/>
      <c r="Q169" s="4"/>
      <c r="R169" s="4"/>
      <c r="S169" s="4"/>
    </row>
    <row r="170" ht="15.75" customHeight="1">
      <c r="F170" s="11"/>
      <c r="G170" s="12"/>
      <c r="H170" s="13"/>
      <c r="M170" s="4"/>
      <c r="N170" s="5"/>
      <c r="O170" s="4"/>
      <c r="P170" s="4"/>
      <c r="Q170" s="4"/>
      <c r="R170" s="4"/>
      <c r="S170" s="4"/>
    </row>
    <row r="171" ht="15.75" customHeight="1">
      <c r="F171" s="11"/>
      <c r="G171" s="12"/>
      <c r="H171" s="13"/>
      <c r="M171" s="4"/>
      <c r="N171" s="5"/>
      <c r="O171" s="4"/>
      <c r="P171" s="4"/>
      <c r="Q171" s="4"/>
      <c r="R171" s="4"/>
      <c r="S171" s="4"/>
    </row>
    <row r="172" ht="15.75" customHeight="1">
      <c r="F172" s="11"/>
      <c r="G172" s="12"/>
      <c r="H172" s="13"/>
      <c r="M172" s="4"/>
      <c r="N172" s="5"/>
      <c r="O172" s="4"/>
      <c r="P172" s="4"/>
      <c r="Q172" s="4"/>
      <c r="R172" s="4"/>
      <c r="S172" s="4"/>
    </row>
    <row r="173" ht="15.75" customHeight="1">
      <c r="F173" s="11"/>
      <c r="G173" s="12"/>
      <c r="H173" s="13"/>
      <c r="M173" s="4"/>
      <c r="N173" s="5"/>
      <c r="O173" s="4"/>
      <c r="P173" s="4"/>
      <c r="Q173" s="4"/>
      <c r="R173" s="4"/>
      <c r="S173" s="4"/>
    </row>
    <row r="174" ht="15.75" customHeight="1">
      <c r="F174" s="11"/>
      <c r="G174" s="12"/>
      <c r="H174" s="13"/>
      <c r="M174" s="4"/>
      <c r="N174" s="5"/>
      <c r="O174" s="4"/>
      <c r="P174" s="4"/>
      <c r="Q174" s="4"/>
      <c r="R174" s="4"/>
      <c r="S174" s="4"/>
    </row>
    <row r="175" ht="15.75" customHeight="1">
      <c r="F175" s="11"/>
      <c r="G175" s="12"/>
      <c r="H175" s="13"/>
      <c r="M175" s="4"/>
      <c r="N175" s="5"/>
      <c r="O175" s="4"/>
      <c r="P175" s="4"/>
      <c r="Q175" s="4"/>
      <c r="R175" s="4"/>
      <c r="S175" s="4"/>
    </row>
    <row r="176" ht="15.75" customHeight="1">
      <c r="F176" s="11"/>
      <c r="G176" s="12"/>
      <c r="H176" s="13"/>
      <c r="M176" s="4"/>
      <c r="N176" s="5"/>
      <c r="O176" s="4"/>
      <c r="P176" s="4"/>
      <c r="Q176" s="4"/>
      <c r="R176" s="4"/>
      <c r="S176" s="4"/>
    </row>
    <row r="177" ht="15.75" customHeight="1">
      <c r="F177" s="11"/>
      <c r="G177" s="12"/>
      <c r="H177" s="13"/>
      <c r="M177" s="4"/>
      <c r="N177" s="5"/>
      <c r="O177" s="4"/>
      <c r="P177" s="4"/>
      <c r="Q177" s="4"/>
      <c r="R177" s="4"/>
      <c r="S177" s="4"/>
    </row>
    <row r="178" ht="15.75" customHeight="1">
      <c r="F178" s="11"/>
      <c r="G178" s="12"/>
      <c r="H178" s="13"/>
      <c r="M178" s="4"/>
      <c r="N178" s="5"/>
      <c r="O178" s="4"/>
      <c r="P178" s="4"/>
      <c r="Q178" s="4"/>
      <c r="R178" s="4"/>
      <c r="S178" s="4"/>
    </row>
    <row r="179" ht="15.75" customHeight="1">
      <c r="F179" s="11"/>
      <c r="G179" s="12"/>
      <c r="H179" s="13"/>
      <c r="M179" s="4"/>
      <c r="N179" s="5"/>
      <c r="O179" s="4"/>
      <c r="P179" s="4"/>
      <c r="Q179" s="4"/>
      <c r="R179" s="4"/>
      <c r="S179" s="4"/>
    </row>
    <row r="180" ht="15.75" customHeight="1">
      <c r="F180" s="11"/>
      <c r="G180" s="12"/>
      <c r="H180" s="13"/>
      <c r="M180" s="4"/>
      <c r="N180" s="5"/>
      <c r="O180" s="4"/>
      <c r="P180" s="4"/>
      <c r="Q180" s="4"/>
      <c r="R180" s="4"/>
      <c r="S180" s="4"/>
    </row>
    <row r="181" ht="15.75" customHeight="1">
      <c r="F181" s="11"/>
      <c r="G181" s="12"/>
      <c r="H181" s="13"/>
      <c r="M181" s="4"/>
      <c r="N181" s="5"/>
      <c r="O181" s="4"/>
      <c r="P181" s="4"/>
      <c r="Q181" s="4"/>
      <c r="R181" s="4"/>
      <c r="S181" s="4"/>
    </row>
    <row r="182" ht="15.75" customHeight="1">
      <c r="F182" s="11"/>
      <c r="G182" s="12"/>
      <c r="H182" s="13"/>
      <c r="M182" s="4"/>
      <c r="N182" s="5"/>
      <c r="O182" s="4"/>
      <c r="P182" s="4"/>
      <c r="Q182" s="4"/>
      <c r="R182" s="4"/>
      <c r="S182" s="4"/>
    </row>
    <row r="183" ht="15.75" customHeight="1">
      <c r="F183" s="11"/>
      <c r="G183" s="12"/>
      <c r="H183" s="13"/>
      <c r="M183" s="4"/>
      <c r="N183" s="5"/>
      <c r="O183" s="4"/>
      <c r="P183" s="4"/>
      <c r="Q183" s="4"/>
      <c r="R183" s="4"/>
      <c r="S183" s="4"/>
    </row>
    <row r="184" ht="15.75" customHeight="1">
      <c r="F184" s="11"/>
      <c r="G184" s="12"/>
      <c r="H184" s="13"/>
      <c r="M184" s="4"/>
      <c r="N184" s="5"/>
      <c r="O184" s="4"/>
      <c r="P184" s="4"/>
      <c r="Q184" s="4"/>
      <c r="R184" s="4"/>
      <c r="S184" s="4"/>
    </row>
    <row r="185" ht="15.75" customHeight="1">
      <c r="F185" s="11"/>
      <c r="G185" s="12"/>
      <c r="H185" s="13"/>
      <c r="M185" s="4"/>
      <c r="N185" s="5"/>
      <c r="O185" s="4"/>
      <c r="P185" s="4"/>
      <c r="Q185" s="4"/>
      <c r="R185" s="4"/>
      <c r="S185" s="4"/>
    </row>
    <row r="186" ht="15.75" customHeight="1">
      <c r="F186" s="11"/>
      <c r="G186" s="12"/>
      <c r="H186" s="13"/>
      <c r="M186" s="4"/>
      <c r="N186" s="5"/>
      <c r="O186" s="4"/>
      <c r="P186" s="4"/>
      <c r="Q186" s="4"/>
      <c r="R186" s="4"/>
      <c r="S186" s="4"/>
    </row>
    <row r="187" ht="15.75" customHeight="1">
      <c r="F187" s="11"/>
      <c r="G187" s="12"/>
      <c r="H187" s="13"/>
      <c r="M187" s="4"/>
      <c r="N187" s="5"/>
      <c r="O187" s="4"/>
      <c r="P187" s="4"/>
      <c r="Q187" s="4"/>
      <c r="R187" s="4"/>
      <c r="S187" s="4"/>
    </row>
    <row r="188" ht="15.75" customHeight="1">
      <c r="F188" s="11"/>
      <c r="G188" s="12"/>
      <c r="H188" s="13"/>
      <c r="M188" s="4"/>
      <c r="N188" s="5"/>
      <c r="O188" s="4"/>
      <c r="P188" s="4"/>
      <c r="Q188" s="4"/>
      <c r="R188" s="4"/>
      <c r="S188" s="4"/>
    </row>
    <row r="189" ht="15.75" customHeight="1">
      <c r="F189" s="11"/>
      <c r="G189" s="12"/>
      <c r="H189" s="13"/>
      <c r="M189" s="4"/>
      <c r="N189" s="5"/>
      <c r="O189" s="4"/>
      <c r="P189" s="4"/>
      <c r="Q189" s="4"/>
      <c r="R189" s="4"/>
      <c r="S189" s="4"/>
    </row>
    <row r="190" ht="15.75" customHeight="1">
      <c r="F190" s="11"/>
      <c r="G190" s="12"/>
      <c r="H190" s="13"/>
      <c r="M190" s="4"/>
      <c r="N190" s="5"/>
      <c r="O190" s="4"/>
      <c r="P190" s="4"/>
      <c r="Q190" s="4"/>
      <c r="R190" s="4"/>
      <c r="S190" s="4"/>
    </row>
    <row r="191" ht="15.75" customHeight="1">
      <c r="F191" s="11"/>
      <c r="G191" s="12"/>
      <c r="H191" s="13"/>
      <c r="M191" s="4"/>
      <c r="N191" s="5"/>
      <c r="O191" s="4"/>
      <c r="P191" s="4"/>
      <c r="Q191" s="4"/>
      <c r="R191" s="4"/>
      <c r="S191" s="4"/>
    </row>
    <row r="192" ht="15.75" customHeight="1">
      <c r="F192" s="11"/>
      <c r="G192" s="12"/>
      <c r="H192" s="13"/>
      <c r="M192" s="4"/>
      <c r="N192" s="5"/>
      <c r="O192" s="4"/>
      <c r="P192" s="4"/>
      <c r="Q192" s="4"/>
      <c r="R192" s="4"/>
      <c r="S192" s="4"/>
    </row>
    <row r="193" ht="15.75" customHeight="1">
      <c r="F193" s="11"/>
      <c r="G193" s="12"/>
      <c r="H193" s="13"/>
      <c r="M193" s="4"/>
      <c r="N193" s="5"/>
      <c r="O193" s="4"/>
      <c r="P193" s="4"/>
      <c r="Q193" s="4"/>
      <c r="R193" s="4"/>
      <c r="S193" s="4"/>
    </row>
    <row r="194" ht="15.75" customHeight="1">
      <c r="F194" s="11"/>
      <c r="G194" s="12"/>
      <c r="H194" s="13"/>
      <c r="M194" s="4"/>
      <c r="N194" s="5"/>
      <c r="O194" s="4"/>
      <c r="P194" s="4"/>
      <c r="Q194" s="4"/>
      <c r="R194" s="4"/>
      <c r="S194" s="4"/>
    </row>
    <row r="195" ht="15.75" customHeight="1">
      <c r="F195" s="11"/>
      <c r="G195" s="12"/>
      <c r="H195" s="13"/>
      <c r="M195" s="4"/>
      <c r="N195" s="5"/>
      <c r="O195" s="4"/>
      <c r="P195" s="4"/>
      <c r="Q195" s="4"/>
      <c r="R195" s="4"/>
      <c r="S195" s="4"/>
    </row>
    <row r="196" ht="15.75" customHeight="1">
      <c r="F196" s="11"/>
      <c r="G196" s="12"/>
      <c r="H196" s="13"/>
      <c r="M196" s="4"/>
      <c r="N196" s="5"/>
      <c r="O196" s="4"/>
      <c r="P196" s="4"/>
      <c r="Q196" s="4"/>
      <c r="R196" s="4"/>
      <c r="S196" s="4"/>
    </row>
    <row r="197" ht="15.75" customHeight="1">
      <c r="F197" s="11"/>
      <c r="G197" s="12"/>
      <c r="H197" s="13"/>
      <c r="M197" s="4"/>
      <c r="N197" s="5"/>
      <c r="O197" s="4"/>
      <c r="P197" s="4"/>
      <c r="Q197" s="4"/>
      <c r="R197" s="4"/>
      <c r="S197" s="4"/>
    </row>
    <row r="198" ht="15.75" customHeight="1">
      <c r="F198" s="11"/>
      <c r="G198" s="12"/>
      <c r="H198" s="13"/>
      <c r="M198" s="4"/>
      <c r="N198" s="5"/>
      <c r="O198" s="4"/>
      <c r="P198" s="4"/>
      <c r="Q198" s="4"/>
      <c r="R198" s="4"/>
      <c r="S198" s="4"/>
    </row>
    <row r="199" ht="15.75" customHeight="1">
      <c r="F199" s="11"/>
      <c r="G199" s="12"/>
      <c r="H199" s="13"/>
      <c r="M199" s="4"/>
      <c r="N199" s="5"/>
      <c r="O199" s="4"/>
      <c r="P199" s="4"/>
      <c r="Q199" s="4"/>
      <c r="R199" s="4"/>
      <c r="S199" s="4"/>
    </row>
    <row r="200" ht="15.75" customHeight="1">
      <c r="F200" s="11"/>
      <c r="G200" s="12"/>
      <c r="H200" s="13"/>
      <c r="M200" s="4"/>
      <c r="N200" s="5"/>
      <c r="O200" s="4"/>
      <c r="P200" s="4"/>
      <c r="Q200" s="4"/>
      <c r="R200" s="4"/>
      <c r="S200" s="4"/>
    </row>
    <row r="201" ht="15.75" customHeight="1">
      <c r="F201" s="11"/>
      <c r="G201" s="12"/>
      <c r="H201" s="13"/>
      <c r="M201" s="4"/>
      <c r="N201" s="5"/>
      <c r="O201" s="4"/>
      <c r="P201" s="4"/>
      <c r="Q201" s="4"/>
      <c r="R201" s="4"/>
      <c r="S201" s="4"/>
    </row>
    <row r="202" ht="15.75" customHeight="1">
      <c r="F202" s="11"/>
      <c r="G202" s="12"/>
      <c r="H202" s="13"/>
      <c r="M202" s="4"/>
      <c r="N202" s="5"/>
      <c r="O202" s="4"/>
      <c r="P202" s="4"/>
      <c r="Q202" s="4"/>
      <c r="R202" s="4"/>
      <c r="S202" s="4"/>
    </row>
    <row r="203" ht="15.75" customHeight="1">
      <c r="F203" s="11"/>
      <c r="G203" s="12"/>
      <c r="H203" s="13"/>
      <c r="M203" s="4"/>
      <c r="N203" s="5"/>
      <c r="O203" s="4"/>
      <c r="P203" s="4"/>
      <c r="Q203" s="4"/>
      <c r="R203" s="4"/>
      <c r="S203" s="4"/>
    </row>
    <row r="204" ht="15.75" customHeight="1">
      <c r="F204" s="11"/>
      <c r="G204" s="12"/>
      <c r="H204" s="13"/>
      <c r="M204" s="4"/>
      <c r="N204" s="5"/>
      <c r="O204" s="4"/>
      <c r="P204" s="4"/>
      <c r="Q204" s="4"/>
      <c r="R204" s="4"/>
      <c r="S204" s="4"/>
    </row>
    <row r="205" ht="15.75" customHeight="1">
      <c r="F205" s="11"/>
      <c r="G205" s="12"/>
      <c r="H205" s="13"/>
      <c r="M205" s="4"/>
      <c r="N205" s="5"/>
      <c r="O205" s="4"/>
      <c r="P205" s="4"/>
      <c r="Q205" s="4"/>
      <c r="R205" s="4"/>
      <c r="S205" s="4"/>
    </row>
    <row r="206" ht="15.75" customHeight="1">
      <c r="F206" s="11"/>
      <c r="G206" s="12"/>
      <c r="H206" s="13"/>
      <c r="M206" s="4"/>
      <c r="N206" s="5"/>
      <c r="O206" s="4"/>
      <c r="P206" s="4"/>
      <c r="Q206" s="4"/>
      <c r="R206" s="4"/>
      <c r="S206" s="4"/>
    </row>
    <row r="207" ht="15.75" customHeight="1">
      <c r="F207" s="11"/>
      <c r="G207" s="12"/>
      <c r="H207" s="13"/>
      <c r="M207" s="4"/>
      <c r="N207" s="5"/>
      <c r="O207" s="4"/>
      <c r="P207" s="4"/>
      <c r="Q207" s="4"/>
      <c r="R207" s="4"/>
      <c r="S207" s="4"/>
    </row>
    <row r="208" ht="15.75" customHeight="1">
      <c r="F208" s="11"/>
      <c r="G208" s="12"/>
      <c r="H208" s="13"/>
      <c r="M208" s="4"/>
      <c r="N208" s="5"/>
      <c r="O208" s="4"/>
      <c r="P208" s="4"/>
      <c r="Q208" s="4"/>
      <c r="R208" s="4"/>
      <c r="S208" s="4"/>
    </row>
    <row r="209" ht="15.75" customHeight="1">
      <c r="F209" s="11"/>
      <c r="G209" s="12"/>
      <c r="H209" s="13"/>
      <c r="M209" s="4"/>
      <c r="N209" s="5"/>
      <c r="O209" s="4"/>
      <c r="P209" s="4"/>
      <c r="Q209" s="4"/>
      <c r="R209" s="4"/>
      <c r="S209" s="4"/>
    </row>
    <row r="210" ht="15.75" customHeight="1">
      <c r="F210" s="11"/>
      <c r="G210" s="12"/>
      <c r="H210" s="13"/>
      <c r="M210" s="4"/>
      <c r="N210" s="5"/>
      <c r="O210" s="4"/>
      <c r="P210" s="4"/>
      <c r="Q210" s="4"/>
      <c r="R210" s="4"/>
      <c r="S210" s="4"/>
    </row>
    <row r="211" ht="15.75" customHeight="1">
      <c r="F211" s="11"/>
      <c r="G211" s="12"/>
      <c r="H211" s="13"/>
      <c r="M211" s="4"/>
      <c r="N211" s="5"/>
      <c r="O211" s="4"/>
      <c r="P211" s="4"/>
      <c r="Q211" s="4"/>
      <c r="R211" s="4"/>
      <c r="S211" s="4"/>
    </row>
    <row r="212" ht="15.75" customHeight="1">
      <c r="F212" s="11"/>
      <c r="G212" s="12"/>
      <c r="H212" s="13"/>
      <c r="M212" s="4"/>
      <c r="N212" s="5"/>
      <c r="O212" s="4"/>
      <c r="P212" s="4"/>
      <c r="Q212" s="4"/>
      <c r="R212" s="4"/>
      <c r="S212" s="4"/>
    </row>
    <row r="213" ht="15.75" customHeight="1">
      <c r="F213" s="11"/>
      <c r="G213" s="12"/>
      <c r="H213" s="13"/>
      <c r="M213" s="4"/>
      <c r="N213" s="5"/>
      <c r="O213" s="4"/>
      <c r="P213" s="4"/>
      <c r="Q213" s="4"/>
      <c r="R213" s="4"/>
      <c r="S213" s="4"/>
    </row>
    <row r="214" ht="15.75" customHeight="1">
      <c r="F214" s="11"/>
      <c r="G214" s="12"/>
      <c r="H214" s="13"/>
      <c r="M214" s="4"/>
      <c r="N214" s="5"/>
      <c r="O214" s="4"/>
      <c r="P214" s="4"/>
      <c r="Q214" s="4"/>
      <c r="R214" s="4"/>
      <c r="S214" s="4"/>
    </row>
    <row r="215" ht="15.75" customHeight="1">
      <c r="F215" s="11"/>
      <c r="G215" s="12"/>
      <c r="H215" s="13"/>
      <c r="M215" s="4"/>
      <c r="N215" s="5"/>
      <c r="O215" s="4"/>
      <c r="P215" s="4"/>
      <c r="Q215" s="4"/>
      <c r="R215" s="4"/>
      <c r="S215" s="4"/>
    </row>
    <row r="216" ht="15.75" customHeight="1">
      <c r="F216" s="11"/>
      <c r="G216" s="12"/>
      <c r="H216" s="13"/>
      <c r="M216" s="4"/>
      <c r="N216" s="5"/>
      <c r="O216" s="4"/>
      <c r="P216" s="4"/>
      <c r="Q216" s="4"/>
      <c r="R216" s="4"/>
      <c r="S216" s="4"/>
    </row>
    <row r="217" ht="15.75" customHeight="1">
      <c r="F217" s="11"/>
      <c r="G217" s="12"/>
      <c r="H217" s="13"/>
      <c r="M217" s="4"/>
      <c r="N217" s="5"/>
      <c r="O217" s="4"/>
      <c r="P217" s="4"/>
      <c r="Q217" s="4"/>
      <c r="R217" s="4"/>
      <c r="S217" s="4"/>
    </row>
    <row r="218" ht="15.75" customHeight="1">
      <c r="F218" s="11"/>
      <c r="G218" s="12"/>
      <c r="H218" s="13"/>
      <c r="M218" s="4"/>
      <c r="N218" s="5"/>
      <c r="O218" s="4"/>
      <c r="P218" s="4"/>
      <c r="Q218" s="4"/>
      <c r="R218" s="4"/>
      <c r="S218" s="4"/>
    </row>
    <row r="219" ht="15.75" customHeight="1">
      <c r="F219" s="11"/>
      <c r="G219" s="12"/>
      <c r="H219" s="13"/>
      <c r="M219" s="4"/>
      <c r="N219" s="5"/>
      <c r="O219" s="4"/>
      <c r="P219" s="4"/>
      <c r="Q219" s="4"/>
      <c r="R219" s="4"/>
      <c r="S219" s="4"/>
    </row>
    <row r="220" ht="15.75" customHeight="1">
      <c r="F220" s="11"/>
      <c r="G220" s="12"/>
      <c r="H220" s="13"/>
      <c r="M220" s="4"/>
      <c r="N220" s="5"/>
      <c r="O220" s="4"/>
      <c r="P220" s="4"/>
      <c r="Q220" s="4"/>
      <c r="R220" s="4"/>
      <c r="S220" s="4"/>
    </row>
    <row r="221" ht="15.75" customHeight="1">
      <c r="F221" s="11"/>
      <c r="G221" s="12"/>
      <c r="H221" s="13"/>
      <c r="M221" s="4"/>
      <c r="N221" s="5"/>
      <c r="O221" s="4"/>
      <c r="P221" s="4"/>
      <c r="Q221" s="4"/>
      <c r="R221" s="4"/>
      <c r="S221" s="4"/>
    </row>
    <row r="222" ht="15.75" customHeight="1">
      <c r="F222" s="11"/>
      <c r="G222" s="12"/>
      <c r="H222" s="13"/>
      <c r="M222" s="4"/>
      <c r="N222" s="5"/>
      <c r="O222" s="4"/>
      <c r="P222" s="4"/>
      <c r="Q222" s="4"/>
      <c r="R222" s="4"/>
      <c r="S222" s="4"/>
    </row>
    <row r="223" ht="15.75" customHeight="1">
      <c r="F223" s="11"/>
      <c r="G223" s="12"/>
      <c r="H223" s="13"/>
      <c r="M223" s="4"/>
      <c r="N223" s="5"/>
      <c r="O223" s="4"/>
      <c r="P223" s="4"/>
      <c r="Q223" s="4"/>
      <c r="R223" s="4"/>
      <c r="S223" s="4"/>
    </row>
    <row r="224" ht="15.75" customHeight="1">
      <c r="F224" s="11"/>
      <c r="G224" s="12"/>
      <c r="H224" s="13"/>
      <c r="M224" s="4"/>
      <c r="N224" s="5"/>
      <c r="O224" s="4"/>
      <c r="P224" s="4"/>
      <c r="Q224" s="4"/>
      <c r="R224" s="4"/>
      <c r="S224" s="4"/>
    </row>
    <row r="225" ht="15.75" customHeight="1">
      <c r="F225" s="11"/>
      <c r="G225" s="12"/>
      <c r="H225" s="13"/>
      <c r="M225" s="4"/>
      <c r="N225" s="5"/>
      <c r="O225" s="4"/>
      <c r="P225" s="4"/>
      <c r="Q225" s="4"/>
      <c r="R225" s="4"/>
      <c r="S225" s="4"/>
    </row>
    <row r="226" ht="15.75" customHeight="1">
      <c r="F226" s="11"/>
      <c r="G226" s="12"/>
      <c r="H226" s="13"/>
      <c r="M226" s="4"/>
      <c r="N226" s="5"/>
      <c r="O226" s="4"/>
      <c r="P226" s="4"/>
      <c r="Q226" s="4"/>
      <c r="R226" s="4"/>
      <c r="S226" s="4"/>
    </row>
    <row r="227" ht="15.75" customHeight="1">
      <c r="F227" s="11"/>
      <c r="G227" s="12"/>
      <c r="H227" s="13"/>
      <c r="M227" s="4"/>
      <c r="N227" s="5"/>
      <c r="O227" s="4"/>
      <c r="P227" s="4"/>
      <c r="Q227" s="4"/>
      <c r="R227" s="4"/>
      <c r="S227" s="4"/>
    </row>
    <row r="228" ht="15.75" customHeight="1">
      <c r="F228" s="11"/>
      <c r="G228" s="12"/>
      <c r="H228" s="13"/>
      <c r="M228" s="4"/>
      <c r="N228" s="5"/>
      <c r="O228" s="4"/>
      <c r="P228" s="4"/>
      <c r="Q228" s="4"/>
      <c r="R228" s="4"/>
      <c r="S228" s="4"/>
    </row>
    <row r="229" ht="15.75" customHeight="1">
      <c r="F229" s="11"/>
      <c r="G229" s="12"/>
      <c r="H229" s="13"/>
      <c r="M229" s="4"/>
      <c r="N229" s="5"/>
      <c r="O229" s="4"/>
      <c r="P229" s="4"/>
      <c r="Q229" s="4"/>
      <c r="R229" s="4"/>
      <c r="S229" s="4"/>
    </row>
    <row r="230" ht="15.75" customHeight="1">
      <c r="F230" s="11"/>
      <c r="G230" s="12"/>
      <c r="H230" s="13"/>
      <c r="M230" s="4"/>
      <c r="N230" s="5"/>
      <c r="O230" s="4"/>
      <c r="P230" s="4"/>
      <c r="Q230" s="4"/>
      <c r="R230" s="4"/>
      <c r="S230" s="4"/>
    </row>
    <row r="231" ht="15.75" customHeight="1">
      <c r="F231" s="11"/>
      <c r="G231" s="12"/>
      <c r="H231" s="13"/>
      <c r="M231" s="4"/>
      <c r="N231" s="5"/>
      <c r="O231" s="4"/>
      <c r="P231" s="4"/>
      <c r="Q231" s="4"/>
      <c r="R231" s="4"/>
      <c r="S231" s="4"/>
    </row>
    <row r="232" ht="15.75" customHeight="1">
      <c r="F232" s="11"/>
      <c r="G232" s="12"/>
      <c r="H232" s="13"/>
      <c r="M232" s="4"/>
      <c r="N232" s="5"/>
      <c r="O232" s="4"/>
      <c r="P232" s="4"/>
      <c r="Q232" s="4"/>
      <c r="R232" s="4"/>
      <c r="S232" s="4"/>
    </row>
    <row r="233" ht="15.75" customHeight="1">
      <c r="F233" s="11"/>
      <c r="G233" s="12"/>
      <c r="H233" s="13"/>
      <c r="M233" s="4"/>
      <c r="N233" s="5"/>
      <c r="O233" s="4"/>
      <c r="P233" s="4"/>
      <c r="Q233" s="4"/>
      <c r="R233" s="4"/>
      <c r="S233" s="4"/>
    </row>
    <row r="234" ht="15.75" customHeight="1">
      <c r="F234" s="11"/>
      <c r="G234" s="12"/>
      <c r="H234" s="13"/>
      <c r="M234" s="4"/>
      <c r="N234" s="5"/>
      <c r="O234" s="4"/>
      <c r="P234" s="4"/>
      <c r="Q234" s="4"/>
      <c r="R234" s="4"/>
      <c r="S234" s="4"/>
    </row>
    <row r="235" ht="15.75" customHeight="1">
      <c r="F235" s="11"/>
      <c r="G235" s="12"/>
      <c r="H235" s="13"/>
      <c r="M235" s="4"/>
      <c r="N235" s="5"/>
      <c r="O235" s="4"/>
      <c r="P235" s="4"/>
      <c r="Q235" s="4"/>
      <c r="R235" s="4"/>
      <c r="S235" s="4"/>
    </row>
    <row r="236" ht="15.75" customHeight="1">
      <c r="F236" s="11"/>
      <c r="G236" s="12"/>
      <c r="H236" s="13"/>
      <c r="M236" s="4"/>
      <c r="N236" s="5"/>
      <c r="O236" s="4"/>
      <c r="P236" s="4"/>
      <c r="Q236" s="4"/>
      <c r="R236" s="4"/>
      <c r="S236" s="4"/>
    </row>
    <row r="237" ht="15.75" customHeight="1">
      <c r="F237" s="11"/>
      <c r="G237" s="12"/>
      <c r="H237" s="13"/>
      <c r="M237" s="4"/>
      <c r="N237" s="5"/>
      <c r="O237" s="4"/>
      <c r="P237" s="4"/>
      <c r="Q237" s="4"/>
      <c r="R237" s="4"/>
      <c r="S237" s="4"/>
    </row>
    <row r="238" ht="15.75" customHeight="1">
      <c r="F238" s="11"/>
      <c r="G238" s="12"/>
      <c r="H238" s="13"/>
      <c r="M238" s="4"/>
      <c r="N238" s="5"/>
      <c r="O238" s="4"/>
      <c r="P238" s="4"/>
      <c r="Q238" s="4"/>
      <c r="R238" s="4"/>
      <c r="S238" s="4"/>
    </row>
    <row r="239" ht="15.75" customHeight="1">
      <c r="F239" s="11"/>
      <c r="G239" s="12"/>
      <c r="H239" s="13"/>
      <c r="M239" s="4"/>
      <c r="N239" s="5"/>
      <c r="O239" s="4"/>
      <c r="P239" s="4"/>
      <c r="Q239" s="4"/>
      <c r="R239" s="4"/>
      <c r="S239" s="4"/>
    </row>
    <row r="240" ht="15.75" customHeight="1">
      <c r="F240" s="11"/>
      <c r="G240" s="12"/>
      <c r="H240" s="13"/>
      <c r="M240" s="4"/>
      <c r="N240" s="5"/>
      <c r="O240" s="4"/>
      <c r="P240" s="4"/>
      <c r="Q240" s="4"/>
      <c r="R240" s="4"/>
      <c r="S240" s="4"/>
    </row>
    <row r="241" ht="15.75" customHeight="1">
      <c r="F241" s="11"/>
      <c r="G241" s="12"/>
      <c r="H241" s="13"/>
      <c r="M241" s="4"/>
      <c r="N241" s="5"/>
      <c r="O241" s="4"/>
      <c r="P241" s="4"/>
      <c r="Q241" s="4"/>
      <c r="R241" s="4"/>
      <c r="S241" s="4"/>
    </row>
    <row r="242" ht="15.75" customHeight="1">
      <c r="F242" s="11"/>
      <c r="G242" s="12"/>
      <c r="H242" s="13"/>
      <c r="M242" s="4"/>
      <c r="N242" s="5"/>
      <c r="O242" s="4"/>
      <c r="P242" s="4"/>
      <c r="Q242" s="4"/>
      <c r="R242" s="4"/>
      <c r="S242" s="4"/>
    </row>
    <row r="243" ht="15.75" customHeight="1">
      <c r="F243" s="11"/>
      <c r="G243" s="12"/>
      <c r="H243" s="13"/>
      <c r="M243" s="4"/>
      <c r="N243" s="5"/>
      <c r="O243" s="4"/>
      <c r="P243" s="4"/>
      <c r="Q243" s="4"/>
      <c r="R243" s="4"/>
      <c r="S243" s="4"/>
    </row>
    <row r="244" ht="15.75" customHeight="1">
      <c r="F244" s="11"/>
      <c r="G244" s="12"/>
      <c r="H244" s="13"/>
      <c r="M244" s="4"/>
      <c r="N244" s="5"/>
      <c r="O244" s="4"/>
      <c r="P244" s="4"/>
      <c r="Q244" s="4"/>
      <c r="R244" s="4"/>
      <c r="S244" s="4"/>
    </row>
    <row r="245" ht="15.75" customHeight="1">
      <c r="F245" s="11"/>
      <c r="G245" s="12"/>
      <c r="H245" s="13"/>
      <c r="M245" s="4"/>
      <c r="N245" s="5"/>
      <c r="O245" s="4"/>
      <c r="P245" s="4"/>
      <c r="Q245" s="4"/>
      <c r="R245" s="4"/>
      <c r="S245" s="4"/>
    </row>
    <row r="246" ht="15.75" customHeight="1">
      <c r="F246" s="11"/>
      <c r="G246" s="12"/>
      <c r="H246" s="13"/>
      <c r="M246" s="4"/>
      <c r="N246" s="5"/>
      <c r="O246" s="4"/>
      <c r="P246" s="4"/>
      <c r="Q246" s="4"/>
      <c r="R246" s="4"/>
      <c r="S246" s="4"/>
    </row>
    <row r="247" ht="15.75" customHeight="1">
      <c r="F247" s="11"/>
      <c r="G247" s="12"/>
      <c r="H247" s="13"/>
      <c r="M247" s="4"/>
      <c r="N247" s="5"/>
      <c r="O247" s="4"/>
      <c r="P247" s="4"/>
      <c r="Q247" s="4"/>
      <c r="R247" s="4"/>
      <c r="S247" s="4"/>
    </row>
    <row r="248" ht="15.75" customHeight="1">
      <c r="F248" s="11"/>
      <c r="G248" s="12"/>
      <c r="H248" s="13"/>
      <c r="M248" s="4"/>
      <c r="N248" s="5"/>
      <c r="O248" s="4"/>
      <c r="P248" s="4"/>
      <c r="Q248" s="4"/>
      <c r="R248" s="4"/>
      <c r="S248" s="4"/>
    </row>
    <row r="249" ht="15.75" customHeight="1">
      <c r="F249" s="11"/>
      <c r="G249" s="12"/>
      <c r="H249" s="13"/>
      <c r="M249" s="4"/>
      <c r="N249" s="5"/>
      <c r="O249" s="4"/>
      <c r="P249" s="4"/>
      <c r="Q249" s="4"/>
      <c r="R249" s="4"/>
      <c r="S249" s="4"/>
    </row>
    <row r="250" ht="15.75" customHeight="1">
      <c r="F250" s="11"/>
      <c r="G250" s="12"/>
      <c r="H250" s="13"/>
      <c r="M250" s="4"/>
      <c r="N250" s="5"/>
      <c r="O250" s="4"/>
      <c r="P250" s="4"/>
      <c r="Q250" s="4"/>
      <c r="R250" s="4"/>
      <c r="S250" s="4"/>
    </row>
    <row r="251" ht="15.75" customHeight="1">
      <c r="F251" s="11"/>
      <c r="G251" s="12"/>
      <c r="H251" s="13"/>
      <c r="M251" s="4"/>
      <c r="N251" s="5"/>
      <c r="O251" s="4"/>
      <c r="P251" s="4"/>
      <c r="Q251" s="4"/>
      <c r="R251" s="4"/>
      <c r="S251" s="4"/>
    </row>
    <row r="252" ht="15.75" customHeight="1">
      <c r="F252" s="11"/>
      <c r="G252" s="12"/>
      <c r="H252" s="13"/>
      <c r="M252" s="4"/>
      <c r="N252" s="5"/>
      <c r="O252" s="4"/>
      <c r="P252" s="4"/>
      <c r="Q252" s="4"/>
      <c r="R252" s="4"/>
      <c r="S252" s="4"/>
    </row>
    <row r="253" ht="15.75" customHeight="1">
      <c r="F253" s="11"/>
      <c r="G253" s="12"/>
      <c r="H253" s="13"/>
      <c r="M253" s="4"/>
      <c r="N253" s="5"/>
      <c r="O253" s="4"/>
      <c r="P253" s="4"/>
      <c r="Q253" s="4"/>
      <c r="R253" s="4"/>
      <c r="S253" s="4"/>
    </row>
    <row r="254" ht="15.75" customHeight="1">
      <c r="F254" s="11"/>
      <c r="G254" s="12"/>
      <c r="H254" s="13"/>
      <c r="M254" s="4"/>
      <c r="N254" s="5"/>
      <c r="O254" s="4"/>
      <c r="P254" s="4"/>
      <c r="Q254" s="4"/>
      <c r="R254" s="4"/>
      <c r="S254" s="4"/>
    </row>
    <row r="255" ht="15.75" customHeight="1">
      <c r="F255" s="11"/>
      <c r="G255" s="12"/>
      <c r="H255" s="13"/>
      <c r="M255" s="4"/>
      <c r="N255" s="5"/>
      <c r="O255" s="4"/>
      <c r="P255" s="4"/>
      <c r="Q255" s="4"/>
      <c r="R255" s="4"/>
      <c r="S255" s="4"/>
    </row>
    <row r="256" ht="15.75" customHeight="1">
      <c r="F256" s="11"/>
      <c r="G256" s="12"/>
      <c r="H256" s="13"/>
      <c r="M256" s="4"/>
      <c r="N256" s="5"/>
      <c r="O256" s="4"/>
      <c r="P256" s="4"/>
      <c r="Q256" s="4"/>
      <c r="R256" s="4"/>
      <c r="S256" s="4"/>
    </row>
    <row r="257" ht="15.75" customHeight="1">
      <c r="F257" s="11"/>
      <c r="G257" s="12"/>
      <c r="H257" s="13"/>
      <c r="M257" s="4"/>
      <c r="N257" s="5"/>
      <c r="O257" s="4"/>
      <c r="P257" s="4"/>
      <c r="Q257" s="4"/>
      <c r="R257" s="4"/>
      <c r="S257" s="4"/>
    </row>
    <row r="258" ht="15.75" customHeight="1">
      <c r="F258" s="11"/>
      <c r="G258" s="12"/>
      <c r="H258" s="13"/>
      <c r="M258" s="4"/>
      <c r="N258" s="5"/>
      <c r="O258" s="4"/>
      <c r="P258" s="4"/>
      <c r="Q258" s="4"/>
      <c r="R258" s="4"/>
      <c r="S258" s="4"/>
    </row>
    <row r="259" ht="15.75" customHeight="1">
      <c r="F259" s="11"/>
      <c r="G259" s="12"/>
      <c r="H259" s="13"/>
      <c r="M259" s="4"/>
      <c r="N259" s="5"/>
      <c r="O259" s="4"/>
      <c r="P259" s="4"/>
      <c r="Q259" s="4"/>
      <c r="R259" s="4"/>
      <c r="S259" s="4"/>
    </row>
    <row r="260" ht="15.75" customHeight="1">
      <c r="F260" s="11"/>
      <c r="G260" s="12"/>
      <c r="H260" s="13"/>
      <c r="M260" s="4"/>
      <c r="N260" s="5"/>
      <c r="O260" s="4"/>
      <c r="P260" s="4"/>
      <c r="Q260" s="4"/>
      <c r="R260" s="4"/>
      <c r="S260" s="4"/>
    </row>
    <row r="261" ht="15.75" customHeight="1">
      <c r="F261" s="11"/>
      <c r="G261" s="12"/>
      <c r="H261" s="13"/>
      <c r="M261" s="4"/>
      <c r="N261" s="5"/>
      <c r="O261" s="4"/>
      <c r="P261" s="4"/>
      <c r="Q261" s="4"/>
      <c r="R261" s="4"/>
      <c r="S261" s="4"/>
    </row>
    <row r="262" ht="15.75" customHeight="1">
      <c r="F262" s="11"/>
      <c r="G262" s="12"/>
      <c r="H262" s="13"/>
      <c r="M262" s="4"/>
      <c r="N262" s="5"/>
      <c r="O262" s="4"/>
      <c r="P262" s="4"/>
      <c r="Q262" s="4"/>
      <c r="R262" s="4"/>
      <c r="S262" s="4"/>
    </row>
    <row r="263" ht="15.75" customHeight="1">
      <c r="F263" s="11"/>
      <c r="G263" s="12"/>
      <c r="H263" s="13"/>
      <c r="M263" s="4"/>
      <c r="N263" s="5"/>
      <c r="O263" s="4"/>
      <c r="P263" s="4"/>
      <c r="Q263" s="4"/>
      <c r="R263" s="4"/>
      <c r="S263" s="4"/>
    </row>
    <row r="264" ht="15.75" customHeight="1">
      <c r="F264" s="11"/>
      <c r="G264" s="12"/>
      <c r="H264" s="13"/>
      <c r="M264" s="4"/>
      <c r="N264" s="5"/>
      <c r="O264" s="4"/>
      <c r="P264" s="4"/>
      <c r="Q264" s="4"/>
      <c r="R264" s="4"/>
      <c r="S264" s="4"/>
    </row>
    <row r="265" ht="15.75" customHeight="1">
      <c r="F265" s="11"/>
      <c r="G265" s="12"/>
      <c r="H265" s="13"/>
      <c r="M265" s="4"/>
      <c r="N265" s="5"/>
      <c r="O265" s="4"/>
      <c r="P265" s="4"/>
      <c r="Q265" s="4"/>
      <c r="R265" s="4"/>
      <c r="S265" s="4"/>
    </row>
    <row r="266" ht="15.75" customHeight="1">
      <c r="F266" s="11"/>
      <c r="G266" s="12"/>
      <c r="H266" s="13"/>
      <c r="M266" s="4"/>
      <c r="N266" s="5"/>
      <c r="O266" s="4"/>
      <c r="P266" s="4"/>
      <c r="Q266" s="4"/>
      <c r="R266" s="4"/>
      <c r="S266" s="4"/>
    </row>
    <row r="267" ht="15.75" customHeight="1">
      <c r="F267" s="11"/>
      <c r="G267" s="12"/>
      <c r="H267" s="13"/>
      <c r="M267" s="4"/>
      <c r="N267" s="5"/>
      <c r="O267" s="4"/>
      <c r="P267" s="4"/>
      <c r="Q267" s="4"/>
      <c r="R267" s="4"/>
      <c r="S267" s="4"/>
    </row>
    <row r="268" ht="15.75" customHeight="1">
      <c r="F268" s="11"/>
      <c r="G268" s="12"/>
      <c r="H268" s="13"/>
      <c r="M268" s="4"/>
      <c r="N268" s="5"/>
      <c r="O268" s="4"/>
      <c r="P268" s="4"/>
      <c r="Q268" s="4"/>
      <c r="R268" s="4"/>
      <c r="S268" s="4"/>
    </row>
    <row r="269" ht="15.75" customHeight="1">
      <c r="F269" s="11"/>
      <c r="G269" s="12"/>
      <c r="H269" s="13"/>
      <c r="M269" s="4"/>
      <c r="N269" s="5"/>
      <c r="O269" s="4"/>
      <c r="P269" s="4"/>
      <c r="Q269" s="4"/>
      <c r="R269" s="4"/>
      <c r="S269" s="4"/>
    </row>
    <row r="270" ht="15.75" customHeight="1">
      <c r="F270" s="11"/>
      <c r="G270" s="12"/>
      <c r="H270" s="13"/>
      <c r="M270" s="4"/>
      <c r="N270" s="5"/>
      <c r="O270" s="4"/>
      <c r="P270" s="4"/>
      <c r="Q270" s="4"/>
      <c r="R270" s="4"/>
      <c r="S270" s="4"/>
    </row>
    <row r="271" ht="15.75" customHeight="1">
      <c r="F271" s="11"/>
      <c r="G271" s="12"/>
      <c r="H271" s="13"/>
      <c r="M271" s="4"/>
      <c r="N271" s="5"/>
      <c r="O271" s="4"/>
      <c r="P271" s="4"/>
      <c r="Q271" s="4"/>
      <c r="R271" s="4"/>
      <c r="S271" s="4"/>
    </row>
    <row r="272" ht="15.75" customHeight="1">
      <c r="F272" s="11"/>
      <c r="G272" s="12"/>
      <c r="H272" s="13"/>
      <c r="M272" s="4"/>
      <c r="N272" s="5"/>
      <c r="O272" s="4"/>
      <c r="P272" s="4"/>
      <c r="Q272" s="4"/>
      <c r="R272" s="4"/>
      <c r="S272" s="4"/>
    </row>
    <row r="273" ht="15.75" customHeight="1">
      <c r="F273" s="11"/>
      <c r="G273" s="12"/>
      <c r="H273" s="13"/>
      <c r="M273" s="4"/>
      <c r="N273" s="5"/>
      <c r="O273" s="4"/>
      <c r="P273" s="4"/>
      <c r="Q273" s="4"/>
      <c r="R273" s="4"/>
      <c r="S273" s="4"/>
    </row>
    <row r="274" ht="15.75" customHeight="1">
      <c r="F274" s="11"/>
      <c r="G274" s="12"/>
      <c r="H274" s="13"/>
      <c r="M274" s="4"/>
      <c r="N274" s="5"/>
      <c r="O274" s="4"/>
      <c r="P274" s="4"/>
      <c r="Q274" s="4"/>
      <c r="R274" s="4"/>
      <c r="S274" s="4"/>
    </row>
    <row r="275" ht="15.75" customHeight="1">
      <c r="F275" s="11"/>
      <c r="G275" s="12"/>
      <c r="H275" s="13"/>
      <c r="M275" s="4"/>
      <c r="N275" s="5"/>
      <c r="O275" s="4"/>
      <c r="P275" s="4"/>
      <c r="Q275" s="4"/>
      <c r="R275" s="4"/>
      <c r="S275" s="4"/>
    </row>
    <row r="276" ht="15.75" customHeight="1">
      <c r="F276" s="11"/>
      <c r="G276" s="12"/>
      <c r="H276" s="13"/>
      <c r="M276" s="4"/>
      <c r="N276" s="5"/>
      <c r="O276" s="4"/>
      <c r="P276" s="4"/>
      <c r="Q276" s="4"/>
      <c r="R276" s="4"/>
      <c r="S276" s="4"/>
    </row>
    <row r="277" ht="15.75" customHeight="1">
      <c r="F277" s="11"/>
      <c r="G277" s="12"/>
      <c r="H277" s="13"/>
      <c r="M277" s="4"/>
      <c r="N277" s="5"/>
      <c r="O277" s="4"/>
      <c r="P277" s="4"/>
      <c r="Q277" s="4"/>
      <c r="R277" s="4"/>
      <c r="S277" s="4"/>
    </row>
    <row r="278" ht="15.75" customHeight="1">
      <c r="F278" s="11"/>
      <c r="G278" s="12"/>
      <c r="H278" s="13"/>
      <c r="M278" s="4"/>
      <c r="N278" s="5"/>
      <c r="O278" s="4"/>
      <c r="P278" s="4"/>
      <c r="Q278" s="4"/>
      <c r="R278" s="4"/>
      <c r="S278" s="4"/>
    </row>
    <row r="279" ht="15.75" customHeight="1">
      <c r="F279" s="11"/>
      <c r="G279" s="12"/>
      <c r="H279" s="13"/>
      <c r="M279" s="4"/>
      <c r="N279" s="5"/>
      <c r="O279" s="4"/>
      <c r="P279" s="4"/>
      <c r="Q279" s="4"/>
      <c r="R279" s="4"/>
      <c r="S279" s="4"/>
    </row>
    <row r="280" ht="15.75" customHeight="1">
      <c r="F280" s="11"/>
      <c r="G280" s="12"/>
      <c r="H280" s="13"/>
      <c r="M280" s="4"/>
      <c r="N280" s="5"/>
      <c r="O280" s="4"/>
      <c r="P280" s="4"/>
      <c r="Q280" s="4"/>
      <c r="R280" s="4"/>
      <c r="S280" s="4"/>
    </row>
    <row r="281" ht="15.75" customHeight="1">
      <c r="F281" s="11"/>
      <c r="G281" s="12"/>
      <c r="H281" s="13"/>
      <c r="M281" s="4"/>
      <c r="N281" s="5"/>
      <c r="O281" s="4"/>
      <c r="P281" s="4"/>
      <c r="Q281" s="4"/>
      <c r="R281" s="4"/>
      <c r="S281" s="4"/>
    </row>
    <row r="282" ht="15.75" customHeight="1">
      <c r="F282" s="11"/>
      <c r="G282" s="12"/>
      <c r="H282" s="13"/>
      <c r="M282" s="4"/>
      <c r="N282" s="5"/>
      <c r="O282" s="4"/>
      <c r="P282" s="4"/>
      <c r="Q282" s="4"/>
      <c r="R282" s="4"/>
      <c r="S282" s="4"/>
    </row>
    <row r="283" ht="15.75" customHeight="1">
      <c r="F283" s="11"/>
      <c r="G283" s="12"/>
      <c r="H283" s="13"/>
      <c r="M283" s="4"/>
      <c r="N283" s="5"/>
      <c r="O283" s="4"/>
      <c r="P283" s="4"/>
      <c r="Q283" s="4"/>
      <c r="R283" s="4"/>
      <c r="S283" s="4"/>
    </row>
    <row r="284" ht="15.75" customHeight="1">
      <c r="F284" s="11"/>
      <c r="G284" s="12"/>
      <c r="H284" s="13"/>
      <c r="M284" s="4"/>
      <c r="N284" s="5"/>
      <c r="O284" s="4"/>
      <c r="P284" s="4"/>
      <c r="Q284" s="4"/>
      <c r="R284" s="4"/>
      <c r="S284" s="4"/>
    </row>
    <row r="285" ht="15.75" customHeight="1">
      <c r="F285" s="11"/>
      <c r="G285" s="12"/>
      <c r="H285" s="13"/>
      <c r="M285" s="4"/>
      <c r="N285" s="5"/>
      <c r="O285" s="4"/>
      <c r="P285" s="4"/>
      <c r="Q285" s="4"/>
      <c r="R285" s="4"/>
      <c r="S285" s="4"/>
    </row>
    <row r="286" ht="15.75" customHeight="1">
      <c r="F286" s="11"/>
      <c r="G286" s="12"/>
      <c r="H286" s="13"/>
      <c r="M286" s="4"/>
      <c r="N286" s="5"/>
      <c r="O286" s="4"/>
      <c r="P286" s="4"/>
      <c r="Q286" s="4"/>
      <c r="R286" s="4"/>
      <c r="S286" s="4"/>
    </row>
    <row r="287" ht="15.75" customHeight="1">
      <c r="F287" s="11"/>
      <c r="G287" s="12"/>
      <c r="H287" s="13"/>
      <c r="M287" s="4"/>
      <c r="N287" s="5"/>
      <c r="O287" s="4"/>
      <c r="P287" s="4"/>
      <c r="Q287" s="4"/>
      <c r="R287" s="4"/>
      <c r="S287" s="4"/>
    </row>
    <row r="288" ht="15.75" customHeight="1">
      <c r="F288" s="11"/>
      <c r="G288" s="12"/>
      <c r="H288" s="13"/>
      <c r="M288" s="4"/>
      <c r="N288" s="5"/>
      <c r="O288" s="4"/>
      <c r="P288" s="4"/>
      <c r="Q288" s="4"/>
      <c r="R288" s="4"/>
      <c r="S288" s="4"/>
    </row>
    <row r="289" ht="15.75" customHeight="1">
      <c r="F289" s="11"/>
      <c r="G289" s="12"/>
      <c r="H289" s="13"/>
      <c r="M289" s="4"/>
      <c r="N289" s="5"/>
      <c r="O289" s="4"/>
      <c r="P289" s="4"/>
      <c r="Q289" s="4"/>
      <c r="R289" s="4"/>
      <c r="S289" s="4"/>
    </row>
    <row r="290" ht="15.75" customHeight="1">
      <c r="F290" s="11"/>
      <c r="G290" s="12"/>
      <c r="H290" s="13"/>
      <c r="M290" s="4"/>
      <c r="N290" s="5"/>
      <c r="O290" s="4"/>
      <c r="P290" s="4"/>
      <c r="Q290" s="4"/>
      <c r="R290" s="4"/>
      <c r="S290" s="4"/>
    </row>
    <row r="291" ht="15.75" customHeight="1">
      <c r="F291" s="11"/>
      <c r="G291" s="12"/>
      <c r="H291" s="13"/>
      <c r="M291" s="4"/>
      <c r="N291" s="5"/>
      <c r="O291" s="4"/>
      <c r="P291" s="4"/>
      <c r="Q291" s="4"/>
      <c r="R291" s="4"/>
      <c r="S291" s="4"/>
    </row>
    <row r="292" ht="15.75" customHeight="1">
      <c r="F292" s="11"/>
      <c r="G292" s="12"/>
      <c r="H292" s="13"/>
      <c r="M292" s="4"/>
      <c r="N292" s="5"/>
      <c r="O292" s="4"/>
      <c r="P292" s="4"/>
      <c r="Q292" s="4"/>
      <c r="R292" s="4"/>
      <c r="S292" s="4"/>
    </row>
    <row r="293" ht="15.75" customHeight="1">
      <c r="F293" s="11"/>
      <c r="G293" s="12"/>
      <c r="H293" s="13"/>
      <c r="M293" s="4"/>
      <c r="N293" s="5"/>
      <c r="O293" s="4"/>
      <c r="P293" s="4"/>
      <c r="Q293" s="4"/>
      <c r="R293" s="4"/>
      <c r="S293" s="4"/>
    </row>
    <row r="294" ht="15.75" customHeight="1">
      <c r="F294" s="11"/>
      <c r="G294" s="12"/>
      <c r="H294" s="13"/>
      <c r="M294" s="4"/>
      <c r="N294" s="5"/>
      <c r="O294" s="4"/>
      <c r="P294" s="4"/>
      <c r="Q294" s="4"/>
      <c r="R294" s="4"/>
      <c r="S294" s="4"/>
    </row>
    <row r="295" ht="15.75" customHeight="1">
      <c r="F295" s="11"/>
      <c r="G295" s="12"/>
      <c r="H295" s="13"/>
      <c r="M295" s="4"/>
      <c r="N295" s="5"/>
      <c r="O295" s="4"/>
      <c r="P295" s="4"/>
      <c r="Q295" s="4"/>
      <c r="R295" s="4"/>
      <c r="S295" s="4"/>
    </row>
    <row r="296" ht="15.75" customHeight="1">
      <c r="F296" s="11"/>
      <c r="G296" s="12"/>
      <c r="H296" s="13"/>
      <c r="M296" s="4"/>
      <c r="N296" s="5"/>
      <c r="O296" s="4"/>
      <c r="P296" s="4"/>
      <c r="Q296" s="4"/>
      <c r="R296" s="4"/>
      <c r="S296" s="4"/>
    </row>
    <row r="297" ht="15.75" customHeight="1">
      <c r="F297" s="11"/>
      <c r="G297" s="12"/>
      <c r="H297" s="13"/>
      <c r="M297" s="4"/>
      <c r="N297" s="5"/>
      <c r="O297" s="4"/>
      <c r="P297" s="4"/>
      <c r="Q297" s="4"/>
      <c r="R297" s="4"/>
      <c r="S297" s="4"/>
    </row>
    <row r="298" ht="15.75" customHeight="1">
      <c r="F298" s="11"/>
      <c r="G298" s="12"/>
      <c r="H298" s="13"/>
      <c r="M298" s="4"/>
      <c r="N298" s="5"/>
      <c r="O298" s="4"/>
      <c r="P298" s="4"/>
      <c r="Q298" s="4"/>
      <c r="R298" s="4"/>
      <c r="S298" s="4"/>
    </row>
    <row r="299" ht="15.75" customHeight="1">
      <c r="F299" s="11"/>
      <c r="G299" s="12"/>
      <c r="H299" s="13"/>
      <c r="M299" s="4"/>
      <c r="N299" s="5"/>
      <c r="O299" s="4"/>
      <c r="P299" s="4"/>
      <c r="Q299" s="4"/>
      <c r="R299" s="4"/>
      <c r="S299" s="4"/>
    </row>
    <row r="300" ht="15.75" customHeight="1">
      <c r="F300" s="11"/>
      <c r="G300" s="12"/>
      <c r="H300" s="13"/>
      <c r="M300" s="4"/>
      <c r="N300" s="5"/>
      <c r="O300" s="4"/>
      <c r="P300" s="4"/>
      <c r="Q300" s="4"/>
      <c r="R300" s="4"/>
      <c r="S300" s="4"/>
    </row>
    <row r="301" ht="15.75" customHeight="1">
      <c r="F301" s="11"/>
      <c r="G301" s="12"/>
      <c r="H301" s="13"/>
      <c r="M301" s="4"/>
      <c r="N301" s="5"/>
      <c r="O301" s="4"/>
      <c r="P301" s="4"/>
      <c r="Q301" s="4"/>
      <c r="R301" s="4"/>
      <c r="S301" s="4"/>
    </row>
    <row r="302" ht="15.75" customHeight="1">
      <c r="F302" s="11"/>
      <c r="G302" s="12"/>
      <c r="H302" s="13"/>
      <c r="M302" s="4"/>
      <c r="N302" s="5"/>
      <c r="O302" s="4"/>
      <c r="P302" s="4"/>
      <c r="Q302" s="4"/>
      <c r="R302" s="4"/>
      <c r="S302" s="4"/>
    </row>
    <row r="303" ht="15.75" customHeight="1">
      <c r="F303" s="11"/>
      <c r="G303" s="12"/>
      <c r="H303" s="13"/>
      <c r="M303" s="4"/>
      <c r="N303" s="5"/>
      <c r="O303" s="4"/>
      <c r="P303" s="4"/>
      <c r="Q303" s="4"/>
      <c r="R303" s="4"/>
      <c r="S303" s="4"/>
    </row>
    <row r="304" ht="15.75" customHeight="1">
      <c r="F304" s="11"/>
      <c r="G304" s="12"/>
      <c r="H304" s="13"/>
      <c r="M304" s="4"/>
      <c r="N304" s="5"/>
      <c r="O304" s="4"/>
      <c r="P304" s="4"/>
      <c r="Q304" s="4"/>
      <c r="R304" s="4"/>
      <c r="S304" s="4"/>
    </row>
    <row r="305" ht="15.75" customHeight="1">
      <c r="F305" s="11"/>
      <c r="G305" s="12"/>
      <c r="H305" s="13"/>
      <c r="M305" s="4"/>
      <c r="N305" s="5"/>
      <c r="O305" s="4"/>
      <c r="P305" s="4"/>
      <c r="Q305" s="4"/>
      <c r="R305" s="4"/>
      <c r="S305" s="4"/>
    </row>
    <row r="306" ht="15.75" customHeight="1">
      <c r="F306" s="11"/>
      <c r="G306" s="12"/>
      <c r="H306" s="13"/>
      <c r="M306" s="4"/>
      <c r="N306" s="5"/>
      <c r="O306" s="4"/>
      <c r="P306" s="4"/>
      <c r="Q306" s="4"/>
      <c r="R306" s="4"/>
      <c r="S306" s="4"/>
    </row>
    <row r="307" ht="15.75" customHeight="1">
      <c r="F307" s="11"/>
      <c r="G307" s="12"/>
      <c r="H307" s="13"/>
      <c r="M307" s="4"/>
      <c r="N307" s="5"/>
      <c r="O307" s="4"/>
      <c r="P307" s="4"/>
      <c r="Q307" s="4"/>
      <c r="R307" s="4"/>
      <c r="S307" s="4"/>
    </row>
    <row r="308" ht="15.75" customHeight="1">
      <c r="F308" s="11"/>
      <c r="G308" s="12"/>
      <c r="H308" s="13"/>
      <c r="M308" s="4"/>
      <c r="N308" s="5"/>
      <c r="O308" s="4"/>
      <c r="P308" s="4"/>
      <c r="Q308" s="4"/>
      <c r="R308" s="4"/>
      <c r="S308" s="4"/>
    </row>
    <row r="309" ht="15.75" customHeight="1">
      <c r="F309" s="11"/>
      <c r="G309" s="12"/>
      <c r="H309" s="13"/>
      <c r="M309" s="4"/>
      <c r="N309" s="5"/>
      <c r="O309" s="4"/>
      <c r="P309" s="4"/>
      <c r="Q309" s="4"/>
      <c r="R309" s="4"/>
      <c r="S309" s="4"/>
    </row>
    <row r="310" ht="15.75" customHeight="1">
      <c r="F310" s="11"/>
      <c r="G310" s="12"/>
      <c r="H310" s="13"/>
      <c r="M310" s="4"/>
      <c r="N310" s="5"/>
      <c r="O310" s="4"/>
      <c r="P310" s="4"/>
      <c r="Q310" s="4"/>
      <c r="R310" s="4"/>
      <c r="S310" s="4"/>
    </row>
    <row r="311" ht="15.75" customHeight="1">
      <c r="F311" s="11"/>
      <c r="G311" s="12"/>
      <c r="H311" s="13"/>
      <c r="M311" s="4"/>
      <c r="N311" s="5"/>
      <c r="O311" s="4"/>
      <c r="P311" s="4"/>
      <c r="Q311" s="4"/>
      <c r="R311" s="4"/>
      <c r="S311" s="4"/>
    </row>
    <row r="312" ht="15.75" customHeight="1">
      <c r="F312" s="11"/>
      <c r="G312" s="12"/>
      <c r="H312" s="13"/>
      <c r="M312" s="4"/>
      <c r="N312" s="5"/>
      <c r="O312" s="4"/>
      <c r="P312" s="4"/>
      <c r="Q312" s="4"/>
      <c r="R312" s="4"/>
      <c r="S312" s="4"/>
    </row>
    <row r="313" ht="15.75" customHeight="1">
      <c r="F313" s="11"/>
      <c r="G313" s="12"/>
      <c r="H313" s="13"/>
      <c r="M313" s="4"/>
      <c r="N313" s="5"/>
      <c r="O313" s="4"/>
      <c r="P313" s="4"/>
      <c r="Q313" s="4"/>
      <c r="R313" s="4"/>
      <c r="S313" s="4"/>
    </row>
    <row r="314" ht="15.75" customHeight="1">
      <c r="F314" s="11"/>
      <c r="G314" s="12"/>
      <c r="H314" s="13"/>
      <c r="M314" s="4"/>
      <c r="N314" s="5"/>
      <c r="O314" s="4"/>
      <c r="P314" s="4"/>
      <c r="Q314" s="4"/>
      <c r="R314" s="4"/>
      <c r="S314" s="4"/>
    </row>
    <row r="315" ht="15.75" customHeight="1">
      <c r="F315" s="11"/>
      <c r="G315" s="12"/>
      <c r="H315" s="13"/>
      <c r="M315" s="4"/>
      <c r="N315" s="5"/>
      <c r="O315" s="4"/>
      <c r="P315" s="4"/>
      <c r="Q315" s="4"/>
      <c r="R315" s="4"/>
      <c r="S315" s="4"/>
    </row>
    <row r="316" ht="15.75" customHeight="1">
      <c r="F316" s="11"/>
      <c r="G316" s="12"/>
      <c r="H316" s="13"/>
      <c r="M316" s="4"/>
      <c r="N316" s="5"/>
      <c r="O316" s="4"/>
      <c r="P316" s="4"/>
      <c r="Q316" s="4"/>
      <c r="R316" s="4"/>
      <c r="S316" s="4"/>
    </row>
    <row r="317" ht="15.75" customHeight="1">
      <c r="F317" s="11"/>
      <c r="G317" s="12"/>
      <c r="H317" s="13"/>
      <c r="M317" s="4"/>
      <c r="N317" s="5"/>
      <c r="O317" s="4"/>
      <c r="P317" s="4"/>
      <c r="Q317" s="4"/>
      <c r="R317" s="4"/>
      <c r="S317" s="4"/>
    </row>
    <row r="318" ht="15.75" customHeight="1">
      <c r="F318" s="11"/>
      <c r="G318" s="12"/>
      <c r="H318" s="13"/>
      <c r="M318" s="4"/>
      <c r="N318" s="5"/>
      <c r="O318" s="4"/>
      <c r="P318" s="4"/>
      <c r="Q318" s="4"/>
      <c r="R318" s="4"/>
      <c r="S318" s="4"/>
    </row>
    <row r="319" ht="15.75" customHeight="1">
      <c r="F319" s="11"/>
      <c r="G319" s="12"/>
      <c r="H319" s="13"/>
      <c r="M319" s="4"/>
      <c r="N319" s="5"/>
      <c r="O319" s="4"/>
      <c r="P319" s="4"/>
      <c r="Q319" s="4"/>
      <c r="R319" s="4"/>
      <c r="S319" s="4"/>
    </row>
    <row r="320" ht="15.75" customHeight="1">
      <c r="F320" s="11"/>
      <c r="G320" s="12"/>
      <c r="H320" s="13"/>
      <c r="M320" s="4"/>
      <c r="N320" s="5"/>
      <c r="O320" s="4"/>
      <c r="P320" s="4"/>
      <c r="Q320" s="4"/>
      <c r="R320" s="4"/>
      <c r="S320" s="4"/>
    </row>
    <row r="321" ht="15.75" customHeight="1">
      <c r="F321" s="11"/>
      <c r="G321" s="12"/>
      <c r="H321" s="13"/>
      <c r="M321" s="4"/>
      <c r="N321" s="5"/>
      <c r="O321" s="4"/>
      <c r="P321" s="4"/>
      <c r="Q321" s="4"/>
      <c r="R321" s="4"/>
      <c r="S321" s="4"/>
    </row>
    <row r="322" ht="15.75" customHeight="1">
      <c r="F322" s="11"/>
      <c r="G322" s="12"/>
      <c r="H322" s="13"/>
      <c r="M322" s="4"/>
      <c r="N322" s="5"/>
      <c r="O322" s="4"/>
      <c r="P322" s="4"/>
      <c r="Q322" s="4"/>
      <c r="R322" s="4"/>
      <c r="S322" s="4"/>
    </row>
    <row r="323" ht="15.75" customHeight="1">
      <c r="F323" s="11"/>
      <c r="G323" s="12"/>
      <c r="H323" s="13"/>
      <c r="M323" s="4"/>
      <c r="N323" s="5"/>
      <c r="O323" s="4"/>
      <c r="P323" s="4"/>
      <c r="Q323" s="4"/>
      <c r="R323" s="4"/>
      <c r="S323" s="4"/>
    </row>
    <row r="324" ht="15.75" customHeight="1">
      <c r="F324" s="11"/>
      <c r="G324" s="12"/>
      <c r="H324" s="13"/>
      <c r="M324" s="4"/>
      <c r="N324" s="5"/>
      <c r="O324" s="4"/>
      <c r="P324" s="4"/>
      <c r="Q324" s="4"/>
      <c r="R324" s="4"/>
      <c r="S324" s="4"/>
    </row>
    <row r="325" ht="15.75" customHeight="1">
      <c r="F325" s="11"/>
      <c r="G325" s="12"/>
      <c r="H325" s="13"/>
      <c r="M325" s="4"/>
      <c r="N325" s="5"/>
      <c r="O325" s="4"/>
      <c r="P325" s="4"/>
      <c r="Q325" s="4"/>
      <c r="R325" s="4"/>
      <c r="S325" s="4"/>
    </row>
    <row r="326" ht="15.75" customHeight="1">
      <c r="F326" s="11"/>
      <c r="G326" s="12"/>
      <c r="H326" s="13"/>
      <c r="M326" s="4"/>
      <c r="N326" s="5"/>
      <c r="O326" s="4"/>
      <c r="P326" s="4"/>
      <c r="Q326" s="4"/>
      <c r="R326" s="4"/>
      <c r="S326" s="4"/>
    </row>
    <row r="327" ht="15.75" customHeight="1">
      <c r="F327" s="11"/>
      <c r="G327" s="12"/>
      <c r="H327" s="13"/>
      <c r="M327" s="4"/>
      <c r="N327" s="5"/>
      <c r="O327" s="4"/>
      <c r="P327" s="4"/>
      <c r="Q327" s="4"/>
      <c r="R327" s="4"/>
      <c r="S327" s="4"/>
    </row>
    <row r="328" ht="15.75" customHeight="1">
      <c r="F328" s="11"/>
      <c r="G328" s="12"/>
      <c r="H328" s="13"/>
      <c r="M328" s="4"/>
      <c r="N328" s="5"/>
      <c r="O328" s="4"/>
      <c r="P328" s="4"/>
      <c r="Q328" s="4"/>
      <c r="R328" s="4"/>
      <c r="S328" s="4"/>
    </row>
    <row r="329" ht="15.75" customHeight="1">
      <c r="F329" s="11"/>
      <c r="G329" s="12"/>
      <c r="H329" s="13"/>
      <c r="M329" s="4"/>
      <c r="N329" s="5"/>
      <c r="O329" s="4"/>
      <c r="P329" s="4"/>
      <c r="Q329" s="4"/>
      <c r="R329" s="4"/>
      <c r="S329" s="4"/>
    </row>
    <row r="330" ht="15.75" customHeight="1">
      <c r="F330" s="11"/>
      <c r="G330" s="12"/>
      <c r="H330" s="13"/>
      <c r="M330" s="4"/>
      <c r="N330" s="5"/>
      <c r="O330" s="4"/>
      <c r="P330" s="4"/>
      <c r="Q330" s="4"/>
      <c r="R330" s="4"/>
      <c r="S330" s="4"/>
    </row>
    <row r="331" ht="15.75" customHeight="1">
      <c r="F331" s="11"/>
      <c r="G331" s="12"/>
      <c r="H331" s="13"/>
      <c r="M331" s="4"/>
      <c r="N331" s="5"/>
      <c r="O331" s="4"/>
      <c r="P331" s="4"/>
      <c r="Q331" s="4"/>
      <c r="R331" s="4"/>
      <c r="S331" s="4"/>
    </row>
    <row r="332" ht="15.75" customHeight="1">
      <c r="F332" s="11"/>
      <c r="G332" s="12"/>
      <c r="H332" s="13"/>
      <c r="M332" s="4"/>
      <c r="N332" s="5"/>
      <c r="O332" s="4"/>
      <c r="P332" s="4"/>
      <c r="Q332" s="4"/>
      <c r="R332" s="4"/>
      <c r="S332" s="4"/>
    </row>
    <row r="333" ht="15.75" customHeight="1">
      <c r="F333" s="11"/>
      <c r="G333" s="12"/>
      <c r="H333" s="13"/>
      <c r="M333" s="4"/>
      <c r="N333" s="5"/>
      <c r="O333" s="4"/>
      <c r="P333" s="4"/>
      <c r="Q333" s="4"/>
      <c r="R333" s="4"/>
      <c r="S333" s="4"/>
    </row>
    <row r="334" ht="15.75" customHeight="1">
      <c r="F334" s="11"/>
      <c r="G334" s="12"/>
      <c r="H334" s="13"/>
      <c r="M334" s="4"/>
      <c r="N334" s="5"/>
      <c r="O334" s="4"/>
      <c r="P334" s="4"/>
      <c r="Q334" s="4"/>
      <c r="R334" s="4"/>
      <c r="S334" s="4"/>
    </row>
    <row r="335" ht="15.75" customHeight="1">
      <c r="F335" s="11"/>
      <c r="G335" s="12"/>
      <c r="H335" s="13"/>
      <c r="M335" s="4"/>
      <c r="N335" s="5"/>
      <c r="O335" s="4"/>
      <c r="P335" s="4"/>
      <c r="Q335" s="4"/>
      <c r="R335" s="4"/>
      <c r="S335" s="4"/>
    </row>
    <row r="336" ht="15.75" customHeight="1">
      <c r="F336" s="11"/>
      <c r="G336" s="12"/>
      <c r="H336" s="13"/>
      <c r="M336" s="4"/>
      <c r="N336" s="5"/>
      <c r="O336" s="4"/>
      <c r="P336" s="4"/>
      <c r="Q336" s="4"/>
      <c r="R336" s="4"/>
      <c r="S336" s="4"/>
    </row>
    <row r="337" ht="15.75" customHeight="1">
      <c r="F337" s="11"/>
      <c r="G337" s="12"/>
      <c r="H337" s="13"/>
      <c r="M337" s="4"/>
      <c r="N337" s="5"/>
      <c r="O337" s="4"/>
      <c r="P337" s="4"/>
      <c r="Q337" s="4"/>
      <c r="R337" s="4"/>
      <c r="S337" s="4"/>
    </row>
    <row r="338" ht="15.75" customHeight="1">
      <c r="F338" s="11"/>
      <c r="G338" s="12"/>
      <c r="H338" s="13"/>
      <c r="M338" s="4"/>
      <c r="N338" s="5"/>
      <c r="O338" s="4"/>
      <c r="P338" s="4"/>
      <c r="Q338" s="4"/>
      <c r="R338" s="4"/>
      <c r="S338" s="4"/>
    </row>
    <row r="339" ht="15.75" customHeight="1">
      <c r="F339" s="11"/>
      <c r="G339" s="12"/>
      <c r="H339" s="13"/>
      <c r="M339" s="4"/>
      <c r="N339" s="5"/>
      <c r="O339" s="4"/>
      <c r="P339" s="4"/>
      <c r="Q339" s="4"/>
      <c r="R339" s="4"/>
      <c r="S339" s="4"/>
    </row>
    <row r="340" ht="15.75" customHeight="1">
      <c r="F340" s="11"/>
      <c r="G340" s="12"/>
      <c r="H340" s="13"/>
      <c r="M340" s="4"/>
      <c r="N340" s="5"/>
      <c r="O340" s="4"/>
      <c r="P340" s="4"/>
      <c r="Q340" s="4"/>
      <c r="R340" s="4"/>
      <c r="S340" s="4"/>
    </row>
    <row r="341" ht="15.75" customHeight="1">
      <c r="F341" s="11"/>
      <c r="G341" s="12"/>
      <c r="H341" s="13"/>
      <c r="M341" s="4"/>
      <c r="N341" s="5"/>
      <c r="O341" s="4"/>
      <c r="P341" s="4"/>
      <c r="Q341" s="4"/>
      <c r="R341" s="4"/>
      <c r="S341" s="4"/>
    </row>
    <row r="342" ht="15.75" customHeight="1">
      <c r="F342" s="11"/>
      <c r="G342" s="12"/>
      <c r="H342" s="13"/>
      <c r="M342" s="4"/>
      <c r="N342" s="5"/>
      <c r="O342" s="4"/>
      <c r="P342" s="4"/>
      <c r="Q342" s="4"/>
      <c r="R342" s="4"/>
      <c r="S342" s="4"/>
    </row>
    <row r="343" ht="15.75" customHeight="1">
      <c r="F343" s="11"/>
      <c r="G343" s="12"/>
      <c r="H343" s="13"/>
      <c r="M343" s="4"/>
      <c r="N343" s="5"/>
      <c r="O343" s="4"/>
      <c r="P343" s="4"/>
      <c r="Q343" s="4"/>
      <c r="R343" s="4"/>
      <c r="S343" s="4"/>
    </row>
    <row r="344" ht="15.75" customHeight="1">
      <c r="F344" s="11"/>
      <c r="G344" s="12"/>
      <c r="H344" s="13"/>
      <c r="M344" s="4"/>
      <c r="N344" s="5"/>
      <c r="O344" s="4"/>
      <c r="P344" s="4"/>
      <c r="Q344" s="4"/>
      <c r="R344" s="4"/>
      <c r="S344" s="4"/>
    </row>
    <row r="345" ht="15.75" customHeight="1">
      <c r="F345" s="11"/>
      <c r="G345" s="12"/>
      <c r="H345" s="13"/>
      <c r="M345" s="4"/>
      <c r="N345" s="5"/>
      <c r="O345" s="4"/>
      <c r="P345" s="4"/>
      <c r="Q345" s="4"/>
      <c r="R345" s="4"/>
      <c r="S345" s="4"/>
    </row>
    <row r="346" ht="15.75" customHeight="1">
      <c r="F346" s="11"/>
      <c r="G346" s="12"/>
      <c r="H346" s="13"/>
      <c r="M346" s="4"/>
      <c r="N346" s="5"/>
      <c r="O346" s="4"/>
      <c r="P346" s="4"/>
      <c r="Q346" s="4"/>
      <c r="R346" s="4"/>
      <c r="S346" s="4"/>
    </row>
    <row r="347" ht="15.75" customHeight="1">
      <c r="F347" s="11"/>
      <c r="G347" s="12"/>
      <c r="H347" s="13"/>
      <c r="M347" s="4"/>
      <c r="N347" s="5"/>
      <c r="O347" s="4"/>
      <c r="P347" s="4"/>
      <c r="Q347" s="4"/>
      <c r="R347" s="4"/>
      <c r="S347" s="4"/>
    </row>
    <row r="348" ht="15.75" customHeight="1">
      <c r="F348" s="11"/>
      <c r="G348" s="12"/>
      <c r="H348" s="13"/>
      <c r="M348" s="4"/>
      <c r="N348" s="5"/>
      <c r="O348" s="4"/>
      <c r="P348" s="4"/>
      <c r="Q348" s="4"/>
      <c r="R348" s="4"/>
      <c r="S348" s="4"/>
    </row>
    <row r="349" ht="15.75" customHeight="1">
      <c r="F349" s="11"/>
      <c r="G349" s="12"/>
      <c r="H349" s="13"/>
      <c r="M349" s="4"/>
      <c r="N349" s="5"/>
      <c r="O349" s="4"/>
      <c r="P349" s="4"/>
      <c r="Q349" s="4"/>
      <c r="R349" s="4"/>
      <c r="S349" s="4"/>
    </row>
    <row r="350" ht="15.75" customHeight="1">
      <c r="F350" s="11"/>
      <c r="G350" s="12"/>
      <c r="H350" s="13"/>
      <c r="M350" s="4"/>
      <c r="N350" s="5"/>
      <c r="O350" s="4"/>
      <c r="P350" s="4"/>
      <c r="Q350" s="4"/>
      <c r="R350" s="4"/>
      <c r="S350" s="4"/>
    </row>
    <row r="351" ht="15.75" customHeight="1">
      <c r="F351" s="11"/>
      <c r="G351" s="12"/>
      <c r="H351" s="13"/>
      <c r="M351" s="4"/>
      <c r="N351" s="5"/>
      <c r="O351" s="4"/>
      <c r="P351" s="4"/>
      <c r="Q351" s="4"/>
      <c r="R351" s="4"/>
      <c r="S351" s="4"/>
    </row>
    <row r="352" ht="15.75" customHeight="1">
      <c r="F352" s="11"/>
      <c r="G352" s="12"/>
      <c r="H352" s="13"/>
      <c r="M352" s="4"/>
      <c r="N352" s="5"/>
      <c r="O352" s="4"/>
      <c r="P352" s="4"/>
      <c r="Q352" s="4"/>
      <c r="R352" s="4"/>
      <c r="S352" s="4"/>
    </row>
    <row r="353" ht="15.75" customHeight="1">
      <c r="F353" s="11"/>
      <c r="G353" s="12"/>
      <c r="H353" s="13"/>
      <c r="M353" s="4"/>
      <c r="N353" s="5"/>
      <c r="O353" s="4"/>
      <c r="P353" s="4"/>
      <c r="Q353" s="4"/>
      <c r="R353" s="4"/>
      <c r="S353" s="4"/>
    </row>
    <row r="354" ht="15.75" customHeight="1">
      <c r="F354" s="11"/>
      <c r="G354" s="12"/>
      <c r="H354" s="13"/>
      <c r="M354" s="4"/>
      <c r="N354" s="5"/>
      <c r="O354" s="4"/>
      <c r="P354" s="4"/>
      <c r="Q354" s="4"/>
      <c r="R354" s="4"/>
      <c r="S354" s="4"/>
    </row>
    <row r="355" ht="15.75" customHeight="1">
      <c r="F355" s="11"/>
      <c r="G355" s="12"/>
      <c r="H355" s="13"/>
      <c r="M355" s="4"/>
      <c r="N355" s="5"/>
      <c r="O355" s="4"/>
      <c r="P355" s="4"/>
      <c r="Q355" s="4"/>
      <c r="R355" s="4"/>
      <c r="S355" s="4"/>
    </row>
    <row r="356" ht="15.75" customHeight="1">
      <c r="F356" s="11"/>
      <c r="G356" s="12"/>
      <c r="H356" s="13"/>
      <c r="M356" s="4"/>
      <c r="N356" s="5"/>
      <c r="O356" s="4"/>
      <c r="P356" s="4"/>
      <c r="Q356" s="4"/>
      <c r="R356" s="4"/>
      <c r="S356" s="4"/>
    </row>
    <row r="357" ht="15.75" customHeight="1">
      <c r="F357" s="11"/>
      <c r="G357" s="12"/>
      <c r="H357" s="13"/>
      <c r="M357" s="4"/>
      <c r="N357" s="5"/>
      <c r="O357" s="4"/>
      <c r="P357" s="4"/>
      <c r="Q357" s="4"/>
      <c r="R357" s="4"/>
      <c r="S357" s="4"/>
    </row>
    <row r="358" ht="15.75" customHeight="1">
      <c r="F358" s="11"/>
      <c r="G358" s="12"/>
      <c r="H358" s="13"/>
      <c r="M358" s="4"/>
      <c r="N358" s="5"/>
      <c r="O358" s="4"/>
      <c r="P358" s="4"/>
      <c r="Q358" s="4"/>
      <c r="R358" s="4"/>
      <c r="S358" s="4"/>
    </row>
    <row r="359" ht="15.75" customHeight="1">
      <c r="F359" s="11"/>
      <c r="G359" s="12"/>
      <c r="H359" s="13"/>
      <c r="M359" s="4"/>
      <c r="N359" s="5"/>
      <c r="O359" s="4"/>
      <c r="P359" s="4"/>
      <c r="Q359" s="4"/>
      <c r="R359" s="4"/>
      <c r="S359" s="4"/>
    </row>
    <row r="360" ht="15.75" customHeight="1">
      <c r="F360" s="11"/>
      <c r="G360" s="12"/>
      <c r="H360" s="13"/>
      <c r="M360" s="4"/>
      <c r="N360" s="5"/>
      <c r="O360" s="4"/>
      <c r="P360" s="4"/>
      <c r="Q360" s="4"/>
      <c r="R360" s="4"/>
      <c r="S360" s="4"/>
    </row>
    <row r="361" ht="15.75" customHeight="1">
      <c r="F361" s="11"/>
      <c r="G361" s="12"/>
      <c r="H361" s="13"/>
      <c r="M361" s="4"/>
      <c r="N361" s="5"/>
      <c r="O361" s="4"/>
      <c r="P361" s="4"/>
      <c r="Q361" s="4"/>
      <c r="R361" s="4"/>
      <c r="S361" s="4"/>
    </row>
    <row r="362" ht="15.75" customHeight="1">
      <c r="F362" s="11"/>
      <c r="G362" s="12"/>
      <c r="H362" s="13"/>
      <c r="M362" s="4"/>
      <c r="N362" s="5"/>
      <c r="O362" s="4"/>
      <c r="P362" s="4"/>
      <c r="Q362" s="4"/>
      <c r="R362" s="4"/>
      <c r="S362" s="4"/>
    </row>
    <row r="363" ht="15.75" customHeight="1">
      <c r="F363" s="11"/>
      <c r="G363" s="12"/>
      <c r="H363" s="13"/>
      <c r="M363" s="4"/>
      <c r="N363" s="5"/>
      <c r="O363" s="4"/>
      <c r="P363" s="4"/>
      <c r="Q363" s="4"/>
      <c r="R363" s="4"/>
      <c r="S363" s="4"/>
    </row>
    <row r="364" ht="15.75" customHeight="1">
      <c r="F364" s="11"/>
      <c r="G364" s="12"/>
      <c r="H364" s="13"/>
      <c r="M364" s="4"/>
      <c r="N364" s="5"/>
      <c r="O364" s="4"/>
      <c r="P364" s="4"/>
      <c r="Q364" s="4"/>
      <c r="R364" s="4"/>
      <c r="S364" s="4"/>
    </row>
    <row r="365" ht="15.75" customHeight="1">
      <c r="F365" s="11"/>
      <c r="G365" s="12"/>
      <c r="H365" s="13"/>
      <c r="M365" s="4"/>
      <c r="N365" s="5"/>
      <c r="O365" s="4"/>
      <c r="P365" s="4"/>
      <c r="Q365" s="4"/>
      <c r="R365" s="4"/>
      <c r="S365" s="4"/>
    </row>
    <row r="366" ht="15.75" customHeight="1">
      <c r="F366" s="11"/>
      <c r="G366" s="12"/>
      <c r="H366" s="13"/>
      <c r="M366" s="4"/>
      <c r="N366" s="5"/>
      <c r="O366" s="4"/>
      <c r="P366" s="4"/>
      <c r="Q366" s="4"/>
      <c r="R366" s="4"/>
      <c r="S366" s="4"/>
    </row>
    <row r="367" ht="15.75" customHeight="1">
      <c r="F367" s="11"/>
      <c r="G367" s="12"/>
      <c r="H367" s="13"/>
      <c r="M367" s="4"/>
      <c r="N367" s="5"/>
      <c r="O367" s="4"/>
      <c r="P367" s="4"/>
      <c r="Q367" s="4"/>
      <c r="R367" s="4"/>
      <c r="S367" s="4"/>
    </row>
    <row r="368" ht="15.75" customHeight="1">
      <c r="F368" s="11"/>
      <c r="G368" s="12"/>
      <c r="H368" s="13"/>
      <c r="M368" s="4"/>
      <c r="N368" s="5"/>
      <c r="O368" s="4"/>
      <c r="P368" s="4"/>
      <c r="Q368" s="4"/>
      <c r="R368" s="4"/>
      <c r="S368" s="4"/>
    </row>
    <row r="369" ht="15.75" customHeight="1">
      <c r="F369" s="11"/>
      <c r="G369" s="12"/>
      <c r="H369" s="13"/>
      <c r="M369" s="4"/>
      <c r="N369" s="5"/>
      <c r="O369" s="4"/>
      <c r="P369" s="4"/>
      <c r="Q369" s="4"/>
      <c r="R369" s="4"/>
      <c r="S369" s="4"/>
    </row>
    <row r="370" ht="15.75" customHeight="1">
      <c r="F370" s="11"/>
      <c r="G370" s="12"/>
      <c r="H370" s="13"/>
      <c r="M370" s="4"/>
      <c r="N370" s="5"/>
      <c r="O370" s="4"/>
      <c r="P370" s="4"/>
      <c r="Q370" s="4"/>
      <c r="R370" s="4"/>
      <c r="S370" s="4"/>
    </row>
    <row r="371" ht="15.75" customHeight="1">
      <c r="F371" s="11"/>
      <c r="G371" s="12"/>
      <c r="H371" s="13"/>
      <c r="M371" s="4"/>
      <c r="N371" s="5"/>
      <c r="O371" s="4"/>
      <c r="P371" s="4"/>
      <c r="Q371" s="4"/>
      <c r="R371" s="4"/>
      <c r="S371" s="4"/>
    </row>
    <row r="372" ht="15.75" customHeight="1">
      <c r="F372" s="11"/>
      <c r="G372" s="12"/>
      <c r="H372" s="13"/>
      <c r="M372" s="4"/>
      <c r="N372" s="5"/>
      <c r="O372" s="4"/>
      <c r="P372" s="4"/>
      <c r="Q372" s="4"/>
      <c r="R372" s="4"/>
      <c r="S372" s="4"/>
    </row>
    <row r="373" ht="15.75" customHeight="1">
      <c r="F373" s="11"/>
      <c r="G373" s="12"/>
      <c r="H373" s="13"/>
      <c r="M373" s="4"/>
      <c r="N373" s="5"/>
      <c r="O373" s="4"/>
      <c r="P373" s="4"/>
      <c r="Q373" s="4"/>
      <c r="R373" s="4"/>
      <c r="S373" s="4"/>
    </row>
    <row r="374" ht="15.75" customHeight="1">
      <c r="F374" s="11"/>
      <c r="G374" s="12"/>
      <c r="H374" s="13"/>
      <c r="M374" s="4"/>
      <c r="N374" s="5"/>
      <c r="O374" s="4"/>
      <c r="P374" s="4"/>
      <c r="Q374" s="4"/>
      <c r="R374" s="4"/>
      <c r="S374" s="4"/>
    </row>
    <row r="375" ht="15.75" customHeight="1">
      <c r="F375" s="11"/>
      <c r="G375" s="12"/>
      <c r="H375" s="13"/>
      <c r="M375" s="4"/>
      <c r="N375" s="5"/>
      <c r="O375" s="4"/>
      <c r="P375" s="4"/>
      <c r="Q375" s="4"/>
      <c r="R375" s="4"/>
      <c r="S375" s="4"/>
    </row>
    <row r="376" ht="15.75" customHeight="1">
      <c r="F376" s="11"/>
      <c r="G376" s="12"/>
      <c r="H376" s="13"/>
      <c r="M376" s="4"/>
      <c r="N376" s="5"/>
      <c r="O376" s="4"/>
      <c r="P376" s="4"/>
      <c r="Q376" s="4"/>
      <c r="R376" s="4"/>
      <c r="S376" s="4"/>
    </row>
    <row r="377" ht="15.75" customHeight="1">
      <c r="F377" s="11"/>
      <c r="G377" s="12"/>
      <c r="H377" s="13"/>
      <c r="M377" s="4"/>
      <c r="N377" s="5"/>
      <c r="O377" s="4"/>
      <c r="P377" s="4"/>
      <c r="Q377" s="4"/>
      <c r="R377" s="4"/>
      <c r="S377" s="4"/>
    </row>
    <row r="378" ht="15.75" customHeight="1">
      <c r="F378" s="11"/>
      <c r="G378" s="12"/>
      <c r="H378" s="13"/>
      <c r="M378" s="4"/>
      <c r="N378" s="5"/>
      <c r="O378" s="4"/>
      <c r="P378" s="4"/>
      <c r="Q378" s="4"/>
      <c r="R378" s="4"/>
      <c r="S378" s="4"/>
    </row>
    <row r="379" ht="15.75" customHeight="1">
      <c r="F379" s="11"/>
      <c r="G379" s="12"/>
      <c r="H379" s="13"/>
      <c r="M379" s="4"/>
      <c r="N379" s="5"/>
      <c r="O379" s="4"/>
      <c r="P379" s="4"/>
      <c r="Q379" s="4"/>
      <c r="R379" s="4"/>
      <c r="S379" s="4"/>
    </row>
    <row r="380" ht="15.75" customHeight="1">
      <c r="F380" s="11"/>
      <c r="G380" s="12"/>
      <c r="H380" s="13"/>
      <c r="M380" s="4"/>
      <c r="N380" s="5"/>
      <c r="O380" s="4"/>
      <c r="P380" s="4"/>
      <c r="Q380" s="4"/>
      <c r="R380" s="4"/>
      <c r="S380" s="4"/>
    </row>
    <row r="381" ht="15.75" customHeight="1">
      <c r="F381" s="11"/>
      <c r="G381" s="12"/>
      <c r="H381" s="13"/>
      <c r="M381" s="4"/>
      <c r="N381" s="5"/>
      <c r="O381" s="4"/>
      <c r="P381" s="4"/>
      <c r="Q381" s="4"/>
      <c r="R381" s="4"/>
      <c r="S381" s="4"/>
    </row>
    <row r="382" ht="15.75" customHeight="1">
      <c r="F382" s="11"/>
      <c r="G382" s="12"/>
      <c r="H382" s="13"/>
      <c r="M382" s="4"/>
      <c r="N382" s="5"/>
      <c r="O382" s="4"/>
      <c r="P382" s="4"/>
      <c r="Q382" s="4"/>
      <c r="R382" s="4"/>
      <c r="S382" s="4"/>
    </row>
    <row r="383" ht="15.75" customHeight="1">
      <c r="F383" s="11"/>
      <c r="G383" s="12"/>
      <c r="H383" s="13"/>
      <c r="M383" s="4"/>
      <c r="N383" s="5"/>
      <c r="O383" s="4"/>
      <c r="P383" s="4"/>
      <c r="Q383" s="4"/>
      <c r="R383" s="4"/>
      <c r="S383" s="4"/>
    </row>
    <row r="384" ht="15.75" customHeight="1">
      <c r="F384" s="11"/>
      <c r="G384" s="12"/>
      <c r="H384" s="13"/>
      <c r="M384" s="4"/>
      <c r="N384" s="5"/>
      <c r="O384" s="4"/>
      <c r="P384" s="4"/>
      <c r="Q384" s="4"/>
      <c r="R384" s="4"/>
      <c r="S384" s="4"/>
    </row>
    <row r="385" ht="15.75" customHeight="1">
      <c r="F385" s="11"/>
      <c r="G385" s="12"/>
      <c r="H385" s="13"/>
      <c r="M385" s="4"/>
      <c r="N385" s="5"/>
      <c r="O385" s="4"/>
      <c r="P385" s="4"/>
      <c r="Q385" s="4"/>
      <c r="R385" s="4"/>
      <c r="S385" s="4"/>
    </row>
    <row r="386" ht="15.75" customHeight="1">
      <c r="F386" s="11"/>
      <c r="G386" s="12"/>
      <c r="H386" s="13"/>
      <c r="M386" s="4"/>
      <c r="N386" s="5"/>
      <c r="O386" s="4"/>
      <c r="P386" s="4"/>
      <c r="Q386" s="4"/>
      <c r="R386" s="4"/>
      <c r="S386" s="4"/>
    </row>
    <row r="387" ht="15.75" customHeight="1">
      <c r="F387" s="11"/>
      <c r="G387" s="12"/>
      <c r="H387" s="13"/>
      <c r="M387" s="4"/>
      <c r="N387" s="5"/>
      <c r="O387" s="4"/>
      <c r="P387" s="4"/>
      <c r="Q387" s="4"/>
      <c r="R387" s="4"/>
      <c r="S387" s="4"/>
    </row>
    <row r="388" ht="15.75" customHeight="1">
      <c r="F388" s="11"/>
      <c r="G388" s="12"/>
      <c r="H388" s="13"/>
      <c r="M388" s="4"/>
      <c r="N388" s="5"/>
      <c r="O388" s="4"/>
      <c r="P388" s="4"/>
      <c r="Q388" s="4"/>
      <c r="R388" s="4"/>
      <c r="S388" s="4"/>
    </row>
    <row r="389" ht="15.75" customHeight="1">
      <c r="F389" s="11"/>
      <c r="G389" s="12"/>
      <c r="H389" s="13"/>
      <c r="M389" s="4"/>
      <c r="N389" s="5"/>
      <c r="O389" s="4"/>
      <c r="P389" s="4"/>
      <c r="Q389" s="4"/>
      <c r="R389" s="4"/>
      <c r="S389" s="4"/>
    </row>
    <row r="390" ht="15.75" customHeight="1">
      <c r="F390" s="11"/>
      <c r="G390" s="12"/>
      <c r="H390" s="13"/>
      <c r="M390" s="4"/>
      <c r="N390" s="5"/>
      <c r="O390" s="4"/>
      <c r="P390" s="4"/>
      <c r="Q390" s="4"/>
      <c r="R390" s="4"/>
      <c r="S390" s="4"/>
    </row>
    <row r="391" ht="15.75" customHeight="1">
      <c r="F391" s="11"/>
      <c r="G391" s="12"/>
      <c r="H391" s="13"/>
      <c r="M391" s="4"/>
      <c r="N391" s="5"/>
      <c r="O391" s="4"/>
      <c r="P391" s="4"/>
      <c r="Q391" s="4"/>
      <c r="R391" s="4"/>
      <c r="S391" s="4"/>
    </row>
    <row r="392" ht="15.75" customHeight="1">
      <c r="F392" s="11"/>
      <c r="G392" s="12"/>
      <c r="H392" s="13"/>
      <c r="M392" s="4"/>
      <c r="N392" s="5"/>
      <c r="O392" s="4"/>
      <c r="P392" s="4"/>
      <c r="Q392" s="4"/>
      <c r="R392" s="4"/>
      <c r="S392" s="4"/>
    </row>
    <row r="393" ht="15.75" customHeight="1">
      <c r="F393" s="11"/>
      <c r="G393" s="12"/>
      <c r="H393" s="13"/>
      <c r="M393" s="4"/>
      <c r="N393" s="5"/>
      <c r="O393" s="4"/>
      <c r="P393" s="4"/>
      <c r="Q393" s="4"/>
      <c r="R393" s="4"/>
      <c r="S393" s="4"/>
    </row>
    <row r="394" ht="15.75" customHeight="1">
      <c r="F394" s="11"/>
      <c r="G394" s="12"/>
      <c r="H394" s="13"/>
      <c r="M394" s="4"/>
      <c r="N394" s="5"/>
      <c r="O394" s="4"/>
      <c r="P394" s="4"/>
      <c r="Q394" s="4"/>
      <c r="R394" s="4"/>
      <c r="S394" s="4"/>
    </row>
    <row r="395" ht="15.75" customHeight="1">
      <c r="F395" s="11"/>
      <c r="G395" s="12"/>
      <c r="H395" s="13"/>
      <c r="M395" s="4"/>
      <c r="N395" s="5"/>
      <c r="O395" s="4"/>
      <c r="P395" s="4"/>
      <c r="Q395" s="4"/>
      <c r="R395" s="4"/>
      <c r="S395" s="4"/>
    </row>
    <row r="396" ht="15.75" customHeight="1">
      <c r="F396" s="11"/>
      <c r="G396" s="12"/>
      <c r="H396" s="13"/>
      <c r="M396" s="4"/>
      <c r="N396" s="5"/>
      <c r="O396" s="4"/>
      <c r="P396" s="4"/>
      <c r="Q396" s="4"/>
      <c r="R396" s="4"/>
      <c r="S396" s="4"/>
    </row>
    <row r="397" ht="15.75" customHeight="1">
      <c r="F397" s="11"/>
      <c r="G397" s="12"/>
      <c r="H397" s="13"/>
      <c r="M397" s="4"/>
      <c r="N397" s="5"/>
      <c r="O397" s="4"/>
      <c r="P397" s="4"/>
      <c r="Q397" s="4"/>
      <c r="R397" s="4"/>
      <c r="S397" s="4"/>
    </row>
    <row r="398" ht="15.75" customHeight="1">
      <c r="F398" s="11"/>
      <c r="G398" s="12"/>
      <c r="H398" s="13"/>
      <c r="M398" s="4"/>
      <c r="N398" s="5"/>
      <c r="O398" s="4"/>
      <c r="P398" s="4"/>
      <c r="Q398" s="4"/>
      <c r="R398" s="4"/>
      <c r="S398" s="4"/>
    </row>
    <row r="399" ht="15.75" customHeight="1">
      <c r="F399" s="11"/>
      <c r="G399" s="12"/>
      <c r="H399" s="13"/>
      <c r="M399" s="4"/>
      <c r="N399" s="5"/>
      <c r="O399" s="4"/>
      <c r="P399" s="4"/>
      <c r="Q399" s="4"/>
      <c r="R399" s="4"/>
      <c r="S399" s="4"/>
    </row>
    <row r="400" ht="15.75" customHeight="1">
      <c r="F400" s="11"/>
      <c r="G400" s="12"/>
      <c r="H400" s="13"/>
      <c r="M400" s="4"/>
      <c r="N400" s="5"/>
      <c r="O400" s="4"/>
      <c r="P400" s="4"/>
      <c r="Q400" s="4"/>
      <c r="R400" s="4"/>
      <c r="S400" s="4"/>
    </row>
    <row r="401" ht="15.75" customHeight="1">
      <c r="F401" s="11"/>
      <c r="G401" s="12"/>
      <c r="H401" s="13"/>
      <c r="M401" s="4"/>
      <c r="N401" s="5"/>
      <c r="O401" s="4"/>
      <c r="P401" s="4"/>
      <c r="Q401" s="4"/>
      <c r="R401" s="4"/>
      <c r="S401" s="4"/>
    </row>
    <row r="402" ht="15.75" customHeight="1">
      <c r="F402" s="11"/>
      <c r="G402" s="12"/>
      <c r="H402" s="13"/>
      <c r="M402" s="4"/>
      <c r="N402" s="5"/>
      <c r="O402" s="4"/>
      <c r="P402" s="4"/>
      <c r="Q402" s="4"/>
      <c r="R402" s="4"/>
      <c r="S402" s="4"/>
    </row>
    <row r="403" ht="15.75" customHeight="1">
      <c r="F403" s="11"/>
      <c r="G403" s="12"/>
      <c r="H403" s="13"/>
      <c r="M403" s="4"/>
      <c r="N403" s="5"/>
      <c r="O403" s="4"/>
      <c r="P403" s="4"/>
      <c r="Q403" s="4"/>
      <c r="R403" s="4"/>
      <c r="S403" s="4"/>
    </row>
    <row r="404" ht="15.75" customHeight="1">
      <c r="F404" s="11"/>
      <c r="G404" s="12"/>
      <c r="H404" s="13"/>
      <c r="M404" s="4"/>
      <c r="N404" s="5"/>
      <c r="O404" s="4"/>
      <c r="P404" s="4"/>
      <c r="Q404" s="4"/>
      <c r="R404" s="4"/>
      <c r="S404" s="4"/>
    </row>
    <row r="405" ht="15.75" customHeight="1">
      <c r="F405" s="11"/>
      <c r="G405" s="12"/>
      <c r="H405" s="13"/>
      <c r="M405" s="4"/>
      <c r="N405" s="5"/>
      <c r="O405" s="4"/>
      <c r="P405" s="4"/>
      <c r="Q405" s="4"/>
      <c r="R405" s="4"/>
      <c r="S405" s="4"/>
    </row>
    <row r="406" ht="15.75" customHeight="1">
      <c r="F406" s="11"/>
      <c r="G406" s="12"/>
      <c r="H406" s="13"/>
      <c r="M406" s="4"/>
      <c r="N406" s="5"/>
      <c r="O406" s="4"/>
      <c r="P406" s="4"/>
      <c r="Q406" s="4"/>
      <c r="R406" s="4"/>
      <c r="S406" s="4"/>
    </row>
    <row r="407" ht="15.75" customHeight="1">
      <c r="F407" s="11"/>
      <c r="G407" s="12"/>
      <c r="H407" s="13"/>
      <c r="M407" s="4"/>
      <c r="N407" s="5"/>
      <c r="O407" s="4"/>
      <c r="P407" s="4"/>
      <c r="Q407" s="4"/>
      <c r="R407" s="4"/>
      <c r="S407" s="4"/>
    </row>
    <row r="408" ht="15.75" customHeight="1">
      <c r="F408" s="11"/>
      <c r="G408" s="12"/>
      <c r="H408" s="13"/>
      <c r="M408" s="4"/>
      <c r="N408" s="5"/>
      <c r="O408" s="4"/>
      <c r="P408" s="4"/>
      <c r="Q408" s="4"/>
      <c r="R408" s="4"/>
      <c r="S408" s="4"/>
    </row>
    <row r="409" ht="15.75" customHeight="1">
      <c r="F409" s="11"/>
      <c r="G409" s="12"/>
      <c r="H409" s="13"/>
      <c r="M409" s="4"/>
      <c r="N409" s="5"/>
      <c r="O409" s="4"/>
      <c r="P409" s="4"/>
      <c r="Q409" s="4"/>
      <c r="R409" s="4"/>
      <c r="S409" s="4"/>
    </row>
    <row r="410" ht="15.75" customHeight="1">
      <c r="F410" s="11"/>
      <c r="G410" s="12"/>
      <c r="H410" s="13"/>
      <c r="M410" s="4"/>
      <c r="N410" s="5"/>
      <c r="O410" s="4"/>
      <c r="P410" s="4"/>
      <c r="Q410" s="4"/>
      <c r="R410" s="4"/>
      <c r="S410" s="4"/>
    </row>
    <row r="411" ht="15.75" customHeight="1">
      <c r="F411" s="11"/>
      <c r="G411" s="12"/>
      <c r="H411" s="13"/>
      <c r="M411" s="4"/>
      <c r="N411" s="5"/>
      <c r="O411" s="4"/>
      <c r="P411" s="4"/>
      <c r="Q411" s="4"/>
      <c r="R411" s="4"/>
      <c r="S411" s="4"/>
    </row>
    <row r="412" ht="15.75" customHeight="1">
      <c r="F412" s="11"/>
      <c r="G412" s="12"/>
      <c r="H412" s="13"/>
      <c r="M412" s="4"/>
      <c r="N412" s="5"/>
      <c r="O412" s="4"/>
      <c r="P412" s="4"/>
      <c r="Q412" s="4"/>
      <c r="R412" s="4"/>
      <c r="S412" s="4"/>
    </row>
    <row r="413" ht="15.75" customHeight="1">
      <c r="F413" s="11"/>
      <c r="G413" s="12"/>
      <c r="H413" s="13"/>
      <c r="M413" s="4"/>
      <c r="N413" s="5"/>
      <c r="O413" s="4"/>
      <c r="P413" s="4"/>
      <c r="Q413" s="4"/>
      <c r="R413" s="4"/>
      <c r="S413" s="4"/>
    </row>
    <row r="414" ht="15.75" customHeight="1">
      <c r="F414" s="11"/>
      <c r="G414" s="12"/>
      <c r="H414" s="13"/>
      <c r="M414" s="4"/>
      <c r="N414" s="5"/>
      <c r="O414" s="4"/>
      <c r="P414" s="4"/>
      <c r="Q414" s="4"/>
      <c r="R414" s="4"/>
      <c r="S414" s="4"/>
    </row>
    <row r="415" ht="15.75" customHeight="1">
      <c r="F415" s="11"/>
      <c r="G415" s="12"/>
      <c r="H415" s="13"/>
      <c r="M415" s="4"/>
      <c r="N415" s="5"/>
      <c r="O415" s="4"/>
      <c r="P415" s="4"/>
      <c r="Q415" s="4"/>
      <c r="R415" s="4"/>
      <c r="S415" s="4"/>
    </row>
    <row r="416" ht="15.75" customHeight="1">
      <c r="F416" s="11"/>
      <c r="G416" s="12"/>
      <c r="H416" s="13"/>
      <c r="M416" s="4"/>
      <c r="N416" s="5"/>
      <c r="O416" s="4"/>
      <c r="P416" s="4"/>
      <c r="Q416" s="4"/>
      <c r="R416" s="4"/>
      <c r="S416" s="4"/>
    </row>
    <row r="417" ht="15.75" customHeight="1">
      <c r="F417" s="11"/>
      <c r="G417" s="12"/>
      <c r="H417" s="13"/>
      <c r="M417" s="4"/>
      <c r="N417" s="5"/>
      <c r="O417" s="4"/>
      <c r="P417" s="4"/>
      <c r="Q417" s="4"/>
      <c r="R417" s="4"/>
      <c r="S417" s="4"/>
    </row>
    <row r="418" ht="15.75" customHeight="1">
      <c r="F418" s="11"/>
      <c r="G418" s="12"/>
      <c r="H418" s="13"/>
      <c r="M418" s="4"/>
      <c r="N418" s="5"/>
      <c r="O418" s="4"/>
      <c r="P418" s="4"/>
      <c r="Q418" s="4"/>
      <c r="R418" s="4"/>
      <c r="S418" s="4"/>
    </row>
    <row r="419" ht="15.75" customHeight="1">
      <c r="F419" s="11"/>
      <c r="G419" s="12"/>
      <c r="H419" s="13"/>
      <c r="M419" s="4"/>
      <c r="N419" s="5"/>
      <c r="O419" s="4"/>
      <c r="P419" s="4"/>
      <c r="Q419" s="4"/>
      <c r="R419" s="4"/>
      <c r="S419" s="4"/>
    </row>
    <row r="420" ht="15.75" customHeight="1">
      <c r="F420" s="11"/>
      <c r="G420" s="12"/>
      <c r="H420" s="13"/>
      <c r="M420" s="4"/>
      <c r="N420" s="5"/>
      <c r="O420" s="4"/>
      <c r="P420" s="4"/>
      <c r="Q420" s="4"/>
      <c r="R420" s="4"/>
      <c r="S420" s="4"/>
    </row>
    <row r="421" ht="15.75" customHeight="1">
      <c r="F421" s="11"/>
      <c r="G421" s="12"/>
      <c r="H421" s="13"/>
      <c r="M421" s="4"/>
      <c r="N421" s="5"/>
      <c r="O421" s="4"/>
      <c r="P421" s="4"/>
      <c r="Q421" s="4"/>
      <c r="R421" s="4"/>
      <c r="S421" s="4"/>
    </row>
    <row r="422" ht="15.75" customHeight="1">
      <c r="F422" s="11"/>
      <c r="G422" s="12"/>
      <c r="H422" s="13"/>
      <c r="M422" s="4"/>
      <c r="N422" s="5"/>
      <c r="O422" s="4"/>
      <c r="P422" s="4"/>
      <c r="Q422" s="4"/>
      <c r="R422" s="4"/>
      <c r="S422" s="4"/>
    </row>
    <row r="423" ht="15.75" customHeight="1">
      <c r="F423" s="11"/>
      <c r="G423" s="12"/>
      <c r="H423" s="13"/>
      <c r="M423" s="4"/>
      <c r="N423" s="5"/>
      <c r="O423" s="4"/>
      <c r="P423" s="4"/>
      <c r="Q423" s="4"/>
      <c r="R423" s="4"/>
      <c r="S423" s="4"/>
    </row>
    <row r="424" ht="15.75" customHeight="1">
      <c r="F424" s="11"/>
      <c r="G424" s="12"/>
      <c r="H424" s="13"/>
      <c r="M424" s="4"/>
      <c r="N424" s="5"/>
      <c r="O424" s="4"/>
      <c r="P424" s="4"/>
      <c r="Q424" s="4"/>
      <c r="R424" s="4"/>
      <c r="S424" s="4"/>
    </row>
    <row r="425" ht="15.75" customHeight="1">
      <c r="F425" s="11"/>
      <c r="G425" s="12"/>
      <c r="H425" s="13"/>
      <c r="M425" s="4"/>
      <c r="N425" s="5"/>
      <c r="O425" s="4"/>
      <c r="P425" s="4"/>
      <c r="Q425" s="4"/>
      <c r="R425" s="4"/>
      <c r="S425" s="4"/>
    </row>
    <row r="426" ht="15.75" customHeight="1">
      <c r="F426" s="11"/>
      <c r="G426" s="12"/>
      <c r="H426" s="13"/>
      <c r="M426" s="4"/>
      <c r="N426" s="5"/>
      <c r="O426" s="4"/>
      <c r="P426" s="4"/>
      <c r="Q426" s="4"/>
      <c r="R426" s="4"/>
      <c r="S426" s="4"/>
    </row>
    <row r="427" ht="15.75" customHeight="1">
      <c r="F427" s="11"/>
      <c r="G427" s="12"/>
      <c r="H427" s="13"/>
      <c r="M427" s="4"/>
      <c r="N427" s="5"/>
      <c r="O427" s="4"/>
      <c r="P427" s="4"/>
      <c r="Q427" s="4"/>
      <c r="R427" s="4"/>
      <c r="S427" s="4"/>
    </row>
    <row r="428" ht="15.75" customHeight="1">
      <c r="F428" s="11"/>
      <c r="G428" s="12"/>
      <c r="H428" s="13"/>
      <c r="M428" s="4"/>
      <c r="N428" s="5"/>
      <c r="O428" s="4"/>
      <c r="P428" s="4"/>
      <c r="Q428" s="4"/>
      <c r="R428" s="4"/>
      <c r="S428" s="4"/>
    </row>
    <row r="429" ht="15.75" customHeight="1">
      <c r="F429" s="11"/>
      <c r="G429" s="12"/>
      <c r="H429" s="13"/>
      <c r="M429" s="4"/>
      <c r="N429" s="5"/>
      <c r="O429" s="4"/>
      <c r="P429" s="4"/>
      <c r="Q429" s="4"/>
      <c r="R429" s="4"/>
      <c r="S429" s="4"/>
    </row>
    <row r="430" ht="15.75" customHeight="1">
      <c r="F430" s="11"/>
      <c r="G430" s="12"/>
      <c r="H430" s="13"/>
      <c r="M430" s="4"/>
      <c r="N430" s="5"/>
      <c r="O430" s="4"/>
      <c r="P430" s="4"/>
      <c r="Q430" s="4"/>
      <c r="R430" s="4"/>
      <c r="S430" s="4"/>
    </row>
    <row r="431" ht="15.75" customHeight="1">
      <c r="F431" s="11"/>
      <c r="G431" s="12"/>
      <c r="H431" s="13"/>
      <c r="M431" s="4"/>
      <c r="N431" s="5"/>
      <c r="O431" s="4"/>
      <c r="P431" s="4"/>
      <c r="Q431" s="4"/>
      <c r="R431" s="4"/>
      <c r="S431" s="4"/>
    </row>
    <row r="432" ht="15.75" customHeight="1">
      <c r="F432" s="11"/>
      <c r="G432" s="12"/>
      <c r="H432" s="13"/>
      <c r="M432" s="4"/>
      <c r="N432" s="5"/>
      <c r="O432" s="4"/>
      <c r="P432" s="4"/>
      <c r="Q432" s="4"/>
      <c r="R432" s="4"/>
      <c r="S432" s="4"/>
    </row>
    <row r="433" ht="15.75" customHeight="1">
      <c r="F433" s="11"/>
      <c r="G433" s="12"/>
      <c r="H433" s="13"/>
      <c r="M433" s="4"/>
      <c r="N433" s="5"/>
      <c r="O433" s="4"/>
      <c r="P433" s="4"/>
      <c r="Q433" s="4"/>
      <c r="R433" s="4"/>
      <c r="S433" s="4"/>
    </row>
    <row r="434" ht="15.75" customHeight="1">
      <c r="F434" s="11"/>
      <c r="G434" s="12"/>
      <c r="H434" s="13"/>
      <c r="M434" s="4"/>
      <c r="N434" s="5"/>
      <c r="O434" s="4"/>
      <c r="P434" s="4"/>
      <c r="Q434" s="4"/>
      <c r="R434" s="4"/>
      <c r="S434" s="4"/>
    </row>
    <row r="435" ht="15.75" customHeight="1">
      <c r="F435" s="11"/>
      <c r="G435" s="12"/>
      <c r="H435" s="13"/>
      <c r="M435" s="4"/>
      <c r="N435" s="5"/>
      <c r="O435" s="4"/>
      <c r="P435" s="4"/>
      <c r="Q435" s="4"/>
      <c r="R435" s="4"/>
      <c r="S435" s="4"/>
    </row>
    <row r="436" ht="15.75" customHeight="1">
      <c r="F436" s="11"/>
      <c r="G436" s="12"/>
      <c r="H436" s="13"/>
      <c r="M436" s="4"/>
      <c r="N436" s="5"/>
      <c r="O436" s="4"/>
      <c r="P436" s="4"/>
      <c r="Q436" s="4"/>
      <c r="R436" s="4"/>
      <c r="S436" s="4"/>
    </row>
    <row r="437" ht="15.75" customHeight="1">
      <c r="F437" s="11"/>
      <c r="G437" s="12"/>
      <c r="H437" s="13"/>
      <c r="M437" s="4"/>
      <c r="N437" s="5"/>
      <c r="O437" s="4"/>
      <c r="P437" s="4"/>
      <c r="Q437" s="4"/>
      <c r="R437" s="4"/>
      <c r="S437" s="4"/>
    </row>
    <row r="438" ht="15.75" customHeight="1">
      <c r="F438" s="11"/>
      <c r="G438" s="12"/>
      <c r="H438" s="13"/>
      <c r="M438" s="4"/>
      <c r="N438" s="5"/>
      <c r="O438" s="4"/>
      <c r="P438" s="4"/>
      <c r="Q438" s="4"/>
      <c r="R438" s="4"/>
      <c r="S438" s="4"/>
    </row>
    <row r="439" ht="15.75" customHeight="1">
      <c r="F439" s="11"/>
      <c r="G439" s="12"/>
      <c r="H439" s="13"/>
      <c r="M439" s="4"/>
      <c r="N439" s="5"/>
      <c r="O439" s="4"/>
      <c r="P439" s="4"/>
      <c r="Q439" s="4"/>
      <c r="R439" s="4"/>
      <c r="S439" s="4"/>
    </row>
    <row r="440" ht="15.75" customHeight="1">
      <c r="F440" s="11"/>
      <c r="G440" s="12"/>
      <c r="H440" s="13"/>
      <c r="M440" s="4"/>
      <c r="N440" s="5"/>
      <c r="O440" s="4"/>
      <c r="P440" s="4"/>
      <c r="Q440" s="4"/>
      <c r="R440" s="4"/>
      <c r="S440" s="4"/>
    </row>
    <row r="441" ht="15.75" customHeight="1">
      <c r="F441" s="11"/>
      <c r="G441" s="12"/>
      <c r="H441" s="13"/>
      <c r="M441" s="4"/>
      <c r="N441" s="5"/>
      <c r="O441" s="4"/>
      <c r="P441" s="4"/>
      <c r="Q441" s="4"/>
      <c r="R441" s="4"/>
      <c r="S441" s="4"/>
    </row>
    <row r="442" ht="15.75" customHeight="1">
      <c r="F442" s="11"/>
      <c r="G442" s="12"/>
      <c r="H442" s="13"/>
      <c r="M442" s="4"/>
      <c r="N442" s="5"/>
      <c r="O442" s="4"/>
      <c r="P442" s="4"/>
      <c r="Q442" s="4"/>
      <c r="R442" s="4"/>
      <c r="S442" s="4"/>
    </row>
    <row r="443" ht="15.75" customHeight="1">
      <c r="F443" s="11"/>
      <c r="G443" s="12"/>
      <c r="H443" s="13"/>
      <c r="M443" s="4"/>
      <c r="N443" s="5"/>
      <c r="O443" s="4"/>
      <c r="P443" s="4"/>
      <c r="Q443" s="4"/>
      <c r="R443" s="4"/>
      <c r="S443" s="4"/>
    </row>
    <row r="444" ht="15.75" customHeight="1">
      <c r="F444" s="11"/>
      <c r="G444" s="12"/>
      <c r="H444" s="13"/>
      <c r="M444" s="4"/>
      <c r="N444" s="5"/>
      <c r="O444" s="4"/>
      <c r="P444" s="4"/>
      <c r="Q444" s="4"/>
      <c r="R444" s="4"/>
      <c r="S444" s="4"/>
    </row>
    <row r="445" ht="15.75" customHeight="1">
      <c r="F445" s="11"/>
      <c r="G445" s="12"/>
      <c r="H445" s="13"/>
      <c r="M445" s="4"/>
      <c r="N445" s="5"/>
      <c r="O445" s="4"/>
      <c r="P445" s="4"/>
      <c r="Q445" s="4"/>
      <c r="R445" s="4"/>
      <c r="S445" s="4"/>
    </row>
    <row r="446" ht="15.75" customHeight="1">
      <c r="F446" s="11"/>
      <c r="G446" s="12"/>
      <c r="H446" s="13"/>
      <c r="M446" s="4"/>
      <c r="N446" s="5"/>
      <c r="O446" s="4"/>
      <c r="P446" s="4"/>
      <c r="Q446" s="4"/>
      <c r="R446" s="4"/>
      <c r="S446" s="4"/>
    </row>
    <row r="447" ht="15.75" customHeight="1">
      <c r="F447" s="11"/>
      <c r="G447" s="12"/>
      <c r="H447" s="13"/>
      <c r="M447" s="4"/>
      <c r="N447" s="5"/>
      <c r="O447" s="4"/>
      <c r="P447" s="4"/>
      <c r="Q447" s="4"/>
      <c r="R447" s="4"/>
      <c r="S447" s="4"/>
    </row>
    <row r="448" ht="15.75" customHeight="1">
      <c r="F448" s="11"/>
      <c r="G448" s="12"/>
      <c r="H448" s="13"/>
      <c r="M448" s="4"/>
      <c r="N448" s="5"/>
      <c r="O448" s="4"/>
      <c r="P448" s="4"/>
      <c r="Q448" s="4"/>
      <c r="R448" s="4"/>
      <c r="S448" s="4"/>
    </row>
    <row r="449" ht="15.75" customHeight="1">
      <c r="F449" s="11"/>
      <c r="G449" s="12"/>
      <c r="H449" s="13"/>
      <c r="M449" s="4"/>
      <c r="N449" s="5"/>
      <c r="O449" s="4"/>
      <c r="P449" s="4"/>
      <c r="Q449" s="4"/>
      <c r="R449" s="4"/>
      <c r="S449" s="4"/>
    </row>
    <row r="450" ht="15.75" customHeight="1">
      <c r="F450" s="11"/>
      <c r="G450" s="12"/>
      <c r="H450" s="13"/>
      <c r="M450" s="4"/>
      <c r="N450" s="5"/>
      <c r="O450" s="4"/>
      <c r="P450" s="4"/>
      <c r="Q450" s="4"/>
      <c r="R450" s="4"/>
      <c r="S450" s="4"/>
    </row>
    <row r="451" ht="15.75" customHeight="1">
      <c r="F451" s="11"/>
      <c r="G451" s="12"/>
      <c r="H451" s="13"/>
      <c r="M451" s="4"/>
      <c r="N451" s="5"/>
      <c r="O451" s="4"/>
      <c r="P451" s="4"/>
      <c r="Q451" s="4"/>
      <c r="R451" s="4"/>
      <c r="S451" s="4"/>
    </row>
    <row r="452" ht="15.75" customHeight="1">
      <c r="F452" s="11"/>
      <c r="G452" s="12"/>
      <c r="H452" s="13"/>
      <c r="M452" s="4"/>
      <c r="N452" s="5"/>
      <c r="O452" s="4"/>
      <c r="P452" s="4"/>
      <c r="Q452" s="4"/>
      <c r="R452" s="4"/>
      <c r="S452" s="4"/>
    </row>
    <row r="453" ht="15.75" customHeight="1">
      <c r="F453" s="11"/>
      <c r="G453" s="12"/>
      <c r="H453" s="13"/>
      <c r="M453" s="4"/>
      <c r="N453" s="5"/>
      <c r="O453" s="4"/>
      <c r="P453" s="4"/>
      <c r="Q453" s="4"/>
      <c r="R453" s="4"/>
      <c r="S453" s="4"/>
    </row>
    <row r="454" ht="15.75" customHeight="1">
      <c r="F454" s="11"/>
      <c r="G454" s="12"/>
      <c r="H454" s="13"/>
      <c r="M454" s="4"/>
      <c r="N454" s="5"/>
      <c r="O454" s="4"/>
      <c r="P454" s="4"/>
      <c r="Q454" s="4"/>
      <c r="R454" s="4"/>
      <c r="S454" s="4"/>
    </row>
    <row r="455" ht="15.75" customHeight="1">
      <c r="F455" s="11"/>
      <c r="G455" s="12"/>
      <c r="H455" s="13"/>
      <c r="M455" s="4"/>
      <c r="N455" s="5"/>
      <c r="O455" s="4"/>
      <c r="P455" s="4"/>
      <c r="Q455" s="4"/>
      <c r="R455" s="4"/>
      <c r="S455" s="4"/>
    </row>
    <row r="456" ht="15.75" customHeight="1">
      <c r="F456" s="11"/>
      <c r="G456" s="12"/>
      <c r="H456" s="13"/>
      <c r="M456" s="4"/>
      <c r="N456" s="5"/>
      <c r="O456" s="4"/>
      <c r="P456" s="4"/>
      <c r="Q456" s="4"/>
      <c r="R456" s="4"/>
      <c r="S456" s="4"/>
    </row>
    <row r="457" ht="15.75" customHeight="1">
      <c r="F457" s="11"/>
      <c r="G457" s="12"/>
      <c r="H457" s="13"/>
      <c r="M457" s="4"/>
      <c r="N457" s="5"/>
      <c r="O457" s="4"/>
      <c r="P457" s="4"/>
      <c r="Q457" s="4"/>
      <c r="R457" s="4"/>
      <c r="S457" s="4"/>
    </row>
    <row r="458" ht="15.75" customHeight="1">
      <c r="F458" s="11"/>
      <c r="G458" s="12"/>
      <c r="H458" s="13"/>
      <c r="M458" s="4"/>
      <c r="N458" s="5"/>
      <c r="O458" s="4"/>
      <c r="P458" s="4"/>
      <c r="Q458" s="4"/>
      <c r="R458" s="4"/>
      <c r="S458" s="4"/>
    </row>
    <row r="459" ht="15.75" customHeight="1">
      <c r="F459" s="11"/>
      <c r="G459" s="12"/>
      <c r="H459" s="13"/>
      <c r="M459" s="4"/>
      <c r="N459" s="5"/>
      <c r="O459" s="4"/>
      <c r="P459" s="4"/>
      <c r="Q459" s="4"/>
      <c r="R459" s="4"/>
      <c r="S459" s="4"/>
    </row>
    <row r="460" ht="15.75" customHeight="1">
      <c r="F460" s="11"/>
      <c r="G460" s="12"/>
      <c r="H460" s="13"/>
      <c r="M460" s="4"/>
      <c r="N460" s="5"/>
      <c r="O460" s="4"/>
      <c r="P460" s="4"/>
      <c r="Q460" s="4"/>
      <c r="R460" s="4"/>
      <c r="S460" s="4"/>
    </row>
    <row r="461" ht="15.75" customHeight="1">
      <c r="F461" s="11"/>
      <c r="G461" s="12"/>
      <c r="H461" s="13"/>
      <c r="M461" s="4"/>
      <c r="N461" s="5"/>
      <c r="O461" s="4"/>
      <c r="P461" s="4"/>
      <c r="Q461" s="4"/>
      <c r="R461" s="4"/>
      <c r="S461" s="4"/>
    </row>
    <row r="462" ht="15.75" customHeight="1">
      <c r="F462" s="11"/>
      <c r="G462" s="12"/>
      <c r="H462" s="13"/>
      <c r="M462" s="4"/>
      <c r="N462" s="5"/>
      <c r="O462" s="4"/>
      <c r="P462" s="4"/>
      <c r="Q462" s="4"/>
      <c r="R462" s="4"/>
      <c r="S462" s="4"/>
    </row>
    <row r="463" ht="15.75" customHeight="1">
      <c r="F463" s="11"/>
      <c r="G463" s="12"/>
      <c r="H463" s="13"/>
      <c r="M463" s="4"/>
      <c r="N463" s="5"/>
      <c r="O463" s="4"/>
      <c r="P463" s="4"/>
      <c r="Q463" s="4"/>
      <c r="R463" s="4"/>
      <c r="S463" s="4"/>
    </row>
    <row r="464" ht="15.75" customHeight="1">
      <c r="F464" s="11"/>
      <c r="G464" s="12"/>
      <c r="H464" s="13"/>
      <c r="M464" s="4"/>
      <c r="N464" s="5"/>
      <c r="O464" s="4"/>
      <c r="P464" s="4"/>
      <c r="Q464" s="4"/>
      <c r="R464" s="4"/>
      <c r="S464" s="4"/>
    </row>
    <row r="465" ht="15.75" customHeight="1">
      <c r="F465" s="11"/>
      <c r="G465" s="12"/>
      <c r="H465" s="13"/>
      <c r="M465" s="4"/>
      <c r="N465" s="5"/>
      <c r="O465" s="4"/>
      <c r="P465" s="4"/>
      <c r="Q465" s="4"/>
      <c r="R465" s="4"/>
      <c r="S465" s="4"/>
    </row>
    <row r="466" ht="15.75" customHeight="1">
      <c r="F466" s="11"/>
      <c r="G466" s="12"/>
      <c r="H466" s="13"/>
      <c r="M466" s="4"/>
      <c r="N466" s="5"/>
      <c r="O466" s="4"/>
      <c r="P466" s="4"/>
      <c r="Q466" s="4"/>
      <c r="R466" s="4"/>
      <c r="S466" s="4"/>
    </row>
    <row r="467" ht="15.75" customHeight="1">
      <c r="F467" s="11"/>
      <c r="G467" s="12"/>
      <c r="H467" s="13"/>
      <c r="M467" s="4"/>
      <c r="N467" s="5"/>
      <c r="O467" s="4"/>
      <c r="P467" s="4"/>
      <c r="Q467" s="4"/>
      <c r="R467" s="4"/>
      <c r="S467" s="4"/>
    </row>
    <row r="468" ht="15.75" customHeight="1">
      <c r="F468" s="11"/>
      <c r="G468" s="12"/>
      <c r="H468" s="13"/>
      <c r="M468" s="4"/>
      <c r="N468" s="5"/>
      <c r="O468" s="4"/>
      <c r="P468" s="4"/>
      <c r="Q468" s="4"/>
      <c r="R468" s="4"/>
      <c r="S468" s="4"/>
    </row>
    <row r="469" ht="15.75" customHeight="1">
      <c r="F469" s="11"/>
      <c r="G469" s="12"/>
      <c r="H469" s="13"/>
      <c r="M469" s="4"/>
      <c r="N469" s="5"/>
      <c r="O469" s="4"/>
      <c r="P469" s="4"/>
      <c r="Q469" s="4"/>
      <c r="R469" s="4"/>
      <c r="S469" s="4"/>
    </row>
    <row r="470" ht="15.75" customHeight="1">
      <c r="F470" s="11"/>
      <c r="G470" s="12"/>
      <c r="H470" s="13"/>
      <c r="M470" s="4"/>
      <c r="N470" s="5"/>
      <c r="O470" s="4"/>
      <c r="P470" s="4"/>
      <c r="Q470" s="4"/>
      <c r="R470" s="4"/>
      <c r="S470" s="4"/>
    </row>
    <row r="471" ht="15.75" customHeight="1">
      <c r="F471" s="11"/>
      <c r="G471" s="12"/>
      <c r="H471" s="13"/>
      <c r="M471" s="4"/>
      <c r="N471" s="5"/>
      <c r="O471" s="4"/>
      <c r="P471" s="4"/>
      <c r="Q471" s="4"/>
      <c r="R471" s="4"/>
      <c r="S471" s="4"/>
    </row>
    <row r="472" ht="15.75" customHeight="1">
      <c r="F472" s="11"/>
      <c r="G472" s="12"/>
      <c r="H472" s="13"/>
      <c r="M472" s="4"/>
      <c r="N472" s="5"/>
      <c r="O472" s="4"/>
      <c r="P472" s="4"/>
      <c r="Q472" s="4"/>
      <c r="R472" s="4"/>
      <c r="S472" s="4"/>
    </row>
    <row r="473" ht="15.75" customHeight="1">
      <c r="F473" s="11"/>
      <c r="G473" s="12"/>
      <c r="H473" s="13"/>
      <c r="M473" s="4"/>
      <c r="N473" s="5"/>
      <c r="O473" s="4"/>
      <c r="P473" s="4"/>
      <c r="Q473" s="4"/>
      <c r="R473" s="4"/>
      <c r="S473" s="4"/>
    </row>
    <row r="474" ht="15.75" customHeight="1">
      <c r="F474" s="11"/>
      <c r="G474" s="12"/>
      <c r="H474" s="13"/>
      <c r="M474" s="4"/>
      <c r="N474" s="5"/>
      <c r="O474" s="4"/>
      <c r="P474" s="4"/>
      <c r="Q474" s="4"/>
      <c r="R474" s="4"/>
      <c r="S474" s="4"/>
    </row>
    <row r="475" ht="15.75" customHeight="1">
      <c r="F475" s="11"/>
      <c r="G475" s="12"/>
      <c r="H475" s="13"/>
      <c r="M475" s="4"/>
      <c r="N475" s="5"/>
      <c r="O475" s="4"/>
      <c r="P475" s="4"/>
      <c r="Q475" s="4"/>
      <c r="R475" s="4"/>
      <c r="S475" s="4"/>
    </row>
    <row r="476" ht="15.75" customHeight="1">
      <c r="F476" s="11"/>
      <c r="G476" s="12"/>
      <c r="H476" s="13"/>
      <c r="M476" s="4"/>
      <c r="N476" s="5"/>
      <c r="O476" s="4"/>
      <c r="P476" s="4"/>
      <c r="Q476" s="4"/>
      <c r="R476" s="4"/>
      <c r="S476" s="4"/>
    </row>
    <row r="477" ht="15.75" customHeight="1">
      <c r="F477" s="11"/>
      <c r="G477" s="12"/>
      <c r="H477" s="13"/>
      <c r="M477" s="4"/>
      <c r="N477" s="5"/>
      <c r="O477" s="4"/>
      <c r="P477" s="4"/>
      <c r="Q477" s="4"/>
      <c r="R477" s="4"/>
      <c r="S477" s="4"/>
    </row>
    <row r="478" ht="15.75" customHeight="1">
      <c r="F478" s="11"/>
      <c r="G478" s="12"/>
      <c r="H478" s="13"/>
      <c r="M478" s="4"/>
      <c r="N478" s="5"/>
      <c r="O478" s="4"/>
      <c r="P478" s="4"/>
      <c r="Q478" s="4"/>
      <c r="R478" s="4"/>
      <c r="S478" s="4"/>
    </row>
    <row r="479" ht="15.75" customHeight="1">
      <c r="F479" s="11"/>
      <c r="G479" s="12"/>
      <c r="H479" s="13"/>
      <c r="M479" s="4"/>
      <c r="N479" s="5"/>
      <c r="O479" s="4"/>
      <c r="P479" s="4"/>
      <c r="Q479" s="4"/>
      <c r="R479" s="4"/>
      <c r="S479" s="4"/>
    </row>
    <row r="480" ht="15.75" customHeight="1">
      <c r="F480" s="11"/>
      <c r="G480" s="12"/>
      <c r="H480" s="13"/>
      <c r="M480" s="4"/>
      <c r="N480" s="5"/>
      <c r="O480" s="4"/>
      <c r="P480" s="4"/>
      <c r="Q480" s="4"/>
      <c r="R480" s="4"/>
      <c r="S480" s="4"/>
    </row>
    <row r="481" ht="15.75" customHeight="1">
      <c r="F481" s="11"/>
      <c r="G481" s="12"/>
      <c r="H481" s="13"/>
      <c r="M481" s="4"/>
      <c r="N481" s="5"/>
      <c r="O481" s="4"/>
      <c r="P481" s="4"/>
      <c r="Q481" s="4"/>
      <c r="R481" s="4"/>
      <c r="S481" s="4"/>
    </row>
    <row r="482" ht="15.75" customHeight="1">
      <c r="F482" s="11"/>
      <c r="G482" s="12"/>
      <c r="H482" s="13"/>
      <c r="M482" s="4"/>
      <c r="N482" s="5"/>
      <c r="O482" s="4"/>
      <c r="P482" s="4"/>
      <c r="Q482" s="4"/>
      <c r="R482" s="4"/>
      <c r="S482" s="4"/>
    </row>
    <row r="483" ht="15.75" customHeight="1">
      <c r="F483" s="11"/>
      <c r="G483" s="12"/>
      <c r="H483" s="13"/>
      <c r="M483" s="4"/>
      <c r="N483" s="5"/>
      <c r="O483" s="4"/>
      <c r="P483" s="4"/>
      <c r="Q483" s="4"/>
      <c r="R483" s="4"/>
      <c r="S483" s="4"/>
    </row>
    <row r="484" ht="15.75" customHeight="1">
      <c r="F484" s="11"/>
      <c r="G484" s="12"/>
      <c r="H484" s="13"/>
      <c r="M484" s="4"/>
      <c r="N484" s="5"/>
      <c r="O484" s="4"/>
      <c r="P484" s="4"/>
      <c r="Q484" s="4"/>
      <c r="R484" s="4"/>
      <c r="S484" s="4"/>
    </row>
    <row r="485" ht="15.75" customHeight="1">
      <c r="F485" s="11"/>
      <c r="G485" s="12"/>
      <c r="H485" s="13"/>
      <c r="M485" s="4"/>
      <c r="N485" s="5"/>
      <c r="O485" s="4"/>
      <c r="P485" s="4"/>
      <c r="Q485" s="4"/>
      <c r="R485" s="4"/>
      <c r="S485" s="4"/>
    </row>
    <row r="486" ht="15.75" customHeight="1">
      <c r="F486" s="11"/>
      <c r="G486" s="12"/>
      <c r="H486" s="13"/>
      <c r="M486" s="4"/>
      <c r="N486" s="5"/>
      <c r="O486" s="4"/>
      <c r="P486" s="4"/>
      <c r="Q486" s="4"/>
      <c r="R486" s="4"/>
      <c r="S486" s="4"/>
    </row>
    <row r="487" ht="15.75" customHeight="1">
      <c r="F487" s="11"/>
      <c r="G487" s="12"/>
      <c r="H487" s="13"/>
      <c r="M487" s="4"/>
      <c r="N487" s="5"/>
      <c r="O487" s="4"/>
      <c r="P487" s="4"/>
      <c r="Q487" s="4"/>
      <c r="R487" s="4"/>
      <c r="S487" s="4"/>
    </row>
    <row r="488" ht="15.75" customHeight="1">
      <c r="F488" s="11"/>
      <c r="G488" s="12"/>
      <c r="H488" s="13"/>
      <c r="M488" s="4"/>
      <c r="N488" s="5"/>
      <c r="O488" s="4"/>
      <c r="P488" s="4"/>
      <c r="Q488" s="4"/>
      <c r="R488" s="4"/>
      <c r="S488" s="4"/>
    </row>
    <row r="489" ht="15.75" customHeight="1">
      <c r="F489" s="11"/>
      <c r="G489" s="12"/>
      <c r="H489" s="13"/>
      <c r="M489" s="4"/>
      <c r="N489" s="5"/>
      <c r="O489" s="4"/>
      <c r="P489" s="4"/>
      <c r="Q489" s="4"/>
      <c r="R489" s="4"/>
      <c r="S489" s="4"/>
    </row>
    <row r="490" ht="15.75" customHeight="1">
      <c r="F490" s="11"/>
      <c r="G490" s="12"/>
      <c r="H490" s="13"/>
      <c r="M490" s="4"/>
      <c r="N490" s="5"/>
      <c r="O490" s="4"/>
      <c r="P490" s="4"/>
      <c r="Q490" s="4"/>
      <c r="R490" s="4"/>
      <c r="S490" s="4"/>
    </row>
    <row r="491" ht="15.75" customHeight="1">
      <c r="F491" s="11"/>
      <c r="G491" s="12"/>
      <c r="H491" s="13"/>
      <c r="M491" s="4"/>
      <c r="N491" s="5"/>
      <c r="O491" s="4"/>
      <c r="P491" s="4"/>
      <c r="Q491" s="4"/>
      <c r="R491" s="4"/>
      <c r="S491" s="4"/>
    </row>
    <row r="492" ht="15.75" customHeight="1">
      <c r="F492" s="11"/>
      <c r="G492" s="12"/>
      <c r="H492" s="13"/>
      <c r="M492" s="4"/>
      <c r="N492" s="5"/>
      <c r="O492" s="4"/>
      <c r="P492" s="4"/>
      <c r="Q492" s="4"/>
      <c r="R492" s="4"/>
      <c r="S492" s="4"/>
    </row>
    <row r="493" ht="15.75" customHeight="1">
      <c r="F493" s="11"/>
      <c r="G493" s="12"/>
      <c r="H493" s="13"/>
      <c r="M493" s="4"/>
      <c r="N493" s="5"/>
      <c r="O493" s="4"/>
      <c r="P493" s="4"/>
      <c r="Q493" s="4"/>
      <c r="R493" s="4"/>
      <c r="S493" s="4"/>
    </row>
    <row r="494" ht="15.75" customHeight="1">
      <c r="F494" s="11"/>
      <c r="G494" s="12"/>
      <c r="H494" s="13"/>
      <c r="M494" s="4"/>
      <c r="N494" s="5"/>
      <c r="O494" s="4"/>
      <c r="P494" s="4"/>
      <c r="Q494" s="4"/>
      <c r="R494" s="4"/>
      <c r="S494" s="4"/>
    </row>
    <row r="495" ht="15.75" customHeight="1">
      <c r="F495" s="11"/>
      <c r="G495" s="12"/>
      <c r="H495" s="13"/>
      <c r="M495" s="4"/>
      <c r="N495" s="5"/>
      <c r="O495" s="4"/>
      <c r="P495" s="4"/>
      <c r="Q495" s="4"/>
      <c r="R495" s="4"/>
      <c r="S495" s="4"/>
    </row>
    <row r="496" ht="15.75" customHeight="1">
      <c r="F496" s="11"/>
      <c r="G496" s="12"/>
      <c r="H496" s="13"/>
      <c r="M496" s="4"/>
      <c r="N496" s="5"/>
      <c r="O496" s="4"/>
      <c r="P496" s="4"/>
      <c r="Q496" s="4"/>
      <c r="R496" s="4"/>
      <c r="S496" s="4"/>
    </row>
    <row r="497" ht="15.75" customHeight="1">
      <c r="F497" s="11"/>
      <c r="G497" s="12"/>
      <c r="H497" s="13"/>
      <c r="M497" s="4"/>
      <c r="N497" s="5"/>
      <c r="O497" s="4"/>
      <c r="P497" s="4"/>
      <c r="Q497" s="4"/>
      <c r="R497" s="4"/>
      <c r="S497" s="4"/>
    </row>
    <row r="498" ht="15.75" customHeight="1">
      <c r="F498" s="11"/>
      <c r="G498" s="12"/>
      <c r="H498" s="13"/>
      <c r="M498" s="4"/>
      <c r="N498" s="5"/>
      <c r="O498" s="4"/>
      <c r="P498" s="4"/>
      <c r="Q498" s="4"/>
      <c r="R498" s="4"/>
      <c r="S498" s="4"/>
    </row>
    <row r="499" ht="15.75" customHeight="1">
      <c r="F499" s="11"/>
      <c r="G499" s="12"/>
      <c r="H499" s="13"/>
      <c r="M499" s="4"/>
      <c r="N499" s="5"/>
      <c r="O499" s="4"/>
      <c r="P499" s="4"/>
      <c r="Q499" s="4"/>
      <c r="R499" s="4"/>
      <c r="S499" s="4"/>
    </row>
    <row r="500" ht="15.75" customHeight="1">
      <c r="F500" s="11"/>
      <c r="G500" s="12"/>
      <c r="H500" s="13"/>
      <c r="M500" s="4"/>
      <c r="N500" s="5"/>
      <c r="O500" s="4"/>
      <c r="P500" s="4"/>
      <c r="Q500" s="4"/>
      <c r="R500" s="4"/>
      <c r="S500" s="4"/>
    </row>
    <row r="501" ht="15.75" customHeight="1">
      <c r="F501" s="11"/>
      <c r="G501" s="12"/>
      <c r="H501" s="13"/>
      <c r="M501" s="4"/>
      <c r="N501" s="5"/>
      <c r="O501" s="4"/>
      <c r="P501" s="4"/>
      <c r="Q501" s="4"/>
      <c r="R501" s="4"/>
      <c r="S501" s="4"/>
    </row>
    <row r="502" ht="15.75" customHeight="1">
      <c r="F502" s="11"/>
      <c r="G502" s="12"/>
      <c r="H502" s="13"/>
      <c r="M502" s="4"/>
      <c r="N502" s="5"/>
      <c r="O502" s="4"/>
      <c r="P502" s="4"/>
      <c r="Q502" s="4"/>
      <c r="R502" s="4"/>
      <c r="S502" s="4"/>
    </row>
    <row r="503" ht="15.75" customHeight="1">
      <c r="F503" s="11"/>
      <c r="G503" s="12"/>
      <c r="H503" s="13"/>
      <c r="M503" s="4"/>
      <c r="N503" s="5"/>
      <c r="O503" s="4"/>
      <c r="P503" s="4"/>
      <c r="Q503" s="4"/>
      <c r="R503" s="4"/>
      <c r="S503" s="4"/>
    </row>
    <row r="504" ht="15.75" customHeight="1">
      <c r="F504" s="11"/>
      <c r="G504" s="12"/>
      <c r="H504" s="13"/>
      <c r="M504" s="4"/>
      <c r="N504" s="5"/>
      <c r="O504" s="4"/>
      <c r="P504" s="4"/>
      <c r="Q504" s="4"/>
      <c r="R504" s="4"/>
      <c r="S504" s="4"/>
    </row>
    <row r="505" ht="15.75" customHeight="1">
      <c r="F505" s="11"/>
      <c r="G505" s="12"/>
      <c r="H505" s="13"/>
      <c r="M505" s="4"/>
      <c r="N505" s="5"/>
      <c r="O505" s="4"/>
      <c r="P505" s="4"/>
      <c r="Q505" s="4"/>
      <c r="R505" s="4"/>
      <c r="S505" s="4"/>
    </row>
    <row r="506" ht="15.75" customHeight="1">
      <c r="F506" s="11"/>
      <c r="G506" s="12"/>
      <c r="H506" s="13"/>
      <c r="M506" s="4"/>
      <c r="N506" s="5"/>
      <c r="O506" s="4"/>
      <c r="P506" s="4"/>
      <c r="Q506" s="4"/>
      <c r="R506" s="4"/>
      <c r="S506" s="4"/>
    </row>
    <row r="507" ht="15.75" customHeight="1">
      <c r="F507" s="11"/>
      <c r="G507" s="12"/>
      <c r="H507" s="13"/>
      <c r="M507" s="4"/>
      <c r="N507" s="5"/>
      <c r="O507" s="4"/>
      <c r="P507" s="4"/>
      <c r="Q507" s="4"/>
      <c r="R507" s="4"/>
      <c r="S507" s="4"/>
    </row>
    <row r="508" ht="15.75" customHeight="1">
      <c r="F508" s="11"/>
      <c r="G508" s="12"/>
      <c r="H508" s="13"/>
      <c r="M508" s="4"/>
      <c r="N508" s="5"/>
      <c r="O508" s="4"/>
      <c r="P508" s="4"/>
      <c r="Q508" s="4"/>
      <c r="R508" s="4"/>
      <c r="S508" s="4"/>
    </row>
    <row r="509" ht="15.75" customHeight="1">
      <c r="F509" s="11"/>
      <c r="G509" s="12"/>
      <c r="H509" s="13"/>
      <c r="M509" s="4"/>
      <c r="N509" s="5"/>
      <c r="O509" s="4"/>
      <c r="P509" s="4"/>
      <c r="Q509" s="4"/>
      <c r="R509" s="4"/>
      <c r="S509" s="4"/>
    </row>
    <row r="510" ht="15.75" customHeight="1">
      <c r="F510" s="11"/>
      <c r="G510" s="12"/>
      <c r="H510" s="13"/>
      <c r="M510" s="4"/>
      <c r="N510" s="5"/>
      <c r="O510" s="4"/>
      <c r="P510" s="4"/>
      <c r="Q510" s="4"/>
      <c r="R510" s="4"/>
      <c r="S510" s="4"/>
    </row>
    <row r="511" ht="15.75" customHeight="1">
      <c r="F511" s="11"/>
      <c r="G511" s="12"/>
      <c r="H511" s="13"/>
      <c r="M511" s="4"/>
      <c r="N511" s="5"/>
      <c r="O511" s="4"/>
      <c r="P511" s="4"/>
      <c r="Q511" s="4"/>
      <c r="R511" s="4"/>
      <c r="S511" s="4"/>
    </row>
    <row r="512" ht="15.75" customHeight="1">
      <c r="F512" s="11"/>
      <c r="G512" s="12"/>
      <c r="H512" s="13"/>
      <c r="M512" s="4"/>
      <c r="N512" s="5"/>
      <c r="O512" s="4"/>
      <c r="P512" s="4"/>
      <c r="Q512" s="4"/>
      <c r="R512" s="4"/>
      <c r="S512" s="4"/>
    </row>
    <row r="513" ht="15.75" customHeight="1">
      <c r="F513" s="11"/>
      <c r="G513" s="12"/>
      <c r="H513" s="13"/>
      <c r="M513" s="4"/>
      <c r="N513" s="5"/>
      <c r="O513" s="4"/>
      <c r="P513" s="4"/>
      <c r="Q513" s="4"/>
      <c r="R513" s="4"/>
      <c r="S513" s="4"/>
    </row>
    <row r="514" ht="15.75" customHeight="1">
      <c r="F514" s="11"/>
      <c r="G514" s="12"/>
      <c r="H514" s="13"/>
      <c r="M514" s="4"/>
      <c r="N514" s="5"/>
      <c r="O514" s="4"/>
      <c r="P514" s="4"/>
      <c r="Q514" s="4"/>
      <c r="R514" s="4"/>
      <c r="S514" s="4"/>
    </row>
    <row r="515" ht="15.75" customHeight="1">
      <c r="F515" s="11"/>
      <c r="G515" s="12"/>
      <c r="H515" s="13"/>
      <c r="M515" s="4"/>
      <c r="N515" s="5"/>
      <c r="O515" s="4"/>
      <c r="P515" s="4"/>
      <c r="Q515" s="4"/>
      <c r="R515" s="4"/>
      <c r="S515" s="4"/>
    </row>
    <row r="516" ht="15.75" customHeight="1">
      <c r="F516" s="11"/>
      <c r="G516" s="12"/>
      <c r="H516" s="13"/>
      <c r="M516" s="4"/>
      <c r="N516" s="5"/>
      <c r="O516" s="4"/>
      <c r="P516" s="4"/>
      <c r="Q516" s="4"/>
      <c r="R516" s="4"/>
      <c r="S516" s="4"/>
    </row>
    <row r="517" ht="15.75" customHeight="1">
      <c r="F517" s="11"/>
      <c r="G517" s="12"/>
      <c r="H517" s="13"/>
      <c r="M517" s="4"/>
      <c r="N517" s="5"/>
      <c r="O517" s="4"/>
      <c r="P517" s="4"/>
      <c r="Q517" s="4"/>
      <c r="R517" s="4"/>
      <c r="S517" s="4"/>
    </row>
    <row r="518" ht="15.75" customHeight="1">
      <c r="F518" s="11"/>
      <c r="G518" s="12"/>
      <c r="H518" s="13"/>
      <c r="M518" s="4"/>
      <c r="N518" s="5"/>
      <c r="O518" s="4"/>
      <c r="P518" s="4"/>
      <c r="Q518" s="4"/>
      <c r="R518" s="4"/>
      <c r="S518" s="4"/>
    </row>
    <row r="519" ht="15.75" customHeight="1">
      <c r="F519" s="11"/>
      <c r="G519" s="12"/>
      <c r="H519" s="13"/>
      <c r="M519" s="4"/>
      <c r="N519" s="5"/>
      <c r="O519" s="4"/>
      <c r="P519" s="4"/>
      <c r="Q519" s="4"/>
      <c r="R519" s="4"/>
      <c r="S519" s="4"/>
    </row>
    <row r="520" ht="15.75" customHeight="1">
      <c r="F520" s="11"/>
      <c r="G520" s="12"/>
      <c r="H520" s="13"/>
      <c r="M520" s="4"/>
      <c r="N520" s="5"/>
      <c r="O520" s="4"/>
      <c r="P520" s="4"/>
      <c r="Q520" s="4"/>
      <c r="R520" s="4"/>
      <c r="S520" s="4"/>
    </row>
    <row r="521" ht="15.75" customHeight="1">
      <c r="F521" s="11"/>
      <c r="G521" s="12"/>
      <c r="H521" s="13"/>
      <c r="M521" s="4"/>
      <c r="N521" s="5"/>
      <c r="O521" s="4"/>
      <c r="P521" s="4"/>
      <c r="Q521" s="4"/>
      <c r="R521" s="4"/>
      <c r="S521" s="4"/>
    </row>
    <row r="522" ht="15.75" customHeight="1">
      <c r="F522" s="11"/>
      <c r="G522" s="12"/>
      <c r="H522" s="13"/>
      <c r="M522" s="4"/>
      <c r="N522" s="5"/>
      <c r="O522" s="4"/>
      <c r="P522" s="4"/>
      <c r="Q522" s="4"/>
      <c r="R522" s="4"/>
      <c r="S522" s="4"/>
    </row>
    <row r="523" ht="15.75" customHeight="1">
      <c r="F523" s="11"/>
      <c r="G523" s="12"/>
      <c r="H523" s="13"/>
      <c r="M523" s="4"/>
      <c r="N523" s="5"/>
      <c r="O523" s="4"/>
      <c r="P523" s="4"/>
      <c r="Q523" s="4"/>
      <c r="R523" s="4"/>
      <c r="S523" s="4"/>
    </row>
    <row r="524" ht="15.75" customHeight="1">
      <c r="F524" s="11"/>
      <c r="G524" s="12"/>
      <c r="H524" s="13"/>
      <c r="M524" s="4"/>
      <c r="N524" s="5"/>
      <c r="O524" s="4"/>
      <c r="P524" s="4"/>
      <c r="Q524" s="4"/>
      <c r="R524" s="4"/>
      <c r="S524" s="4"/>
    </row>
    <row r="525" ht="15.75" customHeight="1">
      <c r="F525" s="11"/>
      <c r="G525" s="12"/>
      <c r="H525" s="13"/>
      <c r="M525" s="4"/>
      <c r="N525" s="5"/>
      <c r="O525" s="4"/>
      <c r="P525" s="4"/>
      <c r="Q525" s="4"/>
      <c r="R525" s="4"/>
      <c r="S525" s="4"/>
    </row>
    <row r="526" ht="15.75" customHeight="1">
      <c r="F526" s="11"/>
      <c r="G526" s="12"/>
      <c r="H526" s="13"/>
      <c r="M526" s="4"/>
      <c r="N526" s="5"/>
      <c r="O526" s="4"/>
      <c r="P526" s="4"/>
      <c r="Q526" s="4"/>
      <c r="R526" s="4"/>
      <c r="S526" s="4"/>
    </row>
    <row r="527" ht="15.75" customHeight="1">
      <c r="F527" s="11"/>
      <c r="G527" s="12"/>
      <c r="H527" s="13"/>
      <c r="M527" s="4"/>
      <c r="N527" s="5"/>
      <c r="O527" s="4"/>
      <c r="P527" s="4"/>
      <c r="Q527" s="4"/>
      <c r="R527" s="4"/>
      <c r="S527" s="4"/>
    </row>
    <row r="528" ht="15.75" customHeight="1">
      <c r="F528" s="11"/>
      <c r="G528" s="12"/>
      <c r="H528" s="13"/>
      <c r="M528" s="4"/>
      <c r="N528" s="5"/>
      <c r="O528" s="4"/>
      <c r="P528" s="4"/>
      <c r="Q528" s="4"/>
      <c r="R528" s="4"/>
      <c r="S528" s="4"/>
    </row>
    <row r="529" ht="15.75" customHeight="1">
      <c r="F529" s="11"/>
      <c r="G529" s="12"/>
      <c r="H529" s="13"/>
      <c r="M529" s="4"/>
      <c r="N529" s="5"/>
      <c r="O529" s="4"/>
      <c r="P529" s="4"/>
      <c r="Q529" s="4"/>
      <c r="R529" s="4"/>
      <c r="S529" s="4"/>
    </row>
    <row r="530" ht="15.75" customHeight="1">
      <c r="F530" s="11"/>
      <c r="G530" s="12"/>
      <c r="H530" s="13"/>
      <c r="M530" s="4"/>
      <c r="N530" s="5"/>
      <c r="O530" s="4"/>
      <c r="P530" s="4"/>
      <c r="Q530" s="4"/>
      <c r="R530" s="4"/>
      <c r="S530" s="4"/>
    </row>
    <row r="531" ht="15.75" customHeight="1">
      <c r="F531" s="11"/>
      <c r="G531" s="12"/>
      <c r="H531" s="13"/>
      <c r="M531" s="4"/>
      <c r="N531" s="5"/>
      <c r="O531" s="4"/>
      <c r="P531" s="4"/>
      <c r="Q531" s="4"/>
      <c r="R531" s="4"/>
      <c r="S531" s="4"/>
    </row>
    <row r="532" ht="15.75" customHeight="1">
      <c r="F532" s="11"/>
      <c r="G532" s="12"/>
      <c r="H532" s="13"/>
      <c r="M532" s="4"/>
      <c r="N532" s="5"/>
      <c r="O532" s="4"/>
      <c r="P532" s="4"/>
      <c r="Q532" s="4"/>
      <c r="R532" s="4"/>
      <c r="S532" s="4"/>
    </row>
    <row r="533" ht="15.75" customHeight="1">
      <c r="F533" s="11"/>
      <c r="G533" s="12"/>
      <c r="H533" s="13"/>
      <c r="M533" s="4"/>
      <c r="N533" s="5"/>
      <c r="O533" s="4"/>
      <c r="P533" s="4"/>
      <c r="Q533" s="4"/>
      <c r="R533" s="4"/>
      <c r="S533" s="4"/>
    </row>
    <row r="534" ht="15.75" customHeight="1">
      <c r="F534" s="11"/>
      <c r="G534" s="12"/>
      <c r="H534" s="13"/>
      <c r="M534" s="4"/>
      <c r="N534" s="5"/>
      <c r="O534" s="4"/>
      <c r="P534" s="4"/>
      <c r="Q534" s="4"/>
      <c r="R534" s="4"/>
      <c r="S534" s="4"/>
    </row>
    <row r="535" ht="15.75" customHeight="1">
      <c r="F535" s="11"/>
      <c r="G535" s="12"/>
      <c r="H535" s="13"/>
      <c r="M535" s="4"/>
      <c r="N535" s="5"/>
      <c r="O535" s="4"/>
      <c r="P535" s="4"/>
      <c r="Q535" s="4"/>
      <c r="R535" s="4"/>
      <c r="S535" s="4"/>
    </row>
    <row r="536" ht="15.75" customHeight="1">
      <c r="F536" s="11"/>
      <c r="G536" s="12"/>
      <c r="H536" s="13"/>
      <c r="M536" s="4"/>
      <c r="N536" s="5"/>
      <c r="O536" s="4"/>
      <c r="P536" s="4"/>
      <c r="Q536" s="4"/>
      <c r="R536" s="4"/>
      <c r="S536" s="4"/>
    </row>
    <row r="537" ht="15.75" customHeight="1">
      <c r="F537" s="11"/>
      <c r="G537" s="12"/>
      <c r="H537" s="13"/>
      <c r="M537" s="4"/>
      <c r="N537" s="5"/>
      <c r="O537" s="4"/>
      <c r="P537" s="4"/>
      <c r="Q537" s="4"/>
      <c r="R537" s="4"/>
      <c r="S537" s="4"/>
    </row>
    <row r="538" ht="15.75" customHeight="1">
      <c r="F538" s="11"/>
      <c r="G538" s="12"/>
      <c r="H538" s="13"/>
      <c r="M538" s="4"/>
      <c r="N538" s="5"/>
      <c r="O538" s="4"/>
      <c r="P538" s="4"/>
      <c r="Q538" s="4"/>
      <c r="R538" s="4"/>
      <c r="S538" s="4"/>
    </row>
    <row r="539" ht="15.75" customHeight="1">
      <c r="F539" s="11"/>
      <c r="G539" s="12"/>
      <c r="H539" s="13"/>
      <c r="M539" s="4"/>
      <c r="N539" s="5"/>
      <c r="O539" s="4"/>
      <c r="P539" s="4"/>
      <c r="Q539" s="4"/>
      <c r="R539" s="4"/>
      <c r="S539" s="4"/>
    </row>
    <row r="540" ht="15.75" customHeight="1">
      <c r="F540" s="11"/>
      <c r="G540" s="12"/>
      <c r="H540" s="13"/>
      <c r="M540" s="4"/>
      <c r="N540" s="5"/>
      <c r="O540" s="4"/>
      <c r="P540" s="4"/>
      <c r="Q540" s="4"/>
      <c r="R540" s="4"/>
      <c r="S540" s="4"/>
    </row>
    <row r="541" ht="15.75" customHeight="1">
      <c r="F541" s="11"/>
      <c r="G541" s="12"/>
      <c r="H541" s="13"/>
      <c r="M541" s="4"/>
      <c r="N541" s="5"/>
      <c r="O541" s="4"/>
      <c r="P541" s="4"/>
      <c r="Q541" s="4"/>
      <c r="R541" s="4"/>
      <c r="S541" s="4"/>
    </row>
    <row r="542" ht="15.75" customHeight="1">
      <c r="F542" s="11"/>
      <c r="G542" s="12"/>
      <c r="H542" s="13"/>
      <c r="M542" s="4"/>
      <c r="N542" s="5"/>
      <c r="O542" s="4"/>
      <c r="P542" s="4"/>
      <c r="Q542" s="4"/>
      <c r="R542" s="4"/>
      <c r="S542" s="4"/>
    </row>
    <row r="543" ht="15.75" customHeight="1">
      <c r="F543" s="11"/>
      <c r="G543" s="12"/>
      <c r="H543" s="13"/>
      <c r="M543" s="4"/>
      <c r="N543" s="5"/>
      <c r="O543" s="4"/>
      <c r="P543" s="4"/>
      <c r="Q543" s="4"/>
      <c r="R543" s="4"/>
      <c r="S543" s="4"/>
    </row>
    <row r="544" ht="15.75" customHeight="1">
      <c r="F544" s="11"/>
      <c r="G544" s="12"/>
      <c r="H544" s="13"/>
      <c r="M544" s="4"/>
      <c r="N544" s="5"/>
      <c r="O544" s="4"/>
      <c r="P544" s="4"/>
      <c r="Q544" s="4"/>
      <c r="R544" s="4"/>
      <c r="S544" s="4"/>
    </row>
    <row r="545" ht="15.75" customHeight="1">
      <c r="F545" s="11"/>
      <c r="G545" s="12"/>
      <c r="H545" s="13"/>
      <c r="M545" s="4"/>
      <c r="N545" s="5"/>
      <c r="O545" s="4"/>
      <c r="P545" s="4"/>
      <c r="Q545" s="4"/>
      <c r="R545" s="4"/>
      <c r="S545" s="4"/>
    </row>
    <row r="546" ht="15.75" customHeight="1">
      <c r="F546" s="11"/>
      <c r="G546" s="12"/>
      <c r="H546" s="13"/>
      <c r="M546" s="4"/>
      <c r="N546" s="5"/>
      <c r="O546" s="4"/>
      <c r="P546" s="4"/>
      <c r="Q546" s="4"/>
      <c r="R546" s="4"/>
      <c r="S546" s="4"/>
    </row>
    <row r="547" ht="15.75" customHeight="1">
      <c r="F547" s="11"/>
      <c r="G547" s="12"/>
      <c r="H547" s="13"/>
      <c r="M547" s="4"/>
      <c r="N547" s="5"/>
      <c r="O547" s="4"/>
      <c r="P547" s="4"/>
      <c r="Q547" s="4"/>
      <c r="R547" s="4"/>
      <c r="S547" s="4"/>
    </row>
    <row r="548" ht="15.75" customHeight="1">
      <c r="F548" s="11"/>
      <c r="G548" s="12"/>
      <c r="H548" s="13"/>
      <c r="M548" s="4"/>
      <c r="N548" s="5"/>
      <c r="O548" s="4"/>
      <c r="P548" s="4"/>
      <c r="Q548" s="4"/>
      <c r="R548" s="4"/>
      <c r="S548" s="4"/>
    </row>
    <row r="549" ht="15.75" customHeight="1">
      <c r="F549" s="11"/>
      <c r="G549" s="12"/>
      <c r="H549" s="13"/>
      <c r="M549" s="4"/>
      <c r="N549" s="5"/>
      <c r="O549" s="4"/>
      <c r="P549" s="4"/>
      <c r="Q549" s="4"/>
      <c r="R549" s="4"/>
      <c r="S549" s="4"/>
    </row>
    <row r="550" ht="15.75" customHeight="1">
      <c r="F550" s="11"/>
      <c r="G550" s="12"/>
      <c r="H550" s="13"/>
      <c r="M550" s="4"/>
      <c r="N550" s="5"/>
      <c r="O550" s="4"/>
      <c r="P550" s="4"/>
      <c r="Q550" s="4"/>
      <c r="R550" s="4"/>
      <c r="S550" s="4"/>
    </row>
    <row r="551" ht="15.75" customHeight="1">
      <c r="F551" s="11"/>
      <c r="G551" s="12"/>
      <c r="H551" s="13"/>
      <c r="M551" s="4"/>
      <c r="N551" s="5"/>
      <c r="O551" s="4"/>
      <c r="P551" s="4"/>
      <c r="Q551" s="4"/>
      <c r="R551" s="4"/>
      <c r="S551" s="4"/>
    </row>
    <row r="552" ht="15.75" customHeight="1">
      <c r="F552" s="11"/>
      <c r="G552" s="12"/>
      <c r="H552" s="13"/>
      <c r="M552" s="4"/>
      <c r="N552" s="5"/>
      <c r="O552" s="4"/>
      <c r="P552" s="4"/>
      <c r="Q552" s="4"/>
      <c r="R552" s="4"/>
      <c r="S552" s="4"/>
    </row>
    <row r="553" ht="15.75" customHeight="1">
      <c r="F553" s="11"/>
      <c r="G553" s="12"/>
      <c r="H553" s="13"/>
      <c r="M553" s="4"/>
      <c r="N553" s="5"/>
      <c r="O553" s="4"/>
      <c r="P553" s="4"/>
      <c r="Q553" s="4"/>
      <c r="R553" s="4"/>
      <c r="S553" s="4"/>
    </row>
    <row r="554" ht="15.75" customHeight="1">
      <c r="F554" s="11"/>
      <c r="G554" s="12"/>
      <c r="H554" s="13"/>
      <c r="M554" s="4"/>
      <c r="N554" s="5"/>
      <c r="O554" s="4"/>
      <c r="P554" s="4"/>
      <c r="Q554" s="4"/>
      <c r="R554" s="4"/>
      <c r="S554" s="4"/>
    </row>
    <row r="555" ht="15.75" customHeight="1">
      <c r="F555" s="11"/>
      <c r="G555" s="12"/>
      <c r="H555" s="13"/>
      <c r="M555" s="4"/>
      <c r="N555" s="5"/>
      <c r="O555" s="4"/>
      <c r="P555" s="4"/>
      <c r="Q555" s="4"/>
      <c r="R555" s="4"/>
      <c r="S555" s="4"/>
    </row>
    <row r="556" ht="15.75" customHeight="1">
      <c r="F556" s="11"/>
      <c r="G556" s="12"/>
      <c r="H556" s="13"/>
      <c r="M556" s="4"/>
      <c r="N556" s="5"/>
      <c r="O556" s="4"/>
      <c r="P556" s="4"/>
      <c r="Q556" s="4"/>
      <c r="R556" s="4"/>
      <c r="S556" s="4"/>
    </row>
    <row r="557" ht="15.75" customHeight="1">
      <c r="F557" s="11"/>
      <c r="G557" s="12"/>
      <c r="H557" s="13"/>
      <c r="M557" s="4"/>
      <c r="N557" s="5"/>
      <c r="O557" s="4"/>
      <c r="P557" s="4"/>
      <c r="Q557" s="4"/>
      <c r="R557" s="4"/>
      <c r="S557" s="4"/>
    </row>
    <row r="558" ht="15.75" customHeight="1">
      <c r="F558" s="11"/>
      <c r="G558" s="12"/>
      <c r="H558" s="13"/>
      <c r="M558" s="4"/>
      <c r="N558" s="5"/>
      <c r="O558" s="4"/>
      <c r="P558" s="4"/>
      <c r="Q558" s="4"/>
      <c r="R558" s="4"/>
      <c r="S558" s="4"/>
    </row>
    <row r="559" ht="15.75" customHeight="1">
      <c r="F559" s="11"/>
      <c r="G559" s="12"/>
      <c r="H559" s="13"/>
      <c r="M559" s="4"/>
      <c r="N559" s="5"/>
      <c r="O559" s="4"/>
      <c r="P559" s="4"/>
      <c r="Q559" s="4"/>
      <c r="R559" s="4"/>
      <c r="S559" s="4"/>
    </row>
    <row r="560" ht="15.75" customHeight="1">
      <c r="F560" s="11"/>
      <c r="G560" s="12"/>
      <c r="H560" s="13"/>
      <c r="M560" s="4"/>
      <c r="N560" s="5"/>
      <c r="O560" s="4"/>
      <c r="P560" s="4"/>
      <c r="Q560" s="4"/>
      <c r="R560" s="4"/>
      <c r="S560" s="4"/>
    </row>
    <row r="561" ht="15.75" customHeight="1">
      <c r="F561" s="11"/>
      <c r="G561" s="12"/>
      <c r="H561" s="13"/>
      <c r="M561" s="4"/>
      <c r="N561" s="5"/>
      <c r="O561" s="4"/>
      <c r="P561" s="4"/>
      <c r="Q561" s="4"/>
      <c r="R561" s="4"/>
      <c r="S561" s="4"/>
    </row>
    <row r="562" ht="15.75" customHeight="1">
      <c r="F562" s="11"/>
      <c r="G562" s="12"/>
      <c r="H562" s="13"/>
      <c r="M562" s="4"/>
      <c r="N562" s="5"/>
      <c r="O562" s="4"/>
      <c r="P562" s="4"/>
      <c r="Q562" s="4"/>
      <c r="R562" s="4"/>
      <c r="S562" s="4"/>
    </row>
    <row r="563" ht="15.75" customHeight="1">
      <c r="F563" s="11"/>
      <c r="G563" s="12"/>
      <c r="H563" s="13"/>
      <c r="M563" s="4"/>
      <c r="N563" s="5"/>
      <c r="O563" s="4"/>
      <c r="P563" s="4"/>
      <c r="Q563" s="4"/>
      <c r="R563" s="4"/>
      <c r="S563" s="4"/>
    </row>
    <row r="564" ht="15.75" customHeight="1">
      <c r="F564" s="11"/>
      <c r="G564" s="12"/>
      <c r="H564" s="13"/>
      <c r="M564" s="4"/>
      <c r="N564" s="5"/>
      <c r="O564" s="4"/>
      <c r="P564" s="4"/>
      <c r="Q564" s="4"/>
      <c r="R564" s="4"/>
      <c r="S564" s="4"/>
    </row>
    <row r="565" ht="15.75" customHeight="1">
      <c r="F565" s="11"/>
      <c r="G565" s="12"/>
      <c r="H565" s="13"/>
      <c r="M565" s="4"/>
      <c r="N565" s="5"/>
      <c r="O565" s="4"/>
      <c r="P565" s="4"/>
      <c r="Q565" s="4"/>
      <c r="R565" s="4"/>
      <c r="S565" s="4"/>
    </row>
    <row r="566" ht="15.75" customHeight="1">
      <c r="F566" s="11"/>
      <c r="G566" s="12"/>
      <c r="H566" s="13"/>
      <c r="M566" s="4"/>
      <c r="N566" s="5"/>
      <c r="O566" s="4"/>
      <c r="P566" s="4"/>
      <c r="Q566" s="4"/>
      <c r="R566" s="4"/>
      <c r="S566" s="4"/>
    </row>
    <row r="567" ht="15.75" customHeight="1">
      <c r="F567" s="11"/>
      <c r="G567" s="12"/>
      <c r="H567" s="13"/>
      <c r="M567" s="4"/>
      <c r="N567" s="5"/>
      <c r="O567" s="4"/>
      <c r="P567" s="4"/>
      <c r="Q567" s="4"/>
      <c r="R567" s="4"/>
      <c r="S567" s="4"/>
    </row>
    <row r="568" ht="15.75" customHeight="1">
      <c r="F568" s="11"/>
      <c r="G568" s="12"/>
      <c r="H568" s="13"/>
      <c r="M568" s="4"/>
      <c r="N568" s="5"/>
      <c r="O568" s="4"/>
      <c r="P568" s="4"/>
      <c r="Q568" s="4"/>
      <c r="R568" s="4"/>
      <c r="S568" s="4"/>
    </row>
    <row r="569" ht="15.75" customHeight="1">
      <c r="F569" s="11"/>
      <c r="G569" s="12"/>
      <c r="H569" s="13"/>
      <c r="M569" s="4"/>
      <c r="N569" s="5"/>
      <c r="O569" s="4"/>
      <c r="P569" s="4"/>
      <c r="Q569" s="4"/>
      <c r="R569" s="4"/>
      <c r="S569" s="4"/>
    </row>
    <row r="570" ht="15.75" customHeight="1">
      <c r="F570" s="11"/>
      <c r="G570" s="12"/>
      <c r="H570" s="13"/>
      <c r="M570" s="4"/>
      <c r="N570" s="5"/>
      <c r="O570" s="4"/>
      <c r="P570" s="4"/>
      <c r="Q570" s="4"/>
      <c r="R570" s="4"/>
      <c r="S570" s="4"/>
    </row>
    <row r="571" ht="15.75" customHeight="1">
      <c r="F571" s="11"/>
      <c r="G571" s="12"/>
      <c r="H571" s="13"/>
      <c r="M571" s="4"/>
      <c r="N571" s="5"/>
      <c r="O571" s="4"/>
      <c r="P571" s="4"/>
      <c r="Q571" s="4"/>
      <c r="R571" s="4"/>
      <c r="S571" s="4"/>
    </row>
    <row r="572" ht="15.75" customHeight="1">
      <c r="F572" s="11"/>
      <c r="G572" s="12"/>
      <c r="H572" s="13"/>
      <c r="M572" s="4"/>
      <c r="N572" s="5"/>
      <c r="O572" s="4"/>
      <c r="P572" s="4"/>
      <c r="Q572" s="4"/>
      <c r="R572" s="4"/>
      <c r="S572" s="4"/>
    </row>
    <row r="573" ht="15.75" customHeight="1">
      <c r="F573" s="11"/>
      <c r="G573" s="12"/>
      <c r="H573" s="13"/>
      <c r="M573" s="4"/>
      <c r="N573" s="5"/>
      <c r="O573" s="4"/>
      <c r="P573" s="4"/>
      <c r="Q573" s="4"/>
      <c r="R573" s="4"/>
      <c r="S573" s="4"/>
    </row>
    <row r="574" ht="15.75" customHeight="1">
      <c r="F574" s="11"/>
      <c r="G574" s="12"/>
      <c r="H574" s="13"/>
      <c r="M574" s="4"/>
      <c r="N574" s="5"/>
      <c r="O574" s="4"/>
      <c r="P574" s="4"/>
      <c r="Q574" s="4"/>
      <c r="R574" s="4"/>
      <c r="S574" s="4"/>
    </row>
    <row r="575" ht="15.75" customHeight="1">
      <c r="F575" s="11"/>
      <c r="G575" s="12"/>
      <c r="H575" s="13"/>
      <c r="M575" s="4"/>
      <c r="N575" s="5"/>
      <c r="O575" s="4"/>
      <c r="P575" s="4"/>
      <c r="Q575" s="4"/>
      <c r="R575" s="4"/>
      <c r="S575" s="4"/>
    </row>
    <row r="576" ht="15.75" customHeight="1">
      <c r="F576" s="11"/>
      <c r="G576" s="12"/>
      <c r="H576" s="13"/>
      <c r="M576" s="4"/>
      <c r="N576" s="5"/>
      <c r="O576" s="4"/>
      <c r="P576" s="4"/>
      <c r="Q576" s="4"/>
      <c r="R576" s="4"/>
      <c r="S576" s="4"/>
    </row>
    <row r="577" ht="15.75" customHeight="1">
      <c r="F577" s="11"/>
      <c r="G577" s="12"/>
      <c r="H577" s="13"/>
      <c r="M577" s="4"/>
      <c r="N577" s="5"/>
      <c r="O577" s="4"/>
      <c r="P577" s="4"/>
      <c r="Q577" s="4"/>
      <c r="R577" s="4"/>
      <c r="S577" s="4"/>
    </row>
    <row r="578" ht="15.75" customHeight="1">
      <c r="F578" s="11"/>
      <c r="G578" s="12"/>
      <c r="H578" s="13"/>
      <c r="M578" s="4"/>
      <c r="N578" s="5"/>
      <c r="O578" s="4"/>
      <c r="P578" s="4"/>
      <c r="Q578" s="4"/>
      <c r="R578" s="4"/>
      <c r="S578" s="4"/>
    </row>
    <row r="579" ht="15.75" customHeight="1">
      <c r="F579" s="11"/>
      <c r="G579" s="12"/>
      <c r="H579" s="13"/>
      <c r="M579" s="4"/>
      <c r="N579" s="5"/>
      <c r="O579" s="4"/>
      <c r="P579" s="4"/>
      <c r="Q579" s="4"/>
      <c r="R579" s="4"/>
      <c r="S579" s="4"/>
    </row>
    <row r="580" ht="15.75" customHeight="1">
      <c r="F580" s="11"/>
      <c r="G580" s="12"/>
      <c r="H580" s="13"/>
      <c r="M580" s="4"/>
      <c r="N580" s="5"/>
      <c r="O580" s="4"/>
      <c r="P580" s="4"/>
      <c r="Q580" s="4"/>
      <c r="R580" s="4"/>
      <c r="S580" s="4"/>
    </row>
    <row r="581" ht="15.75" customHeight="1">
      <c r="F581" s="11"/>
      <c r="G581" s="12"/>
      <c r="H581" s="13"/>
      <c r="M581" s="4"/>
      <c r="N581" s="5"/>
      <c r="O581" s="4"/>
      <c r="P581" s="4"/>
      <c r="Q581" s="4"/>
      <c r="R581" s="4"/>
      <c r="S581" s="4"/>
    </row>
    <row r="582" ht="15.75" customHeight="1">
      <c r="F582" s="11"/>
      <c r="G582" s="12"/>
      <c r="H582" s="13"/>
      <c r="M582" s="4"/>
      <c r="N582" s="5"/>
      <c r="O582" s="4"/>
      <c r="P582" s="4"/>
      <c r="Q582" s="4"/>
      <c r="R582" s="4"/>
      <c r="S582" s="4"/>
    </row>
    <row r="583" ht="15.75" customHeight="1">
      <c r="F583" s="11"/>
      <c r="G583" s="12"/>
      <c r="H583" s="13"/>
      <c r="M583" s="4"/>
      <c r="N583" s="5"/>
      <c r="O583" s="4"/>
      <c r="P583" s="4"/>
      <c r="Q583" s="4"/>
      <c r="R583" s="4"/>
      <c r="S583" s="4"/>
    </row>
    <row r="584" ht="15.75" customHeight="1">
      <c r="F584" s="11"/>
      <c r="G584" s="12"/>
      <c r="H584" s="13"/>
      <c r="M584" s="4"/>
      <c r="N584" s="5"/>
      <c r="O584" s="4"/>
      <c r="P584" s="4"/>
      <c r="Q584" s="4"/>
      <c r="R584" s="4"/>
      <c r="S584" s="4"/>
    </row>
    <row r="585" ht="15.75" customHeight="1">
      <c r="F585" s="11"/>
      <c r="G585" s="12"/>
      <c r="H585" s="13"/>
      <c r="M585" s="4"/>
      <c r="N585" s="5"/>
      <c r="O585" s="4"/>
      <c r="P585" s="4"/>
      <c r="Q585" s="4"/>
      <c r="R585" s="4"/>
      <c r="S585" s="4"/>
    </row>
    <row r="586" ht="15.75" customHeight="1">
      <c r="F586" s="11"/>
      <c r="G586" s="12"/>
      <c r="H586" s="13"/>
      <c r="M586" s="4"/>
      <c r="N586" s="5"/>
      <c r="O586" s="4"/>
      <c r="P586" s="4"/>
      <c r="Q586" s="4"/>
      <c r="R586" s="4"/>
      <c r="S586" s="4"/>
    </row>
    <row r="587" ht="15.75" customHeight="1">
      <c r="F587" s="11"/>
      <c r="G587" s="12"/>
      <c r="H587" s="13"/>
      <c r="M587" s="4"/>
      <c r="N587" s="5"/>
      <c r="O587" s="4"/>
      <c r="P587" s="4"/>
      <c r="Q587" s="4"/>
      <c r="R587" s="4"/>
      <c r="S587" s="4"/>
    </row>
    <row r="588" ht="15.75" customHeight="1">
      <c r="F588" s="11"/>
      <c r="G588" s="12"/>
      <c r="H588" s="13"/>
      <c r="M588" s="4"/>
      <c r="N588" s="5"/>
      <c r="O588" s="4"/>
      <c r="P588" s="4"/>
      <c r="Q588" s="4"/>
      <c r="R588" s="4"/>
      <c r="S588" s="4"/>
    </row>
    <row r="589" ht="15.75" customHeight="1">
      <c r="F589" s="11"/>
      <c r="G589" s="12"/>
      <c r="H589" s="13"/>
      <c r="M589" s="4"/>
      <c r="N589" s="5"/>
      <c r="O589" s="4"/>
      <c r="P589" s="4"/>
      <c r="Q589" s="4"/>
      <c r="R589" s="4"/>
      <c r="S589" s="4"/>
    </row>
    <row r="590" ht="15.75" customHeight="1">
      <c r="F590" s="11"/>
      <c r="G590" s="12"/>
      <c r="H590" s="13"/>
      <c r="M590" s="4"/>
      <c r="N590" s="5"/>
      <c r="O590" s="4"/>
      <c r="P590" s="4"/>
      <c r="Q590" s="4"/>
      <c r="R590" s="4"/>
      <c r="S590" s="4"/>
    </row>
    <row r="591" ht="15.75" customHeight="1">
      <c r="F591" s="11"/>
      <c r="G591" s="12"/>
      <c r="H591" s="13"/>
      <c r="M591" s="4"/>
      <c r="N591" s="5"/>
      <c r="O591" s="4"/>
      <c r="P591" s="4"/>
      <c r="Q591" s="4"/>
      <c r="R591" s="4"/>
      <c r="S591" s="4"/>
    </row>
    <row r="592" ht="15.75" customHeight="1">
      <c r="F592" s="11"/>
      <c r="G592" s="12"/>
      <c r="H592" s="13"/>
      <c r="M592" s="4"/>
      <c r="N592" s="5"/>
      <c r="O592" s="4"/>
      <c r="P592" s="4"/>
      <c r="Q592" s="4"/>
      <c r="R592" s="4"/>
      <c r="S592" s="4"/>
    </row>
    <row r="593" ht="15.75" customHeight="1">
      <c r="F593" s="11"/>
      <c r="G593" s="12"/>
      <c r="H593" s="13"/>
      <c r="M593" s="4"/>
      <c r="N593" s="5"/>
      <c r="O593" s="4"/>
      <c r="P593" s="4"/>
      <c r="Q593" s="4"/>
      <c r="R593" s="4"/>
      <c r="S593" s="4"/>
    </row>
    <row r="594" ht="15.75" customHeight="1">
      <c r="F594" s="11"/>
      <c r="G594" s="12"/>
      <c r="H594" s="13"/>
      <c r="M594" s="4"/>
      <c r="N594" s="5"/>
      <c r="O594" s="4"/>
      <c r="P594" s="4"/>
      <c r="Q594" s="4"/>
      <c r="R594" s="4"/>
      <c r="S594" s="4"/>
    </row>
    <row r="595" ht="15.75" customHeight="1">
      <c r="F595" s="11"/>
      <c r="G595" s="12"/>
      <c r="H595" s="13"/>
      <c r="M595" s="4"/>
      <c r="N595" s="5"/>
      <c r="O595" s="4"/>
      <c r="P595" s="4"/>
      <c r="Q595" s="4"/>
      <c r="R595" s="4"/>
      <c r="S595" s="4"/>
    </row>
    <row r="596" ht="15.75" customHeight="1">
      <c r="F596" s="11"/>
      <c r="G596" s="12"/>
      <c r="H596" s="13"/>
      <c r="M596" s="4"/>
      <c r="N596" s="5"/>
      <c r="O596" s="4"/>
      <c r="P596" s="4"/>
      <c r="Q596" s="4"/>
      <c r="R596" s="4"/>
      <c r="S596" s="4"/>
    </row>
    <row r="597" ht="15.75" customHeight="1">
      <c r="F597" s="11"/>
      <c r="G597" s="12"/>
      <c r="H597" s="13"/>
      <c r="M597" s="4"/>
      <c r="N597" s="5"/>
      <c r="O597" s="4"/>
      <c r="P597" s="4"/>
      <c r="Q597" s="4"/>
      <c r="R597" s="4"/>
      <c r="S597" s="4"/>
    </row>
    <row r="598" ht="15.75" customHeight="1">
      <c r="F598" s="11"/>
      <c r="G598" s="12"/>
      <c r="H598" s="13"/>
      <c r="M598" s="4"/>
      <c r="N598" s="5"/>
      <c r="O598" s="4"/>
      <c r="P598" s="4"/>
      <c r="Q598" s="4"/>
      <c r="R598" s="4"/>
      <c r="S598" s="4"/>
    </row>
    <row r="599" ht="15.75" customHeight="1">
      <c r="F599" s="11"/>
      <c r="G599" s="12"/>
      <c r="H599" s="13"/>
      <c r="M599" s="4"/>
      <c r="N599" s="5"/>
      <c r="O599" s="4"/>
      <c r="P599" s="4"/>
      <c r="Q599" s="4"/>
      <c r="R599" s="4"/>
      <c r="S599" s="4"/>
    </row>
    <row r="600" ht="15.75" customHeight="1">
      <c r="F600" s="11"/>
      <c r="G600" s="12"/>
      <c r="H600" s="13"/>
      <c r="M600" s="4"/>
      <c r="N600" s="5"/>
      <c r="O600" s="4"/>
      <c r="P600" s="4"/>
      <c r="Q600" s="4"/>
      <c r="R600" s="4"/>
      <c r="S600" s="4"/>
    </row>
    <row r="601" ht="15.75" customHeight="1">
      <c r="F601" s="11"/>
      <c r="G601" s="12"/>
      <c r="H601" s="13"/>
      <c r="M601" s="4"/>
      <c r="N601" s="5"/>
      <c r="O601" s="4"/>
      <c r="P601" s="4"/>
      <c r="Q601" s="4"/>
      <c r="R601" s="4"/>
      <c r="S601" s="4"/>
    </row>
    <row r="602" ht="15.75" customHeight="1">
      <c r="F602" s="11"/>
      <c r="G602" s="12"/>
      <c r="H602" s="13"/>
      <c r="M602" s="4"/>
      <c r="N602" s="5"/>
      <c r="O602" s="4"/>
      <c r="P602" s="4"/>
      <c r="Q602" s="4"/>
      <c r="R602" s="4"/>
      <c r="S602" s="4"/>
    </row>
    <row r="603" ht="15.75" customHeight="1">
      <c r="F603" s="11"/>
      <c r="G603" s="12"/>
      <c r="H603" s="13"/>
      <c r="M603" s="4"/>
      <c r="N603" s="5"/>
      <c r="O603" s="4"/>
      <c r="P603" s="4"/>
      <c r="Q603" s="4"/>
      <c r="R603" s="4"/>
      <c r="S603" s="4"/>
    </row>
    <row r="604" ht="15.75" customHeight="1">
      <c r="F604" s="11"/>
      <c r="G604" s="12"/>
      <c r="H604" s="13"/>
      <c r="M604" s="4"/>
      <c r="N604" s="5"/>
      <c r="O604" s="4"/>
      <c r="P604" s="4"/>
      <c r="Q604" s="4"/>
      <c r="R604" s="4"/>
      <c r="S604" s="4"/>
    </row>
    <row r="605" ht="15.75" customHeight="1">
      <c r="F605" s="11"/>
      <c r="G605" s="12"/>
      <c r="H605" s="13"/>
      <c r="M605" s="4"/>
      <c r="N605" s="5"/>
      <c r="O605" s="4"/>
      <c r="P605" s="4"/>
      <c r="Q605" s="4"/>
      <c r="R605" s="4"/>
      <c r="S605" s="4"/>
    </row>
    <row r="606" ht="15.75" customHeight="1">
      <c r="F606" s="11"/>
      <c r="G606" s="12"/>
      <c r="H606" s="13"/>
      <c r="M606" s="4"/>
      <c r="N606" s="5"/>
      <c r="O606" s="4"/>
      <c r="P606" s="4"/>
      <c r="Q606" s="4"/>
      <c r="R606" s="4"/>
      <c r="S606" s="4"/>
    </row>
    <row r="607" ht="15.75" customHeight="1">
      <c r="F607" s="11"/>
      <c r="G607" s="12"/>
      <c r="H607" s="13"/>
      <c r="M607" s="4"/>
      <c r="N607" s="5"/>
      <c r="O607" s="4"/>
      <c r="P607" s="4"/>
      <c r="Q607" s="4"/>
      <c r="R607" s="4"/>
      <c r="S607" s="4"/>
    </row>
    <row r="608" ht="15.75" customHeight="1">
      <c r="F608" s="11"/>
      <c r="G608" s="12"/>
      <c r="H608" s="13"/>
      <c r="M608" s="4"/>
      <c r="N608" s="5"/>
      <c r="O608" s="4"/>
      <c r="P608" s="4"/>
      <c r="Q608" s="4"/>
      <c r="R608" s="4"/>
      <c r="S608" s="4"/>
    </row>
    <row r="609" ht="15.75" customHeight="1">
      <c r="F609" s="11"/>
      <c r="G609" s="12"/>
      <c r="H609" s="13"/>
      <c r="M609" s="4"/>
      <c r="N609" s="5"/>
      <c r="O609" s="4"/>
      <c r="P609" s="4"/>
      <c r="Q609" s="4"/>
      <c r="R609" s="4"/>
      <c r="S609" s="4"/>
    </row>
    <row r="610" ht="15.75" customHeight="1">
      <c r="F610" s="11"/>
      <c r="G610" s="12"/>
      <c r="H610" s="13"/>
      <c r="M610" s="4"/>
      <c r="N610" s="5"/>
      <c r="O610" s="4"/>
      <c r="P610" s="4"/>
      <c r="Q610" s="4"/>
      <c r="R610" s="4"/>
      <c r="S610" s="4"/>
    </row>
    <row r="611" ht="15.75" customHeight="1">
      <c r="F611" s="11"/>
      <c r="G611" s="12"/>
      <c r="H611" s="13"/>
      <c r="M611" s="4"/>
      <c r="N611" s="5"/>
      <c r="O611" s="4"/>
      <c r="P611" s="4"/>
      <c r="Q611" s="4"/>
      <c r="R611" s="4"/>
      <c r="S611" s="4"/>
    </row>
    <row r="612" ht="15.75" customHeight="1">
      <c r="F612" s="11"/>
      <c r="G612" s="12"/>
      <c r="H612" s="13"/>
      <c r="M612" s="4"/>
      <c r="N612" s="5"/>
      <c r="O612" s="4"/>
      <c r="P612" s="4"/>
      <c r="Q612" s="4"/>
      <c r="R612" s="4"/>
      <c r="S612" s="4"/>
    </row>
    <row r="613" ht="15.75" customHeight="1">
      <c r="F613" s="11"/>
      <c r="G613" s="12"/>
      <c r="H613" s="13"/>
      <c r="M613" s="4"/>
      <c r="N613" s="5"/>
      <c r="O613" s="4"/>
      <c r="P613" s="4"/>
      <c r="Q613" s="4"/>
      <c r="R613" s="4"/>
      <c r="S613" s="4"/>
    </row>
    <row r="614" ht="15.75" customHeight="1">
      <c r="F614" s="11"/>
      <c r="G614" s="12"/>
      <c r="H614" s="13"/>
      <c r="M614" s="4"/>
      <c r="N614" s="5"/>
      <c r="O614" s="4"/>
      <c r="P614" s="4"/>
      <c r="Q614" s="4"/>
      <c r="R614" s="4"/>
      <c r="S614" s="4"/>
    </row>
    <row r="615" ht="15.75" customHeight="1">
      <c r="F615" s="11"/>
      <c r="G615" s="12"/>
      <c r="H615" s="13"/>
      <c r="M615" s="4"/>
      <c r="N615" s="5"/>
      <c r="O615" s="4"/>
      <c r="P615" s="4"/>
      <c r="Q615" s="4"/>
      <c r="R615" s="4"/>
      <c r="S615" s="4"/>
    </row>
    <row r="616" ht="15.75" customHeight="1">
      <c r="F616" s="11"/>
      <c r="G616" s="12"/>
      <c r="H616" s="13"/>
      <c r="M616" s="4"/>
      <c r="N616" s="5"/>
      <c r="O616" s="4"/>
      <c r="P616" s="4"/>
      <c r="Q616" s="4"/>
      <c r="R616" s="4"/>
      <c r="S616" s="4"/>
    </row>
    <row r="617" ht="15.75" customHeight="1">
      <c r="F617" s="11"/>
      <c r="G617" s="12"/>
      <c r="H617" s="13"/>
      <c r="M617" s="4"/>
      <c r="N617" s="5"/>
      <c r="O617" s="4"/>
      <c r="P617" s="4"/>
      <c r="Q617" s="4"/>
      <c r="R617" s="4"/>
      <c r="S617" s="4"/>
    </row>
    <row r="618" ht="15.75" customHeight="1">
      <c r="F618" s="11"/>
      <c r="G618" s="12"/>
      <c r="H618" s="13"/>
      <c r="M618" s="4"/>
      <c r="N618" s="5"/>
      <c r="O618" s="4"/>
      <c r="P618" s="4"/>
      <c r="Q618" s="4"/>
      <c r="R618" s="4"/>
      <c r="S618" s="4"/>
    </row>
    <row r="619" ht="15.75" customHeight="1">
      <c r="F619" s="11"/>
      <c r="G619" s="12"/>
      <c r="H619" s="13"/>
      <c r="M619" s="4"/>
      <c r="N619" s="5"/>
      <c r="O619" s="4"/>
      <c r="P619" s="4"/>
      <c r="Q619" s="4"/>
      <c r="R619" s="4"/>
      <c r="S619" s="4"/>
    </row>
    <row r="620" ht="15.75" customHeight="1">
      <c r="F620" s="11"/>
      <c r="G620" s="12"/>
      <c r="H620" s="13"/>
      <c r="M620" s="4"/>
      <c r="N620" s="5"/>
      <c r="O620" s="4"/>
      <c r="P620" s="4"/>
      <c r="Q620" s="4"/>
      <c r="R620" s="4"/>
      <c r="S620" s="4"/>
    </row>
    <row r="621" ht="15.75" customHeight="1">
      <c r="F621" s="11"/>
      <c r="G621" s="12"/>
      <c r="H621" s="13"/>
      <c r="M621" s="4"/>
      <c r="N621" s="5"/>
      <c r="O621" s="4"/>
      <c r="P621" s="4"/>
      <c r="Q621" s="4"/>
      <c r="R621" s="4"/>
      <c r="S621" s="4"/>
    </row>
    <row r="622" ht="15.75" customHeight="1">
      <c r="F622" s="11"/>
      <c r="G622" s="12"/>
      <c r="H622" s="13"/>
      <c r="M622" s="4"/>
      <c r="N622" s="5"/>
      <c r="O622" s="4"/>
      <c r="P622" s="4"/>
      <c r="Q622" s="4"/>
      <c r="R622" s="4"/>
      <c r="S622" s="4"/>
    </row>
    <row r="623" ht="15.75" customHeight="1">
      <c r="F623" s="11"/>
      <c r="G623" s="12"/>
      <c r="H623" s="13"/>
      <c r="M623" s="4"/>
      <c r="N623" s="5"/>
      <c r="O623" s="4"/>
      <c r="P623" s="4"/>
      <c r="Q623" s="4"/>
      <c r="R623" s="4"/>
      <c r="S623" s="4"/>
    </row>
    <row r="624" ht="15.75" customHeight="1">
      <c r="F624" s="11"/>
      <c r="G624" s="12"/>
      <c r="H624" s="13"/>
      <c r="M624" s="4"/>
      <c r="N624" s="5"/>
      <c r="O624" s="4"/>
      <c r="P624" s="4"/>
      <c r="Q624" s="4"/>
      <c r="R624" s="4"/>
      <c r="S624" s="4"/>
    </row>
    <row r="625" ht="15.75" customHeight="1">
      <c r="F625" s="11"/>
      <c r="G625" s="12"/>
      <c r="H625" s="13"/>
      <c r="M625" s="4"/>
      <c r="N625" s="5"/>
      <c r="O625" s="4"/>
      <c r="P625" s="4"/>
      <c r="Q625" s="4"/>
      <c r="R625" s="4"/>
      <c r="S625" s="4"/>
    </row>
    <row r="626" ht="15.75" customHeight="1">
      <c r="F626" s="11"/>
      <c r="G626" s="12"/>
      <c r="H626" s="13"/>
      <c r="M626" s="4"/>
      <c r="N626" s="5"/>
      <c r="O626" s="4"/>
      <c r="P626" s="4"/>
      <c r="Q626" s="4"/>
      <c r="R626" s="4"/>
      <c r="S626" s="4"/>
    </row>
    <row r="627" ht="15.75" customHeight="1">
      <c r="F627" s="11"/>
      <c r="G627" s="12"/>
      <c r="H627" s="13"/>
      <c r="M627" s="4"/>
      <c r="N627" s="5"/>
      <c r="O627" s="4"/>
      <c r="P627" s="4"/>
      <c r="Q627" s="4"/>
      <c r="R627" s="4"/>
      <c r="S627" s="4"/>
    </row>
    <row r="628" ht="15.75" customHeight="1">
      <c r="F628" s="11"/>
      <c r="G628" s="12"/>
      <c r="H628" s="13"/>
      <c r="M628" s="4"/>
      <c r="N628" s="5"/>
      <c r="O628" s="4"/>
      <c r="P628" s="4"/>
      <c r="Q628" s="4"/>
      <c r="R628" s="4"/>
      <c r="S628" s="4"/>
    </row>
    <row r="629" ht="15.75" customHeight="1">
      <c r="F629" s="11"/>
      <c r="G629" s="12"/>
      <c r="H629" s="13"/>
      <c r="M629" s="4"/>
      <c r="N629" s="5"/>
      <c r="O629" s="4"/>
      <c r="P629" s="4"/>
      <c r="Q629" s="4"/>
      <c r="R629" s="4"/>
      <c r="S629" s="4"/>
    </row>
    <row r="630" ht="15.75" customHeight="1">
      <c r="F630" s="11"/>
      <c r="G630" s="12"/>
      <c r="H630" s="13"/>
      <c r="M630" s="4"/>
      <c r="N630" s="5"/>
      <c r="O630" s="4"/>
      <c r="P630" s="4"/>
      <c r="Q630" s="4"/>
      <c r="R630" s="4"/>
      <c r="S630" s="4"/>
    </row>
    <row r="631" ht="15.75" customHeight="1">
      <c r="F631" s="11"/>
      <c r="G631" s="12"/>
      <c r="H631" s="13"/>
      <c r="M631" s="4"/>
      <c r="N631" s="5"/>
      <c r="O631" s="4"/>
      <c r="P631" s="4"/>
      <c r="Q631" s="4"/>
      <c r="R631" s="4"/>
      <c r="S631" s="4"/>
    </row>
    <row r="632" ht="15.75" customHeight="1">
      <c r="F632" s="11"/>
      <c r="G632" s="12"/>
      <c r="H632" s="13"/>
      <c r="M632" s="4"/>
      <c r="N632" s="5"/>
      <c r="O632" s="4"/>
      <c r="P632" s="4"/>
      <c r="Q632" s="4"/>
      <c r="R632" s="4"/>
      <c r="S632" s="4"/>
    </row>
    <row r="633" ht="15.75" customHeight="1">
      <c r="F633" s="11"/>
      <c r="G633" s="12"/>
      <c r="H633" s="13"/>
      <c r="M633" s="4"/>
      <c r="N633" s="5"/>
      <c r="O633" s="4"/>
      <c r="P633" s="4"/>
      <c r="Q633" s="4"/>
      <c r="R633" s="4"/>
      <c r="S633" s="4"/>
    </row>
    <row r="634" ht="15.75" customHeight="1">
      <c r="F634" s="11"/>
      <c r="G634" s="12"/>
      <c r="H634" s="13"/>
      <c r="M634" s="4"/>
      <c r="N634" s="5"/>
      <c r="O634" s="4"/>
      <c r="P634" s="4"/>
      <c r="Q634" s="4"/>
      <c r="R634" s="4"/>
      <c r="S634" s="4"/>
    </row>
    <row r="635" ht="15.75" customHeight="1">
      <c r="F635" s="11"/>
      <c r="G635" s="12"/>
      <c r="H635" s="13"/>
      <c r="M635" s="4"/>
      <c r="N635" s="5"/>
      <c r="O635" s="4"/>
      <c r="P635" s="4"/>
      <c r="Q635" s="4"/>
      <c r="R635" s="4"/>
      <c r="S635" s="4"/>
    </row>
    <row r="636" ht="15.75" customHeight="1">
      <c r="F636" s="11"/>
      <c r="G636" s="12"/>
      <c r="H636" s="13"/>
      <c r="M636" s="4"/>
      <c r="N636" s="5"/>
      <c r="O636" s="4"/>
      <c r="P636" s="4"/>
      <c r="Q636" s="4"/>
      <c r="R636" s="4"/>
      <c r="S636" s="4"/>
    </row>
    <row r="637" ht="15.75" customHeight="1">
      <c r="F637" s="11"/>
      <c r="G637" s="12"/>
      <c r="H637" s="13"/>
      <c r="M637" s="4"/>
      <c r="N637" s="5"/>
      <c r="O637" s="4"/>
      <c r="P637" s="4"/>
      <c r="Q637" s="4"/>
      <c r="R637" s="4"/>
      <c r="S637" s="4"/>
    </row>
    <row r="638" ht="15.75" customHeight="1">
      <c r="F638" s="11"/>
      <c r="G638" s="12"/>
      <c r="H638" s="13"/>
      <c r="M638" s="4"/>
      <c r="N638" s="5"/>
      <c r="O638" s="4"/>
      <c r="P638" s="4"/>
      <c r="Q638" s="4"/>
      <c r="R638" s="4"/>
      <c r="S638" s="4"/>
    </row>
    <row r="639" ht="15.75" customHeight="1">
      <c r="F639" s="11"/>
      <c r="G639" s="12"/>
      <c r="H639" s="13"/>
      <c r="M639" s="4"/>
      <c r="N639" s="5"/>
      <c r="O639" s="4"/>
      <c r="P639" s="4"/>
      <c r="Q639" s="4"/>
      <c r="R639" s="4"/>
      <c r="S639" s="4"/>
    </row>
    <row r="640" ht="15.75" customHeight="1">
      <c r="F640" s="11"/>
      <c r="G640" s="12"/>
      <c r="H640" s="13"/>
      <c r="M640" s="4"/>
      <c r="N640" s="5"/>
      <c r="O640" s="4"/>
      <c r="P640" s="4"/>
      <c r="Q640" s="4"/>
      <c r="R640" s="4"/>
      <c r="S640" s="4"/>
    </row>
    <row r="641" ht="15.75" customHeight="1">
      <c r="F641" s="11"/>
      <c r="G641" s="12"/>
      <c r="H641" s="13"/>
      <c r="M641" s="4"/>
      <c r="N641" s="5"/>
      <c r="O641" s="4"/>
      <c r="P641" s="4"/>
      <c r="Q641" s="4"/>
      <c r="R641" s="4"/>
      <c r="S641" s="4"/>
    </row>
    <row r="642" ht="15.75" customHeight="1">
      <c r="F642" s="11"/>
      <c r="G642" s="12"/>
      <c r="H642" s="13"/>
      <c r="M642" s="4"/>
      <c r="N642" s="5"/>
      <c r="O642" s="4"/>
      <c r="P642" s="4"/>
      <c r="Q642" s="4"/>
      <c r="R642" s="4"/>
      <c r="S642" s="4"/>
    </row>
    <row r="643" ht="15.75" customHeight="1">
      <c r="F643" s="11"/>
      <c r="G643" s="12"/>
      <c r="H643" s="13"/>
      <c r="M643" s="4"/>
      <c r="N643" s="5"/>
      <c r="O643" s="4"/>
      <c r="P643" s="4"/>
      <c r="Q643" s="4"/>
      <c r="R643" s="4"/>
      <c r="S643" s="4"/>
    </row>
    <row r="644" ht="15.75" customHeight="1">
      <c r="F644" s="11"/>
      <c r="G644" s="12"/>
      <c r="H644" s="13"/>
      <c r="M644" s="4"/>
      <c r="N644" s="5"/>
      <c r="O644" s="4"/>
      <c r="P644" s="4"/>
      <c r="Q644" s="4"/>
      <c r="R644" s="4"/>
      <c r="S644" s="4"/>
    </row>
    <row r="645" ht="15.75" customHeight="1">
      <c r="F645" s="11"/>
      <c r="G645" s="12"/>
      <c r="H645" s="13"/>
      <c r="M645" s="4"/>
      <c r="N645" s="5"/>
      <c r="O645" s="4"/>
      <c r="P645" s="4"/>
      <c r="Q645" s="4"/>
      <c r="R645" s="4"/>
      <c r="S645" s="4"/>
    </row>
    <row r="646" ht="15.75" customHeight="1">
      <c r="F646" s="11"/>
      <c r="G646" s="12"/>
      <c r="H646" s="13"/>
      <c r="M646" s="4"/>
      <c r="N646" s="5"/>
      <c r="O646" s="4"/>
      <c r="P646" s="4"/>
      <c r="Q646" s="4"/>
      <c r="R646" s="4"/>
      <c r="S646" s="4"/>
    </row>
    <row r="647" ht="15.75" customHeight="1">
      <c r="F647" s="11"/>
      <c r="G647" s="12"/>
      <c r="H647" s="13"/>
      <c r="M647" s="4"/>
      <c r="N647" s="5"/>
      <c r="O647" s="4"/>
      <c r="P647" s="4"/>
      <c r="Q647" s="4"/>
      <c r="R647" s="4"/>
      <c r="S647" s="4"/>
    </row>
    <row r="648" ht="15.75" customHeight="1">
      <c r="F648" s="11"/>
      <c r="G648" s="12"/>
      <c r="H648" s="13"/>
      <c r="M648" s="4"/>
      <c r="N648" s="5"/>
      <c r="O648" s="4"/>
      <c r="P648" s="4"/>
      <c r="Q648" s="4"/>
      <c r="R648" s="4"/>
      <c r="S648" s="4"/>
    </row>
    <row r="649" ht="15.75" customHeight="1">
      <c r="F649" s="11"/>
      <c r="G649" s="12"/>
      <c r="H649" s="13"/>
      <c r="M649" s="4"/>
      <c r="N649" s="5"/>
      <c r="O649" s="4"/>
      <c r="P649" s="4"/>
      <c r="Q649" s="4"/>
      <c r="R649" s="4"/>
      <c r="S649" s="4"/>
    </row>
    <row r="650" ht="15.75" customHeight="1">
      <c r="F650" s="11"/>
      <c r="G650" s="12"/>
      <c r="H650" s="13"/>
      <c r="M650" s="4"/>
      <c r="N650" s="5"/>
      <c r="O650" s="4"/>
      <c r="P650" s="4"/>
      <c r="Q650" s="4"/>
      <c r="R650" s="4"/>
      <c r="S650" s="4"/>
    </row>
    <row r="651" ht="15.75" customHeight="1">
      <c r="F651" s="11"/>
      <c r="G651" s="12"/>
      <c r="H651" s="13"/>
      <c r="M651" s="4"/>
      <c r="N651" s="5"/>
      <c r="O651" s="4"/>
      <c r="P651" s="4"/>
      <c r="Q651" s="4"/>
      <c r="R651" s="4"/>
      <c r="S651" s="4"/>
    </row>
    <row r="652" ht="15.75" customHeight="1">
      <c r="F652" s="11"/>
      <c r="G652" s="12"/>
      <c r="H652" s="13"/>
      <c r="M652" s="4"/>
      <c r="N652" s="5"/>
      <c r="O652" s="4"/>
      <c r="P652" s="4"/>
      <c r="Q652" s="4"/>
      <c r="R652" s="4"/>
      <c r="S652" s="4"/>
    </row>
    <row r="653" ht="15.75" customHeight="1">
      <c r="F653" s="11"/>
      <c r="G653" s="12"/>
      <c r="H653" s="13"/>
      <c r="M653" s="4"/>
      <c r="N653" s="5"/>
      <c r="O653" s="4"/>
      <c r="P653" s="4"/>
      <c r="Q653" s="4"/>
      <c r="R653" s="4"/>
      <c r="S653" s="4"/>
    </row>
    <row r="654" ht="15.75" customHeight="1">
      <c r="F654" s="11"/>
      <c r="G654" s="12"/>
      <c r="H654" s="13"/>
      <c r="M654" s="4"/>
      <c r="N654" s="5"/>
      <c r="O654" s="4"/>
      <c r="P654" s="4"/>
      <c r="Q654" s="4"/>
      <c r="R654" s="4"/>
      <c r="S654" s="4"/>
    </row>
    <row r="655" ht="15.75" customHeight="1">
      <c r="F655" s="11"/>
      <c r="G655" s="12"/>
      <c r="H655" s="13"/>
      <c r="M655" s="4"/>
      <c r="N655" s="5"/>
      <c r="O655" s="4"/>
      <c r="P655" s="4"/>
      <c r="Q655" s="4"/>
      <c r="R655" s="4"/>
      <c r="S655" s="4"/>
    </row>
    <row r="656" ht="15.75" customHeight="1">
      <c r="F656" s="11"/>
      <c r="G656" s="12"/>
      <c r="H656" s="13"/>
      <c r="M656" s="4"/>
      <c r="N656" s="5"/>
      <c r="O656" s="4"/>
      <c r="P656" s="4"/>
      <c r="Q656" s="4"/>
      <c r="R656" s="4"/>
      <c r="S656" s="4"/>
    </row>
    <row r="657" ht="15.75" customHeight="1">
      <c r="F657" s="11"/>
      <c r="G657" s="12"/>
      <c r="H657" s="13"/>
      <c r="M657" s="4"/>
      <c r="N657" s="5"/>
      <c r="O657" s="4"/>
      <c r="P657" s="4"/>
      <c r="Q657" s="4"/>
      <c r="R657" s="4"/>
      <c r="S657" s="4"/>
    </row>
    <row r="658" ht="15.75" customHeight="1">
      <c r="F658" s="11"/>
      <c r="G658" s="12"/>
      <c r="H658" s="13"/>
      <c r="M658" s="4"/>
      <c r="N658" s="5"/>
      <c r="O658" s="4"/>
      <c r="P658" s="4"/>
      <c r="Q658" s="4"/>
      <c r="R658" s="4"/>
      <c r="S658" s="4"/>
    </row>
    <row r="659" ht="15.75" customHeight="1">
      <c r="F659" s="11"/>
      <c r="G659" s="12"/>
      <c r="H659" s="13"/>
      <c r="M659" s="4"/>
      <c r="N659" s="5"/>
      <c r="O659" s="4"/>
      <c r="P659" s="4"/>
      <c r="Q659" s="4"/>
      <c r="R659" s="4"/>
      <c r="S659" s="4"/>
    </row>
    <row r="660" ht="15.75" customHeight="1">
      <c r="F660" s="11"/>
      <c r="G660" s="12"/>
      <c r="H660" s="13"/>
      <c r="M660" s="4"/>
      <c r="N660" s="5"/>
      <c r="O660" s="4"/>
      <c r="P660" s="4"/>
      <c r="Q660" s="4"/>
      <c r="R660" s="4"/>
      <c r="S660" s="4"/>
    </row>
    <row r="661" ht="15.75" customHeight="1">
      <c r="F661" s="11"/>
      <c r="G661" s="12"/>
      <c r="H661" s="13"/>
      <c r="M661" s="4"/>
      <c r="N661" s="5"/>
      <c r="O661" s="4"/>
      <c r="P661" s="4"/>
      <c r="Q661" s="4"/>
      <c r="R661" s="4"/>
      <c r="S661" s="4"/>
    </row>
    <row r="662" ht="15.75" customHeight="1">
      <c r="F662" s="11"/>
      <c r="G662" s="12"/>
      <c r="H662" s="13"/>
      <c r="M662" s="4"/>
      <c r="N662" s="5"/>
      <c r="O662" s="4"/>
      <c r="P662" s="4"/>
      <c r="Q662" s="4"/>
      <c r="R662" s="4"/>
      <c r="S662" s="4"/>
    </row>
    <row r="663" ht="15.75" customHeight="1">
      <c r="F663" s="11"/>
      <c r="G663" s="12"/>
      <c r="H663" s="13"/>
      <c r="M663" s="4"/>
      <c r="N663" s="5"/>
      <c r="O663" s="4"/>
      <c r="P663" s="4"/>
      <c r="Q663" s="4"/>
      <c r="R663" s="4"/>
      <c r="S663" s="4"/>
    </row>
    <row r="664" ht="15.75" customHeight="1">
      <c r="F664" s="11"/>
      <c r="G664" s="12"/>
      <c r="H664" s="13"/>
      <c r="M664" s="4"/>
      <c r="N664" s="5"/>
      <c r="O664" s="4"/>
      <c r="P664" s="4"/>
      <c r="Q664" s="4"/>
      <c r="R664" s="4"/>
      <c r="S664" s="4"/>
    </row>
    <row r="665" ht="15.75" customHeight="1">
      <c r="F665" s="11"/>
      <c r="G665" s="12"/>
      <c r="H665" s="13"/>
      <c r="M665" s="4"/>
      <c r="N665" s="5"/>
      <c r="O665" s="4"/>
      <c r="P665" s="4"/>
      <c r="Q665" s="4"/>
      <c r="R665" s="4"/>
      <c r="S665" s="4"/>
    </row>
    <row r="666" ht="15.75" customHeight="1">
      <c r="F666" s="11"/>
      <c r="G666" s="12"/>
      <c r="H666" s="13"/>
      <c r="M666" s="4"/>
      <c r="N666" s="5"/>
      <c r="O666" s="4"/>
      <c r="P666" s="4"/>
      <c r="Q666" s="4"/>
      <c r="R666" s="4"/>
      <c r="S666" s="4"/>
    </row>
    <row r="667" ht="15.75" customHeight="1">
      <c r="F667" s="11"/>
      <c r="G667" s="12"/>
      <c r="H667" s="13"/>
      <c r="M667" s="4"/>
      <c r="N667" s="5"/>
      <c r="O667" s="4"/>
      <c r="P667" s="4"/>
      <c r="Q667" s="4"/>
      <c r="R667" s="4"/>
      <c r="S667" s="4"/>
    </row>
    <row r="668" ht="15.75" customHeight="1">
      <c r="F668" s="11"/>
      <c r="G668" s="12"/>
      <c r="H668" s="13"/>
      <c r="M668" s="4"/>
      <c r="N668" s="5"/>
      <c r="O668" s="4"/>
      <c r="P668" s="4"/>
      <c r="Q668" s="4"/>
      <c r="R668" s="4"/>
      <c r="S668" s="4"/>
    </row>
    <row r="669" ht="15.75" customHeight="1">
      <c r="F669" s="11"/>
      <c r="G669" s="12"/>
      <c r="H669" s="13"/>
      <c r="M669" s="4"/>
      <c r="N669" s="5"/>
      <c r="O669" s="4"/>
      <c r="P669" s="4"/>
      <c r="Q669" s="4"/>
      <c r="R669" s="4"/>
      <c r="S669" s="4"/>
    </row>
    <row r="670" ht="15.75" customHeight="1">
      <c r="F670" s="11"/>
      <c r="G670" s="12"/>
      <c r="H670" s="13"/>
      <c r="M670" s="4"/>
      <c r="N670" s="5"/>
      <c r="O670" s="4"/>
      <c r="P670" s="4"/>
      <c r="Q670" s="4"/>
      <c r="R670" s="4"/>
      <c r="S670" s="4"/>
    </row>
    <row r="671" ht="15.75" customHeight="1">
      <c r="F671" s="11"/>
      <c r="G671" s="12"/>
      <c r="H671" s="13"/>
      <c r="M671" s="4"/>
      <c r="N671" s="5"/>
      <c r="O671" s="4"/>
      <c r="P671" s="4"/>
      <c r="Q671" s="4"/>
      <c r="R671" s="4"/>
      <c r="S671" s="4"/>
    </row>
    <row r="672" ht="15.75" customHeight="1">
      <c r="F672" s="11"/>
      <c r="G672" s="12"/>
      <c r="H672" s="13"/>
      <c r="M672" s="4"/>
      <c r="N672" s="5"/>
      <c r="O672" s="4"/>
      <c r="P672" s="4"/>
      <c r="Q672" s="4"/>
      <c r="R672" s="4"/>
      <c r="S672" s="4"/>
    </row>
    <row r="673" ht="15.75" customHeight="1">
      <c r="F673" s="11"/>
      <c r="G673" s="12"/>
      <c r="H673" s="13"/>
      <c r="M673" s="4"/>
      <c r="N673" s="5"/>
      <c r="O673" s="4"/>
      <c r="P673" s="4"/>
      <c r="Q673" s="4"/>
      <c r="R673" s="4"/>
      <c r="S673" s="4"/>
    </row>
    <row r="674" ht="15.75" customHeight="1">
      <c r="F674" s="11"/>
      <c r="G674" s="12"/>
      <c r="H674" s="13"/>
      <c r="M674" s="4"/>
      <c r="N674" s="5"/>
      <c r="O674" s="4"/>
      <c r="P674" s="4"/>
      <c r="Q674" s="4"/>
      <c r="R674" s="4"/>
      <c r="S674" s="4"/>
    </row>
    <row r="675" ht="15.75" customHeight="1">
      <c r="F675" s="11"/>
      <c r="G675" s="12"/>
      <c r="H675" s="13"/>
      <c r="M675" s="4"/>
      <c r="N675" s="5"/>
      <c r="O675" s="4"/>
      <c r="P675" s="4"/>
      <c r="Q675" s="4"/>
      <c r="R675" s="4"/>
      <c r="S675" s="4"/>
    </row>
    <row r="676" ht="15.75" customHeight="1">
      <c r="F676" s="11"/>
      <c r="G676" s="12"/>
      <c r="H676" s="13"/>
      <c r="M676" s="4"/>
      <c r="N676" s="5"/>
      <c r="O676" s="4"/>
      <c r="P676" s="4"/>
      <c r="Q676" s="4"/>
      <c r="R676" s="4"/>
      <c r="S676" s="4"/>
    </row>
    <row r="677" ht="15.75" customHeight="1">
      <c r="F677" s="11"/>
      <c r="G677" s="12"/>
      <c r="H677" s="13"/>
      <c r="M677" s="4"/>
      <c r="N677" s="5"/>
      <c r="O677" s="4"/>
      <c r="P677" s="4"/>
      <c r="Q677" s="4"/>
      <c r="R677" s="4"/>
      <c r="S677" s="4"/>
    </row>
    <row r="678" ht="15.75" customHeight="1">
      <c r="F678" s="11"/>
      <c r="G678" s="12"/>
      <c r="H678" s="13"/>
      <c r="M678" s="4"/>
      <c r="N678" s="5"/>
      <c r="O678" s="4"/>
      <c r="P678" s="4"/>
      <c r="Q678" s="4"/>
      <c r="R678" s="4"/>
      <c r="S678" s="4"/>
    </row>
    <row r="679" ht="15.75" customHeight="1">
      <c r="F679" s="11"/>
      <c r="G679" s="12"/>
      <c r="H679" s="13"/>
      <c r="M679" s="4"/>
      <c r="N679" s="5"/>
      <c r="O679" s="4"/>
      <c r="P679" s="4"/>
      <c r="Q679" s="4"/>
      <c r="R679" s="4"/>
      <c r="S679" s="4"/>
    </row>
    <row r="680" ht="15.75" customHeight="1">
      <c r="F680" s="11"/>
      <c r="G680" s="12"/>
      <c r="H680" s="13"/>
      <c r="M680" s="4"/>
      <c r="N680" s="5"/>
      <c r="O680" s="4"/>
      <c r="P680" s="4"/>
      <c r="Q680" s="4"/>
      <c r="R680" s="4"/>
      <c r="S680" s="4"/>
    </row>
    <row r="681" ht="15.75" customHeight="1">
      <c r="F681" s="11"/>
      <c r="G681" s="12"/>
      <c r="H681" s="13"/>
      <c r="M681" s="4"/>
      <c r="N681" s="5"/>
      <c r="O681" s="4"/>
      <c r="P681" s="4"/>
      <c r="Q681" s="4"/>
      <c r="R681" s="4"/>
      <c r="S681" s="4"/>
    </row>
    <row r="682" ht="15.75" customHeight="1">
      <c r="F682" s="11"/>
      <c r="G682" s="12"/>
      <c r="H682" s="13"/>
      <c r="M682" s="4"/>
      <c r="N682" s="5"/>
      <c r="O682" s="4"/>
      <c r="P682" s="4"/>
      <c r="Q682" s="4"/>
      <c r="R682" s="4"/>
      <c r="S682" s="4"/>
    </row>
    <row r="683" ht="15.75" customHeight="1">
      <c r="F683" s="11"/>
      <c r="G683" s="12"/>
      <c r="H683" s="13"/>
      <c r="M683" s="4"/>
      <c r="N683" s="5"/>
      <c r="O683" s="4"/>
      <c r="P683" s="4"/>
      <c r="Q683" s="4"/>
      <c r="R683" s="4"/>
      <c r="S683" s="4"/>
    </row>
    <row r="684" ht="15.75" customHeight="1">
      <c r="F684" s="11"/>
      <c r="G684" s="12"/>
      <c r="H684" s="13"/>
      <c r="M684" s="4"/>
      <c r="N684" s="5"/>
      <c r="O684" s="4"/>
      <c r="P684" s="4"/>
      <c r="Q684" s="4"/>
      <c r="R684" s="4"/>
      <c r="S684" s="4"/>
    </row>
    <row r="685" ht="15.75" customHeight="1">
      <c r="F685" s="11"/>
      <c r="G685" s="12"/>
      <c r="H685" s="13"/>
      <c r="M685" s="4"/>
      <c r="N685" s="5"/>
      <c r="O685" s="4"/>
      <c r="P685" s="4"/>
      <c r="Q685" s="4"/>
      <c r="R685" s="4"/>
      <c r="S685" s="4"/>
    </row>
    <row r="686" ht="15.75" customHeight="1">
      <c r="F686" s="11"/>
      <c r="G686" s="12"/>
      <c r="H686" s="13"/>
      <c r="M686" s="4"/>
      <c r="N686" s="5"/>
      <c r="O686" s="4"/>
      <c r="P686" s="4"/>
      <c r="Q686" s="4"/>
      <c r="R686" s="4"/>
      <c r="S686" s="4"/>
    </row>
    <row r="687" ht="15.75" customHeight="1">
      <c r="F687" s="11"/>
      <c r="G687" s="12"/>
      <c r="H687" s="13"/>
      <c r="M687" s="4"/>
      <c r="N687" s="5"/>
      <c r="O687" s="4"/>
      <c r="P687" s="4"/>
      <c r="Q687" s="4"/>
      <c r="R687" s="4"/>
      <c r="S687" s="4"/>
    </row>
    <row r="688" ht="15.75" customHeight="1">
      <c r="F688" s="11"/>
      <c r="G688" s="12"/>
      <c r="H688" s="13"/>
      <c r="M688" s="4"/>
      <c r="N688" s="5"/>
      <c r="O688" s="4"/>
      <c r="P688" s="4"/>
      <c r="Q688" s="4"/>
      <c r="R688" s="4"/>
      <c r="S688" s="4"/>
    </row>
    <row r="689" ht="15.75" customHeight="1">
      <c r="F689" s="11"/>
      <c r="G689" s="12"/>
      <c r="H689" s="13"/>
      <c r="M689" s="4"/>
      <c r="N689" s="5"/>
      <c r="O689" s="4"/>
      <c r="P689" s="4"/>
      <c r="Q689" s="4"/>
      <c r="R689" s="4"/>
      <c r="S689" s="4"/>
    </row>
    <row r="690" ht="15.75" customHeight="1">
      <c r="F690" s="11"/>
      <c r="G690" s="12"/>
      <c r="H690" s="13"/>
      <c r="M690" s="4"/>
      <c r="N690" s="5"/>
      <c r="O690" s="4"/>
      <c r="P690" s="4"/>
      <c r="Q690" s="4"/>
      <c r="R690" s="4"/>
      <c r="S690" s="4"/>
    </row>
    <row r="691" ht="15.75" customHeight="1">
      <c r="F691" s="11"/>
      <c r="G691" s="12"/>
      <c r="H691" s="13"/>
      <c r="M691" s="4"/>
      <c r="N691" s="5"/>
      <c r="O691" s="4"/>
      <c r="P691" s="4"/>
      <c r="Q691" s="4"/>
      <c r="R691" s="4"/>
      <c r="S691" s="4"/>
    </row>
    <row r="692" ht="15.75" customHeight="1">
      <c r="F692" s="11"/>
      <c r="G692" s="12"/>
      <c r="H692" s="13"/>
      <c r="M692" s="4"/>
      <c r="N692" s="5"/>
      <c r="O692" s="4"/>
      <c r="P692" s="4"/>
      <c r="Q692" s="4"/>
      <c r="R692" s="4"/>
      <c r="S692" s="4"/>
    </row>
    <row r="693" ht="15.75" customHeight="1">
      <c r="F693" s="11"/>
      <c r="G693" s="12"/>
      <c r="H693" s="13"/>
      <c r="M693" s="4"/>
      <c r="N693" s="5"/>
      <c r="O693" s="4"/>
      <c r="P693" s="4"/>
      <c r="Q693" s="4"/>
      <c r="R693" s="4"/>
      <c r="S693" s="4"/>
    </row>
    <row r="694" ht="15.75" customHeight="1">
      <c r="F694" s="11"/>
      <c r="G694" s="12"/>
      <c r="H694" s="13"/>
      <c r="M694" s="4"/>
      <c r="N694" s="5"/>
      <c r="O694" s="4"/>
      <c r="P694" s="4"/>
      <c r="Q694" s="4"/>
      <c r="R694" s="4"/>
      <c r="S694" s="4"/>
    </row>
    <row r="695" ht="15.75" customHeight="1">
      <c r="F695" s="11"/>
      <c r="G695" s="12"/>
      <c r="H695" s="13"/>
      <c r="M695" s="4"/>
      <c r="N695" s="5"/>
      <c r="O695" s="4"/>
      <c r="P695" s="4"/>
      <c r="Q695" s="4"/>
      <c r="R695" s="4"/>
      <c r="S695" s="4"/>
    </row>
    <row r="696" ht="15.75" customHeight="1">
      <c r="F696" s="11"/>
      <c r="G696" s="12"/>
      <c r="H696" s="13"/>
      <c r="M696" s="4"/>
      <c r="N696" s="5"/>
      <c r="O696" s="4"/>
      <c r="P696" s="4"/>
      <c r="Q696" s="4"/>
      <c r="R696" s="4"/>
      <c r="S696" s="4"/>
    </row>
    <row r="697" ht="15.75" customHeight="1">
      <c r="F697" s="11"/>
      <c r="G697" s="12"/>
      <c r="H697" s="13"/>
      <c r="M697" s="4"/>
      <c r="N697" s="5"/>
      <c r="O697" s="4"/>
      <c r="P697" s="4"/>
      <c r="Q697" s="4"/>
      <c r="R697" s="4"/>
      <c r="S697" s="4"/>
    </row>
    <row r="698" ht="15.75" customHeight="1">
      <c r="F698" s="11"/>
      <c r="G698" s="12"/>
      <c r="H698" s="13"/>
      <c r="M698" s="4"/>
      <c r="N698" s="5"/>
      <c r="O698" s="4"/>
      <c r="P698" s="4"/>
      <c r="Q698" s="4"/>
      <c r="R698" s="4"/>
      <c r="S698" s="4"/>
    </row>
    <row r="699" ht="15.75" customHeight="1">
      <c r="F699" s="11"/>
      <c r="G699" s="12"/>
      <c r="H699" s="13"/>
      <c r="M699" s="4"/>
      <c r="N699" s="5"/>
      <c r="O699" s="4"/>
      <c r="P699" s="4"/>
      <c r="Q699" s="4"/>
      <c r="R699" s="4"/>
      <c r="S699" s="4"/>
    </row>
    <row r="700" ht="15.75" customHeight="1">
      <c r="F700" s="11"/>
      <c r="G700" s="12"/>
      <c r="H700" s="13"/>
      <c r="M700" s="4"/>
      <c r="N700" s="5"/>
      <c r="O700" s="4"/>
      <c r="P700" s="4"/>
      <c r="Q700" s="4"/>
      <c r="R700" s="4"/>
      <c r="S700" s="4"/>
    </row>
    <row r="701" ht="15.75" customHeight="1">
      <c r="F701" s="11"/>
      <c r="G701" s="12"/>
      <c r="H701" s="13"/>
      <c r="M701" s="4"/>
      <c r="N701" s="5"/>
      <c r="O701" s="4"/>
      <c r="P701" s="4"/>
      <c r="Q701" s="4"/>
      <c r="R701" s="4"/>
      <c r="S701" s="4"/>
    </row>
    <row r="702" ht="15.75" customHeight="1">
      <c r="F702" s="11"/>
      <c r="G702" s="12"/>
      <c r="H702" s="13"/>
      <c r="M702" s="4"/>
      <c r="N702" s="5"/>
      <c r="O702" s="4"/>
      <c r="P702" s="4"/>
      <c r="Q702" s="4"/>
      <c r="R702" s="4"/>
      <c r="S702" s="4"/>
    </row>
    <row r="703" ht="15.75" customHeight="1">
      <c r="F703" s="11"/>
      <c r="G703" s="12"/>
      <c r="H703" s="13"/>
      <c r="M703" s="4"/>
      <c r="N703" s="5"/>
      <c r="O703" s="4"/>
      <c r="P703" s="4"/>
      <c r="Q703" s="4"/>
      <c r="R703" s="4"/>
      <c r="S703" s="4"/>
    </row>
    <row r="704" ht="15.75" customHeight="1">
      <c r="F704" s="11"/>
      <c r="G704" s="12"/>
      <c r="H704" s="13"/>
      <c r="M704" s="4"/>
      <c r="N704" s="5"/>
      <c r="O704" s="4"/>
      <c r="P704" s="4"/>
      <c r="Q704" s="4"/>
      <c r="R704" s="4"/>
      <c r="S704" s="4"/>
    </row>
    <row r="705" ht="15.75" customHeight="1">
      <c r="F705" s="11"/>
      <c r="G705" s="12"/>
      <c r="H705" s="13"/>
      <c r="M705" s="4"/>
      <c r="N705" s="5"/>
      <c r="O705" s="4"/>
      <c r="P705" s="4"/>
      <c r="Q705" s="4"/>
      <c r="R705" s="4"/>
      <c r="S705" s="4"/>
    </row>
    <row r="706" ht="15.75" customHeight="1">
      <c r="F706" s="11"/>
      <c r="G706" s="12"/>
      <c r="H706" s="13"/>
      <c r="M706" s="4"/>
      <c r="N706" s="5"/>
      <c r="O706" s="4"/>
      <c r="P706" s="4"/>
      <c r="Q706" s="4"/>
      <c r="R706" s="4"/>
      <c r="S706" s="4"/>
    </row>
    <row r="707" ht="15.75" customHeight="1">
      <c r="F707" s="11"/>
      <c r="G707" s="12"/>
      <c r="H707" s="13"/>
      <c r="M707" s="4"/>
      <c r="N707" s="5"/>
      <c r="O707" s="4"/>
      <c r="P707" s="4"/>
      <c r="Q707" s="4"/>
      <c r="R707" s="4"/>
      <c r="S707" s="4"/>
    </row>
    <row r="708" ht="15.75" customHeight="1">
      <c r="F708" s="11"/>
      <c r="G708" s="12"/>
      <c r="H708" s="13"/>
      <c r="M708" s="4"/>
      <c r="N708" s="5"/>
      <c r="O708" s="4"/>
      <c r="P708" s="4"/>
      <c r="Q708" s="4"/>
      <c r="R708" s="4"/>
      <c r="S708" s="4"/>
    </row>
    <row r="709" ht="15.75" customHeight="1">
      <c r="F709" s="11"/>
      <c r="G709" s="12"/>
      <c r="H709" s="13"/>
      <c r="M709" s="4"/>
      <c r="N709" s="5"/>
      <c r="O709" s="4"/>
      <c r="P709" s="4"/>
      <c r="Q709" s="4"/>
      <c r="R709" s="4"/>
      <c r="S709" s="4"/>
    </row>
    <row r="710" ht="15.75" customHeight="1">
      <c r="F710" s="11"/>
      <c r="G710" s="12"/>
      <c r="H710" s="13"/>
      <c r="M710" s="4"/>
      <c r="N710" s="5"/>
      <c r="O710" s="4"/>
      <c r="P710" s="4"/>
      <c r="Q710" s="4"/>
      <c r="R710" s="4"/>
      <c r="S710" s="4"/>
    </row>
    <row r="711" ht="15.75" customHeight="1">
      <c r="F711" s="11"/>
      <c r="G711" s="12"/>
      <c r="H711" s="13"/>
      <c r="M711" s="4"/>
      <c r="N711" s="5"/>
      <c r="O711" s="4"/>
      <c r="P711" s="4"/>
      <c r="Q711" s="4"/>
      <c r="R711" s="4"/>
      <c r="S711" s="4"/>
    </row>
    <row r="712" ht="15.75" customHeight="1">
      <c r="F712" s="11"/>
      <c r="G712" s="12"/>
      <c r="H712" s="13"/>
      <c r="M712" s="4"/>
      <c r="N712" s="5"/>
      <c r="O712" s="4"/>
      <c r="P712" s="4"/>
      <c r="Q712" s="4"/>
      <c r="R712" s="4"/>
      <c r="S712" s="4"/>
    </row>
    <row r="713" ht="15.75" customHeight="1">
      <c r="F713" s="11"/>
      <c r="G713" s="12"/>
      <c r="H713" s="13"/>
      <c r="M713" s="4"/>
      <c r="N713" s="5"/>
      <c r="O713" s="4"/>
      <c r="P713" s="4"/>
      <c r="Q713" s="4"/>
      <c r="R713" s="4"/>
      <c r="S713" s="4"/>
    </row>
    <row r="714" ht="15.75" customHeight="1">
      <c r="F714" s="11"/>
      <c r="G714" s="12"/>
      <c r="H714" s="13"/>
      <c r="M714" s="4"/>
      <c r="N714" s="5"/>
      <c r="O714" s="4"/>
      <c r="P714" s="4"/>
      <c r="Q714" s="4"/>
      <c r="R714" s="4"/>
      <c r="S714" s="4"/>
    </row>
    <row r="715" ht="15.75" customHeight="1">
      <c r="F715" s="11"/>
      <c r="G715" s="12"/>
      <c r="H715" s="13"/>
      <c r="M715" s="4"/>
      <c r="N715" s="5"/>
      <c r="O715" s="4"/>
      <c r="P715" s="4"/>
      <c r="Q715" s="4"/>
      <c r="R715" s="4"/>
      <c r="S715" s="4"/>
    </row>
    <row r="716" ht="15.75" customHeight="1">
      <c r="F716" s="11"/>
      <c r="G716" s="12"/>
      <c r="H716" s="13"/>
      <c r="M716" s="4"/>
      <c r="N716" s="5"/>
      <c r="O716" s="4"/>
      <c r="P716" s="4"/>
      <c r="Q716" s="4"/>
      <c r="R716" s="4"/>
      <c r="S716" s="4"/>
    </row>
    <row r="717" ht="15.75" customHeight="1">
      <c r="F717" s="11"/>
      <c r="G717" s="12"/>
      <c r="H717" s="13"/>
      <c r="M717" s="4"/>
      <c r="N717" s="5"/>
      <c r="O717" s="4"/>
      <c r="P717" s="4"/>
      <c r="Q717" s="4"/>
      <c r="R717" s="4"/>
      <c r="S717" s="4"/>
    </row>
    <row r="718" ht="15.75" customHeight="1">
      <c r="F718" s="11"/>
      <c r="G718" s="12"/>
      <c r="H718" s="13"/>
      <c r="M718" s="4"/>
      <c r="N718" s="5"/>
      <c r="O718" s="4"/>
      <c r="P718" s="4"/>
      <c r="Q718" s="4"/>
      <c r="R718" s="4"/>
      <c r="S718" s="4"/>
    </row>
    <row r="719" ht="15.75" customHeight="1">
      <c r="F719" s="11"/>
      <c r="G719" s="12"/>
      <c r="H719" s="13"/>
      <c r="M719" s="4"/>
      <c r="N719" s="5"/>
      <c r="O719" s="4"/>
      <c r="P719" s="4"/>
      <c r="Q719" s="4"/>
      <c r="R719" s="4"/>
      <c r="S719" s="4"/>
    </row>
    <row r="720" ht="15.75" customHeight="1">
      <c r="F720" s="11"/>
      <c r="G720" s="12"/>
      <c r="H720" s="13"/>
      <c r="M720" s="4"/>
      <c r="N720" s="5"/>
      <c r="O720" s="4"/>
      <c r="P720" s="4"/>
      <c r="Q720" s="4"/>
      <c r="R720" s="4"/>
      <c r="S720" s="4"/>
    </row>
    <row r="721" ht="15.75" customHeight="1">
      <c r="F721" s="11"/>
      <c r="G721" s="12"/>
      <c r="H721" s="13"/>
      <c r="M721" s="4"/>
      <c r="N721" s="5"/>
      <c r="O721" s="4"/>
      <c r="P721" s="4"/>
      <c r="Q721" s="4"/>
      <c r="R721" s="4"/>
      <c r="S721" s="4"/>
    </row>
    <row r="722" ht="15.75" customHeight="1">
      <c r="F722" s="11"/>
      <c r="G722" s="12"/>
      <c r="H722" s="13"/>
      <c r="M722" s="4"/>
      <c r="N722" s="5"/>
      <c r="O722" s="4"/>
      <c r="P722" s="4"/>
      <c r="Q722" s="4"/>
      <c r="R722" s="4"/>
      <c r="S722" s="4"/>
    </row>
    <row r="723" ht="15.75" customHeight="1">
      <c r="F723" s="11"/>
      <c r="G723" s="12"/>
      <c r="H723" s="13"/>
      <c r="M723" s="4"/>
      <c r="N723" s="5"/>
      <c r="O723" s="4"/>
      <c r="P723" s="4"/>
      <c r="Q723" s="4"/>
      <c r="R723" s="4"/>
      <c r="S723" s="4"/>
    </row>
    <row r="724" ht="15.75" customHeight="1">
      <c r="F724" s="11"/>
      <c r="G724" s="12"/>
      <c r="H724" s="13"/>
      <c r="M724" s="4"/>
      <c r="N724" s="5"/>
      <c r="O724" s="4"/>
      <c r="P724" s="4"/>
      <c r="Q724" s="4"/>
      <c r="R724" s="4"/>
      <c r="S724" s="4"/>
    </row>
    <row r="725" ht="15.75" customHeight="1">
      <c r="F725" s="11"/>
      <c r="G725" s="12"/>
      <c r="H725" s="13"/>
      <c r="M725" s="4"/>
      <c r="N725" s="5"/>
      <c r="O725" s="4"/>
      <c r="P725" s="4"/>
      <c r="Q725" s="4"/>
      <c r="R725" s="4"/>
      <c r="S725" s="4"/>
    </row>
    <row r="726" ht="15.75" customHeight="1">
      <c r="F726" s="11"/>
      <c r="G726" s="12"/>
      <c r="H726" s="13"/>
      <c r="M726" s="4"/>
      <c r="N726" s="5"/>
      <c r="O726" s="4"/>
      <c r="P726" s="4"/>
      <c r="Q726" s="4"/>
      <c r="R726" s="4"/>
      <c r="S726" s="4"/>
    </row>
    <row r="727" ht="15.75" customHeight="1">
      <c r="F727" s="11"/>
      <c r="G727" s="12"/>
      <c r="H727" s="13"/>
      <c r="M727" s="4"/>
      <c r="N727" s="5"/>
      <c r="O727" s="4"/>
      <c r="P727" s="4"/>
      <c r="Q727" s="4"/>
      <c r="R727" s="4"/>
      <c r="S727" s="4"/>
    </row>
    <row r="728" ht="15.75" customHeight="1">
      <c r="F728" s="11"/>
      <c r="G728" s="12"/>
      <c r="H728" s="13"/>
      <c r="M728" s="4"/>
      <c r="N728" s="5"/>
      <c r="O728" s="4"/>
      <c r="P728" s="4"/>
      <c r="Q728" s="4"/>
      <c r="R728" s="4"/>
      <c r="S728" s="4"/>
    </row>
    <row r="729" ht="15.75" customHeight="1">
      <c r="F729" s="11"/>
      <c r="G729" s="12"/>
      <c r="H729" s="13"/>
      <c r="M729" s="4"/>
      <c r="N729" s="5"/>
      <c r="O729" s="4"/>
      <c r="P729" s="4"/>
      <c r="Q729" s="4"/>
      <c r="R729" s="4"/>
      <c r="S729" s="4"/>
    </row>
    <row r="730" ht="15.75" customHeight="1">
      <c r="F730" s="11"/>
      <c r="G730" s="12"/>
      <c r="H730" s="13"/>
      <c r="M730" s="4"/>
      <c r="N730" s="5"/>
      <c r="O730" s="4"/>
      <c r="P730" s="4"/>
      <c r="Q730" s="4"/>
      <c r="R730" s="4"/>
      <c r="S730" s="4"/>
    </row>
    <row r="731" ht="15.75" customHeight="1">
      <c r="F731" s="11"/>
      <c r="G731" s="12"/>
      <c r="H731" s="13"/>
      <c r="M731" s="4"/>
      <c r="N731" s="5"/>
      <c r="O731" s="4"/>
      <c r="P731" s="4"/>
      <c r="Q731" s="4"/>
      <c r="R731" s="4"/>
      <c r="S731" s="4"/>
    </row>
    <row r="732" ht="15.75" customHeight="1">
      <c r="F732" s="11"/>
      <c r="G732" s="12"/>
      <c r="H732" s="13"/>
      <c r="M732" s="4"/>
      <c r="N732" s="5"/>
      <c r="O732" s="4"/>
      <c r="P732" s="4"/>
      <c r="Q732" s="4"/>
      <c r="R732" s="4"/>
      <c r="S732" s="4"/>
    </row>
    <row r="733" ht="15.75" customHeight="1">
      <c r="F733" s="11"/>
      <c r="G733" s="12"/>
      <c r="H733" s="13"/>
      <c r="M733" s="4"/>
      <c r="N733" s="5"/>
      <c r="O733" s="4"/>
      <c r="P733" s="4"/>
      <c r="Q733" s="4"/>
      <c r="R733" s="4"/>
      <c r="S733" s="4"/>
    </row>
    <row r="734" ht="15.75" customHeight="1">
      <c r="F734" s="11"/>
      <c r="G734" s="12"/>
      <c r="H734" s="13"/>
      <c r="M734" s="4"/>
      <c r="N734" s="5"/>
      <c r="O734" s="4"/>
      <c r="P734" s="4"/>
      <c r="Q734" s="4"/>
      <c r="R734" s="4"/>
      <c r="S734" s="4"/>
    </row>
    <row r="735" ht="15.75" customHeight="1">
      <c r="F735" s="11"/>
      <c r="G735" s="12"/>
      <c r="H735" s="13"/>
      <c r="M735" s="4"/>
      <c r="N735" s="5"/>
      <c r="O735" s="4"/>
      <c r="P735" s="4"/>
      <c r="Q735" s="4"/>
      <c r="R735" s="4"/>
      <c r="S735" s="4"/>
    </row>
    <row r="736" ht="15.75" customHeight="1">
      <c r="F736" s="11"/>
      <c r="G736" s="12"/>
      <c r="H736" s="13"/>
      <c r="M736" s="4"/>
      <c r="N736" s="5"/>
      <c r="O736" s="4"/>
      <c r="P736" s="4"/>
      <c r="Q736" s="4"/>
      <c r="R736" s="4"/>
      <c r="S736" s="4"/>
    </row>
    <row r="737" ht="15.75" customHeight="1">
      <c r="F737" s="11"/>
      <c r="G737" s="12"/>
      <c r="H737" s="13"/>
      <c r="M737" s="4"/>
      <c r="N737" s="5"/>
      <c r="O737" s="4"/>
      <c r="P737" s="4"/>
      <c r="Q737" s="4"/>
      <c r="R737" s="4"/>
      <c r="S737" s="4"/>
    </row>
    <row r="738" ht="15.75" customHeight="1">
      <c r="F738" s="11"/>
      <c r="G738" s="12"/>
      <c r="H738" s="13"/>
      <c r="M738" s="4"/>
      <c r="N738" s="5"/>
      <c r="O738" s="4"/>
      <c r="P738" s="4"/>
      <c r="Q738" s="4"/>
      <c r="R738" s="4"/>
      <c r="S738" s="4"/>
    </row>
    <row r="739" ht="15.75" customHeight="1">
      <c r="F739" s="11"/>
      <c r="G739" s="12"/>
      <c r="H739" s="13"/>
      <c r="M739" s="4"/>
      <c r="N739" s="5"/>
      <c r="O739" s="4"/>
      <c r="P739" s="4"/>
      <c r="Q739" s="4"/>
      <c r="R739" s="4"/>
      <c r="S739" s="4"/>
    </row>
    <row r="740" ht="15.75" customHeight="1">
      <c r="F740" s="11"/>
      <c r="G740" s="12"/>
      <c r="H740" s="13"/>
      <c r="M740" s="4"/>
      <c r="N740" s="5"/>
      <c r="O740" s="4"/>
      <c r="P740" s="4"/>
      <c r="Q740" s="4"/>
      <c r="R740" s="4"/>
      <c r="S740" s="4"/>
    </row>
    <row r="741" ht="15.75" customHeight="1">
      <c r="F741" s="11"/>
      <c r="G741" s="12"/>
      <c r="H741" s="13"/>
      <c r="M741" s="4"/>
      <c r="N741" s="5"/>
      <c r="O741" s="4"/>
      <c r="P741" s="4"/>
      <c r="Q741" s="4"/>
      <c r="R741" s="4"/>
      <c r="S741" s="4"/>
    </row>
    <row r="742" ht="15.75" customHeight="1">
      <c r="F742" s="11"/>
      <c r="G742" s="12"/>
      <c r="H742" s="13"/>
      <c r="M742" s="4"/>
      <c r="N742" s="5"/>
      <c r="O742" s="4"/>
      <c r="P742" s="4"/>
      <c r="Q742" s="4"/>
      <c r="R742" s="4"/>
      <c r="S742" s="4"/>
    </row>
    <row r="743" ht="15.75" customHeight="1">
      <c r="F743" s="11"/>
      <c r="G743" s="12"/>
      <c r="H743" s="13"/>
      <c r="M743" s="4"/>
      <c r="N743" s="5"/>
      <c r="O743" s="4"/>
      <c r="P743" s="4"/>
      <c r="Q743" s="4"/>
      <c r="R743" s="4"/>
      <c r="S743" s="4"/>
    </row>
    <row r="744" ht="15.75" customHeight="1">
      <c r="F744" s="11"/>
      <c r="G744" s="12"/>
      <c r="H744" s="13"/>
      <c r="M744" s="4"/>
      <c r="N744" s="5"/>
      <c r="O744" s="4"/>
      <c r="P744" s="4"/>
      <c r="Q744" s="4"/>
      <c r="R744" s="4"/>
      <c r="S744" s="4"/>
    </row>
    <row r="745" ht="15.75" customHeight="1">
      <c r="F745" s="11"/>
      <c r="G745" s="12"/>
      <c r="H745" s="13"/>
      <c r="M745" s="4"/>
      <c r="N745" s="5"/>
      <c r="O745" s="4"/>
      <c r="P745" s="4"/>
      <c r="Q745" s="4"/>
      <c r="R745" s="4"/>
      <c r="S745" s="4"/>
    </row>
    <row r="746" ht="15.75" customHeight="1">
      <c r="F746" s="11"/>
      <c r="G746" s="12"/>
      <c r="H746" s="13"/>
      <c r="M746" s="4"/>
      <c r="N746" s="5"/>
      <c r="O746" s="4"/>
      <c r="P746" s="4"/>
      <c r="Q746" s="4"/>
      <c r="R746" s="4"/>
      <c r="S746" s="4"/>
    </row>
    <row r="747" ht="15.75" customHeight="1">
      <c r="F747" s="11"/>
      <c r="G747" s="12"/>
      <c r="H747" s="13"/>
      <c r="M747" s="4"/>
      <c r="N747" s="5"/>
      <c r="O747" s="4"/>
      <c r="P747" s="4"/>
      <c r="Q747" s="4"/>
      <c r="R747" s="4"/>
      <c r="S747" s="4"/>
    </row>
    <row r="748" ht="15.75" customHeight="1">
      <c r="F748" s="11"/>
      <c r="G748" s="12"/>
      <c r="H748" s="13"/>
      <c r="M748" s="4"/>
      <c r="N748" s="5"/>
      <c r="O748" s="4"/>
      <c r="P748" s="4"/>
      <c r="Q748" s="4"/>
      <c r="R748" s="4"/>
      <c r="S748" s="4"/>
    </row>
    <row r="749" ht="15.75" customHeight="1">
      <c r="F749" s="11"/>
      <c r="G749" s="12"/>
      <c r="H749" s="13"/>
      <c r="M749" s="4"/>
      <c r="N749" s="5"/>
      <c r="O749" s="4"/>
      <c r="P749" s="4"/>
      <c r="Q749" s="4"/>
      <c r="R749" s="4"/>
      <c r="S749" s="4"/>
    </row>
    <row r="750" ht="15.75" customHeight="1">
      <c r="F750" s="11"/>
      <c r="G750" s="12"/>
      <c r="H750" s="13"/>
      <c r="M750" s="4"/>
      <c r="N750" s="5"/>
      <c r="O750" s="4"/>
      <c r="P750" s="4"/>
      <c r="Q750" s="4"/>
      <c r="R750" s="4"/>
      <c r="S750" s="4"/>
    </row>
    <row r="751" ht="15.75" customHeight="1">
      <c r="F751" s="11"/>
      <c r="G751" s="12"/>
      <c r="H751" s="13"/>
      <c r="M751" s="4"/>
      <c r="N751" s="5"/>
      <c r="O751" s="4"/>
      <c r="P751" s="4"/>
      <c r="Q751" s="4"/>
      <c r="R751" s="4"/>
      <c r="S751" s="4"/>
    </row>
    <row r="752" ht="15.75" customHeight="1">
      <c r="F752" s="11"/>
      <c r="G752" s="12"/>
      <c r="H752" s="13"/>
      <c r="M752" s="4"/>
      <c r="N752" s="5"/>
      <c r="O752" s="4"/>
      <c r="P752" s="4"/>
      <c r="Q752" s="4"/>
      <c r="R752" s="4"/>
      <c r="S752" s="4"/>
    </row>
    <row r="753" ht="15.75" customHeight="1">
      <c r="F753" s="11"/>
      <c r="G753" s="12"/>
      <c r="H753" s="13"/>
      <c r="M753" s="4"/>
      <c r="N753" s="5"/>
      <c r="O753" s="4"/>
      <c r="P753" s="4"/>
      <c r="Q753" s="4"/>
      <c r="R753" s="4"/>
      <c r="S753" s="4"/>
    </row>
    <row r="754" ht="15.75" customHeight="1">
      <c r="F754" s="11"/>
      <c r="G754" s="12"/>
      <c r="H754" s="13"/>
      <c r="M754" s="4"/>
      <c r="N754" s="5"/>
      <c r="O754" s="4"/>
      <c r="P754" s="4"/>
      <c r="Q754" s="4"/>
      <c r="R754" s="4"/>
      <c r="S754" s="4"/>
    </row>
    <row r="755" ht="15.75" customHeight="1">
      <c r="F755" s="11"/>
      <c r="G755" s="12"/>
      <c r="H755" s="13"/>
      <c r="M755" s="4"/>
      <c r="N755" s="5"/>
      <c r="O755" s="4"/>
      <c r="P755" s="4"/>
      <c r="Q755" s="4"/>
      <c r="R755" s="4"/>
      <c r="S755" s="4"/>
    </row>
    <row r="756" ht="15.75" customHeight="1">
      <c r="F756" s="11"/>
      <c r="G756" s="12"/>
      <c r="H756" s="13"/>
      <c r="M756" s="4"/>
      <c r="N756" s="5"/>
      <c r="O756" s="4"/>
      <c r="P756" s="4"/>
      <c r="Q756" s="4"/>
      <c r="R756" s="4"/>
      <c r="S756" s="4"/>
    </row>
    <row r="757" ht="15.75" customHeight="1">
      <c r="F757" s="11"/>
      <c r="G757" s="12"/>
      <c r="H757" s="13"/>
      <c r="M757" s="4"/>
      <c r="N757" s="5"/>
      <c r="O757" s="4"/>
      <c r="P757" s="4"/>
      <c r="Q757" s="4"/>
      <c r="R757" s="4"/>
      <c r="S757" s="4"/>
    </row>
    <row r="758" ht="15.75" customHeight="1">
      <c r="F758" s="11"/>
      <c r="G758" s="12"/>
      <c r="H758" s="13"/>
      <c r="M758" s="4"/>
      <c r="N758" s="5"/>
      <c r="O758" s="4"/>
      <c r="P758" s="4"/>
      <c r="Q758" s="4"/>
      <c r="R758" s="4"/>
      <c r="S758" s="4"/>
    </row>
    <row r="759" ht="15.75" customHeight="1">
      <c r="F759" s="11"/>
      <c r="G759" s="12"/>
      <c r="H759" s="13"/>
      <c r="M759" s="4"/>
      <c r="N759" s="5"/>
      <c r="O759" s="4"/>
      <c r="P759" s="4"/>
      <c r="Q759" s="4"/>
      <c r="R759" s="4"/>
      <c r="S759" s="4"/>
    </row>
    <row r="760" ht="15.75" customHeight="1">
      <c r="F760" s="11"/>
      <c r="G760" s="12"/>
      <c r="H760" s="13"/>
      <c r="M760" s="4"/>
      <c r="N760" s="5"/>
      <c r="O760" s="4"/>
      <c r="P760" s="4"/>
      <c r="Q760" s="4"/>
      <c r="R760" s="4"/>
      <c r="S760" s="4"/>
    </row>
    <row r="761" ht="15.75" customHeight="1">
      <c r="F761" s="11"/>
      <c r="G761" s="12"/>
      <c r="H761" s="13"/>
      <c r="M761" s="4"/>
      <c r="N761" s="5"/>
      <c r="O761" s="4"/>
      <c r="P761" s="4"/>
      <c r="Q761" s="4"/>
      <c r="R761" s="4"/>
      <c r="S761" s="4"/>
    </row>
    <row r="762" ht="15.75" customHeight="1">
      <c r="F762" s="11"/>
      <c r="G762" s="12"/>
      <c r="H762" s="13"/>
      <c r="M762" s="4"/>
      <c r="N762" s="5"/>
      <c r="O762" s="4"/>
      <c r="P762" s="4"/>
      <c r="Q762" s="4"/>
      <c r="R762" s="4"/>
      <c r="S762" s="4"/>
    </row>
    <row r="763" ht="15.75" customHeight="1">
      <c r="F763" s="11"/>
      <c r="G763" s="12"/>
      <c r="H763" s="13"/>
      <c r="M763" s="4"/>
      <c r="N763" s="5"/>
      <c r="O763" s="4"/>
      <c r="P763" s="4"/>
      <c r="Q763" s="4"/>
      <c r="R763" s="4"/>
      <c r="S763" s="4"/>
    </row>
    <row r="764" ht="15.75" customHeight="1">
      <c r="F764" s="11"/>
      <c r="G764" s="12"/>
      <c r="H764" s="13"/>
      <c r="M764" s="4"/>
      <c r="N764" s="5"/>
      <c r="O764" s="4"/>
      <c r="P764" s="4"/>
      <c r="Q764" s="4"/>
      <c r="R764" s="4"/>
      <c r="S764" s="4"/>
    </row>
    <row r="765" ht="15.75" customHeight="1">
      <c r="F765" s="11"/>
      <c r="G765" s="12"/>
      <c r="H765" s="13"/>
      <c r="M765" s="4"/>
      <c r="N765" s="5"/>
      <c r="O765" s="4"/>
      <c r="P765" s="4"/>
      <c r="Q765" s="4"/>
      <c r="R765" s="4"/>
      <c r="S765" s="4"/>
    </row>
    <row r="766" ht="15.75" customHeight="1">
      <c r="F766" s="11"/>
      <c r="G766" s="12"/>
      <c r="H766" s="13"/>
      <c r="M766" s="4"/>
      <c r="N766" s="5"/>
      <c r="O766" s="4"/>
      <c r="P766" s="4"/>
      <c r="Q766" s="4"/>
      <c r="R766" s="4"/>
      <c r="S766" s="4"/>
    </row>
    <row r="767" ht="15.75" customHeight="1">
      <c r="F767" s="11"/>
      <c r="G767" s="12"/>
      <c r="H767" s="13"/>
      <c r="M767" s="4"/>
      <c r="N767" s="5"/>
      <c r="O767" s="4"/>
      <c r="P767" s="4"/>
      <c r="Q767" s="4"/>
      <c r="R767" s="4"/>
      <c r="S767" s="4"/>
    </row>
    <row r="768" ht="15.75" customHeight="1">
      <c r="F768" s="11"/>
      <c r="G768" s="12"/>
      <c r="H768" s="13"/>
      <c r="M768" s="4"/>
      <c r="N768" s="5"/>
      <c r="O768" s="4"/>
      <c r="P768" s="4"/>
      <c r="Q768" s="4"/>
      <c r="R768" s="4"/>
      <c r="S768" s="4"/>
    </row>
    <row r="769" ht="15.75" customHeight="1">
      <c r="F769" s="11"/>
      <c r="G769" s="12"/>
      <c r="H769" s="13"/>
      <c r="M769" s="4"/>
      <c r="N769" s="5"/>
      <c r="O769" s="4"/>
      <c r="P769" s="4"/>
      <c r="Q769" s="4"/>
      <c r="R769" s="4"/>
      <c r="S769" s="4"/>
    </row>
    <row r="770" ht="15.75" customHeight="1">
      <c r="F770" s="11"/>
      <c r="G770" s="12"/>
      <c r="H770" s="13"/>
      <c r="M770" s="4"/>
      <c r="N770" s="5"/>
      <c r="O770" s="4"/>
      <c r="P770" s="4"/>
      <c r="Q770" s="4"/>
      <c r="R770" s="4"/>
      <c r="S770" s="4"/>
    </row>
    <row r="771" ht="15.75" customHeight="1">
      <c r="F771" s="11"/>
      <c r="G771" s="12"/>
      <c r="H771" s="13"/>
      <c r="M771" s="4"/>
      <c r="N771" s="5"/>
      <c r="O771" s="4"/>
      <c r="P771" s="4"/>
      <c r="Q771" s="4"/>
      <c r="R771" s="4"/>
      <c r="S771" s="4"/>
    </row>
    <row r="772" ht="15.75" customHeight="1">
      <c r="F772" s="11"/>
      <c r="G772" s="12"/>
      <c r="H772" s="13"/>
      <c r="M772" s="4"/>
      <c r="N772" s="5"/>
      <c r="O772" s="4"/>
      <c r="P772" s="4"/>
      <c r="Q772" s="4"/>
      <c r="R772" s="4"/>
      <c r="S772" s="4"/>
    </row>
    <row r="773" ht="15.75" customHeight="1">
      <c r="F773" s="11"/>
      <c r="G773" s="12"/>
      <c r="H773" s="13"/>
      <c r="M773" s="4"/>
      <c r="N773" s="5"/>
      <c r="O773" s="4"/>
      <c r="P773" s="4"/>
      <c r="Q773" s="4"/>
      <c r="R773" s="4"/>
      <c r="S773" s="4"/>
    </row>
    <row r="774" ht="15.75" customHeight="1">
      <c r="F774" s="11"/>
      <c r="G774" s="12"/>
      <c r="H774" s="13"/>
      <c r="M774" s="4"/>
      <c r="N774" s="5"/>
      <c r="O774" s="4"/>
      <c r="P774" s="4"/>
      <c r="Q774" s="4"/>
      <c r="R774" s="4"/>
      <c r="S774" s="4"/>
    </row>
    <row r="775" ht="15.75" customHeight="1">
      <c r="F775" s="11"/>
      <c r="G775" s="12"/>
      <c r="H775" s="13"/>
      <c r="M775" s="4"/>
      <c r="N775" s="5"/>
      <c r="O775" s="4"/>
      <c r="P775" s="4"/>
      <c r="Q775" s="4"/>
      <c r="R775" s="4"/>
      <c r="S775" s="4"/>
    </row>
    <row r="776" ht="15.75" customHeight="1">
      <c r="F776" s="11"/>
      <c r="G776" s="12"/>
      <c r="H776" s="13"/>
      <c r="M776" s="4"/>
      <c r="N776" s="5"/>
      <c r="O776" s="4"/>
      <c r="P776" s="4"/>
      <c r="Q776" s="4"/>
      <c r="R776" s="4"/>
      <c r="S776" s="4"/>
    </row>
    <row r="777" ht="15.75" customHeight="1">
      <c r="F777" s="11"/>
      <c r="G777" s="12"/>
      <c r="H777" s="13"/>
      <c r="M777" s="4"/>
      <c r="N777" s="5"/>
      <c r="O777" s="4"/>
      <c r="P777" s="4"/>
      <c r="Q777" s="4"/>
      <c r="R777" s="4"/>
      <c r="S777" s="4"/>
    </row>
    <row r="778" ht="15.75" customHeight="1">
      <c r="F778" s="11"/>
      <c r="G778" s="12"/>
      <c r="H778" s="13"/>
      <c r="M778" s="4"/>
      <c r="N778" s="5"/>
      <c r="O778" s="4"/>
      <c r="P778" s="4"/>
      <c r="Q778" s="4"/>
      <c r="R778" s="4"/>
      <c r="S778" s="4"/>
    </row>
    <row r="779" ht="15.75" customHeight="1">
      <c r="F779" s="11"/>
      <c r="G779" s="12"/>
      <c r="H779" s="13"/>
      <c r="M779" s="4"/>
      <c r="N779" s="5"/>
      <c r="O779" s="4"/>
      <c r="P779" s="4"/>
      <c r="Q779" s="4"/>
      <c r="R779" s="4"/>
      <c r="S779" s="4"/>
    </row>
    <row r="780" ht="15.75" customHeight="1">
      <c r="F780" s="11"/>
      <c r="G780" s="12"/>
      <c r="H780" s="13"/>
      <c r="M780" s="4"/>
      <c r="N780" s="5"/>
      <c r="O780" s="4"/>
      <c r="P780" s="4"/>
      <c r="Q780" s="4"/>
      <c r="R780" s="4"/>
      <c r="S780" s="4"/>
    </row>
    <row r="781" ht="15.75" customHeight="1">
      <c r="F781" s="11"/>
      <c r="G781" s="12"/>
      <c r="H781" s="13"/>
      <c r="M781" s="4"/>
      <c r="N781" s="5"/>
      <c r="O781" s="4"/>
      <c r="P781" s="4"/>
      <c r="Q781" s="4"/>
      <c r="R781" s="4"/>
      <c r="S781" s="4"/>
    </row>
    <row r="782" ht="15.75" customHeight="1">
      <c r="F782" s="11"/>
      <c r="G782" s="12"/>
      <c r="H782" s="13"/>
      <c r="M782" s="4"/>
      <c r="N782" s="5"/>
      <c r="O782" s="4"/>
      <c r="P782" s="4"/>
      <c r="Q782" s="4"/>
      <c r="R782" s="4"/>
      <c r="S782" s="4"/>
    </row>
    <row r="783" ht="15.75" customHeight="1">
      <c r="F783" s="11"/>
      <c r="G783" s="12"/>
      <c r="H783" s="13"/>
      <c r="M783" s="4"/>
      <c r="N783" s="5"/>
      <c r="O783" s="4"/>
      <c r="P783" s="4"/>
      <c r="Q783" s="4"/>
      <c r="R783" s="4"/>
      <c r="S783" s="4"/>
    </row>
    <row r="784" ht="15.75" customHeight="1">
      <c r="F784" s="11"/>
      <c r="G784" s="12"/>
      <c r="H784" s="13"/>
      <c r="M784" s="4"/>
      <c r="N784" s="5"/>
      <c r="O784" s="4"/>
      <c r="P784" s="4"/>
      <c r="Q784" s="4"/>
      <c r="R784" s="4"/>
      <c r="S784" s="4"/>
    </row>
    <row r="785" ht="15.75" customHeight="1">
      <c r="F785" s="11"/>
      <c r="G785" s="12"/>
      <c r="H785" s="13"/>
      <c r="M785" s="4"/>
      <c r="N785" s="5"/>
      <c r="O785" s="4"/>
      <c r="P785" s="4"/>
      <c r="Q785" s="4"/>
      <c r="R785" s="4"/>
      <c r="S785" s="4"/>
    </row>
    <row r="786" ht="15.75" customHeight="1">
      <c r="F786" s="11"/>
      <c r="G786" s="12"/>
      <c r="H786" s="13"/>
      <c r="M786" s="4"/>
      <c r="N786" s="5"/>
      <c r="O786" s="4"/>
      <c r="P786" s="4"/>
      <c r="Q786" s="4"/>
      <c r="R786" s="4"/>
      <c r="S786" s="4"/>
    </row>
    <row r="787" ht="15.75" customHeight="1">
      <c r="F787" s="11"/>
      <c r="G787" s="12"/>
      <c r="H787" s="13"/>
      <c r="M787" s="4"/>
      <c r="N787" s="5"/>
      <c r="O787" s="4"/>
      <c r="P787" s="4"/>
      <c r="Q787" s="4"/>
      <c r="R787" s="4"/>
      <c r="S787" s="4"/>
    </row>
    <row r="788" ht="15.75" customHeight="1">
      <c r="F788" s="11"/>
      <c r="G788" s="12"/>
      <c r="H788" s="13"/>
      <c r="M788" s="4"/>
      <c r="N788" s="5"/>
      <c r="O788" s="4"/>
      <c r="P788" s="4"/>
      <c r="Q788" s="4"/>
      <c r="R788" s="4"/>
      <c r="S788" s="4"/>
    </row>
    <row r="789" ht="15.75" customHeight="1">
      <c r="F789" s="11"/>
      <c r="G789" s="12"/>
      <c r="H789" s="13"/>
      <c r="M789" s="4"/>
      <c r="N789" s="5"/>
      <c r="O789" s="4"/>
      <c r="P789" s="4"/>
      <c r="Q789" s="4"/>
      <c r="R789" s="4"/>
      <c r="S789" s="4"/>
    </row>
    <row r="790" ht="15.75" customHeight="1">
      <c r="F790" s="11"/>
      <c r="G790" s="12"/>
      <c r="H790" s="13"/>
      <c r="M790" s="4"/>
      <c r="N790" s="5"/>
      <c r="O790" s="4"/>
      <c r="P790" s="4"/>
      <c r="Q790" s="4"/>
      <c r="R790" s="4"/>
      <c r="S790" s="4"/>
    </row>
    <row r="791" ht="15.75" customHeight="1">
      <c r="F791" s="11"/>
      <c r="G791" s="12"/>
      <c r="H791" s="13"/>
      <c r="M791" s="4"/>
      <c r="N791" s="5"/>
      <c r="O791" s="4"/>
      <c r="P791" s="4"/>
      <c r="Q791" s="4"/>
      <c r="R791" s="4"/>
      <c r="S791" s="4"/>
    </row>
    <row r="792" ht="15.75" customHeight="1">
      <c r="F792" s="11"/>
      <c r="G792" s="12"/>
      <c r="H792" s="13"/>
      <c r="M792" s="4"/>
      <c r="N792" s="5"/>
      <c r="O792" s="4"/>
      <c r="P792" s="4"/>
      <c r="Q792" s="4"/>
      <c r="R792" s="4"/>
      <c r="S792" s="4"/>
    </row>
    <row r="793" ht="15.75" customHeight="1">
      <c r="F793" s="11"/>
      <c r="G793" s="12"/>
      <c r="H793" s="13"/>
      <c r="M793" s="4"/>
      <c r="N793" s="5"/>
      <c r="O793" s="4"/>
      <c r="P793" s="4"/>
      <c r="Q793" s="4"/>
      <c r="R793" s="4"/>
      <c r="S793" s="4"/>
    </row>
    <row r="794" ht="15.75" customHeight="1">
      <c r="F794" s="11"/>
      <c r="G794" s="12"/>
      <c r="H794" s="13"/>
      <c r="M794" s="4"/>
      <c r="N794" s="5"/>
      <c r="O794" s="4"/>
      <c r="P794" s="4"/>
      <c r="Q794" s="4"/>
      <c r="R794" s="4"/>
      <c r="S794" s="4"/>
    </row>
    <row r="795" ht="15.75" customHeight="1">
      <c r="F795" s="11"/>
      <c r="G795" s="12"/>
      <c r="H795" s="13"/>
      <c r="M795" s="4"/>
      <c r="N795" s="5"/>
      <c r="O795" s="4"/>
      <c r="P795" s="4"/>
      <c r="Q795" s="4"/>
      <c r="R795" s="4"/>
      <c r="S795" s="4"/>
    </row>
    <row r="796" ht="15.75" customHeight="1">
      <c r="F796" s="11"/>
      <c r="G796" s="12"/>
      <c r="H796" s="13"/>
      <c r="M796" s="4"/>
      <c r="N796" s="5"/>
      <c r="O796" s="4"/>
      <c r="P796" s="4"/>
      <c r="Q796" s="4"/>
      <c r="R796" s="4"/>
      <c r="S796" s="4"/>
    </row>
    <row r="797" ht="15.75" customHeight="1">
      <c r="F797" s="11"/>
      <c r="G797" s="12"/>
      <c r="H797" s="13"/>
      <c r="M797" s="4"/>
      <c r="N797" s="5"/>
      <c r="O797" s="4"/>
      <c r="P797" s="4"/>
      <c r="Q797" s="4"/>
      <c r="R797" s="4"/>
      <c r="S797" s="4"/>
    </row>
    <row r="798" ht="15.75" customHeight="1">
      <c r="F798" s="11"/>
      <c r="G798" s="12"/>
      <c r="H798" s="13"/>
      <c r="M798" s="4"/>
      <c r="N798" s="5"/>
      <c r="O798" s="4"/>
      <c r="P798" s="4"/>
      <c r="Q798" s="4"/>
      <c r="R798" s="4"/>
      <c r="S798" s="4"/>
    </row>
    <row r="799" ht="15.75" customHeight="1">
      <c r="F799" s="11"/>
      <c r="G799" s="12"/>
      <c r="H799" s="13"/>
      <c r="M799" s="4"/>
      <c r="N799" s="5"/>
      <c r="O799" s="4"/>
      <c r="P799" s="4"/>
      <c r="Q799" s="4"/>
      <c r="R799" s="4"/>
      <c r="S799" s="4"/>
    </row>
    <row r="800" ht="15.75" customHeight="1">
      <c r="F800" s="11"/>
      <c r="G800" s="12"/>
      <c r="H800" s="13"/>
      <c r="M800" s="4"/>
      <c r="N800" s="5"/>
      <c r="O800" s="4"/>
      <c r="P800" s="4"/>
      <c r="Q800" s="4"/>
      <c r="R800" s="4"/>
      <c r="S800" s="4"/>
    </row>
    <row r="801" ht="15.75" customHeight="1">
      <c r="F801" s="11"/>
      <c r="G801" s="12"/>
      <c r="H801" s="13"/>
      <c r="M801" s="4"/>
      <c r="N801" s="5"/>
      <c r="O801" s="4"/>
      <c r="P801" s="4"/>
      <c r="Q801" s="4"/>
      <c r="R801" s="4"/>
      <c r="S801" s="4"/>
    </row>
    <row r="802" ht="15.75" customHeight="1">
      <c r="F802" s="11"/>
      <c r="G802" s="12"/>
      <c r="H802" s="13"/>
      <c r="M802" s="4"/>
      <c r="N802" s="5"/>
      <c r="O802" s="4"/>
      <c r="P802" s="4"/>
      <c r="Q802" s="4"/>
      <c r="R802" s="4"/>
      <c r="S802" s="4"/>
    </row>
    <row r="803" ht="15.75" customHeight="1">
      <c r="F803" s="11"/>
      <c r="G803" s="12"/>
      <c r="H803" s="13"/>
      <c r="M803" s="4"/>
      <c r="N803" s="5"/>
      <c r="O803" s="4"/>
      <c r="P803" s="4"/>
      <c r="Q803" s="4"/>
      <c r="R803" s="4"/>
      <c r="S803" s="4"/>
    </row>
    <row r="804" ht="15.75" customHeight="1">
      <c r="F804" s="11"/>
      <c r="G804" s="12"/>
      <c r="H804" s="13"/>
      <c r="M804" s="4"/>
      <c r="N804" s="5"/>
      <c r="O804" s="4"/>
      <c r="P804" s="4"/>
      <c r="Q804" s="4"/>
      <c r="R804" s="4"/>
      <c r="S804" s="4"/>
    </row>
    <row r="805" ht="15.75" customHeight="1">
      <c r="F805" s="11"/>
      <c r="G805" s="12"/>
      <c r="H805" s="13"/>
      <c r="M805" s="4"/>
      <c r="N805" s="5"/>
      <c r="O805" s="4"/>
      <c r="P805" s="4"/>
      <c r="Q805" s="4"/>
      <c r="R805" s="4"/>
      <c r="S805" s="4"/>
    </row>
    <row r="806" ht="15.75" customHeight="1">
      <c r="F806" s="11"/>
      <c r="G806" s="12"/>
      <c r="H806" s="13"/>
      <c r="M806" s="4"/>
      <c r="N806" s="5"/>
      <c r="O806" s="4"/>
      <c r="P806" s="4"/>
      <c r="Q806" s="4"/>
      <c r="R806" s="4"/>
      <c r="S806" s="4"/>
    </row>
    <row r="807" ht="15.75" customHeight="1">
      <c r="F807" s="11"/>
      <c r="G807" s="12"/>
      <c r="H807" s="13"/>
      <c r="M807" s="4"/>
      <c r="N807" s="5"/>
      <c r="O807" s="4"/>
      <c r="P807" s="4"/>
      <c r="Q807" s="4"/>
      <c r="R807" s="4"/>
      <c r="S807" s="4"/>
    </row>
    <row r="808" ht="15.75" customHeight="1">
      <c r="F808" s="11"/>
      <c r="G808" s="12"/>
      <c r="H808" s="13"/>
      <c r="M808" s="4"/>
      <c r="N808" s="5"/>
      <c r="O808" s="4"/>
      <c r="P808" s="4"/>
      <c r="Q808" s="4"/>
      <c r="R808" s="4"/>
      <c r="S808" s="4"/>
    </row>
    <row r="809" ht="15.75" customHeight="1">
      <c r="F809" s="11"/>
      <c r="G809" s="12"/>
      <c r="H809" s="13"/>
      <c r="M809" s="4"/>
      <c r="N809" s="5"/>
      <c r="O809" s="4"/>
      <c r="P809" s="4"/>
      <c r="Q809" s="4"/>
      <c r="R809" s="4"/>
      <c r="S809" s="4"/>
    </row>
    <row r="810" ht="15.75" customHeight="1">
      <c r="F810" s="11"/>
      <c r="G810" s="12"/>
      <c r="H810" s="13"/>
      <c r="M810" s="4"/>
      <c r="N810" s="5"/>
      <c r="O810" s="4"/>
      <c r="P810" s="4"/>
      <c r="Q810" s="4"/>
      <c r="R810" s="4"/>
      <c r="S810" s="4"/>
    </row>
    <row r="811" ht="15.75" customHeight="1">
      <c r="F811" s="11"/>
      <c r="G811" s="12"/>
      <c r="H811" s="13"/>
      <c r="M811" s="4"/>
      <c r="N811" s="5"/>
      <c r="O811" s="4"/>
      <c r="P811" s="4"/>
      <c r="Q811" s="4"/>
      <c r="R811" s="4"/>
      <c r="S811" s="4"/>
    </row>
    <row r="812" ht="15.75" customHeight="1">
      <c r="F812" s="11"/>
      <c r="G812" s="12"/>
      <c r="H812" s="13"/>
      <c r="M812" s="4"/>
      <c r="N812" s="5"/>
      <c r="O812" s="4"/>
      <c r="P812" s="4"/>
      <c r="Q812" s="4"/>
      <c r="R812" s="4"/>
      <c r="S812" s="4"/>
    </row>
    <row r="813" ht="15.75" customHeight="1">
      <c r="F813" s="11"/>
      <c r="G813" s="12"/>
      <c r="H813" s="13"/>
      <c r="M813" s="4"/>
      <c r="N813" s="5"/>
      <c r="O813" s="4"/>
      <c r="P813" s="4"/>
      <c r="Q813" s="4"/>
      <c r="R813" s="4"/>
      <c r="S813" s="4"/>
    </row>
    <row r="814" ht="15.75" customHeight="1">
      <c r="F814" s="11"/>
      <c r="G814" s="12"/>
      <c r="H814" s="13"/>
      <c r="M814" s="4"/>
      <c r="N814" s="5"/>
      <c r="O814" s="4"/>
      <c r="P814" s="4"/>
      <c r="Q814" s="4"/>
      <c r="R814" s="4"/>
      <c r="S814" s="4"/>
    </row>
    <row r="815" ht="15.75" customHeight="1">
      <c r="F815" s="11"/>
      <c r="G815" s="12"/>
      <c r="H815" s="13"/>
      <c r="M815" s="4"/>
      <c r="N815" s="5"/>
      <c r="O815" s="4"/>
      <c r="P815" s="4"/>
      <c r="Q815" s="4"/>
      <c r="R815" s="4"/>
      <c r="S815" s="4"/>
    </row>
    <row r="816" ht="15.75" customHeight="1">
      <c r="F816" s="11"/>
      <c r="G816" s="12"/>
      <c r="H816" s="13"/>
      <c r="M816" s="4"/>
      <c r="N816" s="5"/>
      <c r="O816" s="4"/>
      <c r="P816" s="4"/>
      <c r="Q816" s="4"/>
      <c r="R816" s="4"/>
      <c r="S816" s="4"/>
    </row>
    <row r="817" ht="15.75" customHeight="1">
      <c r="F817" s="11"/>
      <c r="G817" s="12"/>
      <c r="H817" s="13"/>
      <c r="M817" s="4"/>
      <c r="N817" s="5"/>
      <c r="O817" s="4"/>
      <c r="P817" s="4"/>
      <c r="Q817" s="4"/>
      <c r="R817" s="4"/>
      <c r="S817" s="4"/>
    </row>
    <row r="818" ht="15.75" customHeight="1">
      <c r="F818" s="11"/>
      <c r="G818" s="12"/>
      <c r="H818" s="13"/>
      <c r="M818" s="4"/>
      <c r="N818" s="5"/>
      <c r="O818" s="4"/>
      <c r="P818" s="4"/>
      <c r="Q818" s="4"/>
      <c r="R818" s="4"/>
      <c r="S818" s="4"/>
    </row>
    <row r="819" ht="15.75" customHeight="1">
      <c r="F819" s="11"/>
      <c r="G819" s="12"/>
      <c r="H819" s="13"/>
      <c r="M819" s="4"/>
      <c r="N819" s="5"/>
      <c r="O819" s="4"/>
      <c r="P819" s="4"/>
      <c r="Q819" s="4"/>
      <c r="R819" s="4"/>
      <c r="S819" s="4"/>
    </row>
    <row r="820" ht="15.75" customHeight="1">
      <c r="F820" s="11"/>
      <c r="G820" s="12"/>
      <c r="H820" s="13"/>
      <c r="M820" s="4"/>
      <c r="N820" s="5"/>
      <c r="O820" s="4"/>
      <c r="P820" s="4"/>
      <c r="Q820" s="4"/>
      <c r="R820" s="4"/>
      <c r="S820" s="4"/>
    </row>
    <row r="821" ht="15.75" customHeight="1">
      <c r="F821" s="11"/>
      <c r="G821" s="12"/>
      <c r="H821" s="13"/>
      <c r="M821" s="4"/>
      <c r="N821" s="5"/>
      <c r="O821" s="4"/>
      <c r="P821" s="4"/>
      <c r="Q821" s="4"/>
      <c r="R821" s="4"/>
      <c r="S821" s="4"/>
    </row>
    <row r="822" ht="15.75" customHeight="1">
      <c r="F822" s="11"/>
      <c r="G822" s="12"/>
      <c r="H822" s="13"/>
      <c r="M822" s="4"/>
      <c r="N822" s="5"/>
      <c r="O822" s="4"/>
      <c r="P822" s="4"/>
      <c r="Q822" s="4"/>
      <c r="R822" s="4"/>
      <c r="S822" s="4"/>
    </row>
    <row r="823" ht="15.75" customHeight="1">
      <c r="F823" s="11"/>
      <c r="G823" s="12"/>
      <c r="H823" s="13"/>
      <c r="M823" s="4"/>
      <c r="N823" s="5"/>
      <c r="O823" s="4"/>
      <c r="P823" s="4"/>
      <c r="Q823" s="4"/>
      <c r="R823" s="4"/>
      <c r="S823" s="4"/>
    </row>
    <row r="824" ht="15.75" customHeight="1">
      <c r="F824" s="11"/>
      <c r="G824" s="12"/>
      <c r="H824" s="13"/>
      <c r="M824" s="4"/>
      <c r="N824" s="5"/>
      <c r="O824" s="4"/>
      <c r="P824" s="4"/>
      <c r="Q824" s="4"/>
      <c r="R824" s="4"/>
      <c r="S824" s="4"/>
    </row>
    <row r="825" ht="15.75" customHeight="1">
      <c r="F825" s="11"/>
      <c r="G825" s="12"/>
      <c r="H825" s="13"/>
      <c r="M825" s="4"/>
      <c r="N825" s="5"/>
      <c r="O825" s="4"/>
      <c r="P825" s="4"/>
      <c r="Q825" s="4"/>
      <c r="R825" s="4"/>
      <c r="S825" s="4"/>
    </row>
    <row r="826" ht="15.75" customHeight="1">
      <c r="F826" s="11"/>
      <c r="G826" s="12"/>
      <c r="H826" s="13"/>
      <c r="M826" s="4"/>
      <c r="N826" s="5"/>
      <c r="O826" s="4"/>
      <c r="P826" s="4"/>
      <c r="Q826" s="4"/>
      <c r="R826" s="4"/>
      <c r="S826" s="4"/>
    </row>
    <row r="827" ht="15.75" customHeight="1">
      <c r="F827" s="11"/>
      <c r="G827" s="12"/>
      <c r="H827" s="13"/>
      <c r="M827" s="4"/>
      <c r="N827" s="5"/>
      <c r="O827" s="4"/>
      <c r="P827" s="4"/>
      <c r="Q827" s="4"/>
      <c r="R827" s="4"/>
      <c r="S827" s="4"/>
    </row>
    <row r="828" ht="15.75" customHeight="1">
      <c r="F828" s="11"/>
      <c r="G828" s="12"/>
      <c r="H828" s="13"/>
      <c r="M828" s="4"/>
      <c r="N828" s="5"/>
      <c r="O828" s="4"/>
      <c r="P828" s="4"/>
      <c r="Q828" s="4"/>
      <c r="R828" s="4"/>
      <c r="S828" s="4"/>
    </row>
    <row r="829" ht="15.75" customHeight="1">
      <c r="F829" s="11"/>
      <c r="G829" s="12"/>
      <c r="H829" s="13"/>
      <c r="M829" s="4"/>
      <c r="N829" s="5"/>
      <c r="O829" s="4"/>
      <c r="P829" s="4"/>
      <c r="Q829" s="4"/>
      <c r="R829" s="4"/>
      <c r="S829" s="4"/>
    </row>
    <row r="830" ht="15.75" customHeight="1">
      <c r="F830" s="11"/>
      <c r="G830" s="12"/>
      <c r="H830" s="13"/>
      <c r="M830" s="4"/>
      <c r="N830" s="5"/>
      <c r="O830" s="4"/>
      <c r="P830" s="4"/>
      <c r="Q830" s="4"/>
      <c r="R830" s="4"/>
      <c r="S830" s="4"/>
    </row>
    <row r="831" ht="15.75" customHeight="1">
      <c r="F831" s="11"/>
      <c r="G831" s="12"/>
      <c r="H831" s="13"/>
      <c r="M831" s="4"/>
      <c r="N831" s="5"/>
      <c r="O831" s="4"/>
      <c r="P831" s="4"/>
      <c r="Q831" s="4"/>
      <c r="R831" s="4"/>
      <c r="S831" s="4"/>
    </row>
    <row r="832" ht="15.75" customHeight="1">
      <c r="F832" s="11"/>
      <c r="G832" s="12"/>
      <c r="H832" s="13"/>
      <c r="M832" s="4"/>
      <c r="N832" s="5"/>
      <c r="O832" s="4"/>
      <c r="P832" s="4"/>
      <c r="Q832" s="4"/>
      <c r="R832" s="4"/>
      <c r="S832" s="4"/>
    </row>
    <row r="833" ht="15.75" customHeight="1">
      <c r="F833" s="11"/>
      <c r="G833" s="12"/>
      <c r="H833" s="13"/>
      <c r="M833" s="4"/>
      <c r="N833" s="5"/>
      <c r="O833" s="4"/>
      <c r="P833" s="4"/>
      <c r="Q833" s="4"/>
      <c r="R833" s="4"/>
      <c r="S833" s="4"/>
    </row>
    <row r="834" ht="15.75" customHeight="1">
      <c r="F834" s="11"/>
      <c r="G834" s="12"/>
      <c r="H834" s="13"/>
      <c r="M834" s="4"/>
      <c r="N834" s="5"/>
      <c r="O834" s="4"/>
      <c r="P834" s="4"/>
      <c r="Q834" s="4"/>
      <c r="R834" s="4"/>
      <c r="S834" s="4"/>
    </row>
    <row r="835" ht="15.75" customHeight="1">
      <c r="F835" s="11"/>
      <c r="G835" s="12"/>
      <c r="H835" s="13"/>
      <c r="M835" s="4"/>
      <c r="N835" s="5"/>
      <c r="O835" s="4"/>
      <c r="P835" s="4"/>
      <c r="Q835" s="4"/>
      <c r="R835" s="4"/>
      <c r="S835" s="4"/>
    </row>
    <row r="836" ht="15.75" customHeight="1">
      <c r="F836" s="11"/>
      <c r="G836" s="12"/>
      <c r="H836" s="13"/>
      <c r="M836" s="4"/>
      <c r="N836" s="5"/>
      <c r="O836" s="4"/>
      <c r="P836" s="4"/>
      <c r="Q836" s="4"/>
      <c r="R836" s="4"/>
      <c r="S836" s="4"/>
    </row>
    <row r="837" ht="15.75" customHeight="1">
      <c r="F837" s="11"/>
      <c r="G837" s="12"/>
      <c r="H837" s="13"/>
      <c r="M837" s="4"/>
      <c r="N837" s="5"/>
      <c r="O837" s="4"/>
      <c r="P837" s="4"/>
      <c r="Q837" s="4"/>
      <c r="R837" s="4"/>
      <c r="S837" s="4"/>
    </row>
    <row r="838" ht="15.75" customHeight="1">
      <c r="F838" s="11"/>
      <c r="G838" s="12"/>
      <c r="H838" s="13"/>
      <c r="M838" s="4"/>
      <c r="N838" s="5"/>
      <c r="O838" s="4"/>
      <c r="P838" s="4"/>
      <c r="Q838" s="4"/>
      <c r="R838" s="4"/>
      <c r="S838" s="4"/>
    </row>
    <row r="839" ht="15.75" customHeight="1">
      <c r="F839" s="11"/>
      <c r="G839" s="12"/>
      <c r="H839" s="13"/>
      <c r="M839" s="4"/>
      <c r="N839" s="5"/>
      <c r="O839" s="4"/>
      <c r="P839" s="4"/>
      <c r="Q839" s="4"/>
      <c r="R839" s="4"/>
      <c r="S839" s="4"/>
    </row>
    <row r="840" ht="15.75" customHeight="1">
      <c r="F840" s="11"/>
      <c r="G840" s="12"/>
      <c r="H840" s="13"/>
      <c r="M840" s="4"/>
      <c r="N840" s="5"/>
      <c r="O840" s="4"/>
      <c r="P840" s="4"/>
      <c r="Q840" s="4"/>
      <c r="R840" s="4"/>
      <c r="S840" s="4"/>
    </row>
    <row r="841" ht="15.75" customHeight="1">
      <c r="F841" s="11"/>
      <c r="G841" s="12"/>
      <c r="H841" s="13"/>
      <c r="M841" s="4"/>
      <c r="N841" s="5"/>
      <c r="O841" s="4"/>
      <c r="P841" s="4"/>
      <c r="Q841" s="4"/>
      <c r="R841" s="4"/>
      <c r="S841" s="4"/>
    </row>
    <row r="842" ht="15.75" customHeight="1">
      <c r="F842" s="11"/>
      <c r="G842" s="12"/>
      <c r="H842" s="13"/>
      <c r="M842" s="4"/>
      <c r="N842" s="5"/>
      <c r="O842" s="4"/>
      <c r="P842" s="4"/>
      <c r="Q842" s="4"/>
      <c r="R842" s="4"/>
      <c r="S842" s="4"/>
    </row>
    <row r="843" ht="15.75" customHeight="1">
      <c r="F843" s="11"/>
      <c r="G843" s="12"/>
      <c r="H843" s="13"/>
      <c r="M843" s="4"/>
      <c r="N843" s="5"/>
      <c r="O843" s="4"/>
      <c r="P843" s="4"/>
      <c r="Q843" s="4"/>
      <c r="R843" s="4"/>
      <c r="S843" s="4"/>
    </row>
    <row r="844" ht="15.75" customHeight="1">
      <c r="F844" s="11"/>
      <c r="G844" s="12"/>
      <c r="H844" s="13"/>
      <c r="M844" s="4"/>
      <c r="N844" s="5"/>
      <c r="O844" s="4"/>
      <c r="P844" s="4"/>
      <c r="Q844" s="4"/>
      <c r="R844" s="4"/>
      <c r="S844" s="4"/>
    </row>
    <row r="845" ht="15.75" customHeight="1">
      <c r="F845" s="11"/>
      <c r="G845" s="12"/>
      <c r="H845" s="13"/>
      <c r="M845" s="4"/>
      <c r="N845" s="5"/>
      <c r="O845" s="4"/>
      <c r="P845" s="4"/>
      <c r="Q845" s="4"/>
      <c r="R845" s="4"/>
      <c r="S845" s="4"/>
    </row>
    <row r="846" ht="15.75" customHeight="1">
      <c r="F846" s="11"/>
      <c r="G846" s="12"/>
      <c r="H846" s="13"/>
      <c r="M846" s="4"/>
      <c r="N846" s="5"/>
      <c r="O846" s="4"/>
      <c r="P846" s="4"/>
      <c r="Q846" s="4"/>
      <c r="R846" s="4"/>
      <c r="S846" s="4"/>
    </row>
    <row r="847" ht="15.75" customHeight="1">
      <c r="F847" s="11"/>
      <c r="G847" s="12"/>
      <c r="H847" s="13"/>
      <c r="M847" s="4"/>
      <c r="N847" s="5"/>
      <c r="O847" s="4"/>
      <c r="P847" s="4"/>
      <c r="Q847" s="4"/>
      <c r="R847" s="4"/>
      <c r="S847" s="4"/>
    </row>
    <row r="848" ht="15.75" customHeight="1">
      <c r="F848" s="11"/>
      <c r="G848" s="12"/>
      <c r="H848" s="13"/>
      <c r="M848" s="4"/>
      <c r="N848" s="5"/>
      <c r="O848" s="4"/>
      <c r="P848" s="4"/>
      <c r="Q848" s="4"/>
      <c r="R848" s="4"/>
      <c r="S848" s="4"/>
    </row>
    <row r="849" ht="15.75" customHeight="1">
      <c r="F849" s="11"/>
      <c r="G849" s="12"/>
      <c r="H849" s="13"/>
      <c r="M849" s="4"/>
      <c r="N849" s="5"/>
      <c r="O849" s="4"/>
      <c r="P849" s="4"/>
      <c r="Q849" s="4"/>
      <c r="R849" s="4"/>
      <c r="S849" s="4"/>
    </row>
    <row r="850" ht="15.75" customHeight="1">
      <c r="F850" s="11"/>
      <c r="G850" s="12"/>
      <c r="H850" s="13"/>
      <c r="M850" s="4"/>
      <c r="N850" s="5"/>
      <c r="O850" s="4"/>
      <c r="P850" s="4"/>
      <c r="Q850" s="4"/>
      <c r="R850" s="4"/>
      <c r="S850" s="4"/>
    </row>
    <row r="851" ht="15.75" customHeight="1">
      <c r="F851" s="11"/>
      <c r="G851" s="12"/>
      <c r="H851" s="13"/>
      <c r="M851" s="4"/>
      <c r="N851" s="5"/>
      <c r="O851" s="4"/>
      <c r="P851" s="4"/>
      <c r="Q851" s="4"/>
      <c r="R851" s="4"/>
      <c r="S851" s="4"/>
    </row>
    <row r="852" ht="15.75" customHeight="1">
      <c r="F852" s="11"/>
      <c r="G852" s="12"/>
      <c r="H852" s="13"/>
      <c r="M852" s="4"/>
      <c r="N852" s="5"/>
      <c r="O852" s="4"/>
      <c r="P852" s="4"/>
      <c r="Q852" s="4"/>
      <c r="R852" s="4"/>
      <c r="S852" s="4"/>
    </row>
    <row r="853" ht="15.75" customHeight="1">
      <c r="F853" s="11"/>
      <c r="G853" s="12"/>
      <c r="H853" s="13"/>
      <c r="M853" s="4"/>
      <c r="N853" s="5"/>
      <c r="O853" s="4"/>
      <c r="P853" s="4"/>
      <c r="Q853" s="4"/>
      <c r="R853" s="4"/>
      <c r="S853" s="4"/>
    </row>
    <row r="854" ht="15.75" customHeight="1">
      <c r="F854" s="11"/>
      <c r="G854" s="12"/>
      <c r="H854" s="13"/>
      <c r="M854" s="4"/>
      <c r="N854" s="5"/>
      <c r="O854" s="4"/>
      <c r="P854" s="4"/>
      <c r="Q854" s="4"/>
      <c r="R854" s="4"/>
      <c r="S854" s="4"/>
    </row>
    <row r="855" ht="15.75" customHeight="1">
      <c r="F855" s="11"/>
      <c r="G855" s="12"/>
      <c r="H855" s="13"/>
      <c r="M855" s="4"/>
      <c r="N855" s="5"/>
      <c r="O855" s="4"/>
      <c r="P855" s="4"/>
      <c r="Q855" s="4"/>
      <c r="R855" s="4"/>
      <c r="S855" s="4"/>
    </row>
    <row r="856" ht="15.75" customHeight="1">
      <c r="F856" s="11"/>
      <c r="G856" s="12"/>
      <c r="H856" s="13"/>
      <c r="M856" s="4"/>
      <c r="N856" s="5"/>
      <c r="O856" s="4"/>
      <c r="P856" s="4"/>
      <c r="Q856" s="4"/>
      <c r="R856" s="4"/>
      <c r="S856" s="4"/>
    </row>
    <row r="857" ht="15.75" customHeight="1">
      <c r="F857" s="11"/>
      <c r="G857" s="12"/>
      <c r="H857" s="13"/>
      <c r="M857" s="4"/>
      <c r="N857" s="5"/>
      <c r="O857" s="4"/>
      <c r="P857" s="4"/>
      <c r="Q857" s="4"/>
      <c r="R857" s="4"/>
      <c r="S857" s="4"/>
    </row>
    <row r="858" ht="15.75" customHeight="1">
      <c r="F858" s="11"/>
      <c r="G858" s="12"/>
      <c r="H858" s="13"/>
      <c r="M858" s="4"/>
      <c r="N858" s="5"/>
      <c r="O858" s="4"/>
      <c r="P858" s="4"/>
      <c r="Q858" s="4"/>
      <c r="R858" s="4"/>
      <c r="S858" s="4"/>
    </row>
    <row r="859" ht="15.75" customHeight="1">
      <c r="F859" s="11"/>
      <c r="G859" s="12"/>
      <c r="H859" s="13"/>
      <c r="M859" s="4"/>
      <c r="N859" s="5"/>
      <c r="O859" s="4"/>
      <c r="P859" s="4"/>
      <c r="Q859" s="4"/>
      <c r="R859" s="4"/>
      <c r="S859" s="4"/>
    </row>
    <row r="860" ht="15.75" customHeight="1">
      <c r="F860" s="11"/>
      <c r="G860" s="12"/>
      <c r="H860" s="13"/>
      <c r="M860" s="4"/>
      <c r="N860" s="5"/>
      <c r="O860" s="4"/>
      <c r="P860" s="4"/>
      <c r="Q860" s="4"/>
      <c r="R860" s="4"/>
      <c r="S860" s="4"/>
    </row>
    <row r="861" ht="15.75" customHeight="1">
      <c r="F861" s="11"/>
      <c r="G861" s="12"/>
      <c r="H861" s="13"/>
      <c r="M861" s="4"/>
      <c r="N861" s="5"/>
      <c r="O861" s="4"/>
      <c r="P861" s="4"/>
      <c r="Q861" s="4"/>
      <c r="R861" s="4"/>
      <c r="S861" s="4"/>
    </row>
    <row r="862" ht="15.75" customHeight="1">
      <c r="F862" s="11"/>
      <c r="G862" s="12"/>
      <c r="H862" s="13"/>
      <c r="M862" s="4"/>
      <c r="N862" s="5"/>
      <c r="O862" s="4"/>
      <c r="P862" s="4"/>
      <c r="Q862" s="4"/>
      <c r="R862" s="4"/>
      <c r="S862" s="4"/>
    </row>
    <row r="863" ht="15.75" customHeight="1">
      <c r="F863" s="11"/>
      <c r="G863" s="12"/>
      <c r="H863" s="13"/>
      <c r="M863" s="4"/>
      <c r="N863" s="5"/>
      <c r="O863" s="4"/>
      <c r="P863" s="4"/>
      <c r="Q863" s="4"/>
      <c r="R863" s="4"/>
      <c r="S863" s="4"/>
    </row>
    <row r="864" ht="15.75" customHeight="1">
      <c r="F864" s="11"/>
      <c r="G864" s="12"/>
      <c r="H864" s="13"/>
      <c r="M864" s="4"/>
      <c r="N864" s="5"/>
      <c r="O864" s="4"/>
      <c r="P864" s="4"/>
      <c r="Q864" s="4"/>
      <c r="R864" s="4"/>
      <c r="S864" s="4"/>
    </row>
    <row r="865" ht="15.75" customHeight="1">
      <c r="F865" s="11"/>
      <c r="G865" s="12"/>
      <c r="H865" s="13"/>
      <c r="M865" s="4"/>
      <c r="N865" s="5"/>
      <c r="O865" s="4"/>
      <c r="P865" s="4"/>
      <c r="Q865" s="4"/>
      <c r="R865" s="4"/>
      <c r="S865" s="4"/>
    </row>
    <row r="866" ht="15.75" customHeight="1">
      <c r="F866" s="11"/>
      <c r="G866" s="12"/>
      <c r="H866" s="13"/>
      <c r="M866" s="4"/>
      <c r="N866" s="5"/>
      <c r="O866" s="4"/>
      <c r="P866" s="4"/>
      <c r="Q866" s="4"/>
      <c r="R866" s="4"/>
      <c r="S866" s="4"/>
    </row>
    <row r="867" ht="15.75" customHeight="1">
      <c r="F867" s="11"/>
      <c r="G867" s="12"/>
      <c r="H867" s="13"/>
      <c r="M867" s="4"/>
      <c r="N867" s="5"/>
      <c r="O867" s="4"/>
      <c r="P867" s="4"/>
      <c r="Q867" s="4"/>
      <c r="R867" s="4"/>
      <c r="S867" s="4"/>
    </row>
    <row r="868" ht="15.75" customHeight="1">
      <c r="F868" s="11"/>
      <c r="G868" s="12"/>
      <c r="H868" s="13"/>
      <c r="M868" s="4"/>
      <c r="N868" s="5"/>
      <c r="O868" s="4"/>
      <c r="P868" s="4"/>
      <c r="Q868" s="4"/>
      <c r="R868" s="4"/>
      <c r="S868" s="4"/>
    </row>
    <row r="869" ht="15.75" customHeight="1">
      <c r="F869" s="11"/>
      <c r="G869" s="12"/>
      <c r="H869" s="13"/>
      <c r="M869" s="4"/>
      <c r="N869" s="5"/>
      <c r="O869" s="4"/>
      <c r="P869" s="4"/>
      <c r="Q869" s="4"/>
      <c r="R869" s="4"/>
      <c r="S869" s="4"/>
    </row>
    <row r="870" ht="15.75" customHeight="1">
      <c r="F870" s="11"/>
      <c r="G870" s="12"/>
      <c r="H870" s="13"/>
      <c r="M870" s="4"/>
      <c r="N870" s="5"/>
      <c r="O870" s="4"/>
      <c r="P870" s="4"/>
      <c r="Q870" s="4"/>
      <c r="R870" s="4"/>
      <c r="S870" s="4"/>
    </row>
    <row r="871" ht="15.75" customHeight="1">
      <c r="F871" s="11"/>
      <c r="G871" s="12"/>
      <c r="H871" s="13"/>
      <c r="M871" s="4"/>
      <c r="N871" s="5"/>
      <c r="O871" s="4"/>
      <c r="P871" s="4"/>
      <c r="Q871" s="4"/>
      <c r="R871" s="4"/>
      <c r="S871" s="4"/>
    </row>
    <row r="872" ht="15.75" customHeight="1">
      <c r="F872" s="11"/>
      <c r="G872" s="12"/>
      <c r="H872" s="13"/>
      <c r="M872" s="4"/>
      <c r="N872" s="5"/>
      <c r="O872" s="4"/>
      <c r="P872" s="4"/>
      <c r="Q872" s="4"/>
      <c r="R872" s="4"/>
      <c r="S872" s="4"/>
    </row>
    <row r="873" ht="15.75" customHeight="1">
      <c r="F873" s="11"/>
      <c r="G873" s="12"/>
      <c r="H873" s="13"/>
      <c r="M873" s="4"/>
      <c r="N873" s="5"/>
      <c r="O873" s="4"/>
      <c r="P873" s="4"/>
      <c r="Q873" s="4"/>
      <c r="R873" s="4"/>
      <c r="S873" s="4"/>
    </row>
    <row r="874" ht="15.75" customHeight="1">
      <c r="F874" s="11"/>
      <c r="G874" s="12"/>
      <c r="H874" s="13"/>
      <c r="M874" s="4"/>
      <c r="N874" s="5"/>
      <c r="O874" s="4"/>
      <c r="P874" s="4"/>
      <c r="Q874" s="4"/>
      <c r="R874" s="4"/>
      <c r="S874" s="4"/>
    </row>
    <row r="875" ht="15.75" customHeight="1">
      <c r="F875" s="11"/>
      <c r="G875" s="12"/>
      <c r="H875" s="13"/>
      <c r="M875" s="4"/>
      <c r="N875" s="5"/>
      <c r="O875" s="4"/>
      <c r="P875" s="4"/>
      <c r="Q875" s="4"/>
      <c r="R875" s="4"/>
      <c r="S875" s="4"/>
    </row>
    <row r="876" ht="15.75" customHeight="1">
      <c r="F876" s="11"/>
      <c r="G876" s="12"/>
      <c r="H876" s="13"/>
      <c r="M876" s="4"/>
      <c r="N876" s="5"/>
      <c r="O876" s="4"/>
      <c r="P876" s="4"/>
      <c r="Q876" s="4"/>
      <c r="R876" s="4"/>
      <c r="S876" s="4"/>
    </row>
    <row r="877" ht="15.75" customHeight="1">
      <c r="F877" s="11"/>
      <c r="G877" s="12"/>
      <c r="H877" s="13"/>
      <c r="M877" s="4"/>
      <c r="N877" s="5"/>
      <c r="O877" s="4"/>
      <c r="P877" s="4"/>
      <c r="Q877" s="4"/>
      <c r="R877" s="4"/>
      <c r="S877" s="4"/>
    </row>
    <row r="878" ht="15.75" customHeight="1">
      <c r="F878" s="11"/>
      <c r="G878" s="12"/>
      <c r="H878" s="13"/>
      <c r="M878" s="4"/>
      <c r="N878" s="5"/>
      <c r="O878" s="4"/>
      <c r="P878" s="4"/>
      <c r="Q878" s="4"/>
      <c r="R878" s="4"/>
      <c r="S878" s="4"/>
    </row>
    <row r="879" ht="15.75" customHeight="1">
      <c r="F879" s="11"/>
      <c r="G879" s="12"/>
      <c r="H879" s="13"/>
      <c r="M879" s="4"/>
      <c r="N879" s="5"/>
      <c r="O879" s="4"/>
      <c r="P879" s="4"/>
      <c r="Q879" s="4"/>
      <c r="R879" s="4"/>
      <c r="S879" s="4"/>
    </row>
    <row r="880" ht="15.75" customHeight="1">
      <c r="F880" s="11"/>
      <c r="G880" s="12"/>
      <c r="H880" s="13"/>
      <c r="M880" s="4"/>
      <c r="N880" s="5"/>
      <c r="O880" s="4"/>
      <c r="P880" s="4"/>
      <c r="Q880" s="4"/>
      <c r="R880" s="4"/>
      <c r="S880" s="4"/>
    </row>
    <row r="881" ht="15.75" customHeight="1">
      <c r="F881" s="11"/>
      <c r="G881" s="12"/>
      <c r="H881" s="13"/>
      <c r="M881" s="4"/>
      <c r="N881" s="5"/>
      <c r="O881" s="4"/>
      <c r="P881" s="4"/>
      <c r="Q881" s="4"/>
      <c r="R881" s="4"/>
      <c r="S881" s="4"/>
    </row>
    <row r="882" ht="15.75" customHeight="1">
      <c r="F882" s="11"/>
      <c r="G882" s="12"/>
      <c r="H882" s="13"/>
      <c r="M882" s="4"/>
      <c r="N882" s="5"/>
      <c r="O882" s="4"/>
      <c r="P882" s="4"/>
      <c r="Q882" s="4"/>
      <c r="R882" s="4"/>
      <c r="S882" s="4"/>
    </row>
    <row r="883" ht="15.75" customHeight="1">
      <c r="F883" s="11"/>
      <c r="G883" s="12"/>
      <c r="H883" s="13"/>
      <c r="M883" s="4"/>
      <c r="N883" s="5"/>
      <c r="O883" s="4"/>
      <c r="P883" s="4"/>
      <c r="Q883" s="4"/>
      <c r="R883" s="4"/>
      <c r="S883" s="4"/>
    </row>
    <row r="884" ht="15.75" customHeight="1">
      <c r="F884" s="11"/>
      <c r="G884" s="12"/>
      <c r="H884" s="13"/>
      <c r="M884" s="4"/>
      <c r="N884" s="5"/>
      <c r="O884" s="4"/>
      <c r="P884" s="4"/>
      <c r="Q884" s="4"/>
      <c r="R884" s="4"/>
      <c r="S884" s="4"/>
    </row>
    <row r="885" ht="15.75" customHeight="1">
      <c r="F885" s="11"/>
      <c r="G885" s="12"/>
      <c r="H885" s="13"/>
      <c r="M885" s="4"/>
      <c r="N885" s="5"/>
      <c r="O885" s="4"/>
      <c r="P885" s="4"/>
      <c r="Q885" s="4"/>
      <c r="R885" s="4"/>
      <c r="S885" s="4"/>
    </row>
    <row r="886" ht="15.75" customHeight="1">
      <c r="F886" s="11"/>
      <c r="G886" s="12"/>
      <c r="H886" s="13"/>
      <c r="M886" s="4"/>
      <c r="N886" s="5"/>
      <c r="O886" s="4"/>
      <c r="P886" s="4"/>
      <c r="Q886" s="4"/>
      <c r="R886" s="4"/>
      <c r="S886" s="4"/>
    </row>
    <row r="887" ht="15.75" customHeight="1">
      <c r="F887" s="11"/>
      <c r="G887" s="12"/>
      <c r="H887" s="13"/>
      <c r="M887" s="4"/>
      <c r="N887" s="5"/>
      <c r="O887" s="4"/>
      <c r="P887" s="4"/>
      <c r="Q887" s="4"/>
      <c r="R887" s="4"/>
      <c r="S887" s="4"/>
    </row>
    <row r="888" ht="15.75" customHeight="1">
      <c r="F888" s="11"/>
      <c r="G888" s="12"/>
      <c r="H888" s="13"/>
      <c r="M888" s="4"/>
      <c r="N888" s="5"/>
      <c r="O888" s="4"/>
      <c r="P888" s="4"/>
      <c r="Q888" s="4"/>
      <c r="R888" s="4"/>
      <c r="S888" s="4"/>
    </row>
    <row r="889" ht="15.75" customHeight="1">
      <c r="F889" s="11"/>
      <c r="G889" s="12"/>
      <c r="H889" s="13"/>
      <c r="M889" s="4"/>
      <c r="N889" s="5"/>
      <c r="O889" s="4"/>
      <c r="P889" s="4"/>
      <c r="Q889" s="4"/>
      <c r="R889" s="4"/>
      <c r="S889" s="4"/>
    </row>
    <row r="890" ht="15.75" customHeight="1">
      <c r="F890" s="11"/>
      <c r="G890" s="12"/>
      <c r="H890" s="13"/>
      <c r="M890" s="4"/>
      <c r="N890" s="5"/>
      <c r="O890" s="4"/>
      <c r="P890" s="4"/>
      <c r="Q890" s="4"/>
      <c r="R890" s="4"/>
      <c r="S890" s="4"/>
    </row>
    <row r="891" ht="15.75" customHeight="1">
      <c r="F891" s="11"/>
      <c r="G891" s="12"/>
      <c r="H891" s="13"/>
      <c r="M891" s="4"/>
      <c r="N891" s="5"/>
      <c r="O891" s="4"/>
      <c r="P891" s="4"/>
      <c r="Q891" s="4"/>
      <c r="R891" s="4"/>
      <c r="S891" s="4"/>
    </row>
    <row r="892" ht="15.75" customHeight="1">
      <c r="F892" s="11"/>
      <c r="G892" s="12"/>
      <c r="H892" s="13"/>
      <c r="M892" s="4"/>
      <c r="N892" s="5"/>
      <c r="O892" s="4"/>
      <c r="P892" s="4"/>
      <c r="Q892" s="4"/>
      <c r="R892" s="4"/>
      <c r="S892" s="4"/>
    </row>
    <row r="893" ht="15.75" customHeight="1">
      <c r="F893" s="11"/>
      <c r="G893" s="12"/>
      <c r="H893" s="13"/>
      <c r="M893" s="4"/>
      <c r="N893" s="5"/>
      <c r="O893" s="4"/>
      <c r="P893" s="4"/>
      <c r="Q893" s="4"/>
      <c r="R893" s="4"/>
      <c r="S893" s="4"/>
    </row>
    <row r="894" ht="15.75" customHeight="1">
      <c r="F894" s="11"/>
      <c r="G894" s="12"/>
      <c r="H894" s="13"/>
      <c r="M894" s="4"/>
      <c r="N894" s="5"/>
      <c r="O894" s="4"/>
      <c r="P894" s="4"/>
      <c r="Q894" s="4"/>
      <c r="R894" s="4"/>
      <c r="S894" s="4"/>
    </row>
    <row r="895" ht="15.75" customHeight="1">
      <c r="F895" s="11"/>
      <c r="G895" s="12"/>
      <c r="H895" s="13"/>
      <c r="M895" s="4"/>
      <c r="N895" s="5"/>
      <c r="O895" s="4"/>
      <c r="P895" s="4"/>
      <c r="Q895" s="4"/>
      <c r="R895" s="4"/>
      <c r="S895" s="4"/>
    </row>
    <row r="896" ht="15.75" customHeight="1">
      <c r="F896" s="11"/>
      <c r="G896" s="12"/>
      <c r="H896" s="13"/>
      <c r="M896" s="4"/>
      <c r="N896" s="5"/>
      <c r="O896" s="4"/>
      <c r="P896" s="4"/>
      <c r="Q896" s="4"/>
      <c r="R896" s="4"/>
      <c r="S896" s="4"/>
    </row>
    <row r="897" ht="15.75" customHeight="1">
      <c r="F897" s="11"/>
      <c r="G897" s="12"/>
      <c r="H897" s="13"/>
      <c r="M897" s="4"/>
      <c r="N897" s="5"/>
      <c r="O897" s="4"/>
      <c r="P897" s="4"/>
      <c r="Q897" s="4"/>
      <c r="R897" s="4"/>
      <c r="S897" s="4"/>
    </row>
    <row r="898" ht="15.75" customHeight="1">
      <c r="F898" s="11"/>
      <c r="G898" s="12"/>
      <c r="H898" s="13"/>
      <c r="M898" s="4"/>
      <c r="N898" s="5"/>
      <c r="O898" s="4"/>
      <c r="P898" s="4"/>
      <c r="Q898" s="4"/>
      <c r="R898" s="4"/>
      <c r="S898" s="4"/>
    </row>
    <row r="899" ht="15.75" customHeight="1">
      <c r="F899" s="11"/>
      <c r="G899" s="12"/>
      <c r="H899" s="13"/>
      <c r="M899" s="4"/>
      <c r="N899" s="5"/>
      <c r="O899" s="4"/>
      <c r="P899" s="4"/>
      <c r="Q899" s="4"/>
      <c r="R899" s="4"/>
      <c r="S899" s="4"/>
    </row>
    <row r="900" ht="15.75" customHeight="1">
      <c r="F900" s="11"/>
      <c r="G900" s="12"/>
      <c r="H900" s="13"/>
      <c r="M900" s="4"/>
      <c r="N900" s="5"/>
      <c r="O900" s="4"/>
      <c r="P900" s="4"/>
      <c r="Q900" s="4"/>
      <c r="R900" s="4"/>
      <c r="S900" s="4"/>
    </row>
    <row r="901" ht="15.75" customHeight="1">
      <c r="F901" s="11"/>
      <c r="G901" s="12"/>
      <c r="H901" s="13"/>
      <c r="M901" s="4"/>
      <c r="N901" s="5"/>
      <c r="O901" s="4"/>
      <c r="P901" s="4"/>
      <c r="Q901" s="4"/>
      <c r="R901" s="4"/>
      <c r="S901" s="4"/>
    </row>
    <row r="902" ht="15.75" customHeight="1">
      <c r="F902" s="11"/>
      <c r="G902" s="12"/>
      <c r="H902" s="13"/>
      <c r="M902" s="4"/>
      <c r="N902" s="5"/>
      <c r="O902" s="4"/>
      <c r="P902" s="4"/>
      <c r="Q902" s="4"/>
      <c r="R902" s="4"/>
      <c r="S902" s="4"/>
    </row>
    <row r="903" ht="15.75" customHeight="1">
      <c r="F903" s="11"/>
      <c r="G903" s="12"/>
      <c r="H903" s="13"/>
      <c r="M903" s="4"/>
      <c r="N903" s="5"/>
      <c r="O903" s="4"/>
      <c r="P903" s="4"/>
      <c r="Q903" s="4"/>
      <c r="R903" s="4"/>
      <c r="S903" s="4"/>
    </row>
    <row r="904" ht="15.75" customHeight="1">
      <c r="F904" s="11"/>
      <c r="G904" s="12"/>
      <c r="H904" s="13"/>
      <c r="M904" s="4"/>
      <c r="N904" s="5"/>
      <c r="O904" s="4"/>
      <c r="P904" s="4"/>
      <c r="Q904" s="4"/>
      <c r="R904" s="4"/>
      <c r="S904" s="4"/>
    </row>
    <row r="905" ht="15.75" customHeight="1">
      <c r="F905" s="11"/>
      <c r="G905" s="12"/>
      <c r="H905" s="13"/>
      <c r="M905" s="4"/>
      <c r="N905" s="5"/>
      <c r="O905" s="4"/>
      <c r="P905" s="4"/>
      <c r="Q905" s="4"/>
      <c r="R905" s="4"/>
      <c r="S905" s="4"/>
    </row>
    <row r="906" ht="15.75" customHeight="1">
      <c r="F906" s="11"/>
      <c r="G906" s="12"/>
      <c r="H906" s="13"/>
      <c r="M906" s="4"/>
      <c r="N906" s="5"/>
      <c r="O906" s="4"/>
      <c r="P906" s="4"/>
      <c r="Q906" s="4"/>
      <c r="R906" s="4"/>
      <c r="S906" s="4"/>
    </row>
    <row r="907" ht="15.75" customHeight="1">
      <c r="F907" s="11"/>
      <c r="G907" s="12"/>
      <c r="H907" s="13"/>
      <c r="M907" s="4"/>
      <c r="N907" s="5"/>
      <c r="O907" s="4"/>
      <c r="P907" s="4"/>
      <c r="Q907" s="4"/>
      <c r="R907" s="4"/>
      <c r="S907" s="4"/>
    </row>
    <row r="908" ht="15.75" customHeight="1">
      <c r="F908" s="11"/>
      <c r="G908" s="12"/>
      <c r="H908" s="13"/>
      <c r="M908" s="4"/>
      <c r="N908" s="5"/>
      <c r="O908" s="4"/>
      <c r="P908" s="4"/>
      <c r="Q908" s="4"/>
      <c r="R908" s="4"/>
      <c r="S908" s="4"/>
    </row>
    <row r="909" ht="15.75" customHeight="1">
      <c r="F909" s="11"/>
      <c r="G909" s="12"/>
      <c r="H909" s="13"/>
      <c r="M909" s="4"/>
      <c r="N909" s="5"/>
      <c r="O909" s="4"/>
      <c r="P909" s="4"/>
      <c r="Q909" s="4"/>
      <c r="R909" s="4"/>
      <c r="S909" s="4"/>
    </row>
    <row r="910" ht="15.75" customHeight="1">
      <c r="F910" s="11"/>
      <c r="G910" s="12"/>
      <c r="H910" s="13"/>
      <c r="M910" s="4"/>
      <c r="N910" s="5"/>
      <c r="O910" s="4"/>
      <c r="P910" s="4"/>
      <c r="Q910" s="4"/>
      <c r="R910" s="4"/>
      <c r="S910" s="4"/>
    </row>
    <row r="911" ht="15.75" customHeight="1">
      <c r="F911" s="11"/>
      <c r="G911" s="12"/>
      <c r="H911" s="13"/>
      <c r="M911" s="4"/>
      <c r="N911" s="5"/>
      <c r="O911" s="4"/>
      <c r="P911" s="4"/>
      <c r="Q911" s="4"/>
      <c r="R911" s="4"/>
      <c r="S911" s="4"/>
    </row>
    <row r="912" ht="15.75" customHeight="1">
      <c r="F912" s="11"/>
      <c r="G912" s="12"/>
      <c r="H912" s="13"/>
      <c r="M912" s="4"/>
      <c r="N912" s="5"/>
      <c r="O912" s="4"/>
      <c r="P912" s="4"/>
      <c r="Q912" s="4"/>
      <c r="R912" s="4"/>
      <c r="S912" s="4"/>
    </row>
    <row r="913" ht="15.75" customHeight="1">
      <c r="F913" s="11"/>
      <c r="G913" s="12"/>
      <c r="H913" s="13"/>
      <c r="M913" s="4"/>
      <c r="N913" s="5"/>
      <c r="O913" s="4"/>
      <c r="P913" s="4"/>
      <c r="Q913" s="4"/>
      <c r="R913" s="4"/>
      <c r="S913" s="4"/>
    </row>
    <row r="914" ht="15.75" customHeight="1">
      <c r="F914" s="11"/>
      <c r="G914" s="12"/>
      <c r="H914" s="13"/>
      <c r="M914" s="4"/>
      <c r="N914" s="5"/>
      <c r="O914" s="4"/>
      <c r="P914" s="4"/>
      <c r="Q914" s="4"/>
      <c r="R914" s="4"/>
      <c r="S914" s="4"/>
    </row>
    <row r="915" ht="15.75" customHeight="1">
      <c r="F915" s="11"/>
      <c r="G915" s="12"/>
      <c r="H915" s="13"/>
      <c r="M915" s="4"/>
      <c r="N915" s="5"/>
      <c r="O915" s="4"/>
      <c r="P915" s="4"/>
      <c r="Q915" s="4"/>
      <c r="R915" s="4"/>
      <c r="S915" s="4"/>
    </row>
    <row r="916" ht="15.75" customHeight="1">
      <c r="F916" s="11"/>
      <c r="G916" s="12"/>
      <c r="H916" s="13"/>
      <c r="M916" s="4"/>
      <c r="N916" s="5"/>
      <c r="O916" s="4"/>
      <c r="P916" s="4"/>
      <c r="Q916" s="4"/>
      <c r="R916" s="4"/>
      <c r="S916" s="4"/>
    </row>
    <row r="917" ht="15.75" customHeight="1">
      <c r="F917" s="11"/>
      <c r="G917" s="12"/>
      <c r="H917" s="13"/>
      <c r="M917" s="4"/>
      <c r="N917" s="5"/>
      <c r="O917" s="4"/>
      <c r="P917" s="4"/>
      <c r="Q917" s="4"/>
      <c r="R917" s="4"/>
      <c r="S917" s="4"/>
    </row>
    <row r="918" ht="15.75" customHeight="1">
      <c r="F918" s="11"/>
      <c r="G918" s="12"/>
      <c r="H918" s="13"/>
      <c r="M918" s="4"/>
      <c r="N918" s="5"/>
      <c r="O918" s="4"/>
      <c r="P918" s="4"/>
      <c r="Q918" s="4"/>
      <c r="R918" s="4"/>
      <c r="S918" s="4"/>
    </row>
    <row r="919" ht="15.75" customHeight="1">
      <c r="F919" s="11"/>
      <c r="G919" s="12"/>
      <c r="H919" s="13"/>
      <c r="M919" s="4"/>
      <c r="N919" s="5"/>
      <c r="O919" s="4"/>
      <c r="P919" s="4"/>
      <c r="Q919" s="4"/>
      <c r="R919" s="4"/>
      <c r="S919" s="4"/>
    </row>
    <row r="920" ht="15.75" customHeight="1">
      <c r="F920" s="11"/>
      <c r="G920" s="12"/>
      <c r="H920" s="13"/>
      <c r="M920" s="4"/>
      <c r="N920" s="5"/>
      <c r="O920" s="4"/>
      <c r="P920" s="4"/>
      <c r="Q920" s="4"/>
      <c r="R920" s="4"/>
      <c r="S920" s="4"/>
    </row>
    <row r="921" ht="15.75" customHeight="1">
      <c r="F921" s="11"/>
      <c r="G921" s="12"/>
      <c r="H921" s="13"/>
      <c r="M921" s="4"/>
      <c r="N921" s="5"/>
      <c r="O921" s="4"/>
      <c r="P921" s="4"/>
      <c r="Q921" s="4"/>
      <c r="R921" s="4"/>
      <c r="S921" s="4"/>
    </row>
    <row r="922" ht="15.75" customHeight="1">
      <c r="F922" s="11"/>
      <c r="G922" s="12"/>
      <c r="H922" s="13"/>
      <c r="M922" s="4"/>
      <c r="N922" s="5"/>
      <c r="O922" s="4"/>
      <c r="P922" s="4"/>
      <c r="Q922" s="4"/>
      <c r="R922" s="4"/>
      <c r="S922" s="4"/>
    </row>
    <row r="923" ht="15.75" customHeight="1">
      <c r="F923" s="11"/>
      <c r="G923" s="12"/>
      <c r="H923" s="13"/>
      <c r="M923" s="4"/>
      <c r="N923" s="5"/>
      <c r="O923" s="4"/>
      <c r="P923" s="4"/>
      <c r="Q923" s="4"/>
      <c r="R923" s="4"/>
      <c r="S923" s="4"/>
    </row>
    <row r="924" ht="15.75" customHeight="1">
      <c r="F924" s="11"/>
      <c r="G924" s="12"/>
      <c r="H924" s="13"/>
      <c r="M924" s="4"/>
      <c r="N924" s="5"/>
      <c r="O924" s="4"/>
      <c r="P924" s="4"/>
      <c r="Q924" s="4"/>
      <c r="R924" s="4"/>
      <c r="S924" s="4"/>
    </row>
    <row r="925" ht="15.75" customHeight="1">
      <c r="F925" s="11"/>
      <c r="G925" s="12"/>
      <c r="H925" s="13"/>
      <c r="M925" s="4"/>
      <c r="N925" s="5"/>
      <c r="O925" s="4"/>
      <c r="P925" s="4"/>
      <c r="Q925" s="4"/>
      <c r="R925" s="4"/>
      <c r="S925" s="4"/>
    </row>
    <row r="926" ht="15.75" customHeight="1">
      <c r="F926" s="11"/>
      <c r="G926" s="12"/>
      <c r="H926" s="13"/>
      <c r="M926" s="4"/>
      <c r="N926" s="5"/>
      <c r="O926" s="4"/>
      <c r="P926" s="4"/>
      <c r="Q926" s="4"/>
      <c r="R926" s="4"/>
      <c r="S926" s="4"/>
    </row>
    <row r="927" ht="15.75" customHeight="1">
      <c r="F927" s="11"/>
      <c r="G927" s="12"/>
      <c r="H927" s="13"/>
      <c r="M927" s="4"/>
      <c r="N927" s="5"/>
      <c r="O927" s="4"/>
      <c r="P927" s="4"/>
      <c r="Q927" s="4"/>
      <c r="R927" s="4"/>
      <c r="S927" s="4"/>
    </row>
    <row r="928" ht="15.75" customHeight="1">
      <c r="F928" s="11"/>
      <c r="G928" s="12"/>
      <c r="H928" s="13"/>
      <c r="M928" s="4"/>
      <c r="N928" s="5"/>
      <c r="O928" s="4"/>
      <c r="P928" s="4"/>
      <c r="Q928" s="4"/>
      <c r="R928" s="4"/>
      <c r="S928" s="4"/>
    </row>
    <row r="929" ht="15.75" customHeight="1">
      <c r="F929" s="11"/>
      <c r="G929" s="12"/>
      <c r="H929" s="13"/>
      <c r="M929" s="4"/>
      <c r="N929" s="5"/>
      <c r="O929" s="4"/>
      <c r="P929" s="4"/>
      <c r="Q929" s="4"/>
      <c r="R929" s="4"/>
      <c r="S929" s="4"/>
    </row>
    <row r="930" ht="15.75" customHeight="1">
      <c r="F930" s="11"/>
      <c r="G930" s="12"/>
      <c r="H930" s="13"/>
      <c r="M930" s="4"/>
      <c r="N930" s="5"/>
      <c r="O930" s="4"/>
      <c r="P930" s="4"/>
      <c r="Q930" s="4"/>
      <c r="R930" s="4"/>
      <c r="S930" s="4"/>
    </row>
    <row r="931" ht="15.75" customHeight="1">
      <c r="F931" s="11"/>
      <c r="G931" s="12"/>
      <c r="H931" s="13"/>
      <c r="M931" s="4"/>
      <c r="N931" s="5"/>
      <c r="O931" s="4"/>
      <c r="P931" s="4"/>
      <c r="Q931" s="4"/>
      <c r="R931" s="4"/>
      <c r="S931" s="4"/>
    </row>
    <row r="932" ht="15.75" customHeight="1">
      <c r="F932" s="11"/>
      <c r="G932" s="12"/>
      <c r="H932" s="13"/>
      <c r="M932" s="4"/>
      <c r="N932" s="5"/>
      <c r="O932" s="4"/>
      <c r="P932" s="4"/>
      <c r="Q932" s="4"/>
      <c r="R932" s="4"/>
      <c r="S932" s="4"/>
    </row>
    <row r="933" ht="15.75" customHeight="1">
      <c r="F933" s="11"/>
      <c r="G933" s="12"/>
      <c r="H933" s="13"/>
      <c r="M933" s="4"/>
      <c r="N933" s="5"/>
      <c r="O933" s="4"/>
      <c r="P933" s="4"/>
      <c r="Q933" s="4"/>
      <c r="R933" s="4"/>
      <c r="S933" s="4"/>
    </row>
    <row r="934" ht="15.75" customHeight="1">
      <c r="F934" s="11"/>
      <c r="G934" s="12"/>
      <c r="H934" s="13"/>
      <c r="M934" s="4"/>
      <c r="N934" s="5"/>
      <c r="O934" s="4"/>
      <c r="P934" s="4"/>
      <c r="Q934" s="4"/>
      <c r="R934" s="4"/>
      <c r="S934" s="4"/>
    </row>
    <row r="935" ht="15.75" customHeight="1">
      <c r="F935" s="11"/>
      <c r="G935" s="12"/>
      <c r="H935" s="13"/>
      <c r="M935" s="4"/>
      <c r="N935" s="5"/>
      <c r="O935" s="4"/>
      <c r="P935" s="4"/>
      <c r="Q935" s="4"/>
      <c r="R935" s="4"/>
      <c r="S935" s="4"/>
    </row>
    <row r="936" ht="15.75" customHeight="1">
      <c r="F936" s="11"/>
      <c r="G936" s="12"/>
      <c r="H936" s="13"/>
      <c r="M936" s="4"/>
      <c r="N936" s="5"/>
      <c r="O936" s="4"/>
      <c r="P936" s="4"/>
      <c r="Q936" s="4"/>
      <c r="R936" s="4"/>
      <c r="S936" s="4"/>
    </row>
    <row r="937" ht="15.75" customHeight="1">
      <c r="F937" s="11"/>
      <c r="G937" s="12"/>
      <c r="H937" s="13"/>
      <c r="M937" s="4"/>
      <c r="N937" s="5"/>
      <c r="O937" s="4"/>
      <c r="P937" s="4"/>
      <c r="Q937" s="4"/>
      <c r="R937" s="4"/>
      <c r="S937" s="4"/>
    </row>
    <row r="938" ht="15.75" customHeight="1">
      <c r="F938" s="11"/>
      <c r="G938" s="12"/>
      <c r="H938" s="13"/>
      <c r="M938" s="4"/>
      <c r="N938" s="5"/>
      <c r="O938" s="4"/>
      <c r="P938" s="4"/>
      <c r="Q938" s="4"/>
      <c r="R938" s="4"/>
      <c r="S938" s="4"/>
    </row>
    <row r="939" ht="15.75" customHeight="1">
      <c r="F939" s="11"/>
      <c r="G939" s="12"/>
      <c r="H939" s="13"/>
      <c r="M939" s="4"/>
      <c r="N939" s="5"/>
      <c r="O939" s="4"/>
      <c r="P939" s="4"/>
      <c r="Q939" s="4"/>
      <c r="R939" s="4"/>
      <c r="S939" s="4"/>
    </row>
    <row r="940" ht="15.75" customHeight="1">
      <c r="F940" s="11"/>
      <c r="G940" s="12"/>
      <c r="H940" s="13"/>
      <c r="M940" s="4"/>
      <c r="N940" s="5"/>
      <c r="O940" s="4"/>
      <c r="P940" s="4"/>
      <c r="Q940" s="4"/>
      <c r="R940" s="4"/>
      <c r="S940" s="4"/>
    </row>
    <row r="941" ht="15.75" customHeight="1">
      <c r="F941" s="11"/>
      <c r="G941" s="12"/>
      <c r="H941" s="13"/>
      <c r="M941" s="4"/>
      <c r="N941" s="5"/>
      <c r="O941" s="4"/>
      <c r="P941" s="4"/>
      <c r="Q941" s="4"/>
      <c r="R941" s="4"/>
      <c r="S941" s="4"/>
    </row>
    <row r="942" ht="15.75" customHeight="1">
      <c r="F942" s="11"/>
      <c r="G942" s="12"/>
      <c r="H942" s="13"/>
      <c r="M942" s="4"/>
      <c r="N942" s="5"/>
      <c r="O942" s="4"/>
      <c r="P942" s="4"/>
      <c r="Q942" s="4"/>
      <c r="R942" s="4"/>
      <c r="S942" s="4"/>
    </row>
    <row r="943" ht="15.75" customHeight="1">
      <c r="F943" s="11"/>
      <c r="G943" s="12"/>
      <c r="H943" s="13"/>
      <c r="M943" s="4"/>
      <c r="N943" s="5"/>
      <c r="O943" s="4"/>
      <c r="P943" s="4"/>
      <c r="Q943" s="4"/>
      <c r="R943" s="4"/>
      <c r="S943" s="4"/>
    </row>
    <row r="944" ht="15.75" customHeight="1">
      <c r="F944" s="11"/>
      <c r="G944" s="12"/>
      <c r="H944" s="13"/>
      <c r="M944" s="4"/>
      <c r="N944" s="5"/>
      <c r="O944" s="4"/>
      <c r="P944" s="4"/>
      <c r="Q944" s="4"/>
      <c r="R944" s="4"/>
      <c r="S944" s="4"/>
    </row>
    <row r="945" ht="15.75" customHeight="1">
      <c r="F945" s="11"/>
      <c r="G945" s="12"/>
      <c r="H945" s="13"/>
      <c r="M945" s="4"/>
      <c r="N945" s="5"/>
      <c r="O945" s="4"/>
      <c r="P945" s="4"/>
      <c r="Q945" s="4"/>
      <c r="R945" s="4"/>
      <c r="S945" s="4"/>
    </row>
    <row r="946" ht="15.75" customHeight="1">
      <c r="F946" s="11"/>
      <c r="G946" s="12"/>
      <c r="H946" s="13"/>
      <c r="M946" s="4"/>
      <c r="N946" s="5"/>
      <c r="O946" s="4"/>
      <c r="P946" s="4"/>
      <c r="Q946" s="4"/>
      <c r="R946" s="4"/>
      <c r="S946" s="4"/>
    </row>
    <row r="947" ht="15.75" customHeight="1">
      <c r="F947" s="11"/>
      <c r="G947" s="12"/>
      <c r="H947" s="13"/>
      <c r="M947" s="4"/>
      <c r="N947" s="5"/>
      <c r="O947" s="4"/>
      <c r="P947" s="4"/>
      <c r="Q947" s="4"/>
      <c r="R947" s="4"/>
      <c r="S947" s="4"/>
    </row>
    <row r="948" ht="15.75" customHeight="1">
      <c r="F948" s="11"/>
      <c r="G948" s="12"/>
      <c r="H948" s="13"/>
      <c r="M948" s="4"/>
      <c r="N948" s="5"/>
      <c r="O948" s="4"/>
      <c r="P948" s="4"/>
      <c r="Q948" s="4"/>
      <c r="R948" s="4"/>
      <c r="S948" s="4"/>
    </row>
    <row r="949" ht="15.75" customHeight="1">
      <c r="F949" s="11"/>
      <c r="G949" s="12"/>
      <c r="H949" s="13"/>
      <c r="M949" s="4"/>
      <c r="N949" s="5"/>
      <c r="O949" s="4"/>
      <c r="P949" s="4"/>
      <c r="Q949" s="4"/>
      <c r="R949" s="4"/>
      <c r="S949" s="4"/>
    </row>
    <row r="950" ht="15.75" customHeight="1">
      <c r="F950" s="11"/>
      <c r="G950" s="12"/>
      <c r="H950" s="13"/>
      <c r="M950" s="4"/>
      <c r="N950" s="5"/>
      <c r="O950" s="4"/>
      <c r="P950" s="4"/>
      <c r="Q950" s="4"/>
      <c r="R950" s="4"/>
      <c r="S950" s="4"/>
    </row>
    <row r="951" ht="15.75" customHeight="1">
      <c r="F951" s="11"/>
      <c r="G951" s="12"/>
      <c r="H951" s="13"/>
      <c r="M951" s="4"/>
      <c r="N951" s="5"/>
      <c r="O951" s="4"/>
      <c r="P951" s="4"/>
      <c r="Q951" s="4"/>
      <c r="R951" s="4"/>
      <c r="S951" s="4"/>
    </row>
    <row r="952" ht="15.75" customHeight="1">
      <c r="F952" s="11"/>
      <c r="G952" s="12"/>
      <c r="H952" s="13"/>
      <c r="M952" s="4"/>
      <c r="N952" s="5"/>
      <c r="O952" s="4"/>
      <c r="P952" s="4"/>
      <c r="Q952" s="4"/>
      <c r="R952" s="4"/>
      <c r="S952" s="4"/>
    </row>
    <row r="953" ht="15.75" customHeight="1">
      <c r="F953" s="11"/>
      <c r="G953" s="12"/>
      <c r="H953" s="13"/>
      <c r="M953" s="4"/>
      <c r="N953" s="5"/>
      <c r="O953" s="4"/>
      <c r="P953" s="4"/>
      <c r="Q953" s="4"/>
      <c r="R953" s="4"/>
      <c r="S953" s="4"/>
    </row>
    <row r="954" ht="15.75" customHeight="1">
      <c r="F954" s="11"/>
      <c r="G954" s="12"/>
      <c r="H954" s="13"/>
      <c r="M954" s="4"/>
      <c r="N954" s="5"/>
      <c r="O954" s="4"/>
      <c r="P954" s="4"/>
      <c r="Q954" s="4"/>
      <c r="R954" s="4"/>
      <c r="S954" s="4"/>
    </row>
    <row r="955" ht="15.75" customHeight="1">
      <c r="F955" s="11"/>
      <c r="G955" s="12"/>
      <c r="H955" s="13"/>
      <c r="M955" s="4"/>
      <c r="N955" s="5"/>
      <c r="O955" s="4"/>
      <c r="P955" s="4"/>
      <c r="Q955" s="4"/>
      <c r="R955" s="4"/>
      <c r="S955" s="4"/>
    </row>
    <row r="956" ht="15.75" customHeight="1">
      <c r="F956" s="11"/>
      <c r="G956" s="12"/>
      <c r="H956" s="13"/>
      <c r="M956" s="4"/>
      <c r="N956" s="5"/>
      <c r="O956" s="4"/>
      <c r="P956" s="4"/>
      <c r="Q956" s="4"/>
      <c r="R956" s="4"/>
      <c r="S956" s="4"/>
    </row>
    <row r="957" ht="15.75" customHeight="1">
      <c r="F957" s="11"/>
      <c r="G957" s="12"/>
      <c r="H957" s="13"/>
      <c r="M957" s="4"/>
      <c r="N957" s="5"/>
      <c r="O957" s="4"/>
      <c r="P957" s="4"/>
      <c r="Q957" s="4"/>
      <c r="R957" s="4"/>
      <c r="S957" s="4"/>
    </row>
    <row r="958" ht="15.75" customHeight="1">
      <c r="F958" s="11"/>
      <c r="G958" s="12"/>
      <c r="H958" s="13"/>
      <c r="M958" s="4"/>
      <c r="N958" s="5"/>
      <c r="O958" s="4"/>
      <c r="P958" s="4"/>
      <c r="Q958" s="4"/>
      <c r="R958" s="4"/>
      <c r="S958" s="4"/>
    </row>
    <row r="959" ht="15.75" customHeight="1">
      <c r="F959" s="11"/>
      <c r="G959" s="12"/>
      <c r="H959" s="13"/>
      <c r="M959" s="4"/>
      <c r="N959" s="5"/>
      <c r="O959" s="4"/>
      <c r="P959" s="4"/>
      <c r="Q959" s="4"/>
      <c r="R959" s="4"/>
      <c r="S959" s="4"/>
    </row>
    <row r="960" ht="15.75" customHeight="1">
      <c r="F960" s="11"/>
      <c r="G960" s="12"/>
      <c r="H960" s="13"/>
      <c r="M960" s="4"/>
      <c r="N960" s="5"/>
      <c r="O960" s="4"/>
      <c r="P960" s="4"/>
      <c r="Q960" s="4"/>
      <c r="R960" s="4"/>
      <c r="S960" s="4"/>
    </row>
    <row r="961" ht="15.75" customHeight="1">
      <c r="F961" s="11"/>
      <c r="G961" s="12"/>
      <c r="H961" s="13"/>
      <c r="M961" s="4"/>
      <c r="N961" s="5"/>
      <c r="O961" s="4"/>
      <c r="P961" s="4"/>
      <c r="Q961" s="4"/>
      <c r="R961" s="4"/>
      <c r="S961" s="4"/>
    </row>
    <row r="962" ht="15.75" customHeight="1">
      <c r="F962" s="11"/>
      <c r="G962" s="12"/>
      <c r="H962" s="13"/>
      <c r="M962" s="4"/>
      <c r="N962" s="5"/>
      <c r="O962" s="4"/>
      <c r="P962" s="4"/>
      <c r="Q962" s="4"/>
      <c r="R962" s="4"/>
      <c r="S962" s="4"/>
    </row>
    <row r="963" ht="15.75" customHeight="1">
      <c r="F963" s="11"/>
      <c r="G963" s="12"/>
      <c r="H963" s="13"/>
      <c r="M963" s="4"/>
      <c r="N963" s="5"/>
      <c r="O963" s="4"/>
      <c r="P963" s="4"/>
      <c r="Q963" s="4"/>
      <c r="R963" s="4"/>
      <c r="S963" s="4"/>
    </row>
    <row r="964" ht="15.75" customHeight="1">
      <c r="F964" s="11"/>
      <c r="G964" s="12"/>
      <c r="H964" s="13"/>
      <c r="M964" s="4"/>
      <c r="N964" s="5"/>
      <c r="O964" s="4"/>
      <c r="P964" s="4"/>
      <c r="Q964" s="4"/>
      <c r="R964" s="4"/>
      <c r="S964" s="4"/>
    </row>
    <row r="965" ht="15.75" customHeight="1">
      <c r="F965" s="11"/>
      <c r="G965" s="12"/>
      <c r="H965" s="13"/>
      <c r="M965" s="4"/>
      <c r="N965" s="5"/>
      <c r="O965" s="4"/>
      <c r="P965" s="4"/>
      <c r="Q965" s="4"/>
      <c r="R965" s="4"/>
      <c r="S965" s="4"/>
    </row>
    <row r="966" ht="15.75" customHeight="1">
      <c r="F966" s="11"/>
      <c r="G966" s="12"/>
      <c r="H966" s="13"/>
      <c r="M966" s="4"/>
      <c r="N966" s="5"/>
      <c r="O966" s="4"/>
      <c r="P966" s="4"/>
      <c r="Q966" s="4"/>
      <c r="R966" s="4"/>
      <c r="S966" s="4"/>
    </row>
    <row r="967" ht="15.75" customHeight="1">
      <c r="F967" s="11"/>
      <c r="G967" s="12"/>
      <c r="H967" s="13"/>
      <c r="M967" s="4"/>
      <c r="N967" s="5"/>
      <c r="O967" s="4"/>
      <c r="P967" s="4"/>
      <c r="Q967" s="4"/>
      <c r="R967" s="4"/>
      <c r="S967" s="4"/>
    </row>
    <row r="968" ht="15.75" customHeight="1">
      <c r="F968" s="11"/>
      <c r="G968" s="12"/>
      <c r="H968" s="13"/>
      <c r="M968" s="4"/>
      <c r="N968" s="5"/>
      <c r="O968" s="4"/>
      <c r="P968" s="4"/>
      <c r="Q968" s="4"/>
      <c r="R968" s="4"/>
      <c r="S968" s="4"/>
    </row>
    <row r="969" ht="15.75" customHeight="1">
      <c r="F969" s="11"/>
      <c r="G969" s="12"/>
      <c r="H969" s="13"/>
      <c r="M969" s="4"/>
      <c r="N969" s="5"/>
      <c r="O969" s="4"/>
      <c r="P969" s="4"/>
      <c r="Q969" s="4"/>
      <c r="R969" s="4"/>
      <c r="S969" s="4"/>
    </row>
    <row r="970" ht="15.75" customHeight="1">
      <c r="F970" s="11"/>
      <c r="G970" s="12"/>
      <c r="H970" s="13"/>
      <c r="M970" s="4"/>
      <c r="N970" s="5"/>
      <c r="O970" s="4"/>
      <c r="P970" s="4"/>
      <c r="Q970" s="4"/>
      <c r="R970" s="4"/>
      <c r="S970" s="4"/>
    </row>
    <row r="971" ht="15.75" customHeight="1">
      <c r="F971" s="11"/>
      <c r="G971" s="12"/>
      <c r="H971" s="13"/>
      <c r="M971" s="4"/>
      <c r="N971" s="5"/>
      <c r="O971" s="4"/>
      <c r="P971" s="4"/>
      <c r="Q971" s="4"/>
      <c r="R971" s="4"/>
      <c r="S971" s="4"/>
    </row>
    <row r="972" ht="15.75" customHeight="1">
      <c r="F972" s="11"/>
      <c r="G972" s="12"/>
      <c r="H972" s="13"/>
      <c r="M972" s="4"/>
      <c r="N972" s="5"/>
      <c r="O972" s="4"/>
      <c r="P972" s="4"/>
      <c r="Q972" s="4"/>
      <c r="R972" s="4"/>
      <c r="S972" s="4"/>
    </row>
    <row r="973" ht="15.75" customHeight="1">
      <c r="F973" s="11"/>
      <c r="G973" s="12"/>
      <c r="H973" s="13"/>
      <c r="M973" s="4"/>
      <c r="N973" s="5"/>
      <c r="O973" s="4"/>
      <c r="P973" s="4"/>
      <c r="Q973" s="4"/>
      <c r="R973" s="4"/>
      <c r="S973" s="4"/>
    </row>
    <row r="974" ht="15.75" customHeight="1">
      <c r="F974" s="11"/>
      <c r="G974" s="12"/>
      <c r="H974" s="13"/>
      <c r="M974" s="4"/>
      <c r="N974" s="5"/>
      <c r="O974" s="4"/>
      <c r="P974" s="4"/>
      <c r="Q974" s="4"/>
      <c r="R974" s="4"/>
      <c r="S974" s="4"/>
    </row>
    <row r="975" ht="15.75" customHeight="1">
      <c r="F975" s="11"/>
      <c r="G975" s="12"/>
      <c r="H975" s="13"/>
      <c r="M975" s="4"/>
      <c r="N975" s="5"/>
      <c r="O975" s="4"/>
      <c r="P975" s="4"/>
      <c r="Q975" s="4"/>
      <c r="R975" s="4"/>
      <c r="S975" s="4"/>
    </row>
    <row r="976" ht="15.75" customHeight="1">
      <c r="F976" s="11"/>
      <c r="G976" s="12"/>
      <c r="H976" s="13"/>
      <c r="M976" s="4"/>
      <c r="N976" s="5"/>
      <c r="O976" s="4"/>
      <c r="P976" s="4"/>
      <c r="Q976" s="4"/>
      <c r="R976" s="4"/>
      <c r="S976" s="4"/>
    </row>
    <row r="977" ht="15.75" customHeight="1">
      <c r="F977" s="11"/>
      <c r="G977" s="12"/>
      <c r="H977" s="13"/>
      <c r="M977" s="4"/>
      <c r="N977" s="5"/>
      <c r="O977" s="4"/>
      <c r="P977" s="4"/>
      <c r="Q977" s="4"/>
      <c r="R977" s="4"/>
      <c r="S977" s="4"/>
    </row>
    <row r="978" ht="15.75" customHeight="1">
      <c r="F978" s="11"/>
      <c r="G978" s="12"/>
      <c r="H978" s="13"/>
      <c r="M978" s="4"/>
      <c r="N978" s="5"/>
      <c r="O978" s="4"/>
      <c r="P978" s="4"/>
      <c r="Q978" s="4"/>
      <c r="R978" s="4"/>
      <c r="S978" s="4"/>
    </row>
    <row r="979" ht="15.75" customHeight="1">
      <c r="F979" s="11"/>
      <c r="G979" s="12"/>
      <c r="H979" s="13"/>
      <c r="M979" s="4"/>
      <c r="N979" s="5"/>
      <c r="O979" s="4"/>
      <c r="P979" s="4"/>
      <c r="Q979" s="4"/>
      <c r="R979" s="4"/>
      <c r="S979" s="4"/>
    </row>
    <row r="980" ht="15.75" customHeight="1">
      <c r="F980" s="11"/>
      <c r="G980" s="12"/>
      <c r="H980" s="13"/>
      <c r="M980" s="4"/>
      <c r="N980" s="5"/>
      <c r="O980" s="4"/>
      <c r="P980" s="4"/>
      <c r="Q980" s="4"/>
      <c r="R980" s="4"/>
      <c r="S980" s="4"/>
    </row>
    <row r="981" ht="15.75" customHeight="1">
      <c r="F981" s="11"/>
      <c r="G981" s="12"/>
      <c r="H981" s="13"/>
      <c r="M981" s="4"/>
      <c r="N981" s="5"/>
      <c r="O981" s="4"/>
      <c r="P981" s="4"/>
      <c r="Q981" s="4"/>
      <c r="R981" s="4"/>
      <c r="S981" s="4"/>
    </row>
    <row r="982" ht="15.75" customHeight="1">
      <c r="F982" s="11"/>
      <c r="G982" s="12"/>
      <c r="H982" s="13"/>
      <c r="M982" s="4"/>
      <c r="N982" s="5"/>
      <c r="O982" s="4"/>
      <c r="P982" s="4"/>
      <c r="Q982" s="4"/>
      <c r="R982" s="4"/>
      <c r="S982" s="4"/>
    </row>
    <row r="983" ht="15.75" customHeight="1">
      <c r="F983" s="11"/>
      <c r="G983" s="12"/>
      <c r="H983" s="13"/>
      <c r="M983" s="4"/>
      <c r="N983" s="5"/>
      <c r="O983" s="4"/>
      <c r="P983" s="4"/>
      <c r="Q983" s="4"/>
      <c r="R983" s="4"/>
      <c r="S983" s="4"/>
    </row>
    <row r="984" ht="15.75" customHeight="1">
      <c r="F984" s="11"/>
      <c r="G984" s="12"/>
      <c r="H984" s="13"/>
      <c r="M984" s="4"/>
      <c r="N984" s="5"/>
      <c r="O984" s="4"/>
      <c r="P984" s="4"/>
      <c r="Q984" s="4"/>
      <c r="R984" s="4"/>
      <c r="S984" s="4"/>
    </row>
    <row r="985" ht="15.75" customHeight="1">
      <c r="F985" s="11"/>
      <c r="G985" s="12"/>
      <c r="H985" s="13"/>
      <c r="M985" s="4"/>
      <c r="N985" s="5"/>
      <c r="O985" s="4"/>
      <c r="P985" s="4"/>
      <c r="Q985" s="4"/>
      <c r="R985" s="4"/>
      <c r="S985" s="4"/>
    </row>
    <row r="986" ht="15.75" customHeight="1">
      <c r="F986" s="11"/>
      <c r="G986" s="12"/>
      <c r="H986" s="13"/>
      <c r="M986" s="4"/>
      <c r="N986" s="5"/>
      <c r="O986" s="4"/>
      <c r="P986" s="4"/>
      <c r="Q986" s="4"/>
      <c r="R986" s="4"/>
      <c r="S986" s="4"/>
    </row>
    <row r="987" ht="15.75" customHeight="1">
      <c r="F987" s="11"/>
      <c r="G987" s="12"/>
      <c r="H987" s="13"/>
      <c r="M987" s="4"/>
      <c r="N987" s="5"/>
      <c r="O987" s="4"/>
      <c r="P987" s="4"/>
      <c r="Q987" s="4"/>
      <c r="R987" s="4"/>
      <c r="S987" s="4"/>
    </row>
    <row r="988" ht="15.75" customHeight="1">
      <c r="F988" s="11"/>
      <c r="G988" s="12"/>
      <c r="H988" s="13"/>
      <c r="M988" s="4"/>
      <c r="N988" s="5"/>
      <c r="O988" s="4"/>
      <c r="P988" s="4"/>
      <c r="Q988" s="4"/>
      <c r="R988" s="4"/>
      <c r="S988" s="4"/>
    </row>
    <row r="989" ht="15.75" customHeight="1">
      <c r="F989" s="11"/>
      <c r="G989" s="12"/>
      <c r="H989" s="13"/>
      <c r="M989" s="4"/>
      <c r="N989" s="5"/>
      <c r="O989" s="4"/>
      <c r="P989" s="4"/>
      <c r="Q989" s="4"/>
      <c r="R989" s="4"/>
      <c r="S989" s="4"/>
    </row>
    <row r="990" ht="15.75" customHeight="1">
      <c r="F990" s="11"/>
      <c r="G990" s="12"/>
      <c r="H990" s="13"/>
      <c r="M990" s="4"/>
      <c r="N990" s="5"/>
      <c r="O990" s="4"/>
      <c r="P990" s="4"/>
      <c r="Q990" s="4"/>
      <c r="R990" s="4"/>
      <c r="S990" s="4"/>
    </row>
    <row r="991" ht="15.75" customHeight="1">
      <c r="F991" s="11"/>
      <c r="G991" s="12"/>
      <c r="H991" s="13"/>
      <c r="M991" s="4"/>
      <c r="N991" s="5"/>
      <c r="O991" s="4"/>
      <c r="P991" s="4"/>
      <c r="Q991" s="4"/>
      <c r="R991" s="4"/>
      <c r="S991" s="4"/>
    </row>
    <row r="992" ht="15.75" customHeight="1">
      <c r="F992" s="11"/>
      <c r="G992" s="12"/>
      <c r="H992" s="13"/>
      <c r="M992" s="4"/>
      <c r="N992" s="5"/>
      <c r="O992" s="4"/>
      <c r="P992" s="4"/>
      <c r="Q992" s="4"/>
      <c r="R992" s="4"/>
      <c r="S992" s="4"/>
    </row>
    <row r="993" ht="15.75" customHeight="1">
      <c r="F993" s="11"/>
      <c r="G993" s="12"/>
      <c r="H993" s="13"/>
      <c r="M993" s="4"/>
      <c r="N993" s="5"/>
      <c r="O993" s="4"/>
      <c r="P993" s="4"/>
      <c r="Q993" s="4"/>
      <c r="R993" s="4"/>
      <c r="S993" s="4"/>
    </row>
    <row r="994" ht="15.75" customHeight="1">
      <c r="F994" s="11"/>
      <c r="G994" s="12"/>
      <c r="H994" s="13"/>
      <c r="M994" s="4"/>
      <c r="N994" s="5"/>
      <c r="O994" s="4"/>
      <c r="P994" s="4"/>
      <c r="Q994" s="4"/>
      <c r="R994" s="4"/>
      <c r="S994" s="4"/>
    </row>
    <row r="995" ht="15.75" customHeight="1">
      <c r="F995" s="11"/>
      <c r="G995" s="12"/>
      <c r="H995" s="13"/>
      <c r="M995" s="4"/>
      <c r="N995" s="5"/>
      <c r="O995" s="4"/>
      <c r="P995" s="4"/>
      <c r="Q995" s="4"/>
      <c r="R995" s="4"/>
      <c r="S995" s="4"/>
    </row>
    <row r="996" ht="15.75" customHeight="1">
      <c r="F996" s="11"/>
      <c r="G996" s="12"/>
      <c r="H996" s="13"/>
      <c r="M996" s="4"/>
      <c r="N996" s="5"/>
      <c r="O996" s="4"/>
      <c r="P996" s="4"/>
      <c r="Q996" s="4"/>
      <c r="R996" s="4"/>
      <c r="S996" s="4"/>
    </row>
    <row r="997" ht="15.75" customHeight="1">
      <c r="F997" s="11"/>
      <c r="G997" s="12"/>
      <c r="H997" s="13"/>
      <c r="M997" s="4"/>
      <c r="N997" s="5"/>
      <c r="O997" s="4"/>
      <c r="P997" s="4"/>
      <c r="Q997" s="4"/>
      <c r="R997" s="4"/>
      <c r="S997" s="4"/>
    </row>
    <row r="998" ht="15.75" customHeight="1">
      <c r="F998" s="11"/>
      <c r="G998" s="12"/>
      <c r="H998" s="13"/>
      <c r="M998" s="4"/>
      <c r="N998" s="5"/>
      <c r="O998" s="4"/>
      <c r="P998" s="4"/>
      <c r="Q998" s="4"/>
      <c r="R998" s="4"/>
      <c r="S998" s="4"/>
    </row>
    <row r="999" ht="15.75" customHeight="1">
      <c r="F999" s="11"/>
      <c r="G999" s="12"/>
      <c r="H999" s="13"/>
      <c r="M999" s="4"/>
      <c r="N999" s="5"/>
      <c r="O999" s="4"/>
      <c r="P999" s="4"/>
      <c r="Q999" s="4"/>
      <c r="R999" s="4"/>
      <c r="S999" s="4"/>
    </row>
    <row r="1000" ht="15.75" customHeight="1">
      <c r="F1000" s="11"/>
      <c r="G1000" s="12"/>
      <c r="H1000" s="13"/>
      <c r="M1000" s="4"/>
      <c r="N1000" s="5"/>
      <c r="O1000" s="4"/>
      <c r="P1000" s="4"/>
      <c r="Q1000" s="4"/>
      <c r="R1000" s="4"/>
      <c r="S1000" s="4"/>
    </row>
  </sheetData>
  <mergeCells count="5">
    <mergeCell ref="A1:I3"/>
    <mergeCell ref="E6:H6"/>
    <mergeCell ref="E14:H14"/>
    <mergeCell ref="B18:E18"/>
    <mergeCell ref="C28:F28"/>
  </mergeCells>
  <dataValidations>
    <dataValidation type="list" allowBlank="1" showErrorMessage="1" sqref="G11">
      <formula1>$Q$6:$Q$9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4" width="9.14"/>
    <col customWidth="1" min="5" max="5" width="20.29"/>
    <col customWidth="1" min="6" max="6" width="15.86"/>
    <col customWidth="1" min="7" max="7" width="23.14"/>
    <col customWidth="1" min="8" max="8" width="13.0"/>
    <col customWidth="1" min="9" max="9" width="18.29"/>
    <col customWidth="1" min="10" max="10" width="9.14"/>
    <col customWidth="1" min="11" max="26" width="8.71"/>
  </cols>
  <sheetData>
    <row r="1" ht="14.25" customHeight="1">
      <c r="A1" s="35"/>
      <c r="B1" s="36" t="s">
        <v>35</v>
      </c>
      <c r="C1" s="2"/>
      <c r="D1" s="2"/>
      <c r="E1" s="2"/>
      <c r="F1" s="2"/>
      <c r="G1" s="2"/>
      <c r="H1" s="2"/>
      <c r="I1" s="2"/>
      <c r="J1" s="3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5"/>
      <c r="B2" s="6"/>
      <c r="J2" s="7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4.25" customHeight="1">
      <c r="A3" s="35"/>
      <c r="B3" s="8"/>
      <c r="C3" s="9"/>
      <c r="D3" s="9"/>
      <c r="E3" s="9"/>
      <c r="F3" s="9"/>
      <c r="G3" s="9"/>
      <c r="H3" s="9"/>
      <c r="I3" s="9"/>
      <c r="J3" s="10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/>
      <c r="B4" s="35"/>
      <c r="C4" s="35"/>
      <c r="D4" s="35"/>
      <c r="E4" s="37"/>
      <c r="F4" s="38"/>
      <c r="G4" s="39"/>
      <c r="H4" s="35"/>
      <c r="I4" s="40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41"/>
      <c r="D5" s="35"/>
      <c r="E5" s="42" t="s">
        <v>36</v>
      </c>
      <c r="F5" s="15"/>
      <c r="G5" s="16"/>
      <c r="H5" s="35"/>
      <c r="I5" s="40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35"/>
      <c r="C6" s="35"/>
      <c r="D6" s="35"/>
      <c r="E6" s="43" t="s">
        <v>37</v>
      </c>
      <c r="F6" s="44">
        <v>0.5</v>
      </c>
      <c r="G6" s="45" t="s">
        <v>4</v>
      </c>
      <c r="H6" s="35"/>
      <c r="I6" s="40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35"/>
      <c r="C7" s="35"/>
      <c r="D7" s="35"/>
      <c r="E7" s="43" t="s">
        <v>38</v>
      </c>
      <c r="F7" s="44">
        <v>2.0</v>
      </c>
      <c r="G7" s="45" t="s">
        <v>4</v>
      </c>
      <c r="H7" s="35"/>
      <c r="I7" s="40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35"/>
      <c r="C8" s="35"/>
      <c r="D8" s="35"/>
      <c r="E8" s="43" t="s">
        <v>39</v>
      </c>
      <c r="F8" s="44">
        <v>3.0</v>
      </c>
      <c r="G8" s="45" t="s">
        <v>4</v>
      </c>
      <c r="H8" s="35"/>
      <c r="I8" s="40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43" t="s">
        <v>14</v>
      </c>
      <c r="F9" s="44">
        <v>20.0</v>
      </c>
      <c r="G9" s="45" t="s">
        <v>4</v>
      </c>
      <c r="H9" s="35"/>
      <c r="I9" s="40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35"/>
      <c r="D10" s="35"/>
      <c r="E10" s="46"/>
      <c r="F10" s="44"/>
      <c r="G10" s="47"/>
      <c r="H10" s="35"/>
      <c r="I10" s="40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35"/>
      <c r="C11" s="35"/>
      <c r="D11" s="35"/>
      <c r="E11" s="48"/>
      <c r="F11" s="38"/>
      <c r="G11" s="39"/>
      <c r="H11" s="35"/>
      <c r="I11" s="40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35"/>
      <c r="D12" s="35"/>
      <c r="E12" s="48"/>
      <c r="F12" s="38"/>
      <c r="G12" s="39"/>
      <c r="H12" s="35"/>
      <c r="I12" s="40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49" t="s">
        <v>40</v>
      </c>
      <c r="F13" s="50"/>
      <c r="G13" s="51"/>
      <c r="H13" s="35"/>
      <c r="I13" s="40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52" t="s">
        <v>41</v>
      </c>
      <c r="F14" s="44">
        <f>0.5*(F6+F7)*F8*F9</f>
        <v>75</v>
      </c>
      <c r="G14" s="47" t="s">
        <v>17</v>
      </c>
      <c r="H14" s="35"/>
      <c r="I14" s="40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7"/>
      <c r="F15" s="38"/>
      <c r="G15" s="39"/>
      <c r="H15" s="35"/>
      <c r="I15" s="40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49" t="s">
        <v>42</v>
      </c>
      <c r="F16" s="50"/>
      <c r="G16" s="50"/>
      <c r="H16" s="53"/>
      <c r="I16" s="54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55" t="s">
        <v>43</v>
      </c>
      <c r="F17" s="38">
        <f>F14</f>
        <v>75</v>
      </c>
      <c r="G17" s="39" t="s">
        <v>17</v>
      </c>
      <c r="H17" s="40">
        <v>1500.0</v>
      </c>
      <c r="I17" s="56">
        <f t="shared" ref="I17:I21" si="1">F17*H17</f>
        <v>112500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55" t="s">
        <v>21</v>
      </c>
      <c r="F18" s="38">
        <f>CEILING(F17*2.5,1)</f>
        <v>188</v>
      </c>
      <c r="G18" s="39" t="s">
        <v>22</v>
      </c>
      <c r="H18" s="40">
        <v>220.0</v>
      </c>
      <c r="I18" s="56">
        <f t="shared" si="1"/>
        <v>41360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55" t="s">
        <v>24</v>
      </c>
      <c r="F19" s="38">
        <f>0.135*F17</f>
        <v>10.125</v>
      </c>
      <c r="G19" s="39" t="s">
        <v>17</v>
      </c>
      <c r="H19" s="40">
        <f>200</f>
        <v>200</v>
      </c>
      <c r="I19" s="56">
        <f t="shared" si="1"/>
        <v>2025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55" t="s">
        <v>44</v>
      </c>
      <c r="F20" s="38">
        <f>CEILING(F9/2,1)</f>
        <v>10</v>
      </c>
      <c r="G20" s="39" t="str">
        <f>"pcs 3in pvc @ top"</f>
        <v>pcs 3in pvc @ top</v>
      </c>
      <c r="H20" s="40">
        <f>250</f>
        <v>250</v>
      </c>
      <c r="I20" s="56">
        <f t="shared" si="1"/>
        <v>2500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55"/>
      <c r="F21" s="38">
        <f>CEILING(F9/2,1)</f>
        <v>10</v>
      </c>
      <c r="G21" s="39" t="str">
        <f>"pcs 3in pvc @ bottom"</f>
        <v>pcs 3in pvc @ bottom</v>
      </c>
      <c r="H21" s="40">
        <v>250.0</v>
      </c>
      <c r="I21" s="57">
        <f t="shared" si="1"/>
        <v>2500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0" customHeight="1">
      <c r="A22" s="35"/>
      <c r="B22" s="35"/>
      <c r="C22" s="35"/>
      <c r="D22" s="35"/>
      <c r="E22" s="46" t="s">
        <v>45</v>
      </c>
      <c r="F22" s="58"/>
      <c r="G22" s="58"/>
      <c r="H22" s="58"/>
      <c r="I22" s="59">
        <f>SUM(I17:I21)</f>
        <v>160885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7"/>
      <c r="F23" s="37"/>
      <c r="G23" s="37"/>
      <c r="H23" s="37"/>
      <c r="I23" s="40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60" t="s">
        <v>46</v>
      </c>
      <c r="F24" s="61">
        <v>0.5</v>
      </c>
      <c r="G24" s="62" t="s">
        <v>47</v>
      </c>
      <c r="H24" s="53"/>
      <c r="I24" s="54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60" t="s">
        <v>48</v>
      </c>
      <c r="F25" s="61">
        <f>F17/F24</f>
        <v>150</v>
      </c>
      <c r="G25" s="62" t="s">
        <v>49</v>
      </c>
      <c r="H25" s="53"/>
      <c r="I25" s="54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55"/>
      <c r="F26" s="38"/>
      <c r="G26" s="39"/>
      <c r="H26" s="35"/>
      <c r="I26" s="5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55" t="s">
        <v>50</v>
      </c>
      <c r="F27" s="38"/>
      <c r="G27" s="39"/>
      <c r="H27" s="35"/>
      <c r="I27" s="5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55" t="s">
        <v>51</v>
      </c>
      <c r="F28" s="38">
        <f>2*580/8</f>
        <v>145</v>
      </c>
      <c r="G28" s="39" t="s">
        <v>52</v>
      </c>
      <c r="H28" s="35"/>
      <c r="I28" s="5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55" t="s">
        <v>53</v>
      </c>
      <c r="F29" s="44">
        <f>3*400/8</f>
        <v>150</v>
      </c>
      <c r="G29" s="39" t="s">
        <v>52</v>
      </c>
      <c r="H29" s="35"/>
      <c r="I29" s="5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55"/>
      <c r="F30" s="38">
        <f>SUM(F28:F29)</f>
        <v>295</v>
      </c>
      <c r="G30" s="39" t="s">
        <v>54</v>
      </c>
      <c r="H30" s="35"/>
      <c r="I30" s="5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55"/>
      <c r="F31" s="38"/>
      <c r="G31" s="39"/>
      <c r="H31" s="35"/>
      <c r="I31" s="5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0" customHeight="1">
      <c r="A32" s="35"/>
      <c r="B32" s="35"/>
      <c r="C32" s="35"/>
      <c r="D32" s="35"/>
      <c r="E32" s="46" t="s">
        <v>55</v>
      </c>
      <c r="F32" s="58"/>
      <c r="G32" s="58"/>
      <c r="H32" s="58"/>
      <c r="I32" s="63">
        <f>F30*F25</f>
        <v>44250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48"/>
      <c r="F33" s="64"/>
      <c r="G33" s="39"/>
      <c r="H33" s="35"/>
      <c r="I33" s="40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65" t="s">
        <v>56</v>
      </c>
      <c r="F34" s="15"/>
      <c r="G34" s="16"/>
      <c r="H34" s="35"/>
      <c r="I34" s="40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43" t="s">
        <v>57</v>
      </c>
      <c r="F35" s="66">
        <f>I22/F14</f>
        <v>2145.133333</v>
      </c>
      <c r="G35" s="45"/>
      <c r="H35" s="35"/>
      <c r="I35" s="40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46" t="s">
        <v>58</v>
      </c>
      <c r="F36" s="67">
        <f>I32/F14</f>
        <v>590</v>
      </c>
      <c r="G36" s="47"/>
      <c r="H36" s="35"/>
      <c r="I36" s="40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7"/>
      <c r="F37" s="68"/>
      <c r="G37" s="39"/>
      <c r="H37" s="35"/>
      <c r="I37" s="40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7"/>
      <c r="F38" s="38"/>
      <c r="G38" s="39"/>
      <c r="H38" s="35"/>
      <c r="I38" s="40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7"/>
      <c r="F39" s="38"/>
      <c r="G39" s="39"/>
      <c r="H39" s="35"/>
      <c r="I39" s="40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7"/>
      <c r="F40" s="38"/>
      <c r="G40" s="39"/>
      <c r="H40" s="35"/>
      <c r="I40" s="40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7"/>
      <c r="F41" s="38"/>
      <c r="G41" s="39"/>
      <c r="H41" s="35"/>
      <c r="I41" s="40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7"/>
      <c r="F42" s="38"/>
      <c r="G42" s="39"/>
      <c r="H42" s="35"/>
      <c r="I42" s="40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7"/>
      <c r="F43" s="38"/>
      <c r="G43" s="39"/>
      <c r="H43" s="35"/>
      <c r="I43" s="40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7"/>
      <c r="F44" s="38"/>
      <c r="G44" s="39"/>
      <c r="H44" s="35"/>
      <c r="I44" s="40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7"/>
      <c r="F45" s="38"/>
      <c r="G45" s="39"/>
      <c r="H45" s="35"/>
      <c r="I45" s="40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7"/>
      <c r="F46" s="38"/>
      <c r="G46" s="39"/>
      <c r="H46" s="35"/>
      <c r="I46" s="40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7"/>
      <c r="F47" s="38"/>
      <c r="G47" s="39"/>
      <c r="H47" s="35"/>
      <c r="I47" s="40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7"/>
      <c r="F48" s="38"/>
      <c r="G48" s="39"/>
      <c r="H48" s="35"/>
      <c r="I48" s="40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7"/>
      <c r="F49" s="38"/>
      <c r="G49" s="39"/>
      <c r="H49" s="35"/>
      <c r="I49" s="40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7"/>
      <c r="F50" s="38"/>
      <c r="G50" s="39"/>
      <c r="H50" s="35"/>
      <c r="I50" s="40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7"/>
      <c r="F51" s="38"/>
      <c r="G51" s="39"/>
      <c r="H51" s="35"/>
      <c r="I51" s="40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7"/>
      <c r="F52" s="38"/>
      <c r="G52" s="39"/>
      <c r="H52" s="35"/>
      <c r="I52" s="40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7"/>
      <c r="F53" s="38"/>
      <c r="G53" s="39"/>
      <c r="H53" s="35"/>
      <c r="I53" s="40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7"/>
      <c r="F54" s="38"/>
      <c r="G54" s="39"/>
      <c r="H54" s="35"/>
      <c r="I54" s="40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7"/>
      <c r="F55" s="38"/>
      <c r="G55" s="39"/>
      <c r="H55" s="35"/>
      <c r="I55" s="40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7"/>
      <c r="F56" s="38"/>
      <c r="G56" s="39"/>
      <c r="H56" s="35"/>
      <c r="I56" s="40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7"/>
      <c r="F57" s="38"/>
      <c r="G57" s="39"/>
      <c r="H57" s="35"/>
      <c r="I57" s="40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7"/>
      <c r="F58" s="38"/>
      <c r="G58" s="39"/>
      <c r="H58" s="35"/>
      <c r="I58" s="40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7"/>
      <c r="F59" s="38"/>
      <c r="G59" s="39"/>
      <c r="H59" s="35"/>
      <c r="I59" s="40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7"/>
      <c r="F60" s="38"/>
      <c r="G60" s="39"/>
      <c r="H60" s="35"/>
      <c r="I60" s="40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7"/>
      <c r="F61" s="38"/>
      <c r="G61" s="39"/>
      <c r="H61" s="35"/>
      <c r="I61" s="40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7"/>
      <c r="F62" s="38"/>
      <c r="G62" s="39"/>
      <c r="H62" s="35"/>
      <c r="I62" s="40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7"/>
      <c r="F63" s="38"/>
      <c r="G63" s="39"/>
      <c r="H63" s="35"/>
      <c r="I63" s="40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7"/>
      <c r="F64" s="38"/>
      <c r="G64" s="39"/>
      <c r="H64" s="35"/>
      <c r="I64" s="40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7"/>
      <c r="F65" s="38"/>
      <c r="G65" s="39"/>
      <c r="H65" s="35"/>
      <c r="I65" s="40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7"/>
      <c r="F66" s="38"/>
      <c r="G66" s="39"/>
      <c r="H66" s="35"/>
      <c r="I66" s="40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7"/>
      <c r="F67" s="38"/>
      <c r="G67" s="39"/>
      <c r="H67" s="35"/>
      <c r="I67" s="40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7"/>
      <c r="F68" s="38"/>
      <c r="G68" s="39"/>
      <c r="H68" s="35"/>
      <c r="I68" s="40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7"/>
      <c r="F69" s="38"/>
      <c r="G69" s="39"/>
      <c r="H69" s="35"/>
      <c r="I69" s="40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7"/>
      <c r="F70" s="38"/>
      <c r="G70" s="39"/>
      <c r="H70" s="35"/>
      <c r="I70" s="40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7"/>
      <c r="F71" s="38"/>
      <c r="G71" s="39"/>
      <c r="H71" s="35"/>
      <c r="I71" s="40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7"/>
      <c r="F72" s="38"/>
      <c r="G72" s="39"/>
      <c r="H72" s="35"/>
      <c r="I72" s="40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7"/>
      <c r="F73" s="38"/>
      <c r="G73" s="39"/>
      <c r="H73" s="35"/>
      <c r="I73" s="40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7"/>
      <c r="F74" s="38"/>
      <c r="G74" s="39"/>
      <c r="H74" s="35"/>
      <c r="I74" s="40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7"/>
      <c r="F75" s="38"/>
      <c r="G75" s="39"/>
      <c r="H75" s="35"/>
      <c r="I75" s="40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7"/>
      <c r="F76" s="38"/>
      <c r="G76" s="39"/>
      <c r="H76" s="35"/>
      <c r="I76" s="40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7"/>
      <c r="F77" s="38"/>
      <c r="G77" s="39"/>
      <c r="H77" s="35"/>
      <c r="I77" s="40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7"/>
      <c r="F78" s="38"/>
      <c r="G78" s="39"/>
      <c r="H78" s="35"/>
      <c r="I78" s="40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7"/>
      <c r="F79" s="38"/>
      <c r="G79" s="39"/>
      <c r="H79" s="35"/>
      <c r="I79" s="40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7"/>
      <c r="F80" s="38"/>
      <c r="G80" s="39"/>
      <c r="H80" s="35"/>
      <c r="I80" s="40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7"/>
      <c r="F81" s="38"/>
      <c r="G81" s="39"/>
      <c r="H81" s="35"/>
      <c r="I81" s="40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7"/>
      <c r="F82" s="38"/>
      <c r="G82" s="39"/>
      <c r="H82" s="35"/>
      <c r="I82" s="40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7"/>
      <c r="F83" s="38"/>
      <c r="G83" s="39"/>
      <c r="H83" s="35"/>
      <c r="I83" s="40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7"/>
      <c r="F84" s="38"/>
      <c r="G84" s="39"/>
      <c r="H84" s="35"/>
      <c r="I84" s="40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7"/>
      <c r="F85" s="38"/>
      <c r="G85" s="39"/>
      <c r="H85" s="35"/>
      <c r="I85" s="40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7"/>
      <c r="F86" s="38"/>
      <c r="G86" s="39"/>
      <c r="H86" s="35"/>
      <c r="I86" s="40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7"/>
      <c r="F87" s="38"/>
      <c r="G87" s="39"/>
      <c r="H87" s="35"/>
      <c r="I87" s="40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7"/>
      <c r="F88" s="38"/>
      <c r="G88" s="39"/>
      <c r="H88" s="35"/>
      <c r="I88" s="40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7"/>
      <c r="F89" s="38"/>
      <c r="G89" s="39"/>
      <c r="H89" s="35"/>
      <c r="I89" s="40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7"/>
      <c r="F90" s="38"/>
      <c r="G90" s="39"/>
      <c r="H90" s="35"/>
      <c r="I90" s="40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7"/>
      <c r="F91" s="38"/>
      <c r="G91" s="39"/>
      <c r="H91" s="35"/>
      <c r="I91" s="40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7"/>
      <c r="F92" s="38"/>
      <c r="G92" s="39"/>
      <c r="H92" s="35"/>
      <c r="I92" s="40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7"/>
      <c r="F93" s="38"/>
      <c r="G93" s="39"/>
      <c r="H93" s="35"/>
      <c r="I93" s="40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7"/>
      <c r="F94" s="38"/>
      <c r="G94" s="39"/>
      <c r="H94" s="35"/>
      <c r="I94" s="40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7"/>
      <c r="F95" s="38"/>
      <c r="G95" s="39"/>
      <c r="H95" s="35"/>
      <c r="I95" s="40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7"/>
      <c r="F96" s="38"/>
      <c r="G96" s="39"/>
      <c r="H96" s="35"/>
      <c r="I96" s="40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7"/>
      <c r="F97" s="38"/>
      <c r="G97" s="39"/>
      <c r="H97" s="35"/>
      <c r="I97" s="40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7"/>
      <c r="F98" s="38"/>
      <c r="G98" s="39"/>
      <c r="H98" s="35"/>
      <c r="I98" s="40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7"/>
      <c r="F99" s="38"/>
      <c r="G99" s="39"/>
      <c r="H99" s="35"/>
      <c r="I99" s="40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7"/>
      <c r="F100" s="38"/>
      <c r="G100" s="39"/>
      <c r="H100" s="35"/>
      <c r="I100" s="40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7"/>
      <c r="F101" s="38"/>
      <c r="G101" s="39"/>
      <c r="H101" s="35"/>
      <c r="I101" s="40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7"/>
      <c r="F102" s="38"/>
      <c r="G102" s="39"/>
      <c r="H102" s="35"/>
      <c r="I102" s="40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7"/>
      <c r="F103" s="38"/>
      <c r="G103" s="39"/>
      <c r="H103" s="35"/>
      <c r="I103" s="40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7"/>
      <c r="F104" s="38"/>
      <c r="G104" s="39"/>
      <c r="H104" s="35"/>
      <c r="I104" s="40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7"/>
      <c r="F105" s="38"/>
      <c r="G105" s="39"/>
      <c r="H105" s="35"/>
      <c r="I105" s="40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7"/>
      <c r="F106" s="38"/>
      <c r="G106" s="39"/>
      <c r="H106" s="35"/>
      <c r="I106" s="40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7"/>
      <c r="F107" s="38"/>
      <c r="G107" s="39"/>
      <c r="H107" s="35"/>
      <c r="I107" s="40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7"/>
      <c r="F108" s="38"/>
      <c r="G108" s="39"/>
      <c r="H108" s="35"/>
      <c r="I108" s="40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7"/>
      <c r="F109" s="38"/>
      <c r="G109" s="39"/>
      <c r="H109" s="35"/>
      <c r="I109" s="40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7"/>
      <c r="F110" s="38"/>
      <c r="G110" s="39"/>
      <c r="H110" s="35"/>
      <c r="I110" s="40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7"/>
      <c r="F111" s="38"/>
      <c r="G111" s="39"/>
      <c r="H111" s="35"/>
      <c r="I111" s="40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7"/>
      <c r="F112" s="38"/>
      <c r="G112" s="39"/>
      <c r="H112" s="35"/>
      <c r="I112" s="40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7"/>
      <c r="F113" s="38"/>
      <c r="G113" s="39"/>
      <c r="H113" s="35"/>
      <c r="I113" s="40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7"/>
      <c r="F114" s="38"/>
      <c r="G114" s="39"/>
      <c r="H114" s="35"/>
      <c r="I114" s="40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7"/>
      <c r="F115" s="38"/>
      <c r="G115" s="39"/>
      <c r="H115" s="35"/>
      <c r="I115" s="40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7"/>
      <c r="F116" s="38"/>
      <c r="G116" s="39"/>
      <c r="H116" s="35"/>
      <c r="I116" s="40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7"/>
      <c r="F117" s="38"/>
      <c r="G117" s="39"/>
      <c r="H117" s="35"/>
      <c r="I117" s="40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7"/>
      <c r="F118" s="38"/>
      <c r="G118" s="39"/>
      <c r="H118" s="35"/>
      <c r="I118" s="40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7"/>
      <c r="F119" s="38"/>
      <c r="G119" s="39"/>
      <c r="H119" s="35"/>
      <c r="I119" s="40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7"/>
      <c r="F120" s="38"/>
      <c r="G120" s="39"/>
      <c r="H120" s="35"/>
      <c r="I120" s="40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7"/>
      <c r="F121" s="38"/>
      <c r="G121" s="39"/>
      <c r="H121" s="35"/>
      <c r="I121" s="40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7"/>
      <c r="F122" s="38"/>
      <c r="G122" s="39"/>
      <c r="H122" s="35"/>
      <c r="I122" s="40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7"/>
      <c r="F123" s="38"/>
      <c r="G123" s="39"/>
      <c r="H123" s="35"/>
      <c r="I123" s="40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7"/>
      <c r="F124" s="38"/>
      <c r="G124" s="39"/>
      <c r="H124" s="35"/>
      <c r="I124" s="40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7"/>
      <c r="F125" s="38"/>
      <c r="G125" s="39"/>
      <c r="H125" s="35"/>
      <c r="I125" s="40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7"/>
      <c r="F126" s="38"/>
      <c r="G126" s="39"/>
      <c r="H126" s="35"/>
      <c r="I126" s="40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7"/>
      <c r="F127" s="38"/>
      <c r="G127" s="39"/>
      <c r="H127" s="35"/>
      <c r="I127" s="40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7"/>
      <c r="F128" s="38"/>
      <c r="G128" s="39"/>
      <c r="H128" s="35"/>
      <c r="I128" s="40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7"/>
      <c r="F129" s="38"/>
      <c r="G129" s="39"/>
      <c r="H129" s="35"/>
      <c r="I129" s="40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7"/>
      <c r="F130" s="38"/>
      <c r="G130" s="39"/>
      <c r="H130" s="35"/>
      <c r="I130" s="40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7"/>
      <c r="F131" s="38"/>
      <c r="G131" s="39"/>
      <c r="H131" s="35"/>
      <c r="I131" s="40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7"/>
      <c r="F132" s="38"/>
      <c r="G132" s="39"/>
      <c r="H132" s="35"/>
      <c r="I132" s="40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7"/>
      <c r="F133" s="38"/>
      <c r="G133" s="39"/>
      <c r="H133" s="35"/>
      <c r="I133" s="40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7"/>
      <c r="F134" s="38"/>
      <c r="G134" s="39"/>
      <c r="H134" s="35"/>
      <c r="I134" s="40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7"/>
      <c r="F135" s="38"/>
      <c r="G135" s="39"/>
      <c r="H135" s="35"/>
      <c r="I135" s="40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7"/>
      <c r="F136" s="38"/>
      <c r="G136" s="39"/>
      <c r="H136" s="35"/>
      <c r="I136" s="40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7"/>
      <c r="F137" s="38"/>
      <c r="G137" s="39"/>
      <c r="H137" s="35"/>
      <c r="I137" s="40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7"/>
      <c r="F138" s="38"/>
      <c r="G138" s="39"/>
      <c r="H138" s="35"/>
      <c r="I138" s="40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7"/>
      <c r="F139" s="38"/>
      <c r="G139" s="39"/>
      <c r="H139" s="35"/>
      <c r="I139" s="40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7"/>
      <c r="F140" s="38"/>
      <c r="G140" s="39"/>
      <c r="H140" s="35"/>
      <c r="I140" s="40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7"/>
      <c r="F141" s="38"/>
      <c r="G141" s="39"/>
      <c r="H141" s="35"/>
      <c r="I141" s="40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7"/>
      <c r="F142" s="38"/>
      <c r="G142" s="39"/>
      <c r="H142" s="35"/>
      <c r="I142" s="40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7"/>
      <c r="F143" s="38"/>
      <c r="G143" s="39"/>
      <c r="H143" s="35"/>
      <c r="I143" s="40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7"/>
      <c r="F144" s="38"/>
      <c r="G144" s="39"/>
      <c r="H144" s="35"/>
      <c r="I144" s="40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7"/>
      <c r="F145" s="38"/>
      <c r="G145" s="39"/>
      <c r="H145" s="35"/>
      <c r="I145" s="40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7"/>
      <c r="F146" s="38"/>
      <c r="G146" s="39"/>
      <c r="H146" s="35"/>
      <c r="I146" s="40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7"/>
      <c r="F147" s="38"/>
      <c r="G147" s="39"/>
      <c r="H147" s="35"/>
      <c r="I147" s="40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7"/>
      <c r="F148" s="38"/>
      <c r="G148" s="39"/>
      <c r="H148" s="35"/>
      <c r="I148" s="40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7"/>
      <c r="F149" s="38"/>
      <c r="G149" s="39"/>
      <c r="H149" s="35"/>
      <c r="I149" s="40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7"/>
      <c r="F150" s="38"/>
      <c r="G150" s="39"/>
      <c r="H150" s="35"/>
      <c r="I150" s="40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7"/>
      <c r="F151" s="38"/>
      <c r="G151" s="39"/>
      <c r="H151" s="35"/>
      <c r="I151" s="40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7"/>
      <c r="F152" s="38"/>
      <c r="G152" s="39"/>
      <c r="H152" s="35"/>
      <c r="I152" s="40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7"/>
      <c r="F153" s="38"/>
      <c r="G153" s="39"/>
      <c r="H153" s="35"/>
      <c r="I153" s="40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7"/>
      <c r="F154" s="38"/>
      <c r="G154" s="39"/>
      <c r="H154" s="35"/>
      <c r="I154" s="40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7"/>
      <c r="F155" s="38"/>
      <c r="G155" s="39"/>
      <c r="H155" s="35"/>
      <c r="I155" s="40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7"/>
      <c r="F156" s="38"/>
      <c r="G156" s="39"/>
      <c r="H156" s="35"/>
      <c r="I156" s="40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7"/>
      <c r="F157" s="38"/>
      <c r="G157" s="39"/>
      <c r="H157" s="35"/>
      <c r="I157" s="40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7"/>
      <c r="F158" s="38"/>
      <c r="G158" s="39"/>
      <c r="H158" s="35"/>
      <c r="I158" s="40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7"/>
      <c r="F159" s="38"/>
      <c r="G159" s="39"/>
      <c r="H159" s="35"/>
      <c r="I159" s="40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7"/>
      <c r="F160" s="38"/>
      <c r="G160" s="39"/>
      <c r="H160" s="35"/>
      <c r="I160" s="40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7"/>
      <c r="F161" s="38"/>
      <c r="G161" s="39"/>
      <c r="H161" s="35"/>
      <c r="I161" s="40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7"/>
      <c r="F162" s="38"/>
      <c r="G162" s="39"/>
      <c r="H162" s="35"/>
      <c r="I162" s="40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7"/>
      <c r="F163" s="38"/>
      <c r="G163" s="39"/>
      <c r="H163" s="35"/>
      <c r="I163" s="40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7"/>
      <c r="F164" s="38"/>
      <c r="G164" s="39"/>
      <c r="H164" s="35"/>
      <c r="I164" s="40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7"/>
      <c r="F165" s="38"/>
      <c r="G165" s="39"/>
      <c r="H165" s="35"/>
      <c r="I165" s="40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7"/>
      <c r="F166" s="38"/>
      <c r="G166" s="39"/>
      <c r="H166" s="35"/>
      <c r="I166" s="40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7"/>
      <c r="F167" s="38"/>
      <c r="G167" s="39"/>
      <c r="H167" s="35"/>
      <c r="I167" s="40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7"/>
      <c r="F168" s="38"/>
      <c r="G168" s="39"/>
      <c r="H168" s="35"/>
      <c r="I168" s="40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7"/>
      <c r="F169" s="38"/>
      <c r="G169" s="39"/>
      <c r="H169" s="35"/>
      <c r="I169" s="40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7"/>
      <c r="F170" s="38"/>
      <c r="G170" s="39"/>
      <c r="H170" s="35"/>
      <c r="I170" s="40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7"/>
      <c r="F171" s="38"/>
      <c r="G171" s="39"/>
      <c r="H171" s="35"/>
      <c r="I171" s="40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7"/>
      <c r="F172" s="38"/>
      <c r="G172" s="39"/>
      <c r="H172" s="35"/>
      <c r="I172" s="40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7"/>
      <c r="F173" s="38"/>
      <c r="G173" s="39"/>
      <c r="H173" s="35"/>
      <c r="I173" s="40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7"/>
      <c r="F174" s="38"/>
      <c r="G174" s="39"/>
      <c r="H174" s="35"/>
      <c r="I174" s="40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7"/>
      <c r="F175" s="38"/>
      <c r="G175" s="39"/>
      <c r="H175" s="35"/>
      <c r="I175" s="40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7"/>
      <c r="F176" s="38"/>
      <c r="G176" s="39"/>
      <c r="H176" s="35"/>
      <c r="I176" s="40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7"/>
      <c r="F177" s="38"/>
      <c r="G177" s="39"/>
      <c r="H177" s="35"/>
      <c r="I177" s="40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7"/>
      <c r="F178" s="38"/>
      <c r="G178" s="39"/>
      <c r="H178" s="35"/>
      <c r="I178" s="40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7"/>
      <c r="F179" s="38"/>
      <c r="G179" s="39"/>
      <c r="H179" s="35"/>
      <c r="I179" s="40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7"/>
      <c r="F180" s="38"/>
      <c r="G180" s="39"/>
      <c r="H180" s="35"/>
      <c r="I180" s="40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7"/>
      <c r="F181" s="38"/>
      <c r="G181" s="39"/>
      <c r="H181" s="35"/>
      <c r="I181" s="40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7"/>
      <c r="F182" s="38"/>
      <c r="G182" s="39"/>
      <c r="H182" s="35"/>
      <c r="I182" s="40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7"/>
      <c r="F183" s="38"/>
      <c r="G183" s="39"/>
      <c r="H183" s="35"/>
      <c r="I183" s="40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7"/>
      <c r="F184" s="38"/>
      <c r="G184" s="39"/>
      <c r="H184" s="35"/>
      <c r="I184" s="40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7"/>
      <c r="F185" s="38"/>
      <c r="G185" s="39"/>
      <c r="H185" s="35"/>
      <c r="I185" s="40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7"/>
      <c r="F186" s="38"/>
      <c r="G186" s="39"/>
      <c r="H186" s="35"/>
      <c r="I186" s="40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7"/>
      <c r="F187" s="38"/>
      <c r="G187" s="39"/>
      <c r="H187" s="35"/>
      <c r="I187" s="40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7"/>
      <c r="F188" s="38"/>
      <c r="G188" s="39"/>
      <c r="H188" s="35"/>
      <c r="I188" s="40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7"/>
      <c r="F189" s="38"/>
      <c r="G189" s="39"/>
      <c r="H189" s="35"/>
      <c r="I189" s="40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7"/>
      <c r="F190" s="38"/>
      <c r="G190" s="39"/>
      <c r="H190" s="35"/>
      <c r="I190" s="40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7"/>
      <c r="F191" s="38"/>
      <c r="G191" s="39"/>
      <c r="H191" s="35"/>
      <c r="I191" s="40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7"/>
      <c r="F192" s="38"/>
      <c r="G192" s="39"/>
      <c r="H192" s="35"/>
      <c r="I192" s="40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7"/>
      <c r="F193" s="38"/>
      <c r="G193" s="39"/>
      <c r="H193" s="35"/>
      <c r="I193" s="40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7"/>
      <c r="F194" s="38"/>
      <c r="G194" s="39"/>
      <c r="H194" s="35"/>
      <c r="I194" s="40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7"/>
      <c r="F195" s="38"/>
      <c r="G195" s="39"/>
      <c r="H195" s="35"/>
      <c r="I195" s="40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7"/>
      <c r="F196" s="38"/>
      <c r="G196" s="39"/>
      <c r="H196" s="35"/>
      <c r="I196" s="40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7"/>
      <c r="F197" s="38"/>
      <c r="G197" s="39"/>
      <c r="H197" s="35"/>
      <c r="I197" s="40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7"/>
      <c r="F198" s="38"/>
      <c r="G198" s="39"/>
      <c r="H198" s="35"/>
      <c r="I198" s="40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7"/>
      <c r="F199" s="38"/>
      <c r="G199" s="39"/>
      <c r="H199" s="35"/>
      <c r="I199" s="40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7"/>
      <c r="F200" s="38"/>
      <c r="G200" s="39"/>
      <c r="H200" s="35"/>
      <c r="I200" s="40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7"/>
      <c r="F201" s="38"/>
      <c r="G201" s="39"/>
      <c r="H201" s="35"/>
      <c r="I201" s="40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7"/>
      <c r="F202" s="38"/>
      <c r="G202" s="39"/>
      <c r="H202" s="35"/>
      <c r="I202" s="40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7"/>
      <c r="F203" s="38"/>
      <c r="G203" s="39"/>
      <c r="H203" s="35"/>
      <c r="I203" s="40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7"/>
      <c r="F204" s="38"/>
      <c r="G204" s="39"/>
      <c r="H204" s="35"/>
      <c r="I204" s="40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7"/>
      <c r="F205" s="38"/>
      <c r="G205" s="39"/>
      <c r="H205" s="35"/>
      <c r="I205" s="40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7"/>
      <c r="F206" s="38"/>
      <c r="G206" s="39"/>
      <c r="H206" s="35"/>
      <c r="I206" s="40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7"/>
      <c r="F207" s="38"/>
      <c r="G207" s="39"/>
      <c r="H207" s="35"/>
      <c r="I207" s="40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7"/>
      <c r="F208" s="38"/>
      <c r="G208" s="39"/>
      <c r="H208" s="35"/>
      <c r="I208" s="40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7"/>
      <c r="F209" s="38"/>
      <c r="G209" s="39"/>
      <c r="H209" s="35"/>
      <c r="I209" s="40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7"/>
      <c r="F210" s="38"/>
      <c r="G210" s="39"/>
      <c r="H210" s="35"/>
      <c r="I210" s="40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7"/>
      <c r="F211" s="38"/>
      <c r="G211" s="39"/>
      <c r="H211" s="35"/>
      <c r="I211" s="40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7"/>
      <c r="F212" s="38"/>
      <c r="G212" s="39"/>
      <c r="H212" s="35"/>
      <c r="I212" s="40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7"/>
      <c r="F213" s="38"/>
      <c r="G213" s="39"/>
      <c r="H213" s="35"/>
      <c r="I213" s="40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7"/>
      <c r="F214" s="38"/>
      <c r="G214" s="39"/>
      <c r="H214" s="35"/>
      <c r="I214" s="40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7"/>
      <c r="F215" s="38"/>
      <c r="G215" s="39"/>
      <c r="H215" s="35"/>
      <c r="I215" s="40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7"/>
      <c r="F216" s="38"/>
      <c r="G216" s="39"/>
      <c r="H216" s="35"/>
      <c r="I216" s="40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7"/>
      <c r="F217" s="38"/>
      <c r="G217" s="39"/>
      <c r="H217" s="35"/>
      <c r="I217" s="40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7"/>
      <c r="F218" s="38"/>
      <c r="G218" s="39"/>
      <c r="H218" s="35"/>
      <c r="I218" s="40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7"/>
      <c r="F219" s="38"/>
      <c r="G219" s="39"/>
      <c r="H219" s="35"/>
      <c r="I219" s="40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7"/>
      <c r="F220" s="38"/>
      <c r="G220" s="39"/>
      <c r="H220" s="35"/>
      <c r="I220" s="40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7"/>
      <c r="F221" s="38"/>
      <c r="G221" s="39"/>
      <c r="H221" s="35"/>
      <c r="I221" s="40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7"/>
      <c r="F222" s="38"/>
      <c r="G222" s="39"/>
      <c r="H222" s="35"/>
      <c r="I222" s="40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7"/>
      <c r="F223" s="38"/>
      <c r="G223" s="39"/>
      <c r="H223" s="35"/>
      <c r="I223" s="40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7"/>
      <c r="F224" s="38"/>
      <c r="G224" s="39"/>
      <c r="H224" s="35"/>
      <c r="I224" s="40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7"/>
      <c r="F225" s="38"/>
      <c r="G225" s="39"/>
      <c r="H225" s="35"/>
      <c r="I225" s="40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7"/>
      <c r="F226" s="38"/>
      <c r="G226" s="39"/>
      <c r="H226" s="35"/>
      <c r="I226" s="40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7"/>
      <c r="F227" s="38"/>
      <c r="G227" s="39"/>
      <c r="H227" s="35"/>
      <c r="I227" s="40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7"/>
      <c r="F228" s="38"/>
      <c r="G228" s="39"/>
      <c r="H228" s="35"/>
      <c r="I228" s="40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7"/>
      <c r="F229" s="38"/>
      <c r="G229" s="39"/>
      <c r="H229" s="35"/>
      <c r="I229" s="40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7"/>
      <c r="F230" s="38"/>
      <c r="G230" s="39"/>
      <c r="H230" s="35"/>
      <c r="I230" s="40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7"/>
      <c r="F231" s="38"/>
      <c r="G231" s="39"/>
      <c r="H231" s="35"/>
      <c r="I231" s="40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7"/>
      <c r="F232" s="38"/>
      <c r="G232" s="39"/>
      <c r="H232" s="35"/>
      <c r="I232" s="40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7"/>
      <c r="F233" s="38"/>
      <c r="G233" s="39"/>
      <c r="H233" s="35"/>
      <c r="I233" s="40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7"/>
      <c r="F234" s="38"/>
      <c r="G234" s="39"/>
      <c r="H234" s="35"/>
      <c r="I234" s="40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7"/>
      <c r="F235" s="38"/>
      <c r="G235" s="39"/>
      <c r="H235" s="35"/>
      <c r="I235" s="40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7"/>
      <c r="F236" s="38"/>
      <c r="G236" s="39"/>
      <c r="H236" s="35"/>
      <c r="I236" s="40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7"/>
      <c r="F237" s="38"/>
      <c r="G237" s="39"/>
      <c r="H237" s="35"/>
      <c r="I237" s="40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7"/>
      <c r="F238" s="38"/>
      <c r="G238" s="39"/>
      <c r="H238" s="35"/>
      <c r="I238" s="40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7"/>
      <c r="F239" s="38"/>
      <c r="G239" s="39"/>
      <c r="H239" s="35"/>
      <c r="I239" s="40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7"/>
      <c r="F240" s="38"/>
      <c r="G240" s="39"/>
      <c r="H240" s="35"/>
      <c r="I240" s="40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7"/>
      <c r="F241" s="38"/>
      <c r="G241" s="39"/>
      <c r="H241" s="35"/>
      <c r="I241" s="40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7"/>
      <c r="F242" s="38"/>
      <c r="G242" s="39"/>
      <c r="H242" s="35"/>
      <c r="I242" s="40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7"/>
      <c r="F243" s="38"/>
      <c r="G243" s="39"/>
      <c r="H243" s="35"/>
      <c r="I243" s="40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7"/>
      <c r="F244" s="38"/>
      <c r="G244" s="39"/>
      <c r="H244" s="35"/>
      <c r="I244" s="40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7"/>
      <c r="F245" s="38"/>
      <c r="G245" s="39"/>
      <c r="H245" s="35"/>
      <c r="I245" s="40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7"/>
      <c r="F246" s="38"/>
      <c r="G246" s="39"/>
      <c r="H246" s="35"/>
      <c r="I246" s="40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7"/>
      <c r="F247" s="38"/>
      <c r="G247" s="39"/>
      <c r="H247" s="35"/>
      <c r="I247" s="40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7"/>
      <c r="F248" s="38"/>
      <c r="G248" s="39"/>
      <c r="H248" s="35"/>
      <c r="I248" s="40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7"/>
      <c r="F249" s="38"/>
      <c r="G249" s="39"/>
      <c r="H249" s="35"/>
      <c r="I249" s="40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7"/>
      <c r="F250" s="38"/>
      <c r="G250" s="39"/>
      <c r="H250" s="35"/>
      <c r="I250" s="40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7"/>
      <c r="F251" s="38"/>
      <c r="G251" s="39"/>
      <c r="H251" s="35"/>
      <c r="I251" s="40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7"/>
      <c r="F252" s="38"/>
      <c r="G252" s="39"/>
      <c r="H252" s="35"/>
      <c r="I252" s="40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7"/>
      <c r="F253" s="38"/>
      <c r="G253" s="39"/>
      <c r="H253" s="35"/>
      <c r="I253" s="40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7"/>
      <c r="F254" s="38"/>
      <c r="G254" s="39"/>
      <c r="H254" s="35"/>
      <c r="I254" s="40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7"/>
      <c r="F255" s="38"/>
      <c r="G255" s="39"/>
      <c r="H255" s="35"/>
      <c r="I255" s="40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7"/>
      <c r="F256" s="38"/>
      <c r="G256" s="39"/>
      <c r="H256" s="35"/>
      <c r="I256" s="40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7"/>
      <c r="F257" s="38"/>
      <c r="G257" s="39"/>
      <c r="H257" s="35"/>
      <c r="I257" s="40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7"/>
      <c r="F258" s="38"/>
      <c r="G258" s="39"/>
      <c r="H258" s="35"/>
      <c r="I258" s="40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7"/>
      <c r="F259" s="38"/>
      <c r="G259" s="39"/>
      <c r="H259" s="35"/>
      <c r="I259" s="40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7"/>
      <c r="F260" s="38"/>
      <c r="G260" s="39"/>
      <c r="H260" s="35"/>
      <c r="I260" s="40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7"/>
      <c r="F261" s="38"/>
      <c r="G261" s="39"/>
      <c r="H261" s="35"/>
      <c r="I261" s="40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7"/>
      <c r="F262" s="38"/>
      <c r="G262" s="39"/>
      <c r="H262" s="35"/>
      <c r="I262" s="40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7"/>
      <c r="F263" s="38"/>
      <c r="G263" s="39"/>
      <c r="H263" s="35"/>
      <c r="I263" s="40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7"/>
      <c r="F264" s="38"/>
      <c r="G264" s="39"/>
      <c r="H264" s="35"/>
      <c r="I264" s="40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7"/>
      <c r="F265" s="38"/>
      <c r="G265" s="39"/>
      <c r="H265" s="35"/>
      <c r="I265" s="40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7"/>
      <c r="F266" s="38"/>
      <c r="G266" s="39"/>
      <c r="H266" s="35"/>
      <c r="I266" s="40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7"/>
      <c r="F267" s="38"/>
      <c r="G267" s="39"/>
      <c r="H267" s="35"/>
      <c r="I267" s="40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7"/>
      <c r="F268" s="38"/>
      <c r="G268" s="39"/>
      <c r="H268" s="35"/>
      <c r="I268" s="40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7"/>
      <c r="F269" s="38"/>
      <c r="G269" s="39"/>
      <c r="H269" s="35"/>
      <c r="I269" s="40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7"/>
      <c r="F270" s="38"/>
      <c r="G270" s="39"/>
      <c r="H270" s="35"/>
      <c r="I270" s="40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7"/>
      <c r="F271" s="38"/>
      <c r="G271" s="39"/>
      <c r="H271" s="35"/>
      <c r="I271" s="40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7"/>
      <c r="F272" s="38"/>
      <c r="G272" s="39"/>
      <c r="H272" s="35"/>
      <c r="I272" s="40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7"/>
      <c r="F273" s="38"/>
      <c r="G273" s="39"/>
      <c r="H273" s="35"/>
      <c r="I273" s="40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7"/>
      <c r="F274" s="38"/>
      <c r="G274" s="39"/>
      <c r="H274" s="35"/>
      <c r="I274" s="40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7"/>
      <c r="F275" s="38"/>
      <c r="G275" s="39"/>
      <c r="H275" s="35"/>
      <c r="I275" s="40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7"/>
      <c r="F276" s="38"/>
      <c r="G276" s="39"/>
      <c r="H276" s="35"/>
      <c r="I276" s="40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7"/>
      <c r="F277" s="38"/>
      <c r="G277" s="39"/>
      <c r="H277" s="35"/>
      <c r="I277" s="40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7"/>
      <c r="F278" s="38"/>
      <c r="G278" s="39"/>
      <c r="H278" s="35"/>
      <c r="I278" s="40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7"/>
      <c r="F279" s="38"/>
      <c r="G279" s="39"/>
      <c r="H279" s="35"/>
      <c r="I279" s="40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7"/>
      <c r="F280" s="38"/>
      <c r="G280" s="39"/>
      <c r="H280" s="35"/>
      <c r="I280" s="40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7"/>
      <c r="F281" s="38"/>
      <c r="G281" s="39"/>
      <c r="H281" s="35"/>
      <c r="I281" s="40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7"/>
      <c r="F282" s="38"/>
      <c r="G282" s="39"/>
      <c r="H282" s="35"/>
      <c r="I282" s="40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7"/>
      <c r="F283" s="38"/>
      <c r="G283" s="39"/>
      <c r="H283" s="35"/>
      <c r="I283" s="40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7"/>
      <c r="F284" s="38"/>
      <c r="G284" s="39"/>
      <c r="H284" s="35"/>
      <c r="I284" s="40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7"/>
      <c r="F285" s="38"/>
      <c r="G285" s="39"/>
      <c r="H285" s="35"/>
      <c r="I285" s="40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7"/>
      <c r="F286" s="38"/>
      <c r="G286" s="39"/>
      <c r="H286" s="35"/>
      <c r="I286" s="40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7"/>
      <c r="F287" s="38"/>
      <c r="G287" s="39"/>
      <c r="H287" s="35"/>
      <c r="I287" s="40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7"/>
      <c r="F288" s="38"/>
      <c r="G288" s="39"/>
      <c r="H288" s="35"/>
      <c r="I288" s="40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7"/>
      <c r="F289" s="38"/>
      <c r="G289" s="39"/>
      <c r="H289" s="35"/>
      <c r="I289" s="40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7"/>
      <c r="F290" s="38"/>
      <c r="G290" s="39"/>
      <c r="H290" s="35"/>
      <c r="I290" s="40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7"/>
      <c r="F291" s="38"/>
      <c r="G291" s="39"/>
      <c r="H291" s="35"/>
      <c r="I291" s="40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7"/>
      <c r="F292" s="38"/>
      <c r="G292" s="39"/>
      <c r="H292" s="35"/>
      <c r="I292" s="40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7"/>
      <c r="F293" s="38"/>
      <c r="G293" s="39"/>
      <c r="H293" s="35"/>
      <c r="I293" s="40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7"/>
      <c r="F294" s="38"/>
      <c r="G294" s="39"/>
      <c r="H294" s="35"/>
      <c r="I294" s="40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7"/>
      <c r="F295" s="38"/>
      <c r="G295" s="39"/>
      <c r="H295" s="35"/>
      <c r="I295" s="40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7"/>
      <c r="F296" s="38"/>
      <c r="G296" s="39"/>
      <c r="H296" s="35"/>
      <c r="I296" s="40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7"/>
      <c r="F297" s="38"/>
      <c r="G297" s="39"/>
      <c r="H297" s="35"/>
      <c r="I297" s="40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7"/>
      <c r="F298" s="38"/>
      <c r="G298" s="39"/>
      <c r="H298" s="35"/>
      <c r="I298" s="40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7"/>
      <c r="F299" s="38"/>
      <c r="G299" s="39"/>
      <c r="H299" s="35"/>
      <c r="I299" s="40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7"/>
      <c r="F300" s="38"/>
      <c r="G300" s="39"/>
      <c r="H300" s="35"/>
      <c r="I300" s="40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7"/>
      <c r="F301" s="38"/>
      <c r="G301" s="39"/>
      <c r="H301" s="35"/>
      <c r="I301" s="40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7"/>
      <c r="F302" s="38"/>
      <c r="G302" s="39"/>
      <c r="H302" s="35"/>
      <c r="I302" s="40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7"/>
      <c r="F303" s="38"/>
      <c r="G303" s="39"/>
      <c r="H303" s="35"/>
      <c r="I303" s="40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7"/>
      <c r="F304" s="38"/>
      <c r="G304" s="39"/>
      <c r="H304" s="35"/>
      <c r="I304" s="40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7"/>
      <c r="F305" s="38"/>
      <c r="G305" s="39"/>
      <c r="H305" s="35"/>
      <c r="I305" s="40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7"/>
      <c r="F306" s="38"/>
      <c r="G306" s="39"/>
      <c r="H306" s="35"/>
      <c r="I306" s="40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7"/>
      <c r="F307" s="38"/>
      <c r="G307" s="39"/>
      <c r="H307" s="35"/>
      <c r="I307" s="40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7"/>
      <c r="F308" s="38"/>
      <c r="G308" s="39"/>
      <c r="H308" s="35"/>
      <c r="I308" s="40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7"/>
      <c r="F309" s="38"/>
      <c r="G309" s="39"/>
      <c r="H309" s="35"/>
      <c r="I309" s="40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7"/>
      <c r="F310" s="38"/>
      <c r="G310" s="39"/>
      <c r="H310" s="35"/>
      <c r="I310" s="40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7"/>
      <c r="F311" s="38"/>
      <c r="G311" s="39"/>
      <c r="H311" s="35"/>
      <c r="I311" s="40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7"/>
      <c r="F312" s="38"/>
      <c r="G312" s="39"/>
      <c r="H312" s="35"/>
      <c r="I312" s="40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7"/>
      <c r="F313" s="38"/>
      <c r="G313" s="39"/>
      <c r="H313" s="35"/>
      <c r="I313" s="40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7"/>
      <c r="F314" s="38"/>
      <c r="G314" s="39"/>
      <c r="H314" s="35"/>
      <c r="I314" s="40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7"/>
      <c r="F315" s="38"/>
      <c r="G315" s="39"/>
      <c r="H315" s="35"/>
      <c r="I315" s="40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7"/>
      <c r="F316" s="38"/>
      <c r="G316" s="39"/>
      <c r="H316" s="35"/>
      <c r="I316" s="40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7"/>
      <c r="F317" s="38"/>
      <c r="G317" s="39"/>
      <c r="H317" s="35"/>
      <c r="I317" s="40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7"/>
      <c r="F318" s="38"/>
      <c r="G318" s="39"/>
      <c r="H318" s="35"/>
      <c r="I318" s="40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7"/>
      <c r="F319" s="38"/>
      <c r="G319" s="39"/>
      <c r="H319" s="35"/>
      <c r="I319" s="40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7"/>
      <c r="F320" s="38"/>
      <c r="G320" s="39"/>
      <c r="H320" s="35"/>
      <c r="I320" s="40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7"/>
      <c r="F321" s="38"/>
      <c r="G321" s="39"/>
      <c r="H321" s="35"/>
      <c r="I321" s="40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7"/>
      <c r="F322" s="38"/>
      <c r="G322" s="39"/>
      <c r="H322" s="35"/>
      <c r="I322" s="40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7"/>
      <c r="F323" s="38"/>
      <c r="G323" s="39"/>
      <c r="H323" s="35"/>
      <c r="I323" s="40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7"/>
      <c r="F324" s="38"/>
      <c r="G324" s="39"/>
      <c r="H324" s="35"/>
      <c r="I324" s="40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7"/>
      <c r="F325" s="38"/>
      <c r="G325" s="39"/>
      <c r="H325" s="35"/>
      <c r="I325" s="40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7"/>
      <c r="F326" s="38"/>
      <c r="G326" s="39"/>
      <c r="H326" s="35"/>
      <c r="I326" s="40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7"/>
      <c r="F327" s="38"/>
      <c r="G327" s="39"/>
      <c r="H327" s="35"/>
      <c r="I327" s="40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7"/>
      <c r="F328" s="38"/>
      <c r="G328" s="39"/>
      <c r="H328" s="35"/>
      <c r="I328" s="40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7"/>
      <c r="F329" s="38"/>
      <c r="G329" s="39"/>
      <c r="H329" s="35"/>
      <c r="I329" s="40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7"/>
      <c r="F330" s="38"/>
      <c r="G330" s="39"/>
      <c r="H330" s="35"/>
      <c r="I330" s="40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7"/>
      <c r="F331" s="38"/>
      <c r="G331" s="39"/>
      <c r="H331" s="35"/>
      <c r="I331" s="40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7"/>
      <c r="F332" s="38"/>
      <c r="G332" s="39"/>
      <c r="H332" s="35"/>
      <c r="I332" s="40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7"/>
      <c r="F333" s="38"/>
      <c r="G333" s="39"/>
      <c r="H333" s="35"/>
      <c r="I333" s="40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7"/>
      <c r="F334" s="38"/>
      <c r="G334" s="39"/>
      <c r="H334" s="35"/>
      <c r="I334" s="40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7"/>
      <c r="F335" s="38"/>
      <c r="G335" s="39"/>
      <c r="H335" s="35"/>
      <c r="I335" s="40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7"/>
      <c r="F336" s="38"/>
      <c r="G336" s="39"/>
      <c r="H336" s="35"/>
      <c r="I336" s="40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7"/>
      <c r="F337" s="38"/>
      <c r="G337" s="39"/>
      <c r="H337" s="35"/>
      <c r="I337" s="40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7"/>
      <c r="F338" s="38"/>
      <c r="G338" s="39"/>
      <c r="H338" s="35"/>
      <c r="I338" s="40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7"/>
      <c r="F339" s="38"/>
      <c r="G339" s="39"/>
      <c r="H339" s="35"/>
      <c r="I339" s="40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7"/>
      <c r="F340" s="38"/>
      <c r="G340" s="39"/>
      <c r="H340" s="35"/>
      <c r="I340" s="40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7"/>
      <c r="F341" s="38"/>
      <c r="G341" s="39"/>
      <c r="H341" s="35"/>
      <c r="I341" s="40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7"/>
      <c r="F342" s="38"/>
      <c r="G342" s="39"/>
      <c r="H342" s="35"/>
      <c r="I342" s="40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7"/>
      <c r="F343" s="38"/>
      <c r="G343" s="39"/>
      <c r="H343" s="35"/>
      <c r="I343" s="40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7"/>
      <c r="F344" s="38"/>
      <c r="G344" s="39"/>
      <c r="H344" s="35"/>
      <c r="I344" s="40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7"/>
      <c r="F345" s="38"/>
      <c r="G345" s="39"/>
      <c r="H345" s="35"/>
      <c r="I345" s="40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7"/>
      <c r="F346" s="38"/>
      <c r="G346" s="39"/>
      <c r="H346" s="35"/>
      <c r="I346" s="40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7"/>
      <c r="F347" s="38"/>
      <c r="G347" s="39"/>
      <c r="H347" s="35"/>
      <c r="I347" s="40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7"/>
      <c r="F348" s="38"/>
      <c r="G348" s="39"/>
      <c r="H348" s="35"/>
      <c r="I348" s="40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7"/>
      <c r="F349" s="38"/>
      <c r="G349" s="39"/>
      <c r="H349" s="35"/>
      <c r="I349" s="40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7"/>
      <c r="F350" s="38"/>
      <c r="G350" s="39"/>
      <c r="H350" s="35"/>
      <c r="I350" s="40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7"/>
      <c r="F351" s="38"/>
      <c r="G351" s="39"/>
      <c r="H351" s="35"/>
      <c r="I351" s="40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7"/>
      <c r="F352" s="38"/>
      <c r="G352" s="39"/>
      <c r="H352" s="35"/>
      <c r="I352" s="40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7"/>
      <c r="F353" s="38"/>
      <c r="G353" s="39"/>
      <c r="H353" s="35"/>
      <c r="I353" s="40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7"/>
      <c r="F354" s="38"/>
      <c r="G354" s="39"/>
      <c r="H354" s="35"/>
      <c r="I354" s="40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7"/>
      <c r="F355" s="38"/>
      <c r="G355" s="39"/>
      <c r="H355" s="35"/>
      <c r="I355" s="40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7"/>
      <c r="F356" s="38"/>
      <c r="G356" s="39"/>
      <c r="H356" s="35"/>
      <c r="I356" s="40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7"/>
      <c r="F357" s="38"/>
      <c r="G357" s="39"/>
      <c r="H357" s="35"/>
      <c r="I357" s="40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7"/>
      <c r="F358" s="38"/>
      <c r="G358" s="39"/>
      <c r="H358" s="35"/>
      <c r="I358" s="40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7"/>
      <c r="F359" s="38"/>
      <c r="G359" s="39"/>
      <c r="H359" s="35"/>
      <c r="I359" s="40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7"/>
      <c r="F360" s="38"/>
      <c r="G360" s="39"/>
      <c r="H360" s="35"/>
      <c r="I360" s="40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7"/>
      <c r="F361" s="38"/>
      <c r="G361" s="39"/>
      <c r="H361" s="35"/>
      <c r="I361" s="40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7"/>
      <c r="F362" s="38"/>
      <c r="G362" s="39"/>
      <c r="H362" s="35"/>
      <c r="I362" s="40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7"/>
      <c r="F363" s="38"/>
      <c r="G363" s="39"/>
      <c r="H363" s="35"/>
      <c r="I363" s="40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7"/>
      <c r="F364" s="38"/>
      <c r="G364" s="39"/>
      <c r="H364" s="35"/>
      <c r="I364" s="40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7"/>
      <c r="F365" s="38"/>
      <c r="G365" s="39"/>
      <c r="H365" s="35"/>
      <c r="I365" s="40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7"/>
      <c r="F366" s="38"/>
      <c r="G366" s="39"/>
      <c r="H366" s="35"/>
      <c r="I366" s="40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7"/>
      <c r="F367" s="38"/>
      <c r="G367" s="39"/>
      <c r="H367" s="35"/>
      <c r="I367" s="40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7"/>
      <c r="F368" s="38"/>
      <c r="G368" s="39"/>
      <c r="H368" s="35"/>
      <c r="I368" s="40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7"/>
      <c r="F369" s="38"/>
      <c r="G369" s="39"/>
      <c r="H369" s="35"/>
      <c r="I369" s="40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7"/>
      <c r="F370" s="38"/>
      <c r="G370" s="39"/>
      <c r="H370" s="35"/>
      <c r="I370" s="40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7"/>
      <c r="F371" s="38"/>
      <c r="G371" s="39"/>
      <c r="H371" s="35"/>
      <c r="I371" s="40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7"/>
      <c r="F372" s="38"/>
      <c r="G372" s="39"/>
      <c r="H372" s="35"/>
      <c r="I372" s="40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7"/>
      <c r="F373" s="38"/>
      <c r="G373" s="39"/>
      <c r="H373" s="35"/>
      <c r="I373" s="40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7"/>
      <c r="F374" s="38"/>
      <c r="G374" s="39"/>
      <c r="H374" s="35"/>
      <c r="I374" s="40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7"/>
      <c r="F375" s="38"/>
      <c r="G375" s="39"/>
      <c r="H375" s="35"/>
      <c r="I375" s="40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7"/>
      <c r="F376" s="38"/>
      <c r="G376" s="39"/>
      <c r="H376" s="35"/>
      <c r="I376" s="40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7"/>
      <c r="F377" s="38"/>
      <c r="G377" s="39"/>
      <c r="H377" s="35"/>
      <c r="I377" s="40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7"/>
      <c r="F378" s="38"/>
      <c r="G378" s="39"/>
      <c r="H378" s="35"/>
      <c r="I378" s="40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7"/>
      <c r="F379" s="38"/>
      <c r="G379" s="39"/>
      <c r="H379" s="35"/>
      <c r="I379" s="40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7"/>
      <c r="F380" s="38"/>
      <c r="G380" s="39"/>
      <c r="H380" s="35"/>
      <c r="I380" s="40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7"/>
      <c r="F381" s="38"/>
      <c r="G381" s="39"/>
      <c r="H381" s="35"/>
      <c r="I381" s="40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7"/>
      <c r="F382" s="38"/>
      <c r="G382" s="39"/>
      <c r="H382" s="35"/>
      <c r="I382" s="40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7"/>
      <c r="F383" s="38"/>
      <c r="G383" s="39"/>
      <c r="H383" s="35"/>
      <c r="I383" s="40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7"/>
      <c r="F384" s="38"/>
      <c r="G384" s="39"/>
      <c r="H384" s="35"/>
      <c r="I384" s="40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7"/>
      <c r="F385" s="38"/>
      <c r="G385" s="39"/>
      <c r="H385" s="35"/>
      <c r="I385" s="40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7"/>
      <c r="F386" s="38"/>
      <c r="G386" s="39"/>
      <c r="H386" s="35"/>
      <c r="I386" s="40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7"/>
      <c r="F387" s="38"/>
      <c r="G387" s="39"/>
      <c r="H387" s="35"/>
      <c r="I387" s="40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7"/>
      <c r="F388" s="38"/>
      <c r="G388" s="39"/>
      <c r="H388" s="35"/>
      <c r="I388" s="40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7"/>
      <c r="F389" s="38"/>
      <c r="G389" s="39"/>
      <c r="H389" s="35"/>
      <c r="I389" s="40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7"/>
      <c r="F390" s="38"/>
      <c r="G390" s="39"/>
      <c r="H390" s="35"/>
      <c r="I390" s="40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7"/>
      <c r="F391" s="38"/>
      <c r="G391" s="39"/>
      <c r="H391" s="35"/>
      <c r="I391" s="40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7"/>
      <c r="F392" s="38"/>
      <c r="G392" s="39"/>
      <c r="H392" s="35"/>
      <c r="I392" s="40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7"/>
      <c r="F393" s="38"/>
      <c r="G393" s="39"/>
      <c r="H393" s="35"/>
      <c r="I393" s="40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7"/>
      <c r="F394" s="38"/>
      <c r="G394" s="39"/>
      <c r="H394" s="35"/>
      <c r="I394" s="40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7"/>
      <c r="F395" s="38"/>
      <c r="G395" s="39"/>
      <c r="H395" s="35"/>
      <c r="I395" s="40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7"/>
      <c r="F396" s="38"/>
      <c r="G396" s="39"/>
      <c r="H396" s="35"/>
      <c r="I396" s="40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7"/>
      <c r="F397" s="38"/>
      <c r="G397" s="39"/>
      <c r="H397" s="35"/>
      <c r="I397" s="40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7"/>
      <c r="F398" s="38"/>
      <c r="G398" s="39"/>
      <c r="H398" s="35"/>
      <c r="I398" s="40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7"/>
      <c r="F399" s="38"/>
      <c r="G399" s="39"/>
      <c r="H399" s="35"/>
      <c r="I399" s="40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7"/>
      <c r="F400" s="38"/>
      <c r="G400" s="39"/>
      <c r="H400" s="35"/>
      <c r="I400" s="40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7"/>
      <c r="F401" s="38"/>
      <c r="G401" s="39"/>
      <c r="H401" s="35"/>
      <c r="I401" s="40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7"/>
      <c r="F402" s="38"/>
      <c r="G402" s="39"/>
      <c r="H402" s="35"/>
      <c r="I402" s="40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7"/>
      <c r="F403" s="38"/>
      <c r="G403" s="39"/>
      <c r="H403" s="35"/>
      <c r="I403" s="40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7"/>
      <c r="F404" s="38"/>
      <c r="G404" s="39"/>
      <c r="H404" s="35"/>
      <c r="I404" s="40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7"/>
      <c r="F405" s="38"/>
      <c r="G405" s="39"/>
      <c r="H405" s="35"/>
      <c r="I405" s="40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7"/>
      <c r="F406" s="38"/>
      <c r="G406" s="39"/>
      <c r="H406" s="35"/>
      <c r="I406" s="40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7"/>
      <c r="F407" s="38"/>
      <c r="G407" s="39"/>
      <c r="H407" s="35"/>
      <c r="I407" s="40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7"/>
      <c r="F408" s="38"/>
      <c r="G408" s="39"/>
      <c r="H408" s="35"/>
      <c r="I408" s="40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7"/>
      <c r="F409" s="38"/>
      <c r="G409" s="39"/>
      <c r="H409" s="35"/>
      <c r="I409" s="40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7"/>
      <c r="F410" s="38"/>
      <c r="G410" s="39"/>
      <c r="H410" s="35"/>
      <c r="I410" s="40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7"/>
      <c r="F411" s="38"/>
      <c r="G411" s="39"/>
      <c r="H411" s="35"/>
      <c r="I411" s="40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7"/>
      <c r="F412" s="38"/>
      <c r="G412" s="39"/>
      <c r="H412" s="35"/>
      <c r="I412" s="40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7"/>
      <c r="F413" s="38"/>
      <c r="G413" s="39"/>
      <c r="H413" s="35"/>
      <c r="I413" s="40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7"/>
      <c r="F414" s="38"/>
      <c r="G414" s="39"/>
      <c r="H414" s="35"/>
      <c r="I414" s="40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7"/>
      <c r="F415" s="38"/>
      <c r="G415" s="39"/>
      <c r="H415" s="35"/>
      <c r="I415" s="40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7"/>
      <c r="F416" s="38"/>
      <c r="G416" s="39"/>
      <c r="H416" s="35"/>
      <c r="I416" s="40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7"/>
      <c r="F417" s="38"/>
      <c r="G417" s="39"/>
      <c r="H417" s="35"/>
      <c r="I417" s="40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7"/>
      <c r="F418" s="38"/>
      <c r="G418" s="39"/>
      <c r="H418" s="35"/>
      <c r="I418" s="40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7"/>
      <c r="F419" s="38"/>
      <c r="G419" s="39"/>
      <c r="H419" s="35"/>
      <c r="I419" s="40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7"/>
      <c r="F420" s="38"/>
      <c r="G420" s="39"/>
      <c r="H420" s="35"/>
      <c r="I420" s="40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7"/>
      <c r="F421" s="38"/>
      <c r="G421" s="39"/>
      <c r="H421" s="35"/>
      <c r="I421" s="40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7"/>
      <c r="F422" s="38"/>
      <c r="G422" s="39"/>
      <c r="H422" s="35"/>
      <c r="I422" s="40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7"/>
      <c r="F423" s="38"/>
      <c r="G423" s="39"/>
      <c r="H423" s="35"/>
      <c r="I423" s="40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7"/>
      <c r="F424" s="38"/>
      <c r="G424" s="39"/>
      <c r="H424" s="35"/>
      <c r="I424" s="40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7"/>
      <c r="F425" s="38"/>
      <c r="G425" s="39"/>
      <c r="H425" s="35"/>
      <c r="I425" s="40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7"/>
      <c r="F426" s="38"/>
      <c r="G426" s="39"/>
      <c r="H426" s="35"/>
      <c r="I426" s="40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7"/>
      <c r="F427" s="38"/>
      <c r="G427" s="39"/>
      <c r="H427" s="35"/>
      <c r="I427" s="40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7"/>
      <c r="F428" s="38"/>
      <c r="G428" s="39"/>
      <c r="H428" s="35"/>
      <c r="I428" s="40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7"/>
      <c r="F429" s="38"/>
      <c r="G429" s="39"/>
      <c r="H429" s="35"/>
      <c r="I429" s="40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7"/>
      <c r="F430" s="38"/>
      <c r="G430" s="39"/>
      <c r="H430" s="35"/>
      <c r="I430" s="40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7"/>
      <c r="F431" s="38"/>
      <c r="G431" s="39"/>
      <c r="H431" s="35"/>
      <c r="I431" s="40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7"/>
      <c r="F432" s="38"/>
      <c r="G432" s="39"/>
      <c r="H432" s="35"/>
      <c r="I432" s="40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7"/>
      <c r="F433" s="38"/>
      <c r="G433" s="39"/>
      <c r="H433" s="35"/>
      <c r="I433" s="40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7"/>
      <c r="F434" s="38"/>
      <c r="G434" s="39"/>
      <c r="H434" s="35"/>
      <c r="I434" s="40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7"/>
      <c r="F435" s="38"/>
      <c r="G435" s="39"/>
      <c r="H435" s="35"/>
      <c r="I435" s="40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7"/>
      <c r="F436" s="38"/>
      <c r="G436" s="39"/>
      <c r="H436" s="35"/>
      <c r="I436" s="40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7"/>
      <c r="F437" s="38"/>
      <c r="G437" s="39"/>
      <c r="H437" s="35"/>
      <c r="I437" s="40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7"/>
      <c r="F438" s="38"/>
      <c r="G438" s="39"/>
      <c r="H438" s="35"/>
      <c r="I438" s="40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7"/>
      <c r="F439" s="38"/>
      <c r="G439" s="39"/>
      <c r="H439" s="35"/>
      <c r="I439" s="40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7"/>
      <c r="F440" s="38"/>
      <c r="G440" s="39"/>
      <c r="H440" s="35"/>
      <c r="I440" s="40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7"/>
      <c r="F441" s="38"/>
      <c r="G441" s="39"/>
      <c r="H441" s="35"/>
      <c r="I441" s="40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7"/>
      <c r="F442" s="38"/>
      <c r="G442" s="39"/>
      <c r="H442" s="35"/>
      <c r="I442" s="40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7"/>
      <c r="F443" s="38"/>
      <c r="G443" s="39"/>
      <c r="H443" s="35"/>
      <c r="I443" s="40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7"/>
      <c r="F444" s="38"/>
      <c r="G444" s="39"/>
      <c r="H444" s="35"/>
      <c r="I444" s="40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7"/>
      <c r="F445" s="38"/>
      <c r="G445" s="39"/>
      <c r="H445" s="35"/>
      <c r="I445" s="40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7"/>
      <c r="F446" s="38"/>
      <c r="G446" s="39"/>
      <c r="H446" s="35"/>
      <c r="I446" s="40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7"/>
      <c r="F447" s="38"/>
      <c r="G447" s="39"/>
      <c r="H447" s="35"/>
      <c r="I447" s="40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7"/>
      <c r="F448" s="38"/>
      <c r="G448" s="39"/>
      <c r="H448" s="35"/>
      <c r="I448" s="40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7"/>
      <c r="F449" s="38"/>
      <c r="G449" s="39"/>
      <c r="H449" s="35"/>
      <c r="I449" s="40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7"/>
      <c r="F450" s="38"/>
      <c r="G450" s="39"/>
      <c r="H450" s="35"/>
      <c r="I450" s="40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7"/>
      <c r="F451" s="38"/>
      <c r="G451" s="39"/>
      <c r="H451" s="35"/>
      <c r="I451" s="40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7"/>
      <c r="F452" s="38"/>
      <c r="G452" s="39"/>
      <c r="H452" s="35"/>
      <c r="I452" s="40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7"/>
      <c r="F453" s="38"/>
      <c r="G453" s="39"/>
      <c r="H453" s="35"/>
      <c r="I453" s="40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7"/>
      <c r="F454" s="38"/>
      <c r="G454" s="39"/>
      <c r="H454" s="35"/>
      <c r="I454" s="40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7"/>
      <c r="F455" s="38"/>
      <c r="G455" s="39"/>
      <c r="H455" s="35"/>
      <c r="I455" s="40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7"/>
      <c r="F456" s="38"/>
      <c r="G456" s="39"/>
      <c r="H456" s="35"/>
      <c r="I456" s="40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7"/>
      <c r="F457" s="38"/>
      <c r="G457" s="39"/>
      <c r="H457" s="35"/>
      <c r="I457" s="40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7"/>
      <c r="F458" s="38"/>
      <c r="G458" s="39"/>
      <c r="H458" s="35"/>
      <c r="I458" s="40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7"/>
      <c r="F459" s="38"/>
      <c r="G459" s="39"/>
      <c r="H459" s="35"/>
      <c r="I459" s="40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7"/>
      <c r="F460" s="38"/>
      <c r="G460" s="39"/>
      <c r="H460" s="35"/>
      <c r="I460" s="40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7"/>
      <c r="F461" s="38"/>
      <c r="G461" s="39"/>
      <c r="H461" s="35"/>
      <c r="I461" s="40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7"/>
      <c r="F462" s="38"/>
      <c r="G462" s="39"/>
      <c r="H462" s="35"/>
      <c r="I462" s="40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7"/>
      <c r="F463" s="38"/>
      <c r="G463" s="39"/>
      <c r="H463" s="35"/>
      <c r="I463" s="40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7"/>
      <c r="F464" s="38"/>
      <c r="G464" s="39"/>
      <c r="H464" s="35"/>
      <c r="I464" s="40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7"/>
      <c r="F465" s="38"/>
      <c r="G465" s="39"/>
      <c r="H465" s="35"/>
      <c r="I465" s="40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7"/>
      <c r="F466" s="38"/>
      <c r="G466" s="39"/>
      <c r="H466" s="35"/>
      <c r="I466" s="40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7"/>
      <c r="F467" s="38"/>
      <c r="G467" s="39"/>
      <c r="H467" s="35"/>
      <c r="I467" s="40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7"/>
      <c r="F468" s="38"/>
      <c r="G468" s="39"/>
      <c r="H468" s="35"/>
      <c r="I468" s="40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7"/>
      <c r="F469" s="38"/>
      <c r="G469" s="39"/>
      <c r="H469" s="35"/>
      <c r="I469" s="40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7"/>
      <c r="F470" s="38"/>
      <c r="G470" s="39"/>
      <c r="H470" s="35"/>
      <c r="I470" s="40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7"/>
      <c r="F471" s="38"/>
      <c r="G471" s="39"/>
      <c r="H471" s="35"/>
      <c r="I471" s="40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7"/>
      <c r="F472" s="38"/>
      <c r="G472" s="39"/>
      <c r="H472" s="35"/>
      <c r="I472" s="40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7"/>
      <c r="F473" s="38"/>
      <c r="G473" s="39"/>
      <c r="H473" s="35"/>
      <c r="I473" s="40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7"/>
      <c r="F474" s="38"/>
      <c r="G474" s="39"/>
      <c r="H474" s="35"/>
      <c r="I474" s="40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7"/>
      <c r="F475" s="38"/>
      <c r="G475" s="39"/>
      <c r="H475" s="35"/>
      <c r="I475" s="40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7"/>
      <c r="F476" s="38"/>
      <c r="G476" s="39"/>
      <c r="H476" s="35"/>
      <c r="I476" s="40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7"/>
      <c r="F477" s="38"/>
      <c r="G477" s="39"/>
      <c r="H477" s="35"/>
      <c r="I477" s="40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7"/>
      <c r="F478" s="38"/>
      <c r="G478" s="39"/>
      <c r="H478" s="35"/>
      <c r="I478" s="40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7"/>
      <c r="F479" s="38"/>
      <c r="G479" s="39"/>
      <c r="H479" s="35"/>
      <c r="I479" s="40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7"/>
      <c r="F480" s="38"/>
      <c r="G480" s="39"/>
      <c r="H480" s="35"/>
      <c r="I480" s="40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7"/>
      <c r="F481" s="38"/>
      <c r="G481" s="39"/>
      <c r="H481" s="35"/>
      <c r="I481" s="40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7"/>
      <c r="F482" s="38"/>
      <c r="G482" s="39"/>
      <c r="H482" s="35"/>
      <c r="I482" s="40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7"/>
      <c r="F483" s="38"/>
      <c r="G483" s="39"/>
      <c r="H483" s="35"/>
      <c r="I483" s="40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7"/>
      <c r="F484" s="38"/>
      <c r="G484" s="39"/>
      <c r="H484" s="35"/>
      <c r="I484" s="40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7"/>
      <c r="F485" s="38"/>
      <c r="G485" s="39"/>
      <c r="H485" s="35"/>
      <c r="I485" s="40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7"/>
      <c r="F486" s="38"/>
      <c r="G486" s="39"/>
      <c r="H486" s="35"/>
      <c r="I486" s="40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7"/>
      <c r="F487" s="38"/>
      <c r="G487" s="39"/>
      <c r="H487" s="35"/>
      <c r="I487" s="40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7"/>
      <c r="F488" s="38"/>
      <c r="G488" s="39"/>
      <c r="H488" s="35"/>
      <c r="I488" s="40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7"/>
      <c r="F489" s="38"/>
      <c r="G489" s="39"/>
      <c r="H489" s="35"/>
      <c r="I489" s="40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7"/>
      <c r="F490" s="38"/>
      <c r="G490" s="39"/>
      <c r="H490" s="35"/>
      <c r="I490" s="40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7"/>
      <c r="F491" s="38"/>
      <c r="G491" s="39"/>
      <c r="H491" s="35"/>
      <c r="I491" s="40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7"/>
      <c r="F492" s="38"/>
      <c r="G492" s="39"/>
      <c r="H492" s="35"/>
      <c r="I492" s="40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7"/>
      <c r="F493" s="38"/>
      <c r="G493" s="39"/>
      <c r="H493" s="35"/>
      <c r="I493" s="40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7"/>
      <c r="F494" s="38"/>
      <c r="G494" s="39"/>
      <c r="H494" s="35"/>
      <c r="I494" s="40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7"/>
      <c r="F495" s="38"/>
      <c r="G495" s="39"/>
      <c r="H495" s="35"/>
      <c r="I495" s="40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7"/>
      <c r="F496" s="38"/>
      <c r="G496" s="39"/>
      <c r="H496" s="35"/>
      <c r="I496" s="40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7"/>
      <c r="F497" s="38"/>
      <c r="G497" s="39"/>
      <c r="H497" s="35"/>
      <c r="I497" s="40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7"/>
      <c r="F498" s="38"/>
      <c r="G498" s="39"/>
      <c r="H498" s="35"/>
      <c r="I498" s="40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7"/>
      <c r="F499" s="38"/>
      <c r="G499" s="39"/>
      <c r="H499" s="35"/>
      <c r="I499" s="40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7"/>
      <c r="F500" s="38"/>
      <c r="G500" s="39"/>
      <c r="H500" s="35"/>
      <c r="I500" s="40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7"/>
      <c r="F501" s="38"/>
      <c r="G501" s="39"/>
      <c r="H501" s="35"/>
      <c r="I501" s="40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7"/>
      <c r="F502" s="38"/>
      <c r="G502" s="39"/>
      <c r="H502" s="35"/>
      <c r="I502" s="40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7"/>
      <c r="F503" s="38"/>
      <c r="G503" s="39"/>
      <c r="H503" s="35"/>
      <c r="I503" s="40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7"/>
      <c r="F504" s="38"/>
      <c r="G504" s="39"/>
      <c r="H504" s="35"/>
      <c r="I504" s="40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7"/>
      <c r="F505" s="38"/>
      <c r="G505" s="39"/>
      <c r="H505" s="35"/>
      <c r="I505" s="40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7"/>
      <c r="F506" s="38"/>
      <c r="G506" s="39"/>
      <c r="H506" s="35"/>
      <c r="I506" s="40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7"/>
      <c r="F507" s="38"/>
      <c r="G507" s="39"/>
      <c r="H507" s="35"/>
      <c r="I507" s="40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7"/>
      <c r="F508" s="38"/>
      <c r="G508" s="39"/>
      <c r="H508" s="35"/>
      <c r="I508" s="40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7"/>
      <c r="F509" s="38"/>
      <c r="G509" s="39"/>
      <c r="H509" s="35"/>
      <c r="I509" s="40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7"/>
      <c r="F510" s="38"/>
      <c r="G510" s="39"/>
      <c r="H510" s="35"/>
      <c r="I510" s="40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7"/>
      <c r="F511" s="38"/>
      <c r="G511" s="39"/>
      <c r="H511" s="35"/>
      <c r="I511" s="40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7"/>
      <c r="F512" s="38"/>
      <c r="G512" s="39"/>
      <c r="H512" s="35"/>
      <c r="I512" s="40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7"/>
      <c r="F513" s="38"/>
      <c r="G513" s="39"/>
      <c r="H513" s="35"/>
      <c r="I513" s="40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7"/>
      <c r="F514" s="38"/>
      <c r="G514" s="39"/>
      <c r="H514" s="35"/>
      <c r="I514" s="40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7"/>
      <c r="F515" s="38"/>
      <c r="G515" s="39"/>
      <c r="H515" s="35"/>
      <c r="I515" s="40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7"/>
      <c r="F516" s="38"/>
      <c r="G516" s="39"/>
      <c r="H516" s="35"/>
      <c r="I516" s="40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7"/>
      <c r="F517" s="38"/>
      <c r="G517" s="39"/>
      <c r="H517" s="35"/>
      <c r="I517" s="40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7"/>
      <c r="F518" s="38"/>
      <c r="G518" s="39"/>
      <c r="H518" s="35"/>
      <c r="I518" s="40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7"/>
      <c r="F519" s="38"/>
      <c r="G519" s="39"/>
      <c r="H519" s="35"/>
      <c r="I519" s="40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7"/>
      <c r="F520" s="38"/>
      <c r="G520" s="39"/>
      <c r="H520" s="35"/>
      <c r="I520" s="40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7"/>
      <c r="F521" s="38"/>
      <c r="G521" s="39"/>
      <c r="H521" s="35"/>
      <c r="I521" s="40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7"/>
      <c r="F522" s="38"/>
      <c r="G522" s="39"/>
      <c r="H522" s="35"/>
      <c r="I522" s="40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7"/>
      <c r="F523" s="38"/>
      <c r="G523" s="39"/>
      <c r="H523" s="35"/>
      <c r="I523" s="40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7"/>
      <c r="F524" s="38"/>
      <c r="G524" s="39"/>
      <c r="H524" s="35"/>
      <c r="I524" s="40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7"/>
      <c r="F525" s="38"/>
      <c r="G525" s="39"/>
      <c r="H525" s="35"/>
      <c r="I525" s="40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7"/>
      <c r="F526" s="38"/>
      <c r="G526" s="39"/>
      <c r="H526" s="35"/>
      <c r="I526" s="40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7"/>
      <c r="F527" s="38"/>
      <c r="G527" s="39"/>
      <c r="H527" s="35"/>
      <c r="I527" s="40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7"/>
      <c r="F528" s="38"/>
      <c r="G528" s="39"/>
      <c r="H528" s="35"/>
      <c r="I528" s="40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7"/>
      <c r="F529" s="38"/>
      <c r="G529" s="39"/>
      <c r="H529" s="35"/>
      <c r="I529" s="40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7"/>
      <c r="F530" s="38"/>
      <c r="G530" s="39"/>
      <c r="H530" s="35"/>
      <c r="I530" s="40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7"/>
      <c r="F531" s="38"/>
      <c r="G531" s="39"/>
      <c r="H531" s="35"/>
      <c r="I531" s="40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7"/>
      <c r="F532" s="38"/>
      <c r="G532" s="39"/>
      <c r="H532" s="35"/>
      <c r="I532" s="40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7"/>
      <c r="F533" s="38"/>
      <c r="G533" s="39"/>
      <c r="H533" s="35"/>
      <c r="I533" s="40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7"/>
      <c r="F534" s="38"/>
      <c r="G534" s="39"/>
      <c r="H534" s="35"/>
      <c r="I534" s="40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7"/>
      <c r="F535" s="38"/>
      <c r="G535" s="39"/>
      <c r="H535" s="35"/>
      <c r="I535" s="40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7"/>
      <c r="F536" s="38"/>
      <c r="G536" s="39"/>
      <c r="H536" s="35"/>
      <c r="I536" s="40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7"/>
      <c r="F537" s="38"/>
      <c r="G537" s="39"/>
      <c r="H537" s="35"/>
      <c r="I537" s="40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7"/>
      <c r="F538" s="38"/>
      <c r="G538" s="39"/>
      <c r="H538" s="35"/>
      <c r="I538" s="40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7"/>
      <c r="F539" s="38"/>
      <c r="G539" s="39"/>
      <c r="H539" s="35"/>
      <c r="I539" s="40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7"/>
      <c r="F540" s="38"/>
      <c r="G540" s="39"/>
      <c r="H540" s="35"/>
      <c r="I540" s="40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7"/>
      <c r="F541" s="38"/>
      <c r="G541" s="39"/>
      <c r="H541" s="35"/>
      <c r="I541" s="40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7"/>
      <c r="F542" s="38"/>
      <c r="G542" s="39"/>
      <c r="H542" s="35"/>
      <c r="I542" s="40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7"/>
      <c r="F543" s="38"/>
      <c r="G543" s="39"/>
      <c r="H543" s="35"/>
      <c r="I543" s="40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7"/>
      <c r="F544" s="38"/>
      <c r="G544" s="39"/>
      <c r="H544" s="35"/>
      <c r="I544" s="40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7"/>
      <c r="F545" s="38"/>
      <c r="G545" s="39"/>
      <c r="H545" s="35"/>
      <c r="I545" s="40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7"/>
      <c r="F546" s="38"/>
      <c r="G546" s="39"/>
      <c r="H546" s="35"/>
      <c r="I546" s="40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7"/>
      <c r="F547" s="38"/>
      <c r="G547" s="39"/>
      <c r="H547" s="35"/>
      <c r="I547" s="40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7"/>
      <c r="F548" s="38"/>
      <c r="G548" s="39"/>
      <c r="H548" s="35"/>
      <c r="I548" s="40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7"/>
      <c r="F549" s="38"/>
      <c r="G549" s="39"/>
      <c r="H549" s="35"/>
      <c r="I549" s="40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7"/>
      <c r="F550" s="38"/>
      <c r="G550" s="39"/>
      <c r="H550" s="35"/>
      <c r="I550" s="40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7"/>
      <c r="F551" s="38"/>
      <c r="G551" s="39"/>
      <c r="H551" s="35"/>
      <c r="I551" s="40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7"/>
      <c r="F552" s="38"/>
      <c r="G552" s="39"/>
      <c r="H552" s="35"/>
      <c r="I552" s="40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7"/>
      <c r="F553" s="38"/>
      <c r="G553" s="39"/>
      <c r="H553" s="35"/>
      <c r="I553" s="40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7"/>
      <c r="F554" s="38"/>
      <c r="G554" s="39"/>
      <c r="H554" s="35"/>
      <c r="I554" s="40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7"/>
      <c r="F555" s="38"/>
      <c r="G555" s="39"/>
      <c r="H555" s="35"/>
      <c r="I555" s="40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7"/>
      <c r="F556" s="38"/>
      <c r="G556" s="39"/>
      <c r="H556" s="35"/>
      <c r="I556" s="40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7"/>
      <c r="F557" s="38"/>
      <c r="G557" s="39"/>
      <c r="H557" s="35"/>
      <c r="I557" s="40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7"/>
      <c r="F558" s="38"/>
      <c r="G558" s="39"/>
      <c r="H558" s="35"/>
      <c r="I558" s="40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7"/>
      <c r="F559" s="38"/>
      <c r="G559" s="39"/>
      <c r="H559" s="35"/>
      <c r="I559" s="40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7"/>
      <c r="F560" s="38"/>
      <c r="G560" s="39"/>
      <c r="H560" s="35"/>
      <c r="I560" s="40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7"/>
      <c r="F561" s="38"/>
      <c r="G561" s="39"/>
      <c r="H561" s="35"/>
      <c r="I561" s="40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7"/>
      <c r="F562" s="38"/>
      <c r="G562" s="39"/>
      <c r="H562" s="35"/>
      <c r="I562" s="40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7"/>
      <c r="F563" s="38"/>
      <c r="G563" s="39"/>
      <c r="H563" s="35"/>
      <c r="I563" s="40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7"/>
      <c r="F564" s="38"/>
      <c r="G564" s="39"/>
      <c r="H564" s="35"/>
      <c r="I564" s="40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7"/>
      <c r="F565" s="38"/>
      <c r="G565" s="39"/>
      <c r="H565" s="35"/>
      <c r="I565" s="40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7"/>
      <c r="F566" s="38"/>
      <c r="G566" s="39"/>
      <c r="H566" s="35"/>
      <c r="I566" s="40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7"/>
      <c r="F567" s="38"/>
      <c r="G567" s="39"/>
      <c r="H567" s="35"/>
      <c r="I567" s="40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7"/>
      <c r="F568" s="38"/>
      <c r="G568" s="39"/>
      <c r="H568" s="35"/>
      <c r="I568" s="40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7"/>
      <c r="F569" s="38"/>
      <c r="G569" s="39"/>
      <c r="H569" s="35"/>
      <c r="I569" s="40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7"/>
      <c r="F570" s="38"/>
      <c r="G570" s="39"/>
      <c r="H570" s="35"/>
      <c r="I570" s="40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7"/>
      <c r="F571" s="38"/>
      <c r="G571" s="39"/>
      <c r="H571" s="35"/>
      <c r="I571" s="40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7"/>
      <c r="F572" s="38"/>
      <c r="G572" s="39"/>
      <c r="H572" s="35"/>
      <c r="I572" s="40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7"/>
      <c r="F573" s="38"/>
      <c r="G573" s="39"/>
      <c r="H573" s="35"/>
      <c r="I573" s="40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7"/>
      <c r="F574" s="38"/>
      <c r="G574" s="39"/>
      <c r="H574" s="35"/>
      <c r="I574" s="40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7"/>
      <c r="F575" s="38"/>
      <c r="G575" s="39"/>
      <c r="H575" s="35"/>
      <c r="I575" s="40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7"/>
      <c r="F576" s="38"/>
      <c r="G576" s="39"/>
      <c r="H576" s="35"/>
      <c r="I576" s="40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7"/>
      <c r="F577" s="38"/>
      <c r="G577" s="39"/>
      <c r="H577" s="35"/>
      <c r="I577" s="40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7"/>
      <c r="F578" s="38"/>
      <c r="G578" s="39"/>
      <c r="H578" s="35"/>
      <c r="I578" s="40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7"/>
      <c r="F579" s="38"/>
      <c r="G579" s="39"/>
      <c r="H579" s="35"/>
      <c r="I579" s="40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7"/>
      <c r="F580" s="38"/>
      <c r="G580" s="39"/>
      <c r="H580" s="35"/>
      <c r="I580" s="40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7"/>
      <c r="F581" s="38"/>
      <c r="G581" s="39"/>
      <c r="H581" s="35"/>
      <c r="I581" s="40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7"/>
      <c r="F582" s="38"/>
      <c r="G582" s="39"/>
      <c r="H582" s="35"/>
      <c r="I582" s="40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7"/>
      <c r="F583" s="38"/>
      <c r="G583" s="39"/>
      <c r="H583" s="35"/>
      <c r="I583" s="40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7"/>
      <c r="F584" s="38"/>
      <c r="G584" s="39"/>
      <c r="H584" s="35"/>
      <c r="I584" s="40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7"/>
      <c r="F585" s="38"/>
      <c r="G585" s="39"/>
      <c r="H585" s="35"/>
      <c r="I585" s="40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7"/>
      <c r="F586" s="38"/>
      <c r="G586" s="39"/>
      <c r="H586" s="35"/>
      <c r="I586" s="40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7"/>
      <c r="F587" s="38"/>
      <c r="G587" s="39"/>
      <c r="H587" s="35"/>
      <c r="I587" s="40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7"/>
      <c r="F588" s="38"/>
      <c r="G588" s="39"/>
      <c r="H588" s="35"/>
      <c r="I588" s="40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7"/>
      <c r="F589" s="38"/>
      <c r="G589" s="39"/>
      <c r="H589" s="35"/>
      <c r="I589" s="40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7"/>
      <c r="F590" s="38"/>
      <c r="G590" s="39"/>
      <c r="H590" s="35"/>
      <c r="I590" s="40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7"/>
      <c r="F591" s="38"/>
      <c r="G591" s="39"/>
      <c r="H591" s="35"/>
      <c r="I591" s="40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7"/>
      <c r="F592" s="38"/>
      <c r="G592" s="39"/>
      <c r="H592" s="35"/>
      <c r="I592" s="40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7"/>
      <c r="F593" s="38"/>
      <c r="G593" s="39"/>
      <c r="H593" s="35"/>
      <c r="I593" s="40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7"/>
      <c r="F594" s="38"/>
      <c r="G594" s="39"/>
      <c r="H594" s="35"/>
      <c r="I594" s="40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7"/>
      <c r="F595" s="38"/>
      <c r="G595" s="39"/>
      <c r="H595" s="35"/>
      <c r="I595" s="40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7"/>
      <c r="F596" s="38"/>
      <c r="G596" s="39"/>
      <c r="H596" s="35"/>
      <c r="I596" s="40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7"/>
      <c r="F597" s="38"/>
      <c r="G597" s="39"/>
      <c r="H597" s="35"/>
      <c r="I597" s="40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7"/>
      <c r="F598" s="38"/>
      <c r="G598" s="39"/>
      <c r="H598" s="35"/>
      <c r="I598" s="40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7"/>
      <c r="F599" s="38"/>
      <c r="G599" s="39"/>
      <c r="H599" s="35"/>
      <c r="I599" s="40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7"/>
      <c r="F600" s="38"/>
      <c r="G600" s="39"/>
      <c r="H600" s="35"/>
      <c r="I600" s="40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7"/>
      <c r="F601" s="38"/>
      <c r="G601" s="39"/>
      <c r="H601" s="35"/>
      <c r="I601" s="40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7"/>
      <c r="F602" s="38"/>
      <c r="G602" s="39"/>
      <c r="H602" s="35"/>
      <c r="I602" s="40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7"/>
      <c r="F603" s="38"/>
      <c r="G603" s="39"/>
      <c r="H603" s="35"/>
      <c r="I603" s="40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7"/>
      <c r="F604" s="38"/>
      <c r="G604" s="39"/>
      <c r="H604" s="35"/>
      <c r="I604" s="40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7"/>
      <c r="F605" s="38"/>
      <c r="G605" s="39"/>
      <c r="H605" s="35"/>
      <c r="I605" s="40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7"/>
      <c r="F606" s="38"/>
      <c r="G606" s="39"/>
      <c r="H606" s="35"/>
      <c r="I606" s="40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7"/>
      <c r="F607" s="38"/>
      <c r="G607" s="39"/>
      <c r="H607" s="35"/>
      <c r="I607" s="40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7"/>
      <c r="F608" s="38"/>
      <c r="G608" s="39"/>
      <c r="H608" s="35"/>
      <c r="I608" s="40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7"/>
      <c r="F609" s="38"/>
      <c r="G609" s="39"/>
      <c r="H609" s="35"/>
      <c r="I609" s="40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7"/>
      <c r="F610" s="38"/>
      <c r="G610" s="39"/>
      <c r="H610" s="35"/>
      <c r="I610" s="40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7"/>
      <c r="F611" s="38"/>
      <c r="G611" s="39"/>
      <c r="H611" s="35"/>
      <c r="I611" s="40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7"/>
      <c r="F612" s="38"/>
      <c r="G612" s="39"/>
      <c r="H612" s="35"/>
      <c r="I612" s="40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7"/>
      <c r="F613" s="38"/>
      <c r="G613" s="39"/>
      <c r="H613" s="35"/>
      <c r="I613" s="40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7"/>
      <c r="F614" s="38"/>
      <c r="G614" s="39"/>
      <c r="H614" s="35"/>
      <c r="I614" s="40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7"/>
      <c r="F615" s="38"/>
      <c r="G615" s="39"/>
      <c r="H615" s="35"/>
      <c r="I615" s="40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7"/>
      <c r="F616" s="38"/>
      <c r="G616" s="39"/>
      <c r="H616" s="35"/>
      <c r="I616" s="40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7"/>
      <c r="F617" s="38"/>
      <c r="G617" s="39"/>
      <c r="H617" s="35"/>
      <c r="I617" s="40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7"/>
      <c r="F618" s="38"/>
      <c r="G618" s="39"/>
      <c r="H618" s="35"/>
      <c r="I618" s="40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7"/>
      <c r="F619" s="38"/>
      <c r="G619" s="39"/>
      <c r="H619" s="35"/>
      <c r="I619" s="40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7"/>
      <c r="F620" s="38"/>
      <c r="G620" s="39"/>
      <c r="H620" s="35"/>
      <c r="I620" s="40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7"/>
      <c r="F621" s="38"/>
      <c r="G621" s="39"/>
      <c r="H621" s="35"/>
      <c r="I621" s="40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7"/>
      <c r="F622" s="38"/>
      <c r="G622" s="39"/>
      <c r="H622" s="35"/>
      <c r="I622" s="40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7"/>
      <c r="F623" s="38"/>
      <c r="G623" s="39"/>
      <c r="H623" s="35"/>
      <c r="I623" s="40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7"/>
      <c r="F624" s="38"/>
      <c r="G624" s="39"/>
      <c r="H624" s="35"/>
      <c r="I624" s="40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7"/>
      <c r="F625" s="38"/>
      <c r="G625" s="39"/>
      <c r="H625" s="35"/>
      <c r="I625" s="40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7"/>
      <c r="F626" s="38"/>
      <c r="G626" s="39"/>
      <c r="H626" s="35"/>
      <c r="I626" s="40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7"/>
      <c r="F627" s="38"/>
      <c r="G627" s="39"/>
      <c r="H627" s="35"/>
      <c r="I627" s="40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7"/>
      <c r="F628" s="38"/>
      <c r="G628" s="39"/>
      <c r="H628" s="35"/>
      <c r="I628" s="40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7"/>
      <c r="F629" s="38"/>
      <c r="G629" s="39"/>
      <c r="H629" s="35"/>
      <c r="I629" s="40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7"/>
      <c r="F630" s="38"/>
      <c r="G630" s="39"/>
      <c r="H630" s="35"/>
      <c r="I630" s="40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7"/>
      <c r="F631" s="38"/>
      <c r="G631" s="39"/>
      <c r="H631" s="35"/>
      <c r="I631" s="40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7"/>
      <c r="F632" s="38"/>
      <c r="G632" s="39"/>
      <c r="H632" s="35"/>
      <c r="I632" s="40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7"/>
      <c r="F633" s="38"/>
      <c r="G633" s="39"/>
      <c r="H633" s="35"/>
      <c r="I633" s="40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7"/>
      <c r="F634" s="38"/>
      <c r="G634" s="39"/>
      <c r="H634" s="35"/>
      <c r="I634" s="40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7"/>
      <c r="F635" s="38"/>
      <c r="G635" s="39"/>
      <c r="H635" s="35"/>
      <c r="I635" s="40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7"/>
      <c r="F636" s="38"/>
      <c r="G636" s="39"/>
      <c r="H636" s="35"/>
      <c r="I636" s="40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7"/>
      <c r="F637" s="38"/>
      <c r="G637" s="39"/>
      <c r="H637" s="35"/>
      <c r="I637" s="40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7"/>
      <c r="F638" s="38"/>
      <c r="G638" s="39"/>
      <c r="H638" s="35"/>
      <c r="I638" s="40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7"/>
      <c r="F639" s="38"/>
      <c r="G639" s="39"/>
      <c r="H639" s="35"/>
      <c r="I639" s="40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7"/>
      <c r="F640" s="38"/>
      <c r="G640" s="39"/>
      <c r="H640" s="35"/>
      <c r="I640" s="40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7"/>
      <c r="F641" s="38"/>
      <c r="G641" s="39"/>
      <c r="H641" s="35"/>
      <c r="I641" s="40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7"/>
      <c r="F642" s="38"/>
      <c r="G642" s="39"/>
      <c r="H642" s="35"/>
      <c r="I642" s="40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7"/>
      <c r="F643" s="38"/>
      <c r="G643" s="39"/>
      <c r="H643" s="35"/>
      <c r="I643" s="40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7"/>
      <c r="F644" s="38"/>
      <c r="G644" s="39"/>
      <c r="H644" s="35"/>
      <c r="I644" s="40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7"/>
      <c r="F645" s="38"/>
      <c r="G645" s="39"/>
      <c r="H645" s="35"/>
      <c r="I645" s="40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7"/>
      <c r="F646" s="38"/>
      <c r="G646" s="39"/>
      <c r="H646" s="35"/>
      <c r="I646" s="40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7"/>
      <c r="F647" s="38"/>
      <c r="G647" s="39"/>
      <c r="H647" s="35"/>
      <c r="I647" s="40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7"/>
      <c r="F648" s="38"/>
      <c r="G648" s="39"/>
      <c r="H648" s="35"/>
      <c r="I648" s="40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7"/>
      <c r="F649" s="38"/>
      <c r="G649" s="39"/>
      <c r="H649" s="35"/>
      <c r="I649" s="40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7"/>
      <c r="F650" s="38"/>
      <c r="G650" s="39"/>
      <c r="H650" s="35"/>
      <c r="I650" s="40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7"/>
      <c r="F651" s="38"/>
      <c r="G651" s="39"/>
      <c r="H651" s="35"/>
      <c r="I651" s="40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7"/>
      <c r="F652" s="38"/>
      <c r="G652" s="39"/>
      <c r="H652" s="35"/>
      <c r="I652" s="40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7"/>
      <c r="F653" s="38"/>
      <c r="G653" s="39"/>
      <c r="H653" s="35"/>
      <c r="I653" s="40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7"/>
      <c r="F654" s="38"/>
      <c r="G654" s="39"/>
      <c r="H654" s="35"/>
      <c r="I654" s="40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7"/>
      <c r="F655" s="38"/>
      <c r="G655" s="39"/>
      <c r="H655" s="35"/>
      <c r="I655" s="40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7"/>
      <c r="F656" s="38"/>
      <c r="G656" s="39"/>
      <c r="H656" s="35"/>
      <c r="I656" s="40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7"/>
      <c r="F657" s="38"/>
      <c r="G657" s="39"/>
      <c r="H657" s="35"/>
      <c r="I657" s="40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7"/>
      <c r="F658" s="38"/>
      <c r="G658" s="39"/>
      <c r="H658" s="35"/>
      <c r="I658" s="40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7"/>
      <c r="F659" s="38"/>
      <c r="G659" s="39"/>
      <c r="H659" s="35"/>
      <c r="I659" s="40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7"/>
      <c r="F660" s="38"/>
      <c r="G660" s="39"/>
      <c r="H660" s="35"/>
      <c r="I660" s="40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7"/>
      <c r="F661" s="38"/>
      <c r="G661" s="39"/>
      <c r="H661" s="35"/>
      <c r="I661" s="40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7"/>
      <c r="F662" s="38"/>
      <c r="G662" s="39"/>
      <c r="H662" s="35"/>
      <c r="I662" s="40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7"/>
      <c r="F663" s="38"/>
      <c r="G663" s="39"/>
      <c r="H663" s="35"/>
      <c r="I663" s="40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7"/>
      <c r="F664" s="38"/>
      <c r="G664" s="39"/>
      <c r="H664" s="35"/>
      <c r="I664" s="40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7"/>
      <c r="F665" s="38"/>
      <c r="G665" s="39"/>
      <c r="H665" s="35"/>
      <c r="I665" s="40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7"/>
      <c r="F666" s="38"/>
      <c r="G666" s="39"/>
      <c r="H666" s="35"/>
      <c r="I666" s="40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7"/>
      <c r="F667" s="38"/>
      <c r="G667" s="39"/>
      <c r="H667" s="35"/>
      <c r="I667" s="40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7"/>
      <c r="F668" s="38"/>
      <c r="G668" s="39"/>
      <c r="H668" s="35"/>
      <c r="I668" s="40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7"/>
      <c r="F669" s="38"/>
      <c r="G669" s="39"/>
      <c r="H669" s="35"/>
      <c r="I669" s="40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7"/>
      <c r="F670" s="38"/>
      <c r="G670" s="39"/>
      <c r="H670" s="35"/>
      <c r="I670" s="40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7"/>
      <c r="F671" s="38"/>
      <c r="G671" s="39"/>
      <c r="H671" s="35"/>
      <c r="I671" s="40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7"/>
      <c r="F672" s="38"/>
      <c r="G672" s="39"/>
      <c r="H672" s="35"/>
      <c r="I672" s="40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7"/>
      <c r="F673" s="38"/>
      <c r="G673" s="39"/>
      <c r="H673" s="35"/>
      <c r="I673" s="40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7"/>
      <c r="F674" s="38"/>
      <c r="G674" s="39"/>
      <c r="H674" s="35"/>
      <c r="I674" s="40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7"/>
      <c r="F675" s="38"/>
      <c r="G675" s="39"/>
      <c r="H675" s="35"/>
      <c r="I675" s="40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7"/>
      <c r="F676" s="38"/>
      <c r="G676" s="39"/>
      <c r="H676" s="35"/>
      <c r="I676" s="40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7"/>
      <c r="F677" s="38"/>
      <c r="G677" s="39"/>
      <c r="H677" s="35"/>
      <c r="I677" s="40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7"/>
      <c r="F678" s="38"/>
      <c r="G678" s="39"/>
      <c r="H678" s="35"/>
      <c r="I678" s="40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7"/>
      <c r="F679" s="38"/>
      <c r="G679" s="39"/>
      <c r="H679" s="35"/>
      <c r="I679" s="40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7"/>
      <c r="F680" s="38"/>
      <c r="G680" s="39"/>
      <c r="H680" s="35"/>
      <c r="I680" s="40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7"/>
      <c r="F681" s="38"/>
      <c r="G681" s="39"/>
      <c r="H681" s="35"/>
      <c r="I681" s="40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7"/>
      <c r="F682" s="38"/>
      <c r="G682" s="39"/>
      <c r="H682" s="35"/>
      <c r="I682" s="40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7"/>
      <c r="F683" s="38"/>
      <c r="G683" s="39"/>
      <c r="H683" s="35"/>
      <c r="I683" s="40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7"/>
      <c r="F684" s="38"/>
      <c r="G684" s="39"/>
      <c r="H684" s="35"/>
      <c r="I684" s="40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7"/>
      <c r="F685" s="38"/>
      <c r="G685" s="39"/>
      <c r="H685" s="35"/>
      <c r="I685" s="40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7"/>
      <c r="F686" s="38"/>
      <c r="G686" s="39"/>
      <c r="H686" s="35"/>
      <c r="I686" s="40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7"/>
      <c r="F687" s="38"/>
      <c r="G687" s="39"/>
      <c r="H687" s="35"/>
      <c r="I687" s="40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7"/>
      <c r="F688" s="38"/>
      <c r="G688" s="39"/>
      <c r="H688" s="35"/>
      <c r="I688" s="40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7"/>
      <c r="F689" s="38"/>
      <c r="G689" s="39"/>
      <c r="H689" s="35"/>
      <c r="I689" s="40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7"/>
      <c r="F690" s="38"/>
      <c r="G690" s="39"/>
      <c r="H690" s="35"/>
      <c r="I690" s="40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7"/>
      <c r="F691" s="38"/>
      <c r="G691" s="39"/>
      <c r="H691" s="35"/>
      <c r="I691" s="40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7"/>
      <c r="F692" s="38"/>
      <c r="G692" s="39"/>
      <c r="H692" s="35"/>
      <c r="I692" s="40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7"/>
      <c r="F693" s="38"/>
      <c r="G693" s="39"/>
      <c r="H693" s="35"/>
      <c r="I693" s="40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7"/>
      <c r="F694" s="38"/>
      <c r="G694" s="39"/>
      <c r="H694" s="35"/>
      <c r="I694" s="40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7"/>
      <c r="F695" s="38"/>
      <c r="G695" s="39"/>
      <c r="H695" s="35"/>
      <c r="I695" s="40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7"/>
      <c r="F696" s="38"/>
      <c r="G696" s="39"/>
      <c r="H696" s="35"/>
      <c r="I696" s="40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7"/>
      <c r="F697" s="38"/>
      <c r="G697" s="39"/>
      <c r="H697" s="35"/>
      <c r="I697" s="40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7"/>
      <c r="F698" s="38"/>
      <c r="G698" s="39"/>
      <c r="H698" s="35"/>
      <c r="I698" s="40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7"/>
      <c r="F699" s="38"/>
      <c r="G699" s="39"/>
      <c r="H699" s="35"/>
      <c r="I699" s="40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7"/>
      <c r="F700" s="38"/>
      <c r="G700" s="39"/>
      <c r="H700" s="35"/>
      <c r="I700" s="40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7"/>
      <c r="F701" s="38"/>
      <c r="G701" s="39"/>
      <c r="H701" s="35"/>
      <c r="I701" s="40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7"/>
      <c r="F702" s="38"/>
      <c r="G702" s="39"/>
      <c r="H702" s="35"/>
      <c r="I702" s="40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7"/>
      <c r="F703" s="38"/>
      <c r="G703" s="39"/>
      <c r="H703" s="35"/>
      <c r="I703" s="40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7"/>
      <c r="F704" s="38"/>
      <c r="G704" s="39"/>
      <c r="H704" s="35"/>
      <c r="I704" s="40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7"/>
      <c r="F705" s="38"/>
      <c r="G705" s="39"/>
      <c r="H705" s="35"/>
      <c r="I705" s="40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7"/>
      <c r="F706" s="38"/>
      <c r="G706" s="39"/>
      <c r="H706" s="35"/>
      <c r="I706" s="40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7"/>
      <c r="F707" s="38"/>
      <c r="G707" s="39"/>
      <c r="H707" s="35"/>
      <c r="I707" s="40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7"/>
      <c r="F708" s="38"/>
      <c r="G708" s="39"/>
      <c r="H708" s="35"/>
      <c r="I708" s="40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7"/>
      <c r="F709" s="38"/>
      <c r="G709" s="39"/>
      <c r="H709" s="35"/>
      <c r="I709" s="40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7"/>
      <c r="F710" s="38"/>
      <c r="G710" s="39"/>
      <c r="H710" s="35"/>
      <c r="I710" s="40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7"/>
      <c r="F711" s="38"/>
      <c r="G711" s="39"/>
      <c r="H711" s="35"/>
      <c r="I711" s="40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7"/>
      <c r="F712" s="38"/>
      <c r="G712" s="39"/>
      <c r="H712" s="35"/>
      <c r="I712" s="40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7"/>
      <c r="F713" s="38"/>
      <c r="G713" s="39"/>
      <c r="H713" s="35"/>
      <c r="I713" s="40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7"/>
      <c r="F714" s="38"/>
      <c r="G714" s="39"/>
      <c r="H714" s="35"/>
      <c r="I714" s="40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7"/>
      <c r="F715" s="38"/>
      <c r="G715" s="39"/>
      <c r="H715" s="35"/>
      <c r="I715" s="40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7"/>
      <c r="F716" s="38"/>
      <c r="G716" s="39"/>
      <c r="H716" s="35"/>
      <c r="I716" s="40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7"/>
      <c r="F717" s="38"/>
      <c r="G717" s="39"/>
      <c r="H717" s="35"/>
      <c r="I717" s="40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7"/>
      <c r="F718" s="38"/>
      <c r="G718" s="39"/>
      <c r="H718" s="35"/>
      <c r="I718" s="40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7"/>
      <c r="F719" s="38"/>
      <c r="G719" s="39"/>
      <c r="H719" s="35"/>
      <c r="I719" s="40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7"/>
      <c r="F720" s="38"/>
      <c r="G720" s="39"/>
      <c r="H720" s="35"/>
      <c r="I720" s="40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7"/>
      <c r="F721" s="38"/>
      <c r="G721" s="39"/>
      <c r="H721" s="35"/>
      <c r="I721" s="40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7"/>
      <c r="F722" s="38"/>
      <c r="G722" s="39"/>
      <c r="H722" s="35"/>
      <c r="I722" s="40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7"/>
      <c r="F723" s="38"/>
      <c r="G723" s="39"/>
      <c r="H723" s="35"/>
      <c r="I723" s="40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7"/>
      <c r="F724" s="38"/>
      <c r="G724" s="39"/>
      <c r="H724" s="35"/>
      <c r="I724" s="40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7"/>
      <c r="F725" s="38"/>
      <c r="G725" s="39"/>
      <c r="H725" s="35"/>
      <c r="I725" s="40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7"/>
      <c r="F726" s="38"/>
      <c r="G726" s="39"/>
      <c r="H726" s="35"/>
      <c r="I726" s="40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7"/>
      <c r="F727" s="38"/>
      <c r="G727" s="39"/>
      <c r="H727" s="35"/>
      <c r="I727" s="40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7"/>
      <c r="F728" s="38"/>
      <c r="G728" s="39"/>
      <c r="H728" s="35"/>
      <c r="I728" s="40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7"/>
      <c r="F729" s="38"/>
      <c r="G729" s="39"/>
      <c r="H729" s="35"/>
      <c r="I729" s="40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7"/>
      <c r="F730" s="38"/>
      <c r="G730" s="39"/>
      <c r="H730" s="35"/>
      <c r="I730" s="40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7"/>
      <c r="F731" s="38"/>
      <c r="G731" s="39"/>
      <c r="H731" s="35"/>
      <c r="I731" s="40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7"/>
      <c r="F732" s="38"/>
      <c r="G732" s="39"/>
      <c r="H732" s="35"/>
      <c r="I732" s="40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7"/>
      <c r="F733" s="38"/>
      <c r="G733" s="39"/>
      <c r="H733" s="35"/>
      <c r="I733" s="40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7"/>
      <c r="F734" s="38"/>
      <c r="G734" s="39"/>
      <c r="H734" s="35"/>
      <c r="I734" s="40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7"/>
      <c r="F735" s="38"/>
      <c r="G735" s="39"/>
      <c r="H735" s="35"/>
      <c r="I735" s="40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7"/>
      <c r="F736" s="38"/>
      <c r="G736" s="39"/>
      <c r="H736" s="35"/>
      <c r="I736" s="40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7"/>
      <c r="F737" s="38"/>
      <c r="G737" s="39"/>
      <c r="H737" s="35"/>
      <c r="I737" s="40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7"/>
      <c r="F738" s="38"/>
      <c r="G738" s="39"/>
      <c r="H738" s="35"/>
      <c r="I738" s="40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7"/>
      <c r="F739" s="38"/>
      <c r="G739" s="39"/>
      <c r="H739" s="35"/>
      <c r="I739" s="40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7"/>
      <c r="F740" s="38"/>
      <c r="G740" s="39"/>
      <c r="H740" s="35"/>
      <c r="I740" s="40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7"/>
      <c r="F741" s="38"/>
      <c r="G741" s="39"/>
      <c r="H741" s="35"/>
      <c r="I741" s="40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7"/>
      <c r="F742" s="38"/>
      <c r="G742" s="39"/>
      <c r="H742" s="35"/>
      <c r="I742" s="40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7"/>
      <c r="F743" s="38"/>
      <c r="G743" s="39"/>
      <c r="H743" s="35"/>
      <c r="I743" s="40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7"/>
      <c r="F744" s="38"/>
      <c r="G744" s="39"/>
      <c r="H744" s="35"/>
      <c r="I744" s="40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7"/>
      <c r="F745" s="38"/>
      <c r="G745" s="39"/>
      <c r="H745" s="35"/>
      <c r="I745" s="40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7"/>
      <c r="F746" s="38"/>
      <c r="G746" s="39"/>
      <c r="H746" s="35"/>
      <c r="I746" s="40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7"/>
      <c r="F747" s="38"/>
      <c r="G747" s="39"/>
      <c r="H747" s="35"/>
      <c r="I747" s="40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7"/>
      <c r="F748" s="38"/>
      <c r="G748" s="39"/>
      <c r="H748" s="35"/>
      <c r="I748" s="40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7"/>
      <c r="F749" s="38"/>
      <c r="G749" s="39"/>
      <c r="H749" s="35"/>
      <c r="I749" s="40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7"/>
      <c r="F750" s="38"/>
      <c r="G750" s="39"/>
      <c r="H750" s="35"/>
      <c r="I750" s="40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7"/>
      <c r="F751" s="38"/>
      <c r="G751" s="39"/>
      <c r="H751" s="35"/>
      <c r="I751" s="40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7"/>
      <c r="F752" s="38"/>
      <c r="G752" s="39"/>
      <c r="H752" s="35"/>
      <c r="I752" s="40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7"/>
      <c r="F753" s="38"/>
      <c r="G753" s="39"/>
      <c r="H753" s="35"/>
      <c r="I753" s="40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7"/>
      <c r="F754" s="38"/>
      <c r="G754" s="39"/>
      <c r="H754" s="35"/>
      <c r="I754" s="40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7"/>
      <c r="F755" s="38"/>
      <c r="G755" s="39"/>
      <c r="H755" s="35"/>
      <c r="I755" s="40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7"/>
      <c r="F756" s="38"/>
      <c r="G756" s="39"/>
      <c r="H756" s="35"/>
      <c r="I756" s="40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7"/>
      <c r="F757" s="38"/>
      <c r="G757" s="39"/>
      <c r="H757" s="35"/>
      <c r="I757" s="40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7"/>
      <c r="F758" s="38"/>
      <c r="G758" s="39"/>
      <c r="H758" s="35"/>
      <c r="I758" s="40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7"/>
      <c r="F759" s="38"/>
      <c r="G759" s="39"/>
      <c r="H759" s="35"/>
      <c r="I759" s="40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7"/>
      <c r="F760" s="38"/>
      <c r="G760" s="39"/>
      <c r="H760" s="35"/>
      <c r="I760" s="40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7"/>
      <c r="F761" s="38"/>
      <c r="G761" s="39"/>
      <c r="H761" s="35"/>
      <c r="I761" s="40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7"/>
      <c r="F762" s="38"/>
      <c r="G762" s="39"/>
      <c r="H762" s="35"/>
      <c r="I762" s="40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7"/>
      <c r="F763" s="38"/>
      <c r="G763" s="39"/>
      <c r="H763" s="35"/>
      <c r="I763" s="40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7"/>
      <c r="F764" s="38"/>
      <c r="G764" s="39"/>
      <c r="H764" s="35"/>
      <c r="I764" s="40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7"/>
      <c r="F765" s="38"/>
      <c r="G765" s="39"/>
      <c r="H765" s="35"/>
      <c r="I765" s="40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7"/>
      <c r="F766" s="38"/>
      <c r="G766" s="39"/>
      <c r="H766" s="35"/>
      <c r="I766" s="40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7"/>
      <c r="F767" s="38"/>
      <c r="G767" s="39"/>
      <c r="H767" s="35"/>
      <c r="I767" s="40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7"/>
      <c r="F768" s="38"/>
      <c r="G768" s="39"/>
      <c r="H768" s="35"/>
      <c r="I768" s="40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7"/>
      <c r="F769" s="38"/>
      <c r="G769" s="39"/>
      <c r="H769" s="35"/>
      <c r="I769" s="40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7"/>
      <c r="F770" s="38"/>
      <c r="G770" s="39"/>
      <c r="H770" s="35"/>
      <c r="I770" s="40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7"/>
      <c r="F771" s="38"/>
      <c r="G771" s="39"/>
      <c r="H771" s="35"/>
      <c r="I771" s="40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7"/>
      <c r="F772" s="38"/>
      <c r="G772" s="39"/>
      <c r="H772" s="35"/>
      <c r="I772" s="40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7"/>
      <c r="F773" s="38"/>
      <c r="G773" s="39"/>
      <c r="H773" s="35"/>
      <c r="I773" s="40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7"/>
      <c r="F774" s="38"/>
      <c r="G774" s="39"/>
      <c r="H774" s="35"/>
      <c r="I774" s="40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7"/>
      <c r="F775" s="38"/>
      <c r="G775" s="39"/>
      <c r="H775" s="35"/>
      <c r="I775" s="40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7"/>
      <c r="F776" s="38"/>
      <c r="G776" s="39"/>
      <c r="H776" s="35"/>
      <c r="I776" s="40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7"/>
      <c r="F777" s="38"/>
      <c r="G777" s="39"/>
      <c r="H777" s="35"/>
      <c r="I777" s="40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7"/>
      <c r="F778" s="38"/>
      <c r="G778" s="39"/>
      <c r="H778" s="35"/>
      <c r="I778" s="40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7"/>
      <c r="F779" s="38"/>
      <c r="G779" s="39"/>
      <c r="H779" s="35"/>
      <c r="I779" s="40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7"/>
      <c r="F780" s="38"/>
      <c r="G780" s="39"/>
      <c r="H780" s="35"/>
      <c r="I780" s="40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7"/>
      <c r="F781" s="38"/>
      <c r="G781" s="39"/>
      <c r="H781" s="35"/>
      <c r="I781" s="40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7"/>
      <c r="F782" s="38"/>
      <c r="G782" s="39"/>
      <c r="H782" s="35"/>
      <c r="I782" s="40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7"/>
      <c r="F783" s="38"/>
      <c r="G783" s="39"/>
      <c r="H783" s="35"/>
      <c r="I783" s="40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7"/>
      <c r="F784" s="38"/>
      <c r="G784" s="39"/>
      <c r="H784" s="35"/>
      <c r="I784" s="40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7"/>
      <c r="F785" s="38"/>
      <c r="G785" s="39"/>
      <c r="H785" s="35"/>
      <c r="I785" s="40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7"/>
      <c r="F786" s="38"/>
      <c r="G786" s="39"/>
      <c r="H786" s="35"/>
      <c r="I786" s="40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7"/>
      <c r="F787" s="38"/>
      <c r="G787" s="39"/>
      <c r="H787" s="35"/>
      <c r="I787" s="40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7"/>
      <c r="F788" s="38"/>
      <c r="G788" s="39"/>
      <c r="H788" s="35"/>
      <c r="I788" s="40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7"/>
      <c r="F789" s="38"/>
      <c r="G789" s="39"/>
      <c r="H789" s="35"/>
      <c r="I789" s="40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7"/>
      <c r="F790" s="38"/>
      <c r="G790" s="39"/>
      <c r="H790" s="35"/>
      <c r="I790" s="40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7"/>
      <c r="F791" s="38"/>
      <c r="G791" s="39"/>
      <c r="H791" s="35"/>
      <c r="I791" s="40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7"/>
      <c r="F792" s="38"/>
      <c r="G792" s="39"/>
      <c r="H792" s="35"/>
      <c r="I792" s="40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7"/>
      <c r="F793" s="38"/>
      <c r="G793" s="39"/>
      <c r="H793" s="35"/>
      <c r="I793" s="40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7"/>
      <c r="F794" s="38"/>
      <c r="G794" s="39"/>
      <c r="H794" s="35"/>
      <c r="I794" s="40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7"/>
      <c r="F795" s="38"/>
      <c r="G795" s="39"/>
      <c r="H795" s="35"/>
      <c r="I795" s="40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7"/>
      <c r="F796" s="38"/>
      <c r="G796" s="39"/>
      <c r="H796" s="35"/>
      <c r="I796" s="40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7"/>
      <c r="F797" s="38"/>
      <c r="G797" s="39"/>
      <c r="H797" s="35"/>
      <c r="I797" s="40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7"/>
      <c r="F798" s="38"/>
      <c r="G798" s="39"/>
      <c r="H798" s="35"/>
      <c r="I798" s="40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7"/>
      <c r="F799" s="38"/>
      <c r="G799" s="39"/>
      <c r="H799" s="35"/>
      <c r="I799" s="40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7"/>
      <c r="F800" s="38"/>
      <c r="G800" s="39"/>
      <c r="H800" s="35"/>
      <c r="I800" s="40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7"/>
      <c r="F801" s="38"/>
      <c r="G801" s="39"/>
      <c r="H801" s="35"/>
      <c r="I801" s="40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7"/>
      <c r="F802" s="38"/>
      <c r="G802" s="39"/>
      <c r="H802" s="35"/>
      <c r="I802" s="40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7"/>
      <c r="F803" s="38"/>
      <c r="G803" s="39"/>
      <c r="H803" s="35"/>
      <c r="I803" s="40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7"/>
      <c r="F804" s="38"/>
      <c r="G804" s="39"/>
      <c r="H804" s="35"/>
      <c r="I804" s="40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7"/>
      <c r="F805" s="38"/>
      <c r="G805" s="39"/>
      <c r="H805" s="35"/>
      <c r="I805" s="40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7"/>
      <c r="F806" s="38"/>
      <c r="G806" s="39"/>
      <c r="H806" s="35"/>
      <c r="I806" s="40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7"/>
      <c r="F807" s="38"/>
      <c r="G807" s="39"/>
      <c r="H807" s="35"/>
      <c r="I807" s="40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7"/>
      <c r="F808" s="38"/>
      <c r="G808" s="39"/>
      <c r="H808" s="35"/>
      <c r="I808" s="40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7"/>
      <c r="F809" s="38"/>
      <c r="G809" s="39"/>
      <c r="H809" s="35"/>
      <c r="I809" s="40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7"/>
      <c r="F810" s="38"/>
      <c r="G810" s="39"/>
      <c r="H810" s="35"/>
      <c r="I810" s="40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7"/>
      <c r="F811" s="38"/>
      <c r="G811" s="39"/>
      <c r="H811" s="35"/>
      <c r="I811" s="40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7"/>
      <c r="F812" s="38"/>
      <c r="G812" s="39"/>
      <c r="H812" s="35"/>
      <c r="I812" s="40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7"/>
      <c r="F813" s="38"/>
      <c r="G813" s="39"/>
      <c r="H813" s="35"/>
      <c r="I813" s="40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7"/>
      <c r="F814" s="38"/>
      <c r="G814" s="39"/>
      <c r="H814" s="35"/>
      <c r="I814" s="40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7"/>
      <c r="F815" s="38"/>
      <c r="G815" s="39"/>
      <c r="H815" s="35"/>
      <c r="I815" s="40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7"/>
      <c r="F816" s="38"/>
      <c r="G816" s="39"/>
      <c r="H816" s="35"/>
      <c r="I816" s="40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7"/>
      <c r="F817" s="38"/>
      <c r="G817" s="39"/>
      <c r="H817" s="35"/>
      <c r="I817" s="40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7"/>
      <c r="F818" s="38"/>
      <c r="G818" s="39"/>
      <c r="H818" s="35"/>
      <c r="I818" s="40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7"/>
      <c r="F819" s="38"/>
      <c r="G819" s="39"/>
      <c r="H819" s="35"/>
      <c r="I819" s="40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7"/>
      <c r="F820" s="38"/>
      <c r="G820" s="39"/>
      <c r="H820" s="35"/>
      <c r="I820" s="40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7"/>
      <c r="F821" s="38"/>
      <c r="G821" s="39"/>
      <c r="H821" s="35"/>
      <c r="I821" s="40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7"/>
      <c r="F822" s="38"/>
      <c r="G822" s="39"/>
      <c r="H822" s="35"/>
      <c r="I822" s="40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7"/>
      <c r="F823" s="38"/>
      <c r="G823" s="39"/>
      <c r="H823" s="35"/>
      <c r="I823" s="40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7"/>
      <c r="F824" s="38"/>
      <c r="G824" s="39"/>
      <c r="H824" s="35"/>
      <c r="I824" s="40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7"/>
      <c r="F825" s="38"/>
      <c r="G825" s="39"/>
      <c r="H825" s="35"/>
      <c r="I825" s="40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7"/>
      <c r="F826" s="38"/>
      <c r="G826" s="39"/>
      <c r="H826" s="35"/>
      <c r="I826" s="40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7"/>
      <c r="F827" s="38"/>
      <c r="G827" s="39"/>
      <c r="H827" s="35"/>
      <c r="I827" s="40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7"/>
      <c r="F828" s="38"/>
      <c r="G828" s="39"/>
      <c r="H828" s="35"/>
      <c r="I828" s="40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7"/>
      <c r="F829" s="38"/>
      <c r="G829" s="39"/>
      <c r="H829" s="35"/>
      <c r="I829" s="40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7"/>
      <c r="F830" s="38"/>
      <c r="G830" s="39"/>
      <c r="H830" s="35"/>
      <c r="I830" s="40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7"/>
      <c r="F831" s="38"/>
      <c r="G831" s="39"/>
      <c r="H831" s="35"/>
      <c r="I831" s="40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7"/>
      <c r="F832" s="38"/>
      <c r="G832" s="39"/>
      <c r="H832" s="35"/>
      <c r="I832" s="40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7"/>
      <c r="F833" s="38"/>
      <c r="G833" s="39"/>
      <c r="H833" s="35"/>
      <c r="I833" s="40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7"/>
      <c r="F834" s="38"/>
      <c r="G834" s="39"/>
      <c r="H834" s="35"/>
      <c r="I834" s="40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7"/>
      <c r="F835" s="38"/>
      <c r="G835" s="39"/>
      <c r="H835" s="35"/>
      <c r="I835" s="40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7"/>
      <c r="F836" s="38"/>
      <c r="G836" s="39"/>
      <c r="H836" s="35"/>
      <c r="I836" s="40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7"/>
      <c r="F837" s="38"/>
      <c r="G837" s="39"/>
      <c r="H837" s="35"/>
      <c r="I837" s="40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7"/>
      <c r="F838" s="38"/>
      <c r="G838" s="39"/>
      <c r="H838" s="35"/>
      <c r="I838" s="40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7"/>
      <c r="F839" s="38"/>
      <c r="G839" s="39"/>
      <c r="H839" s="35"/>
      <c r="I839" s="40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7"/>
      <c r="F840" s="38"/>
      <c r="G840" s="39"/>
      <c r="H840" s="35"/>
      <c r="I840" s="40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7"/>
      <c r="F841" s="38"/>
      <c r="G841" s="39"/>
      <c r="H841" s="35"/>
      <c r="I841" s="40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7"/>
      <c r="F842" s="38"/>
      <c r="G842" s="39"/>
      <c r="H842" s="35"/>
      <c r="I842" s="40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7"/>
      <c r="F843" s="38"/>
      <c r="G843" s="39"/>
      <c r="H843" s="35"/>
      <c r="I843" s="40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7"/>
      <c r="F844" s="38"/>
      <c r="G844" s="39"/>
      <c r="H844" s="35"/>
      <c r="I844" s="40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7"/>
      <c r="F845" s="38"/>
      <c r="G845" s="39"/>
      <c r="H845" s="35"/>
      <c r="I845" s="40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7"/>
      <c r="F846" s="38"/>
      <c r="G846" s="39"/>
      <c r="H846" s="35"/>
      <c r="I846" s="40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7"/>
      <c r="F847" s="38"/>
      <c r="G847" s="39"/>
      <c r="H847" s="35"/>
      <c r="I847" s="40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7"/>
      <c r="F848" s="38"/>
      <c r="G848" s="39"/>
      <c r="H848" s="35"/>
      <c r="I848" s="40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7"/>
      <c r="F849" s="38"/>
      <c r="G849" s="39"/>
      <c r="H849" s="35"/>
      <c r="I849" s="40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7"/>
      <c r="F850" s="38"/>
      <c r="G850" s="39"/>
      <c r="H850" s="35"/>
      <c r="I850" s="40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7"/>
      <c r="F851" s="38"/>
      <c r="G851" s="39"/>
      <c r="H851" s="35"/>
      <c r="I851" s="40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7"/>
      <c r="F852" s="38"/>
      <c r="G852" s="39"/>
      <c r="H852" s="35"/>
      <c r="I852" s="40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7"/>
      <c r="F853" s="38"/>
      <c r="G853" s="39"/>
      <c r="H853" s="35"/>
      <c r="I853" s="40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7"/>
      <c r="F854" s="38"/>
      <c r="G854" s="39"/>
      <c r="H854" s="35"/>
      <c r="I854" s="40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7"/>
      <c r="F855" s="38"/>
      <c r="G855" s="39"/>
      <c r="H855" s="35"/>
      <c r="I855" s="40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7"/>
      <c r="F856" s="38"/>
      <c r="G856" s="39"/>
      <c r="H856" s="35"/>
      <c r="I856" s="40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7"/>
      <c r="F857" s="38"/>
      <c r="G857" s="39"/>
      <c r="H857" s="35"/>
      <c r="I857" s="40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7"/>
      <c r="F858" s="38"/>
      <c r="G858" s="39"/>
      <c r="H858" s="35"/>
      <c r="I858" s="40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7"/>
      <c r="F859" s="38"/>
      <c r="G859" s="39"/>
      <c r="H859" s="35"/>
      <c r="I859" s="40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7"/>
      <c r="F860" s="38"/>
      <c r="G860" s="39"/>
      <c r="H860" s="35"/>
      <c r="I860" s="40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7"/>
      <c r="F861" s="38"/>
      <c r="G861" s="39"/>
      <c r="H861" s="35"/>
      <c r="I861" s="40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7"/>
      <c r="F862" s="38"/>
      <c r="G862" s="39"/>
      <c r="H862" s="35"/>
      <c r="I862" s="40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7"/>
      <c r="F863" s="38"/>
      <c r="G863" s="39"/>
      <c r="H863" s="35"/>
      <c r="I863" s="40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7"/>
      <c r="F864" s="38"/>
      <c r="G864" s="39"/>
      <c r="H864" s="35"/>
      <c r="I864" s="40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7"/>
      <c r="F865" s="38"/>
      <c r="G865" s="39"/>
      <c r="H865" s="35"/>
      <c r="I865" s="40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7"/>
      <c r="F866" s="38"/>
      <c r="G866" s="39"/>
      <c r="H866" s="35"/>
      <c r="I866" s="40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7"/>
      <c r="F867" s="38"/>
      <c r="G867" s="39"/>
      <c r="H867" s="35"/>
      <c r="I867" s="40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7"/>
      <c r="F868" s="38"/>
      <c r="G868" s="39"/>
      <c r="H868" s="35"/>
      <c r="I868" s="40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7"/>
      <c r="F869" s="38"/>
      <c r="G869" s="39"/>
      <c r="H869" s="35"/>
      <c r="I869" s="40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7"/>
      <c r="F870" s="38"/>
      <c r="G870" s="39"/>
      <c r="H870" s="35"/>
      <c r="I870" s="40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7"/>
      <c r="F871" s="38"/>
      <c r="G871" s="39"/>
      <c r="H871" s="35"/>
      <c r="I871" s="40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7"/>
      <c r="F872" s="38"/>
      <c r="G872" s="39"/>
      <c r="H872" s="35"/>
      <c r="I872" s="40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7"/>
      <c r="F873" s="38"/>
      <c r="G873" s="39"/>
      <c r="H873" s="35"/>
      <c r="I873" s="40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7"/>
      <c r="F874" s="38"/>
      <c r="G874" s="39"/>
      <c r="H874" s="35"/>
      <c r="I874" s="40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7"/>
      <c r="F875" s="38"/>
      <c r="G875" s="39"/>
      <c r="H875" s="35"/>
      <c r="I875" s="40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7"/>
      <c r="F876" s="38"/>
      <c r="G876" s="39"/>
      <c r="H876" s="35"/>
      <c r="I876" s="40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7"/>
      <c r="F877" s="38"/>
      <c r="G877" s="39"/>
      <c r="H877" s="35"/>
      <c r="I877" s="40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7"/>
      <c r="F878" s="38"/>
      <c r="G878" s="39"/>
      <c r="H878" s="35"/>
      <c r="I878" s="40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7"/>
      <c r="F879" s="38"/>
      <c r="G879" s="39"/>
      <c r="H879" s="35"/>
      <c r="I879" s="40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7"/>
      <c r="F880" s="38"/>
      <c r="G880" s="39"/>
      <c r="H880" s="35"/>
      <c r="I880" s="40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7"/>
      <c r="F881" s="38"/>
      <c r="G881" s="39"/>
      <c r="H881" s="35"/>
      <c r="I881" s="40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7"/>
      <c r="F882" s="38"/>
      <c r="G882" s="39"/>
      <c r="H882" s="35"/>
      <c r="I882" s="40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7"/>
      <c r="F883" s="38"/>
      <c r="G883" s="39"/>
      <c r="H883" s="35"/>
      <c r="I883" s="40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7"/>
      <c r="F884" s="38"/>
      <c r="G884" s="39"/>
      <c r="H884" s="35"/>
      <c r="I884" s="40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7"/>
      <c r="F885" s="38"/>
      <c r="G885" s="39"/>
      <c r="H885" s="35"/>
      <c r="I885" s="40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7"/>
      <c r="F886" s="38"/>
      <c r="G886" s="39"/>
      <c r="H886" s="35"/>
      <c r="I886" s="40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7"/>
      <c r="F887" s="38"/>
      <c r="G887" s="39"/>
      <c r="H887" s="35"/>
      <c r="I887" s="40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7"/>
      <c r="F888" s="38"/>
      <c r="G888" s="39"/>
      <c r="H888" s="35"/>
      <c r="I888" s="40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7"/>
      <c r="F889" s="38"/>
      <c r="G889" s="39"/>
      <c r="H889" s="35"/>
      <c r="I889" s="40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7"/>
      <c r="F890" s="38"/>
      <c r="G890" s="39"/>
      <c r="H890" s="35"/>
      <c r="I890" s="40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7"/>
      <c r="F891" s="38"/>
      <c r="G891" s="39"/>
      <c r="H891" s="35"/>
      <c r="I891" s="40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7"/>
      <c r="F892" s="38"/>
      <c r="G892" s="39"/>
      <c r="H892" s="35"/>
      <c r="I892" s="40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7"/>
      <c r="F893" s="38"/>
      <c r="G893" s="39"/>
      <c r="H893" s="35"/>
      <c r="I893" s="40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7"/>
      <c r="F894" s="38"/>
      <c r="G894" s="39"/>
      <c r="H894" s="35"/>
      <c r="I894" s="40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7"/>
      <c r="F895" s="38"/>
      <c r="G895" s="39"/>
      <c r="H895" s="35"/>
      <c r="I895" s="40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7"/>
      <c r="F896" s="38"/>
      <c r="G896" s="39"/>
      <c r="H896" s="35"/>
      <c r="I896" s="40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7"/>
      <c r="F897" s="38"/>
      <c r="G897" s="39"/>
      <c r="H897" s="35"/>
      <c r="I897" s="40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7"/>
      <c r="F898" s="38"/>
      <c r="G898" s="39"/>
      <c r="H898" s="35"/>
      <c r="I898" s="40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7"/>
      <c r="F899" s="38"/>
      <c r="G899" s="39"/>
      <c r="H899" s="35"/>
      <c r="I899" s="40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7"/>
      <c r="F900" s="38"/>
      <c r="G900" s="39"/>
      <c r="H900" s="35"/>
      <c r="I900" s="40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7"/>
      <c r="F901" s="38"/>
      <c r="G901" s="39"/>
      <c r="H901" s="35"/>
      <c r="I901" s="40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7"/>
      <c r="F902" s="38"/>
      <c r="G902" s="39"/>
      <c r="H902" s="35"/>
      <c r="I902" s="40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7"/>
      <c r="F903" s="38"/>
      <c r="G903" s="39"/>
      <c r="H903" s="35"/>
      <c r="I903" s="40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7"/>
      <c r="F904" s="38"/>
      <c r="G904" s="39"/>
      <c r="H904" s="35"/>
      <c r="I904" s="40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7"/>
      <c r="F905" s="38"/>
      <c r="G905" s="39"/>
      <c r="H905" s="35"/>
      <c r="I905" s="40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7"/>
      <c r="F906" s="38"/>
      <c r="G906" s="39"/>
      <c r="H906" s="35"/>
      <c r="I906" s="40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7"/>
      <c r="F907" s="38"/>
      <c r="G907" s="39"/>
      <c r="H907" s="35"/>
      <c r="I907" s="40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7"/>
      <c r="F908" s="38"/>
      <c r="G908" s="39"/>
      <c r="H908" s="35"/>
      <c r="I908" s="40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7"/>
      <c r="F909" s="38"/>
      <c r="G909" s="39"/>
      <c r="H909" s="35"/>
      <c r="I909" s="40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7"/>
      <c r="F910" s="38"/>
      <c r="G910" s="39"/>
      <c r="H910" s="35"/>
      <c r="I910" s="40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7"/>
      <c r="F911" s="38"/>
      <c r="G911" s="39"/>
      <c r="H911" s="35"/>
      <c r="I911" s="40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7"/>
      <c r="F912" s="38"/>
      <c r="G912" s="39"/>
      <c r="H912" s="35"/>
      <c r="I912" s="40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7"/>
      <c r="F913" s="38"/>
      <c r="G913" s="39"/>
      <c r="H913" s="35"/>
      <c r="I913" s="40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7"/>
      <c r="F914" s="38"/>
      <c r="G914" s="39"/>
      <c r="H914" s="35"/>
      <c r="I914" s="40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7"/>
      <c r="F915" s="38"/>
      <c r="G915" s="39"/>
      <c r="H915" s="35"/>
      <c r="I915" s="40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7"/>
      <c r="F916" s="38"/>
      <c r="G916" s="39"/>
      <c r="H916" s="35"/>
      <c r="I916" s="40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7"/>
      <c r="F917" s="38"/>
      <c r="G917" s="39"/>
      <c r="H917" s="35"/>
      <c r="I917" s="40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7"/>
      <c r="F918" s="38"/>
      <c r="G918" s="39"/>
      <c r="H918" s="35"/>
      <c r="I918" s="40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7"/>
      <c r="F919" s="38"/>
      <c r="G919" s="39"/>
      <c r="H919" s="35"/>
      <c r="I919" s="40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7"/>
      <c r="F920" s="38"/>
      <c r="G920" s="39"/>
      <c r="H920" s="35"/>
      <c r="I920" s="40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7"/>
      <c r="F921" s="38"/>
      <c r="G921" s="39"/>
      <c r="H921" s="35"/>
      <c r="I921" s="40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7"/>
      <c r="F922" s="38"/>
      <c r="G922" s="39"/>
      <c r="H922" s="35"/>
      <c r="I922" s="40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7"/>
      <c r="F923" s="38"/>
      <c r="G923" s="39"/>
      <c r="H923" s="35"/>
      <c r="I923" s="40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7"/>
      <c r="F924" s="38"/>
      <c r="G924" s="39"/>
      <c r="H924" s="35"/>
      <c r="I924" s="40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7"/>
      <c r="F925" s="38"/>
      <c r="G925" s="39"/>
      <c r="H925" s="35"/>
      <c r="I925" s="40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7"/>
      <c r="F926" s="38"/>
      <c r="G926" s="39"/>
      <c r="H926" s="35"/>
      <c r="I926" s="40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7"/>
      <c r="F927" s="38"/>
      <c r="G927" s="39"/>
      <c r="H927" s="35"/>
      <c r="I927" s="40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7"/>
      <c r="F928" s="38"/>
      <c r="G928" s="39"/>
      <c r="H928" s="35"/>
      <c r="I928" s="40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7"/>
      <c r="F929" s="38"/>
      <c r="G929" s="39"/>
      <c r="H929" s="35"/>
      <c r="I929" s="40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7"/>
      <c r="F930" s="38"/>
      <c r="G930" s="39"/>
      <c r="H930" s="35"/>
      <c r="I930" s="40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7"/>
      <c r="F931" s="38"/>
      <c r="G931" s="39"/>
      <c r="H931" s="35"/>
      <c r="I931" s="40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7"/>
      <c r="F932" s="38"/>
      <c r="G932" s="39"/>
      <c r="H932" s="35"/>
      <c r="I932" s="40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7"/>
      <c r="F933" s="38"/>
      <c r="G933" s="39"/>
      <c r="H933" s="35"/>
      <c r="I933" s="40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7"/>
      <c r="F934" s="38"/>
      <c r="G934" s="39"/>
      <c r="H934" s="35"/>
      <c r="I934" s="40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7"/>
      <c r="F935" s="38"/>
      <c r="G935" s="39"/>
      <c r="H935" s="35"/>
      <c r="I935" s="40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7"/>
      <c r="F936" s="38"/>
      <c r="G936" s="39"/>
      <c r="H936" s="35"/>
      <c r="I936" s="40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7"/>
      <c r="F937" s="38"/>
      <c r="G937" s="39"/>
      <c r="H937" s="35"/>
      <c r="I937" s="40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7"/>
      <c r="F938" s="38"/>
      <c r="G938" s="39"/>
      <c r="H938" s="35"/>
      <c r="I938" s="40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7"/>
      <c r="F939" s="38"/>
      <c r="G939" s="39"/>
      <c r="H939" s="35"/>
      <c r="I939" s="40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7"/>
      <c r="F940" s="38"/>
      <c r="G940" s="39"/>
      <c r="H940" s="35"/>
      <c r="I940" s="40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7"/>
      <c r="F941" s="38"/>
      <c r="G941" s="39"/>
      <c r="H941" s="35"/>
      <c r="I941" s="40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7"/>
      <c r="F942" s="38"/>
      <c r="G942" s="39"/>
      <c r="H942" s="35"/>
      <c r="I942" s="40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7"/>
      <c r="F943" s="38"/>
      <c r="G943" s="39"/>
      <c r="H943" s="35"/>
      <c r="I943" s="40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7"/>
      <c r="F944" s="38"/>
      <c r="G944" s="39"/>
      <c r="H944" s="35"/>
      <c r="I944" s="40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7"/>
      <c r="F945" s="38"/>
      <c r="G945" s="39"/>
      <c r="H945" s="35"/>
      <c r="I945" s="40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7"/>
      <c r="F946" s="38"/>
      <c r="G946" s="39"/>
      <c r="H946" s="35"/>
      <c r="I946" s="40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7"/>
      <c r="F947" s="38"/>
      <c r="G947" s="39"/>
      <c r="H947" s="35"/>
      <c r="I947" s="40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7"/>
      <c r="F948" s="38"/>
      <c r="G948" s="39"/>
      <c r="H948" s="35"/>
      <c r="I948" s="40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7"/>
      <c r="F949" s="38"/>
      <c r="G949" s="39"/>
      <c r="H949" s="35"/>
      <c r="I949" s="40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7"/>
      <c r="F950" s="38"/>
      <c r="G950" s="39"/>
      <c r="H950" s="35"/>
      <c r="I950" s="40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7"/>
      <c r="F951" s="38"/>
      <c r="G951" s="39"/>
      <c r="H951" s="35"/>
      <c r="I951" s="40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7"/>
      <c r="F952" s="38"/>
      <c r="G952" s="39"/>
      <c r="H952" s="35"/>
      <c r="I952" s="40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7"/>
      <c r="F953" s="38"/>
      <c r="G953" s="39"/>
      <c r="H953" s="35"/>
      <c r="I953" s="40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7"/>
      <c r="F954" s="38"/>
      <c r="G954" s="39"/>
      <c r="H954" s="35"/>
      <c r="I954" s="40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7"/>
      <c r="F955" s="38"/>
      <c r="G955" s="39"/>
      <c r="H955" s="35"/>
      <c r="I955" s="40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7"/>
      <c r="F956" s="38"/>
      <c r="G956" s="39"/>
      <c r="H956" s="35"/>
      <c r="I956" s="40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7"/>
      <c r="F957" s="38"/>
      <c r="G957" s="39"/>
      <c r="H957" s="35"/>
      <c r="I957" s="40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7"/>
      <c r="F958" s="38"/>
      <c r="G958" s="39"/>
      <c r="H958" s="35"/>
      <c r="I958" s="40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7"/>
      <c r="F959" s="38"/>
      <c r="G959" s="39"/>
      <c r="H959" s="35"/>
      <c r="I959" s="40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7"/>
      <c r="F960" s="38"/>
      <c r="G960" s="39"/>
      <c r="H960" s="35"/>
      <c r="I960" s="40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7"/>
      <c r="F961" s="38"/>
      <c r="G961" s="39"/>
      <c r="H961" s="35"/>
      <c r="I961" s="40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7"/>
      <c r="F962" s="38"/>
      <c r="G962" s="39"/>
      <c r="H962" s="35"/>
      <c r="I962" s="40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7"/>
      <c r="F963" s="38"/>
      <c r="G963" s="39"/>
      <c r="H963" s="35"/>
      <c r="I963" s="40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7"/>
      <c r="F964" s="38"/>
      <c r="G964" s="39"/>
      <c r="H964" s="35"/>
      <c r="I964" s="40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7"/>
      <c r="F965" s="38"/>
      <c r="G965" s="39"/>
      <c r="H965" s="35"/>
      <c r="I965" s="40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7"/>
      <c r="F966" s="38"/>
      <c r="G966" s="39"/>
      <c r="H966" s="35"/>
      <c r="I966" s="40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7"/>
      <c r="F967" s="38"/>
      <c r="G967" s="39"/>
      <c r="H967" s="35"/>
      <c r="I967" s="40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7"/>
      <c r="F968" s="38"/>
      <c r="G968" s="39"/>
      <c r="H968" s="35"/>
      <c r="I968" s="40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7"/>
      <c r="F969" s="38"/>
      <c r="G969" s="39"/>
      <c r="H969" s="35"/>
      <c r="I969" s="40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7"/>
      <c r="F970" s="38"/>
      <c r="G970" s="39"/>
      <c r="H970" s="35"/>
      <c r="I970" s="40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7"/>
      <c r="F971" s="38"/>
      <c r="G971" s="39"/>
      <c r="H971" s="35"/>
      <c r="I971" s="40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7"/>
      <c r="F972" s="38"/>
      <c r="G972" s="39"/>
      <c r="H972" s="35"/>
      <c r="I972" s="40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7"/>
      <c r="F973" s="38"/>
      <c r="G973" s="39"/>
      <c r="H973" s="35"/>
      <c r="I973" s="40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7"/>
      <c r="F974" s="38"/>
      <c r="G974" s="39"/>
      <c r="H974" s="35"/>
      <c r="I974" s="40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7"/>
      <c r="F975" s="38"/>
      <c r="G975" s="39"/>
      <c r="H975" s="35"/>
      <c r="I975" s="40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7"/>
      <c r="F976" s="38"/>
      <c r="G976" s="39"/>
      <c r="H976" s="35"/>
      <c r="I976" s="40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7"/>
      <c r="F977" s="38"/>
      <c r="G977" s="39"/>
      <c r="H977" s="35"/>
      <c r="I977" s="40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7"/>
      <c r="F978" s="38"/>
      <c r="G978" s="39"/>
      <c r="H978" s="35"/>
      <c r="I978" s="40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7"/>
      <c r="F979" s="38"/>
      <c r="G979" s="39"/>
      <c r="H979" s="35"/>
      <c r="I979" s="40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7"/>
      <c r="F980" s="38"/>
      <c r="G980" s="39"/>
      <c r="H980" s="35"/>
      <c r="I980" s="40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7"/>
      <c r="F981" s="38"/>
      <c r="G981" s="39"/>
      <c r="H981" s="35"/>
      <c r="I981" s="40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7"/>
      <c r="F982" s="38"/>
      <c r="G982" s="39"/>
      <c r="H982" s="35"/>
      <c r="I982" s="40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7"/>
      <c r="F983" s="38"/>
      <c r="G983" s="39"/>
      <c r="H983" s="35"/>
      <c r="I983" s="40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7"/>
      <c r="F984" s="38"/>
      <c r="G984" s="39"/>
      <c r="H984" s="35"/>
      <c r="I984" s="40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7"/>
      <c r="F985" s="38"/>
      <c r="G985" s="39"/>
      <c r="H985" s="35"/>
      <c r="I985" s="40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7"/>
      <c r="F986" s="38"/>
      <c r="G986" s="39"/>
      <c r="H986" s="35"/>
      <c r="I986" s="40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7"/>
      <c r="F987" s="38"/>
      <c r="G987" s="39"/>
      <c r="H987" s="35"/>
      <c r="I987" s="40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7"/>
      <c r="F988" s="38"/>
      <c r="G988" s="39"/>
      <c r="H988" s="35"/>
      <c r="I988" s="40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7"/>
      <c r="F989" s="38"/>
      <c r="G989" s="39"/>
      <c r="H989" s="35"/>
      <c r="I989" s="40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7"/>
      <c r="F990" s="38"/>
      <c r="G990" s="39"/>
      <c r="H990" s="35"/>
      <c r="I990" s="40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7"/>
      <c r="F991" s="38"/>
      <c r="G991" s="39"/>
      <c r="H991" s="35"/>
      <c r="I991" s="40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7"/>
      <c r="F992" s="38"/>
      <c r="G992" s="39"/>
      <c r="H992" s="35"/>
      <c r="I992" s="40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7"/>
      <c r="F993" s="38"/>
      <c r="G993" s="39"/>
      <c r="H993" s="35"/>
      <c r="I993" s="40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7"/>
      <c r="F994" s="38"/>
      <c r="G994" s="39"/>
      <c r="H994" s="35"/>
      <c r="I994" s="40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7"/>
      <c r="F995" s="38"/>
      <c r="G995" s="39"/>
      <c r="H995" s="35"/>
      <c r="I995" s="40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7"/>
      <c r="F996" s="38"/>
      <c r="G996" s="39"/>
      <c r="H996" s="35"/>
      <c r="I996" s="40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7"/>
      <c r="F997" s="38"/>
      <c r="G997" s="39"/>
      <c r="H997" s="35"/>
      <c r="I997" s="40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7"/>
      <c r="F998" s="38"/>
      <c r="G998" s="39"/>
      <c r="H998" s="35"/>
      <c r="I998" s="40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7"/>
      <c r="F999" s="38"/>
      <c r="G999" s="39"/>
      <c r="H999" s="35"/>
      <c r="I999" s="40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7"/>
      <c r="F1000" s="38"/>
      <c r="G1000" s="39"/>
      <c r="H1000" s="35"/>
      <c r="I1000" s="40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8">
    <mergeCell ref="B1:J3"/>
    <mergeCell ref="B5:C5"/>
    <mergeCell ref="E5:G5"/>
    <mergeCell ref="E13:G13"/>
    <mergeCell ref="E16:G16"/>
    <mergeCell ref="E22:H22"/>
    <mergeCell ref="E32:H32"/>
    <mergeCell ref="E34:G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2023-03-01T07:15:02Z</dcterms:created>
  <dc:creator>Richard Gonzaga</dc:creator>
</cp:coreProperties>
</file>