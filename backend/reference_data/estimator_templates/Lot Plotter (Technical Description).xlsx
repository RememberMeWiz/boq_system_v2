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richa\Desktop\Useful Engineering Tools\"/>
    </mc:Choice>
  </mc:AlternateContent>
  <xr:revisionPtr revIDLastSave="0" documentId="13_ncr:1_{146C3D6C-2091-467F-9A84-E194A04B0C0E}" xr6:coauthVersionLast="47" xr6:coauthVersionMax="47" xr10:uidLastSave="{00000000-0000-0000-0000-000000000000}"/>
  <workbookProtection workbookAlgorithmName="SHA-512" workbookHashValue="y/jnpcQ0w1n+a+fnGV4V9KR0A5ZR59PDpKRxMsobvUYNPtF/P7o9r75Gfk9N6EZRouZ6z7tY6OlnoIEmT3Ns0Q==" workbookSaltValue="abX69+d69DSeDLPTchbSfw==" workbookSpinCount="100000" lockStructure="1"/>
  <bookViews>
    <workbookView xWindow="-120" yWindow="-120" windowWidth="20730" windowHeight="11040" xr2:uid="{00000000-000D-0000-FFFF-FFFF00000000}"/>
  </bookViews>
  <sheets>
    <sheet name="LOT PLOTTER" sheetId="1" r:id="rId1"/>
  </sheets>
  <calcPr calcId="181029"/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9" i="1"/>
  <c r="K15" i="1"/>
  <c r="K16" i="1"/>
  <c r="J18" i="1"/>
  <c r="K18" i="1"/>
  <c r="J19" i="1"/>
  <c r="K19" i="1"/>
  <c r="J20" i="1"/>
  <c r="K20" i="1"/>
  <c r="N10" i="1"/>
  <c r="M14" i="1"/>
  <c r="M15" i="1"/>
  <c r="N16" i="1"/>
  <c r="M18" i="1"/>
  <c r="N18" i="1"/>
  <c r="M19" i="1"/>
  <c r="N19" i="1"/>
  <c r="N20" i="1"/>
  <c r="H20" i="1"/>
  <c r="L20" i="1" s="1"/>
  <c r="M20" i="1" s="1"/>
  <c r="H19" i="1"/>
  <c r="L19" i="1" s="1"/>
  <c r="H18" i="1"/>
  <c r="L18" i="1" s="1"/>
  <c r="H17" i="1"/>
  <c r="I17" i="1" s="1"/>
  <c r="K17" i="1" s="1"/>
  <c r="H16" i="1"/>
  <c r="I16" i="1" s="1"/>
  <c r="J16" i="1" s="1"/>
  <c r="H15" i="1"/>
  <c r="I15" i="1" s="1"/>
  <c r="J15" i="1" s="1"/>
  <c r="M21" i="1"/>
  <c r="N21" i="1"/>
  <c r="M22" i="1"/>
  <c r="N22" i="1"/>
  <c r="M23" i="1"/>
  <c r="N23" i="1"/>
  <c r="J21" i="1"/>
  <c r="J22" i="1"/>
  <c r="K22" i="1"/>
  <c r="J23" i="1"/>
  <c r="K23" i="1"/>
  <c r="H14" i="1"/>
  <c r="L14" i="1" s="1"/>
  <c r="N14" i="1" s="1"/>
  <c r="H13" i="1"/>
  <c r="L13" i="1" s="1"/>
  <c r="N13" i="1" s="1"/>
  <c r="H10" i="1"/>
  <c r="L10" i="1" s="1"/>
  <c r="M10" i="1" s="1"/>
  <c r="H11" i="1"/>
  <c r="L11" i="1" s="1"/>
  <c r="N11" i="1" s="1"/>
  <c r="H12" i="1"/>
  <c r="L12" i="1" s="1"/>
  <c r="N12" i="1" s="1"/>
  <c r="H9" i="1"/>
  <c r="I9" i="1" s="1"/>
  <c r="J9" i="1" s="1"/>
  <c r="I21" i="1"/>
  <c r="K21" i="1" s="1"/>
  <c r="L21" i="1"/>
  <c r="I22" i="1"/>
  <c r="L22" i="1"/>
  <c r="I23" i="1"/>
  <c r="L23" i="1"/>
  <c r="M13" i="1" l="1"/>
  <c r="K9" i="1"/>
  <c r="J17" i="1"/>
  <c r="M12" i="1"/>
  <c r="I19" i="1"/>
  <c r="I18" i="1"/>
  <c r="M11" i="1"/>
  <c r="I14" i="1"/>
  <c r="L17" i="1"/>
  <c r="I13" i="1"/>
  <c r="L16" i="1"/>
  <c r="M16" i="1" s="1"/>
  <c r="I20" i="1"/>
  <c r="I12" i="1"/>
  <c r="L15" i="1"/>
  <c r="N15" i="1" s="1"/>
  <c r="I11" i="1"/>
  <c r="I10" i="1"/>
  <c r="L9" i="1"/>
  <c r="K13" i="1" l="1"/>
  <c r="J13" i="1"/>
  <c r="K12" i="1"/>
  <c r="J12" i="1"/>
  <c r="M17" i="1"/>
  <c r="N17" i="1"/>
  <c r="J14" i="1"/>
  <c r="K14" i="1"/>
  <c r="J11" i="1"/>
  <c r="K11" i="1"/>
  <c r="J10" i="1"/>
  <c r="K10" i="1"/>
  <c r="N9" i="1"/>
  <c r="M9" i="1"/>
  <c r="M24" i="1" s="1"/>
  <c r="N24" i="1" l="1"/>
  <c r="K24" i="1"/>
  <c r="J24" i="1"/>
  <c r="O9" i="1"/>
  <c r="P9" i="1" s="1"/>
  <c r="O10" i="1" l="1"/>
  <c r="O11" i="1" l="1"/>
  <c r="P11" i="1" s="1"/>
  <c r="P10" i="1"/>
  <c r="O12" i="1" l="1"/>
  <c r="P12" i="1" s="1"/>
  <c r="O13" i="1" l="1"/>
  <c r="P13" i="1" s="1"/>
  <c r="O14" i="1" l="1"/>
  <c r="P14" i="1" s="1"/>
  <c r="O15" i="1" l="1"/>
  <c r="P15" i="1" s="1"/>
  <c r="O16" i="1" l="1"/>
  <c r="P16" i="1" s="1"/>
  <c r="O17" i="1" l="1"/>
  <c r="P17" i="1" s="1"/>
  <c r="O18" i="1" l="1"/>
  <c r="P18" i="1" s="1"/>
  <c r="O19" i="1" l="1"/>
  <c r="P19" i="1" s="1"/>
  <c r="O20" i="1" l="1"/>
  <c r="P20" i="1" s="1"/>
  <c r="O21" i="1" l="1"/>
  <c r="P21" i="1" s="1"/>
  <c r="O22" i="1" l="1"/>
  <c r="P22" i="1" s="1"/>
  <c r="O23" i="1" l="1"/>
  <c r="P23" i="1" s="1"/>
  <c r="P24" i="1" s="1"/>
  <c r="A25" i="1" s="1"/>
</calcChain>
</file>

<file path=xl/sharedStrings.xml><?xml version="1.0" encoding="utf-8"?>
<sst xmlns="http://schemas.openxmlformats.org/spreadsheetml/2006/main" count="45" uniqueCount="31">
  <si>
    <t>DEGREES</t>
  </si>
  <si>
    <t>MINUTES</t>
  </si>
  <si>
    <t>DISTANCE</t>
  </si>
  <si>
    <t>S</t>
  </si>
  <si>
    <t>N</t>
  </si>
  <si>
    <t>W</t>
  </si>
  <si>
    <t>E</t>
  </si>
  <si>
    <t>LATITUDE</t>
  </si>
  <si>
    <t>LONGITUDE</t>
  </si>
  <si>
    <t>DMD</t>
  </si>
  <si>
    <t>DA</t>
  </si>
  <si>
    <t>ANGLE IN RAD</t>
  </si>
  <si>
    <t>COSINE</t>
  </si>
  <si>
    <t>SINE</t>
  </si>
  <si>
    <t>SQ.M</t>
  </si>
  <si>
    <t>N/S</t>
  </si>
  <si>
    <t>E/W</t>
  </si>
  <si>
    <t>LINE</t>
  </si>
  <si>
    <t>FOR DATA VALIDATION</t>
  </si>
  <si>
    <t>E.RBGJ</t>
  </si>
  <si>
    <t>AUTOCAD PLOTTER</t>
  </si>
  <si>
    <t xml:space="preserve">TECHNICAL DESCRIPTION          </t>
  </si>
  <si>
    <t>BARANGAY OF   :</t>
  </si>
  <si>
    <t>MUNICIPALITY OF   :</t>
  </si>
  <si>
    <t>PROVINCE OF   :</t>
  </si>
  <si>
    <t>SKETCH PLAN  OF   :</t>
  </si>
  <si>
    <t>OWNER     :</t>
  </si>
  <si>
    <t>POLYLINE DATA</t>
  </si>
  <si>
    <r>
      <t xml:space="preserve">CALCULATED LOT AREA </t>
    </r>
    <r>
      <rPr>
        <i/>
        <u/>
        <sz val="11"/>
        <color theme="3"/>
        <rFont val="Calibri"/>
        <family val="2"/>
        <scheme val="minor"/>
      </rPr>
      <t>(for checking)</t>
    </r>
  </si>
  <si>
    <r>
      <rPr>
        <b/>
        <sz val="11"/>
        <color theme="1"/>
        <rFont val="Calibri"/>
        <family val="2"/>
        <scheme val="minor"/>
      </rPr>
      <t>GENERAL INSTRUCTION: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theme="7" tint="-0.499984740745262"/>
        <rFont val="Calibri"/>
        <family val="2"/>
        <scheme val="minor"/>
      </rPr>
      <t>PART 1.</t>
    </r>
    <r>
      <rPr>
        <i/>
        <sz val="11"/>
        <color theme="7" tint="-0.499984740745262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SPREADSHEET</t>
    </r>
    <r>
      <rPr>
        <sz val="11"/>
        <color theme="1"/>
        <rFont val="Calibri"/>
        <family val="2"/>
        <scheme val="minor"/>
      </rPr>
      <t xml:space="preserve">
   1. Fill in the bearings and distance of the lot in the GRAY cells.
   2. Copy the data generated in the POLYLINE DATA cells.
</t>
    </r>
    <r>
      <rPr>
        <sz val="11"/>
        <color theme="7" tint="-0.249977111117893"/>
        <rFont val="Calibri"/>
        <family val="2"/>
        <scheme val="minor"/>
      </rPr>
      <t xml:space="preserve">
</t>
    </r>
    <r>
      <rPr>
        <b/>
        <i/>
        <sz val="11"/>
        <color theme="7" tint="-0.249977111117893"/>
        <rFont val="Calibri"/>
        <family val="2"/>
        <scheme val="minor"/>
      </rPr>
      <t>PART 2</t>
    </r>
    <r>
      <rPr>
        <i/>
        <sz val="11"/>
        <color theme="1"/>
        <rFont val="Calibri"/>
        <family val="2"/>
        <scheme val="minor"/>
      </rPr>
      <t>.</t>
    </r>
    <r>
      <rPr>
        <b/>
        <sz val="11"/>
        <color rgb="FFFF0000"/>
        <rFont val="Calibri"/>
        <family val="2"/>
        <scheme val="minor"/>
      </rPr>
      <t xml:space="preserve"> AUTOCAD</t>
    </r>
    <r>
      <rPr>
        <sz val="11"/>
        <color theme="1"/>
        <rFont val="Calibri"/>
        <family val="2"/>
        <scheme val="minor"/>
      </rPr>
      <t xml:space="preserve">
   1. Create a POLYLINE using the command PLINE.
   2. Click anywhere to draw the POLYLINE.
   3. In the COMMAND LINE, paste the copied data from the POLYLINE DATA then click enter.
</t>
    </r>
    <r>
      <rPr>
        <b/>
        <sz val="11"/>
        <color theme="1"/>
        <rFont val="Calibri"/>
        <family val="2"/>
        <scheme val="minor"/>
      </rPr>
      <t>NOTE: 
   This Technical Description Plotter calculates the LOT AREA.</t>
    </r>
    <r>
      <rPr>
        <sz val="11"/>
        <color theme="1"/>
        <rFont val="Calibri"/>
        <family val="2"/>
        <scheme val="minor"/>
      </rPr>
      <t xml:space="preserve">
</t>
    </r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</si>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</sst>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0"/>
      <name val="Century Gothic"/>
      <family val="2"/>
    </font>
    <font>
      <b/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i/>
      <sz val="11"/>
      <color theme="7" tint="-0.499984740745262"/>
      <name val="Calibri"/>
      <family val="2"/>
      <scheme val="minor"/>
    </font>
    <font>
      <b/>
      <i/>
      <sz val="11"/>
      <color theme="7" tint="-0.499984740745262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i/>
      <sz val="11"/>
      <color theme="7" tint="-0.249977111117893"/>
      <name val="Calibri"/>
      <family val="2"/>
      <scheme val="minor"/>
    </font>
    <font>
      <i/>
      <u/>
      <sz val="11"/>
      <color theme="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164" fontId="0" fillId="2" borderId="0" xfId="1" applyFont="1" applyFill="1" applyProtection="1">
      <protection hidden="1"/>
    </xf>
    <xf numFmtId="164" fontId="0" fillId="3" borderId="0" xfId="1" applyFont="1" applyFill="1" applyProtection="1">
      <protection hidden="1"/>
    </xf>
    <xf numFmtId="164" fontId="2" fillId="0" borderId="0" xfId="1" applyFont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2" fillId="5" borderId="1" xfId="0" applyFont="1" applyFill="1" applyBorder="1" applyProtection="1">
      <protection locked="0"/>
    </xf>
    <xf numFmtId="0" fontId="0" fillId="0" borderId="12" xfId="0" quotePrefix="1" applyBorder="1" applyAlignment="1" applyProtection="1">
      <alignment horizontal="center"/>
      <protection locked="0"/>
    </xf>
    <xf numFmtId="0" fontId="0" fillId="0" borderId="13" xfId="0" applyBorder="1" applyProtection="1">
      <protection hidden="1"/>
    </xf>
    <xf numFmtId="0" fontId="5" fillId="7" borderId="11" xfId="0" applyFont="1" applyFill="1" applyBorder="1" applyAlignment="1" applyProtection="1">
      <alignment horizontal="center"/>
      <protection locked="0"/>
    </xf>
    <xf numFmtId="164" fontId="5" fillId="7" borderId="11" xfId="1" applyFont="1" applyFill="1" applyBorder="1" applyAlignment="1" applyProtection="1">
      <alignment horizontal="justify" vertical="justify"/>
      <protection locked="0"/>
    </xf>
    <xf numFmtId="0" fontId="5" fillId="7" borderId="11" xfId="0" applyFont="1" applyFill="1" applyBorder="1" applyProtection="1">
      <protection locked="0"/>
    </xf>
    <xf numFmtId="0" fontId="5" fillId="7" borderId="15" xfId="0" applyFont="1" applyFill="1" applyBorder="1" applyProtection="1">
      <protection locked="0"/>
    </xf>
    <xf numFmtId="0" fontId="5" fillId="7" borderId="16" xfId="0" applyFont="1" applyFill="1" applyBorder="1" applyAlignment="1" applyProtection="1">
      <alignment horizontal="center"/>
      <protection locked="0"/>
    </xf>
    <xf numFmtId="164" fontId="5" fillId="7" borderId="16" xfId="1" applyFont="1" applyFill="1" applyBorder="1" applyAlignment="1" applyProtection="1">
      <alignment horizontal="justify" vertical="justify"/>
      <protection locked="0"/>
    </xf>
    <xf numFmtId="0" fontId="0" fillId="8" borderId="0" xfId="0" applyFill="1" applyProtection="1">
      <protection locked="0"/>
    </xf>
    <xf numFmtId="0" fontId="0" fillId="9" borderId="0" xfId="0" applyFill="1" applyProtection="1">
      <protection locked="0"/>
    </xf>
    <xf numFmtId="164" fontId="0" fillId="9" borderId="0" xfId="1" applyFont="1" applyFill="1" applyProtection="1">
      <protection hidden="1"/>
    </xf>
    <xf numFmtId="0" fontId="0" fillId="9" borderId="0" xfId="0" applyFill="1" applyProtection="1">
      <protection hidden="1"/>
    </xf>
    <xf numFmtId="164" fontId="0" fillId="9" borderId="0" xfId="1" applyFont="1" applyFill="1" applyProtection="1">
      <protection locked="0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wrapText="1"/>
      <protection locked="0"/>
    </xf>
    <xf numFmtId="43" fontId="2" fillId="5" borderId="0" xfId="0" applyNumberFormat="1" applyFont="1" applyFill="1" applyAlignment="1" applyProtection="1">
      <alignment horizontal="center" vertical="center"/>
      <protection hidden="1"/>
    </xf>
    <xf numFmtId="164" fontId="2" fillId="2" borderId="0" xfId="1" applyFont="1" applyFill="1" applyAlignment="1" applyProtection="1">
      <alignment horizontal="center" vertical="center"/>
      <protection hidden="1"/>
    </xf>
    <xf numFmtId="164" fontId="2" fillId="3" borderId="0" xfId="1" applyFont="1" applyFill="1" applyAlignment="1" applyProtection="1">
      <alignment horizontal="center" vertical="center"/>
      <protection hidden="1"/>
    </xf>
    <xf numFmtId="0" fontId="4" fillId="4" borderId="0" xfId="0" applyFont="1" applyFill="1" applyAlignment="1" applyProtection="1">
      <alignment horizontal="left" wrapText="1"/>
      <protection hidden="1"/>
    </xf>
    <xf numFmtId="0" fontId="9" fillId="0" borderId="1" xfId="0" applyFont="1" applyBorder="1" applyAlignment="1" applyProtection="1">
      <alignment horizontal="left"/>
      <protection hidden="1"/>
    </xf>
    <xf numFmtId="0" fontId="11" fillId="0" borderId="0" xfId="0" applyFont="1" applyAlignment="1" applyProtection="1">
      <alignment horizontal="left"/>
      <protection hidden="1"/>
    </xf>
    <xf numFmtId="0" fontId="8" fillId="6" borderId="0" xfId="0" applyFont="1" applyFill="1" applyAlignment="1" applyProtection="1">
      <alignment horizontal="right" vertical="center"/>
      <protection hidden="1"/>
    </xf>
    <xf numFmtId="0" fontId="8" fillId="0" borderId="0" xfId="0" applyFont="1" applyAlignment="1" applyProtection="1">
      <alignment horizontal="right" vertical="center"/>
      <protection hidden="1"/>
    </xf>
    <xf numFmtId="0" fontId="0" fillId="5" borderId="3" xfId="0" applyFill="1" applyBorder="1" applyAlignment="1" applyProtection="1">
      <alignment horizontal="left" vertical="top" wrapText="1"/>
      <protection hidden="1"/>
    </xf>
    <xf numFmtId="0" fontId="0" fillId="5" borderId="4" xfId="0" applyFill="1" applyBorder="1" applyAlignment="1" applyProtection="1">
      <alignment horizontal="left" vertical="top" wrapText="1"/>
      <protection hidden="1"/>
    </xf>
    <xf numFmtId="0" fontId="0" fillId="5" borderId="5" xfId="0" applyFill="1" applyBorder="1" applyAlignment="1" applyProtection="1">
      <alignment horizontal="left" vertical="top" wrapText="1"/>
      <protection hidden="1"/>
    </xf>
    <xf numFmtId="0" fontId="0" fillId="5" borderId="6" xfId="0" applyFill="1" applyBorder="1" applyAlignment="1" applyProtection="1">
      <alignment horizontal="left" vertical="top" wrapText="1"/>
      <protection hidden="1"/>
    </xf>
    <xf numFmtId="0" fontId="0" fillId="5" borderId="0" xfId="0" applyFill="1" applyAlignment="1" applyProtection="1">
      <alignment horizontal="left" vertical="top" wrapText="1"/>
      <protection hidden="1"/>
    </xf>
    <xf numFmtId="0" fontId="0" fillId="5" borderId="7" xfId="0" applyFill="1" applyBorder="1" applyAlignment="1" applyProtection="1">
      <alignment horizontal="left" vertical="top" wrapText="1"/>
      <protection hidden="1"/>
    </xf>
    <xf numFmtId="0" fontId="0" fillId="5" borderId="8" xfId="0" applyFill="1" applyBorder="1" applyAlignment="1" applyProtection="1">
      <alignment horizontal="left" vertical="top" wrapText="1"/>
      <protection hidden="1"/>
    </xf>
    <xf numFmtId="0" fontId="0" fillId="5" borderId="1" xfId="0" applyFill="1" applyBorder="1" applyAlignment="1" applyProtection="1">
      <alignment horizontal="left" vertical="top" wrapText="1"/>
      <protection hidden="1"/>
    </xf>
    <xf numFmtId="0" fontId="0" fillId="5" borderId="9" xfId="0" applyFill="1" applyBorder="1" applyAlignment="1" applyProtection="1">
      <alignment horizontal="left" vertical="top" wrapText="1"/>
      <protection hidden="1"/>
    </xf>
    <xf numFmtId="0" fontId="0" fillId="6" borderId="1" xfId="0" applyFill="1" applyBorder="1" applyAlignment="1" applyProtection="1">
      <alignment horizontal="left" vertical="top"/>
      <protection locked="0"/>
    </xf>
    <xf numFmtId="0" fontId="0" fillId="0" borderId="10" xfId="0" applyBorder="1" applyAlignment="1" applyProtection="1">
      <alignment horizontal="left" vertical="top"/>
      <protection locked="0"/>
    </xf>
    <xf numFmtId="0" fontId="0" fillId="6" borderId="10" xfId="0" applyFill="1" applyBorder="1" applyAlignment="1" applyProtection="1">
      <alignment horizontal="left" vertical="top"/>
      <protection locked="0"/>
    </xf>
    <xf numFmtId="0" fontId="0" fillId="6" borderId="4" xfId="0" applyFill="1" applyBorder="1" applyAlignment="1" applyProtection="1">
      <alignment horizontal="left" vertical="top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36635</xdr:rowOff>
    </xdr:from>
    <xdr:to>
      <xdr:col>2</xdr:col>
      <xdr:colOff>578827</xdr:colOff>
      <xdr:row>1</xdr:row>
      <xdr:rowOff>153866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E2A66F0-D862-4557-8FC4-D24821D15A14}"/>
            </a:ext>
          </a:extLst>
        </xdr:cNvPr>
        <xdr:cNvCxnSpPr/>
      </xdr:nvCxnSpPr>
      <xdr:spPr>
        <a:xfrm flipH="1" flipV="1">
          <a:off x="1465385" y="36635"/>
          <a:ext cx="7327" cy="30773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73270</xdr:colOff>
      <xdr:row>0</xdr:row>
      <xdr:rowOff>43961</xdr:rowOff>
    </xdr:from>
    <xdr:to>
      <xdr:col>3</xdr:col>
      <xdr:colOff>80597</xdr:colOff>
      <xdr:row>1</xdr:row>
      <xdr:rowOff>161192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DD70B07-BD7A-4E4C-A010-4C9A661E4E34}"/>
            </a:ext>
          </a:extLst>
        </xdr:cNvPr>
        <xdr:cNvCxnSpPr/>
      </xdr:nvCxnSpPr>
      <xdr:spPr>
        <a:xfrm flipH="1" flipV="1">
          <a:off x="1560635" y="43961"/>
          <a:ext cx="7327" cy="30773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0</xdr:row>
      <xdr:rowOff>65943</xdr:rowOff>
    </xdr:from>
    <xdr:to>
      <xdr:col>3</xdr:col>
      <xdr:colOff>234462</xdr:colOff>
      <xdr:row>1</xdr:row>
      <xdr:rowOff>139213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AB37E51-A437-884F-AD21-1252BBFD4F68}"/>
            </a:ext>
          </a:extLst>
        </xdr:cNvPr>
        <xdr:cNvGrpSpPr/>
      </xdr:nvGrpSpPr>
      <xdr:grpSpPr>
        <a:xfrm>
          <a:off x="1283804" y="65943"/>
          <a:ext cx="441528" cy="263770"/>
          <a:chOff x="1279071" y="65943"/>
          <a:chExt cx="446734" cy="263770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0196122B-29FD-47FF-6CD3-6718994D3965}"/>
              </a:ext>
            </a:extLst>
          </xdr:cNvPr>
          <xdr:cNvCxnSpPr/>
        </xdr:nvCxnSpPr>
        <xdr:spPr>
          <a:xfrm flipV="1">
            <a:off x="1279071" y="73269"/>
            <a:ext cx="388119" cy="249116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68D3B169-E286-42FD-B418-6D5A92932BA5}"/>
              </a:ext>
            </a:extLst>
          </xdr:cNvPr>
          <xdr:cNvCxnSpPr/>
        </xdr:nvCxnSpPr>
        <xdr:spPr>
          <a:xfrm flipH="1" flipV="1">
            <a:off x="1352340" y="65943"/>
            <a:ext cx="373465" cy="26377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Flowchart: Sort 10">
            <a:extLst>
              <a:ext uri="{FF2B5EF4-FFF2-40B4-BE49-F238E27FC236}">
                <a16:creationId xmlns:a16="http://schemas.microsoft.com/office/drawing/2014/main" id="{2876E4F4-38D2-7D9B-A407-414DD510AB9A}"/>
              </a:ext>
            </a:extLst>
          </xdr:cNvPr>
          <xdr:cNvSpPr/>
        </xdr:nvSpPr>
        <xdr:spPr>
          <a:xfrm>
            <a:off x="1438505" y="73270"/>
            <a:ext cx="140761" cy="236219"/>
          </a:xfrm>
          <a:prstGeom prst="flowChartSor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PH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showGridLines="0" tabSelected="1" zoomScale="115" zoomScaleNormal="115" workbookViewId="0">
      <selection activeCell="D9" sqref="D9"/>
    </sheetView>
  </sheetViews>
  <sheetFormatPr defaultColWidth="0" defaultRowHeight="15" zeroHeight="1" x14ac:dyDescent="0.25"/>
  <cols>
    <col min="1" max="1" width="9.140625" style="6" customWidth="1"/>
    <col min="2" max="2" width="4.28515625" style="6" bestFit="1" customWidth="1"/>
    <col min="3" max="3" width="8.85546875" style="6" bestFit="1" customWidth="1"/>
    <col min="4" max="4" width="9.28515625" style="6" bestFit="1" customWidth="1"/>
    <col min="5" max="5" width="4.85546875" style="6" bestFit="1" customWidth="1"/>
    <col min="6" max="6" width="12.42578125" style="6" customWidth="1"/>
    <col min="7" max="7" width="18.42578125" style="6" bestFit="1" customWidth="1"/>
    <col min="8" max="8" width="17" style="2" hidden="1" customWidth="1"/>
    <col min="9" max="9" width="9.140625" style="2" hidden="1" customWidth="1"/>
    <col min="10" max="11" width="9.140625" style="3" hidden="1" customWidth="1"/>
    <col min="12" max="12" width="11.42578125" style="2" hidden="1" customWidth="1"/>
    <col min="13" max="13" width="11.42578125" style="4" hidden="1" customWidth="1"/>
    <col min="14" max="14" width="9.140625" style="4" hidden="1" customWidth="1"/>
    <col min="15" max="15" width="9.140625" style="2" hidden="1" customWidth="1"/>
    <col min="16" max="16" width="11.28515625" style="2" hidden="1" customWidth="1"/>
    <col min="17" max="17" width="23.140625" style="1" hidden="1" customWidth="1"/>
    <col min="18" max="18" width="6.85546875" style="16" customWidth="1"/>
    <col min="19" max="26" width="9.140625" style="16" customWidth="1"/>
    <col min="27" max="16384" width="9.140625" style="16" hidden="1"/>
  </cols>
  <sheetData>
    <row r="1" spans="1:26" x14ac:dyDescent="0.25">
      <c r="A1" s="27" t="s">
        <v>19</v>
      </c>
      <c r="B1" s="27"/>
      <c r="C1" s="27"/>
      <c r="D1" s="27"/>
      <c r="E1" s="28" t="s">
        <v>21</v>
      </c>
      <c r="F1" s="28"/>
      <c r="G1" s="28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25">
      <c r="A2" s="27"/>
      <c r="B2" s="27"/>
      <c r="C2" s="27"/>
      <c r="D2" s="27"/>
      <c r="E2" s="29" t="s">
        <v>20</v>
      </c>
      <c r="F2" s="29"/>
      <c r="G2" s="29"/>
      <c r="R2" s="17"/>
      <c r="S2" s="32" t="s">
        <v>29</v>
      </c>
      <c r="T2" s="33"/>
      <c r="U2" s="33"/>
      <c r="V2" s="33"/>
      <c r="W2" s="33"/>
      <c r="X2" s="34"/>
      <c r="Y2" s="17"/>
      <c r="Z2" s="17"/>
    </row>
    <row r="3" spans="1:26" x14ac:dyDescent="0.25">
      <c r="A3" s="30" t="s">
        <v>22</v>
      </c>
      <c r="B3" s="30"/>
      <c r="C3" s="30"/>
      <c r="D3" s="41" t="s">
        <v>30</v>
      </c>
      <c r="E3" s="41"/>
      <c r="F3" s="41"/>
      <c r="G3" s="41"/>
      <c r="R3" s="17"/>
      <c r="S3" s="35"/>
      <c r="T3" s="36"/>
      <c r="U3" s="36"/>
      <c r="V3" s="36"/>
      <c r="W3" s="36"/>
      <c r="X3" s="37"/>
      <c r="Y3" s="17"/>
      <c r="Z3" s="17"/>
    </row>
    <row r="4" spans="1:26" x14ac:dyDescent="0.25">
      <c r="A4" s="31" t="s">
        <v>23</v>
      </c>
      <c r="B4" s="31"/>
      <c r="C4" s="31"/>
      <c r="D4" s="42" t="s">
        <v>30</v>
      </c>
      <c r="E4" s="42"/>
      <c r="F4" s="42"/>
      <c r="G4" s="42"/>
      <c r="R4" s="17"/>
      <c r="S4" s="35"/>
      <c r="T4" s="36"/>
      <c r="U4" s="36"/>
      <c r="V4" s="36"/>
      <c r="W4" s="36"/>
      <c r="X4" s="37"/>
      <c r="Y4" s="17"/>
      <c r="Z4" s="17"/>
    </row>
    <row r="5" spans="1:26" x14ac:dyDescent="0.25">
      <c r="A5" s="30" t="s">
        <v>24</v>
      </c>
      <c r="B5" s="30"/>
      <c r="C5" s="30"/>
      <c r="D5" s="43" t="s">
        <v>30</v>
      </c>
      <c r="E5" s="43"/>
      <c r="F5" s="43"/>
      <c r="G5" s="43"/>
      <c r="R5" s="17"/>
      <c r="S5" s="35"/>
      <c r="T5" s="36"/>
      <c r="U5" s="36"/>
      <c r="V5" s="36"/>
      <c r="W5" s="36"/>
      <c r="X5" s="37"/>
      <c r="Y5" s="17"/>
      <c r="Z5" s="17"/>
    </row>
    <row r="6" spans="1:26" x14ac:dyDescent="0.25">
      <c r="A6" s="31" t="s">
        <v>25</v>
      </c>
      <c r="B6" s="31"/>
      <c r="C6" s="31"/>
      <c r="D6" s="42" t="s">
        <v>30</v>
      </c>
      <c r="E6" s="42"/>
      <c r="F6" s="42"/>
      <c r="G6" s="42"/>
      <c r="R6" s="17"/>
      <c r="S6" s="35"/>
      <c r="T6" s="36"/>
      <c r="U6" s="36"/>
      <c r="V6" s="36"/>
      <c r="W6" s="36"/>
      <c r="X6" s="37"/>
      <c r="Y6" s="17"/>
      <c r="Z6" s="17"/>
    </row>
    <row r="7" spans="1:26" x14ac:dyDescent="0.25">
      <c r="A7" s="30" t="s">
        <v>26</v>
      </c>
      <c r="B7" s="30"/>
      <c r="C7" s="30"/>
      <c r="D7" s="44" t="s">
        <v>30</v>
      </c>
      <c r="E7" s="44"/>
      <c r="F7" s="44"/>
      <c r="G7" s="44"/>
      <c r="R7" s="17"/>
      <c r="S7" s="35"/>
      <c r="T7" s="36"/>
      <c r="U7" s="36"/>
      <c r="V7" s="36"/>
      <c r="W7" s="36"/>
      <c r="X7" s="37"/>
      <c r="Y7" s="17"/>
      <c r="Z7" s="17"/>
    </row>
    <row r="8" spans="1:26" ht="21" customHeight="1" x14ac:dyDescent="0.25">
      <c r="A8" s="21" t="s">
        <v>17</v>
      </c>
      <c r="B8" s="22" t="s">
        <v>15</v>
      </c>
      <c r="C8" s="22" t="s">
        <v>0</v>
      </c>
      <c r="D8" s="22" t="s">
        <v>1</v>
      </c>
      <c r="E8" s="22" t="s">
        <v>16</v>
      </c>
      <c r="F8" s="22" t="s">
        <v>2</v>
      </c>
      <c r="G8" s="21" t="s">
        <v>27</v>
      </c>
      <c r="H8" s="5" t="s">
        <v>11</v>
      </c>
      <c r="I8" s="2" t="s">
        <v>12</v>
      </c>
      <c r="J8" s="25" t="s">
        <v>7</v>
      </c>
      <c r="K8" s="25"/>
      <c r="L8" s="2" t="s">
        <v>13</v>
      </c>
      <c r="M8" s="26" t="s">
        <v>8</v>
      </c>
      <c r="N8" s="26"/>
      <c r="O8" s="2" t="s">
        <v>9</v>
      </c>
      <c r="P8" s="2" t="s">
        <v>10</v>
      </c>
      <c r="Q8" s="2" t="s">
        <v>18</v>
      </c>
      <c r="R8" s="20"/>
      <c r="S8" s="35"/>
      <c r="T8" s="36"/>
      <c r="U8" s="36"/>
      <c r="V8" s="36"/>
      <c r="W8" s="36"/>
      <c r="X8" s="37"/>
      <c r="Y8" s="17"/>
      <c r="Z8" s="17"/>
    </row>
    <row r="9" spans="1:26" x14ac:dyDescent="0.25">
      <c r="A9" s="8">
        <v>1</v>
      </c>
      <c r="B9" s="14" t="s">
        <v>3</v>
      </c>
      <c r="C9" s="14">
        <v>79</v>
      </c>
      <c r="D9" s="14">
        <v>0</v>
      </c>
      <c r="E9" s="14" t="s">
        <v>6</v>
      </c>
      <c r="F9" s="15">
        <v>11.06</v>
      </c>
      <c r="G9" s="9" t="str">
        <f>CONCATENATE("@",F9,"&lt;",B9,C9,"d",D9,"'",E9)</f>
        <v>@11.06&lt;S79d0'E</v>
      </c>
      <c r="H9" s="2">
        <f>(C9+D9/60)*PI()/180</f>
        <v>1.3788101090755203</v>
      </c>
      <c r="I9" s="2">
        <f>COS(H9)*F9</f>
        <v>2.110347488864587</v>
      </c>
      <c r="J9" s="3">
        <f>IF(B9="N",ABS(I9),0)</f>
        <v>0</v>
      </c>
      <c r="K9" s="3">
        <f>-IF(B9="s",ABS(I9),0)</f>
        <v>-2.110347488864587</v>
      </c>
      <c r="L9" s="2">
        <f>F9*SIN(H9)</f>
        <v>10.856796648931164</v>
      </c>
      <c r="M9" s="4">
        <f>IF(E9="E",ABS(L9),0)</f>
        <v>10.856796648931164</v>
      </c>
      <c r="N9" s="4">
        <f>-IF(E9="w",ABS(L9),0)</f>
        <v>0</v>
      </c>
      <c r="O9" s="2">
        <f>SUM(M9:N9)</f>
        <v>10.856796648931164</v>
      </c>
      <c r="P9" s="2">
        <f>O9*SUM(J9:K9)</f>
        <v>-22.911613545185347</v>
      </c>
      <c r="Q9" s="1" t="s">
        <v>4</v>
      </c>
      <c r="R9" s="17"/>
      <c r="S9" s="35"/>
      <c r="T9" s="36"/>
      <c r="U9" s="36"/>
      <c r="V9" s="36"/>
      <c r="W9" s="36"/>
      <c r="X9" s="37"/>
      <c r="Y9" s="17"/>
      <c r="Z9" s="17"/>
    </row>
    <row r="10" spans="1:26" x14ac:dyDescent="0.25">
      <c r="A10" s="8">
        <v>2</v>
      </c>
      <c r="B10" s="10" t="s">
        <v>3</v>
      </c>
      <c r="C10" s="10">
        <v>9</v>
      </c>
      <c r="D10" s="10">
        <v>58</v>
      </c>
      <c r="E10" s="10" t="s">
        <v>5</v>
      </c>
      <c r="F10" s="11">
        <v>14.66</v>
      </c>
      <c r="G10" s="9" t="str">
        <f t="shared" ref="G10:G23" si="0">CONCATENATE("@",F10,"&lt;",B10,C10,"d",D10,"'",E10)</f>
        <v>@14.66&lt;S9d58'W</v>
      </c>
      <c r="H10" s="2">
        <f t="shared" ref="H10:H20" si="1">(C10+D10/60)*PI()/180</f>
        <v>0.17395114878210149</v>
      </c>
      <c r="I10" s="2">
        <f t="shared" ref="I10:I20" si="2">COS(H10)*F10</f>
        <v>14.438760233746086</v>
      </c>
      <c r="J10" s="3">
        <f t="shared" ref="J10:J20" si="3">IF(B10="N",ABS(I10),0)</f>
        <v>0</v>
      </c>
      <c r="K10" s="3">
        <f t="shared" ref="K10:K20" si="4">-IF(B10="s",ABS(I10),0)</f>
        <v>-14.438760233746086</v>
      </c>
      <c r="L10" s="2">
        <f t="shared" ref="L10:L20" si="5">F10*SIN(H10)</f>
        <v>2.5372825842606992</v>
      </c>
      <c r="M10" s="4">
        <f t="shared" ref="M10:M20" si="6">IF(E10="E",ABS(L10),0)</f>
        <v>0</v>
      </c>
      <c r="N10" s="4">
        <f t="shared" ref="N10:N20" si="7">-IF(E10="w",ABS(L10),0)</f>
        <v>-2.5372825842606992</v>
      </c>
      <c r="O10" s="2">
        <f>O9+N9+M9+M10+N10</f>
        <v>19.17631071360163</v>
      </c>
      <c r="P10" s="2">
        <f t="shared" ref="P10:P23" si="8">O10*SUM(J10:K10)</f>
        <v>-276.88215256151022</v>
      </c>
      <c r="Q10" s="1" t="s">
        <v>3</v>
      </c>
      <c r="R10" s="17"/>
      <c r="S10" s="35"/>
      <c r="T10" s="36"/>
      <c r="U10" s="36"/>
      <c r="V10" s="36"/>
      <c r="W10" s="36"/>
      <c r="X10" s="37"/>
      <c r="Y10" s="17"/>
      <c r="Z10" s="17"/>
    </row>
    <row r="11" spans="1:26" x14ac:dyDescent="0.25">
      <c r="A11" s="8">
        <v>3</v>
      </c>
      <c r="B11" s="10" t="s">
        <v>3</v>
      </c>
      <c r="C11" s="10">
        <v>55</v>
      </c>
      <c r="D11" s="10">
        <v>29</v>
      </c>
      <c r="E11" s="10" t="s">
        <v>5</v>
      </c>
      <c r="F11" s="11">
        <v>4</v>
      </c>
      <c r="G11" s="9" t="str">
        <f t="shared" si="0"/>
        <v>@4&lt;S55d29'W</v>
      </c>
      <c r="H11" s="2">
        <f t="shared" si="1"/>
        <v>0.96836684664818717</v>
      </c>
      <c r="I11" s="2">
        <f t="shared" si="2"/>
        <v>2.2665837661946964</v>
      </c>
      <c r="J11" s="3">
        <f t="shared" si="3"/>
        <v>0</v>
      </c>
      <c r="K11" s="3">
        <f t="shared" si="4"/>
        <v>-2.2665837661946964</v>
      </c>
      <c r="L11" s="2">
        <f t="shared" si="5"/>
        <v>3.2958455714463728</v>
      </c>
      <c r="M11" s="4">
        <f t="shared" si="6"/>
        <v>0</v>
      </c>
      <c r="N11" s="4">
        <f t="shared" si="7"/>
        <v>-3.2958455714463728</v>
      </c>
      <c r="O11" s="2">
        <f t="shared" ref="O11:O23" si="9">O10+N10+M10+M11+N11</f>
        <v>13.34318255789456</v>
      </c>
      <c r="P11" s="2">
        <f t="shared" si="8"/>
        <v>-30.243440975096032</v>
      </c>
      <c r="Q11" s="1" t="s">
        <v>6</v>
      </c>
      <c r="R11" s="17"/>
      <c r="S11" s="35"/>
      <c r="T11" s="36"/>
      <c r="U11" s="36"/>
      <c r="V11" s="36"/>
      <c r="W11" s="36"/>
      <c r="X11" s="37"/>
      <c r="Y11" s="17"/>
      <c r="Z11" s="17"/>
    </row>
    <row r="12" spans="1:26" x14ac:dyDescent="0.25">
      <c r="A12" s="8">
        <v>4</v>
      </c>
      <c r="B12" s="10" t="s">
        <v>4</v>
      </c>
      <c r="C12" s="10">
        <v>79</v>
      </c>
      <c r="D12" s="10">
        <v>0</v>
      </c>
      <c r="E12" s="10" t="s">
        <v>5</v>
      </c>
      <c r="F12" s="11">
        <v>9.43</v>
      </c>
      <c r="G12" s="9" t="str">
        <f t="shared" si="0"/>
        <v>@9.43&lt;N79d0'W</v>
      </c>
      <c r="H12" s="2">
        <f t="shared" si="1"/>
        <v>1.3788101090755203</v>
      </c>
      <c r="I12" s="2">
        <f t="shared" si="2"/>
        <v>1.7993288264008185</v>
      </c>
      <c r="J12" s="3">
        <f t="shared" si="3"/>
        <v>1.7993288264008185</v>
      </c>
      <c r="K12" s="3">
        <f t="shared" si="4"/>
        <v>0</v>
      </c>
      <c r="L12" s="2">
        <f t="shared" si="5"/>
        <v>9.2567443399114708</v>
      </c>
      <c r="M12" s="4">
        <f t="shared" si="6"/>
        <v>0</v>
      </c>
      <c r="N12" s="4">
        <f t="shared" si="7"/>
        <v>-9.2567443399114708</v>
      </c>
      <c r="O12" s="2">
        <f t="shared" si="9"/>
        <v>0.7905926465367159</v>
      </c>
      <c r="P12" s="2">
        <f t="shared" si="8"/>
        <v>1.4225361388540261</v>
      </c>
      <c r="Q12" s="1" t="s">
        <v>5</v>
      </c>
      <c r="R12" s="17"/>
      <c r="S12" s="35"/>
      <c r="T12" s="36"/>
      <c r="U12" s="36"/>
      <c r="V12" s="36"/>
      <c r="W12" s="36"/>
      <c r="X12" s="37"/>
      <c r="Y12" s="17"/>
      <c r="Z12" s="17"/>
    </row>
    <row r="13" spans="1:26" x14ac:dyDescent="0.25">
      <c r="A13" s="8">
        <v>5</v>
      </c>
      <c r="B13" s="10" t="s">
        <v>4</v>
      </c>
      <c r="C13" s="10">
        <v>11</v>
      </c>
      <c r="D13" s="10">
        <v>0</v>
      </c>
      <c r="E13" s="10" t="s">
        <v>6</v>
      </c>
      <c r="F13" s="11">
        <v>17.5</v>
      </c>
      <c r="G13" s="9" t="str">
        <f t="shared" si="0"/>
        <v>@17.5&lt;N11d0'E</v>
      </c>
      <c r="H13" s="2">
        <f t="shared" si="1"/>
        <v>0.19198621771937624</v>
      </c>
      <c r="I13" s="2">
        <f t="shared" si="2"/>
        <v>17.178475710334119</v>
      </c>
      <c r="J13" s="3">
        <f t="shared" si="3"/>
        <v>17.178475710334119</v>
      </c>
      <c r="K13" s="3">
        <f t="shared" si="4"/>
        <v>0</v>
      </c>
      <c r="L13" s="2">
        <f t="shared" si="5"/>
        <v>3.3391574190895339</v>
      </c>
      <c r="M13" s="4">
        <f t="shared" si="6"/>
        <v>3.3391574190895339</v>
      </c>
      <c r="N13" s="4">
        <f t="shared" si="7"/>
        <v>0</v>
      </c>
      <c r="O13" s="2">
        <f t="shared" si="9"/>
        <v>-5.126994274285221</v>
      </c>
      <c r="P13" s="2">
        <f t="shared" si="8"/>
        <v>-88.073946607830777</v>
      </c>
      <c r="R13" s="17"/>
      <c r="S13" s="35"/>
      <c r="T13" s="36"/>
      <c r="U13" s="36"/>
      <c r="V13" s="36"/>
      <c r="W13" s="36"/>
      <c r="X13" s="37"/>
      <c r="Y13" s="17"/>
      <c r="Z13" s="17"/>
    </row>
    <row r="14" spans="1:26" x14ac:dyDescent="0.25">
      <c r="A14" s="8">
        <v>6</v>
      </c>
      <c r="B14" s="10"/>
      <c r="C14" s="10"/>
      <c r="D14" s="10"/>
      <c r="E14" s="10"/>
      <c r="F14" s="11"/>
      <c r="G14" s="9" t="str">
        <f t="shared" si="0"/>
        <v>@&lt;d'</v>
      </c>
      <c r="H14" s="2">
        <f t="shared" si="1"/>
        <v>0</v>
      </c>
      <c r="I14" s="2">
        <f t="shared" si="2"/>
        <v>0</v>
      </c>
      <c r="J14" s="3">
        <f t="shared" si="3"/>
        <v>0</v>
      </c>
      <c r="K14" s="3">
        <f t="shared" si="4"/>
        <v>0</v>
      </c>
      <c r="L14" s="2">
        <f t="shared" si="5"/>
        <v>0</v>
      </c>
      <c r="M14" s="4">
        <f t="shared" si="6"/>
        <v>0</v>
      </c>
      <c r="N14" s="4">
        <f t="shared" si="7"/>
        <v>0</v>
      </c>
      <c r="O14" s="2">
        <f t="shared" si="9"/>
        <v>-1.7878368551956871</v>
      </c>
      <c r="P14" s="2">
        <f t="shared" si="8"/>
        <v>0</v>
      </c>
      <c r="R14" s="17"/>
      <c r="S14" s="35"/>
      <c r="T14" s="36"/>
      <c r="U14" s="36"/>
      <c r="V14" s="36"/>
      <c r="W14" s="36"/>
      <c r="X14" s="37"/>
      <c r="Y14" s="17"/>
      <c r="Z14" s="17"/>
    </row>
    <row r="15" spans="1:26" x14ac:dyDescent="0.25">
      <c r="A15" s="8">
        <v>7</v>
      </c>
      <c r="B15" s="10"/>
      <c r="C15" s="10"/>
      <c r="D15" s="10"/>
      <c r="E15" s="10"/>
      <c r="F15" s="11"/>
      <c r="G15" s="9" t="str">
        <f t="shared" si="0"/>
        <v>@&lt;d'</v>
      </c>
      <c r="H15" s="2">
        <f t="shared" si="1"/>
        <v>0</v>
      </c>
      <c r="I15" s="2">
        <f t="shared" si="2"/>
        <v>0</v>
      </c>
      <c r="J15" s="3">
        <f t="shared" si="3"/>
        <v>0</v>
      </c>
      <c r="K15" s="3">
        <f t="shared" si="4"/>
        <v>0</v>
      </c>
      <c r="L15" s="2">
        <f t="shared" si="5"/>
        <v>0</v>
      </c>
      <c r="M15" s="4">
        <f t="shared" si="6"/>
        <v>0</v>
      </c>
      <c r="N15" s="4">
        <f t="shared" si="7"/>
        <v>0</v>
      </c>
      <c r="O15" s="2">
        <f t="shared" si="9"/>
        <v>-1.7878368551956871</v>
      </c>
      <c r="P15" s="2">
        <f t="shared" si="8"/>
        <v>0</v>
      </c>
      <c r="R15" s="17"/>
      <c r="S15" s="35"/>
      <c r="T15" s="36"/>
      <c r="U15" s="36"/>
      <c r="V15" s="36"/>
      <c r="W15" s="36"/>
      <c r="X15" s="37"/>
      <c r="Y15" s="17"/>
      <c r="Z15" s="17"/>
    </row>
    <row r="16" spans="1:26" x14ac:dyDescent="0.25">
      <c r="A16" s="8">
        <v>8</v>
      </c>
      <c r="B16" s="10"/>
      <c r="C16" s="10"/>
      <c r="D16" s="10"/>
      <c r="E16" s="10"/>
      <c r="F16" s="11"/>
      <c r="G16" s="9" t="str">
        <f t="shared" si="0"/>
        <v>@&lt;d'</v>
      </c>
      <c r="H16" s="2">
        <f t="shared" si="1"/>
        <v>0</v>
      </c>
      <c r="I16" s="2">
        <f t="shared" si="2"/>
        <v>0</v>
      </c>
      <c r="J16" s="3">
        <f t="shared" si="3"/>
        <v>0</v>
      </c>
      <c r="K16" s="3">
        <f t="shared" si="4"/>
        <v>0</v>
      </c>
      <c r="L16" s="2">
        <f t="shared" si="5"/>
        <v>0</v>
      </c>
      <c r="M16" s="4">
        <f t="shared" si="6"/>
        <v>0</v>
      </c>
      <c r="N16" s="4">
        <f t="shared" si="7"/>
        <v>0</v>
      </c>
      <c r="O16" s="2">
        <f t="shared" si="9"/>
        <v>-1.7878368551956871</v>
      </c>
      <c r="P16" s="2">
        <f t="shared" si="8"/>
        <v>0</v>
      </c>
      <c r="R16" s="17"/>
      <c r="S16" s="35"/>
      <c r="T16" s="36"/>
      <c r="U16" s="36"/>
      <c r="V16" s="36"/>
      <c r="W16" s="36"/>
      <c r="X16" s="37"/>
      <c r="Y16" s="17"/>
      <c r="Z16" s="17"/>
    </row>
    <row r="17" spans="1:26" x14ac:dyDescent="0.25">
      <c r="A17" s="8">
        <v>9</v>
      </c>
      <c r="B17" s="10"/>
      <c r="C17" s="10"/>
      <c r="D17" s="10"/>
      <c r="E17" s="10"/>
      <c r="F17" s="11"/>
      <c r="G17" s="9" t="str">
        <f t="shared" si="0"/>
        <v>@&lt;d'</v>
      </c>
      <c r="H17" s="2">
        <f t="shared" si="1"/>
        <v>0</v>
      </c>
      <c r="I17" s="2">
        <f t="shared" si="2"/>
        <v>0</v>
      </c>
      <c r="J17" s="3">
        <f t="shared" si="3"/>
        <v>0</v>
      </c>
      <c r="K17" s="3">
        <f t="shared" si="4"/>
        <v>0</v>
      </c>
      <c r="L17" s="2">
        <f t="shared" si="5"/>
        <v>0</v>
      </c>
      <c r="M17" s="4">
        <f t="shared" si="6"/>
        <v>0</v>
      </c>
      <c r="N17" s="4">
        <f t="shared" si="7"/>
        <v>0</v>
      </c>
      <c r="O17" s="2">
        <f t="shared" si="9"/>
        <v>-1.7878368551956871</v>
      </c>
      <c r="P17" s="2">
        <f t="shared" si="8"/>
        <v>0</v>
      </c>
      <c r="R17" s="17"/>
      <c r="S17" s="38"/>
      <c r="T17" s="39"/>
      <c r="U17" s="39"/>
      <c r="V17" s="39"/>
      <c r="W17" s="39"/>
      <c r="X17" s="40"/>
      <c r="Y17" s="17"/>
      <c r="Z17" s="17"/>
    </row>
    <row r="18" spans="1:26" x14ac:dyDescent="0.25">
      <c r="A18" s="8">
        <v>10</v>
      </c>
      <c r="B18" s="10"/>
      <c r="C18" s="10"/>
      <c r="D18" s="10"/>
      <c r="E18" s="10"/>
      <c r="F18" s="11"/>
      <c r="G18" s="9" t="str">
        <f t="shared" si="0"/>
        <v>@&lt;d'</v>
      </c>
      <c r="H18" s="2">
        <f t="shared" si="1"/>
        <v>0</v>
      </c>
      <c r="I18" s="2">
        <f t="shared" si="2"/>
        <v>0</v>
      </c>
      <c r="J18" s="3">
        <f t="shared" si="3"/>
        <v>0</v>
      </c>
      <c r="K18" s="3">
        <f t="shared" si="4"/>
        <v>0</v>
      </c>
      <c r="L18" s="2">
        <f t="shared" si="5"/>
        <v>0</v>
      </c>
      <c r="M18" s="4">
        <f t="shared" si="6"/>
        <v>0</v>
      </c>
      <c r="N18" s="4">
        <f t="shared" si="7"/>
        <v>0</v>
      </c>
      <c r="O18" s="2">
        <f t="shared" si="9"/>
        <v>-1.7878368551956871</v>
      </c>
      <c r="P18" s="2">
        <f t="shared" si="8"/>
        <v>0</v>
      </c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8">
        <v>11</v>
      </c>
      <c r="B19" s="10"/>
      <c r="C19" s="10"/>
      <c r="D19" s="10"/>
      <c r="E19" s="10"/>
      <c r="F19" s="11"/>
      <c r="G19" s="9" t="str">
        <f t="shared" si="0"/>
        <v>@&lt;d'</v>
      </c>
      <c r="H19" s="2">
        <f t="shared" si="1"/>
        <v>0</v>
      </c>
      <c r="I19" s="2">
        <f t="shared" si="2"/>
        <v>0</v>
      </c>
      <c r="J19" s="3">
        <f t="shared" si="3"/>
        <v>0</v>
      </c>
      <c r="K19" s="3">
        <f t="shared" si="4"/>
        <v>0</v>
      </c>
      <c r="L19" s="2">
        <f t="shared" si="5"/>
        <v>0</v>
      </c>
      <c r="M19" s="4">
        <f t="shared" si="6"/>
        <v>0</v>
      </c>
      <c r="N19" s="4">
        <f t="shared" si="7"/>
        <v>0</v>
      </c>
      <c r="O19" s="2">
        <f t="shared" si="9"/>
        <v>-1.7878368551956871</v>
      </c>
      <c r="P19" s="2">
        <f t="shared" si="8"/>
        <v>0</v>
      </c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8">
        <v>12</v>
      </c>
      <c r="B20" s="10"/>
      <c r="C20" s="10"/>
      <c r="D20" s="10"/>
      <c r="E20" s="10"/>
      <c r="F20" s="11"/>
      <c r="G20" s="9" t="str">
        <f t="shared" si="0"/>
        <v>@&lt;d'</v>
      </c>
      <c r="H20" s="2">
        <f t="shared" si="1"/>
        <v>0</v>
      </c>
      <c r="I20" s="2">
        <f t="shared" si="2"/>
        <v>0</v>
      </c>
      <c r="J20" s="3">
        <f t="shared" si="3"/>
        <v>0</v>
      </c>
      <c r="K20" s="3">
        <f t="shared" si="4"/>
        <v>0</v>
      </c>
      <c r="L20" s="2">
        <f t="shared" si="5"/>
        <v>0</v>
      </c>
      <c r="M20" s="4">
        <f t="shared" si="6"/>
        <v>0</v>
      </c>
      <c r="N20" s="4">
        <f t="shared" si="7"/>
        <v>0</v>
      </c>
      <c r="O20" s="2">
        <f t="shared" si="9"/>
        <v>-1.7878368551956871</v>
      </c>
      <c r="P20" s="2">
        <f t="shared" si="8"/>
        <v>0</v>
      </c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25">
      <c r="A21" s="8">
        <v>13</v>
      </c>
      <c r="B21" s="10"/>
      <c r="C21" s="12"/>
      <c r="D21" s="12"/>
      <c r="E21" s="12"/>
      <c r="F21" s="12"/>
      <c r="G21" s="9" t="str">
        <f t="shared" si="0"/>
        <v>@&lt;d'</v>
      </c>
      <c r="I21" s="2">
        <f t="shared" ref="I21:I23" si="10">F21*COS(C21+D21/60)</f>
        <v>0</v>
      </c>
      <c r="J21" s="3">
        <f>IF(B20="N",ABS(I21),0)</f>
        <v>0</v>
      </c>
      <c r="K21" s="3">
        <f>-IF(B20="s",ABS(I21),0)</f>
        <v>0</v>
      </c>
      <c r="L21" s="2">
        <f t="shared" ref="L21:L23" si="11">F21*SIN(C21+D21/60)</f>
        <v>0</v>
      </c>
      <c r="M21" s="4">
        <f t="shared" ref="M21:M23" si="12">IF(E21="E",ABS(L21),0)</f>
        <v>0</v>
      </c>
      <c r="N21" s="4">
        <f t="shared" ref="N21:N23" si="13">-IF(E21="w",ABS(L21),0)</f>
        <v>0</v>
      </c>
      <c r="O21" s="2">
        <f t="shared" si="9"/>
        <v>-1.7878368551956871</v>
      </c>
      <c r="P21" s="2">
        <f t="shared" si="8"/>
        <v>0</v>
      </c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25">
      <c r="A22" s="8">
        <v>14</v>
      </c>
      <c r="B22" s="12"/>
      <c r="C22" s="12"/>
      <c r="D22" s="12"/>
      <c r="E22" s="12"/>
      <c r="F22" s="12"/>
      <c r="G22" s="9" t="str">
        <f t="shared" si="0"/>
        <v>@&lt;d'</v>
      </c>
      <c r="I22" s="2">
        <f t="shared" si="10"/>
        <v>0</v>
      </c>
      <c r="J22" s="3">
        <f t="shared" ref="J22:J23" si="14">IF(B22="N",ABS(I22),0)</f>
        <v>0</v>
      </c>
      <c r="K22" s="3">
        <f t="shared" ref="K22:K23" si="15">-IF(B22="s",ABS(I22),0)</f>
        <v>0</v>
      </c>
      <c r="L22" s="2">
        <f t="shared" si="11"/>
        <v>0</v>
      </c>
      <c r="M22" s="4">
        <f t="shared" si="12"/>
        <v>0</v>
      </c>
      <c r="N22" s="4">
        <f t="shared" si="13"/>
        <v>0</v>
      </c>
      <c r="O22" s="2">
        <f t="shared" si="9"/>
        <v>-1.7878368551956871</v>
      </c>
      <c r="P22" s="2">
        <f t="shared" si="8"/>
        <v>0</v>
      </c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25">
      <c r="A23" s="8">
        <v>15</v>
      </c>
      <c r="B23" s="13"/>
      <c r="C23" s="13"/>
      <c r="D23" s="13"/>
      <c r="E23" s="13"/>
      <c r="F23" s="13"/>
      <c r="G23" s="9" t="str">
        <f t="shared" si="0"/>
        <v>@&lt;d'</v>
      </c>
      <c r="I23" s="2">
        <f t="shared" si="10"/>
        <v>0</v>
      </c>
      <c r="J23" s="3">
        <f t="shared" si="14"/>
        <v>0</v>
      </c>
      <c r="K23" s="3">
        <f t="shared" si="15"/>
        <v>0</v>
      </c>
      <c r="L23" s="2">
        <f t="shared" si="11"/>
        <v>0</v>
      </c>
      <c r="M23" s="4">
        <f t="shared" si="12"/>
        <v>0</v>
      </c>
      <c r="N23" s="4">
        <f t="shared" si="13"/>
        <v>0</v>
      </c>
      <c r="O23" s="2">
        <f t="shared" si="9"/>
        <v>-1.7878368551956871</v>
      </c>
      <c r="P23" s="2">
        <f t="shared" si="8"/>
        <v>0</v>
      </c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8.5" customHeight="1" x14ac:dyDescent="0.25">
      <c r="A24" s="23" t="s">
        <v>28</v>
      </c>
      <c r="B24" s="23"/>
      <c r="C24" s="23"/>
      <c r="D24" s="23"/>
      <c r="E24" s="23"/>
      <c r="F24" s="23"/>
      <c r="G24" s="23"/>
      <c r="J24" s="3">
        <f>SUM(J9:J23)</f>
        <v>18.977804536734936</v>
      </c>
      <c r="K24" s="3">
        <f>SUM(K9:K23)</f>
        <v>-18.815691488805367</v>
      </c>
      <c r="M24" s="4">
        <f>SUM(M9:M23)</f>
        <v>14.195954068020697</v>
      </c>
      <c r="N24" s="4">
        <f>SUM(N9:N23)</f>
        <v>-15.089872495618543</v>
      </c>
      <c r="P24" s="2">
        <f>SUM(P9:P23)</f>
        <v>-416.6886175507683</v>
      </c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25">
      <c r="A25" s="24">
        <f>ABS(P24)/2</f>
        <v>208.34430877538415</v>
      </c>
      <c r="B25" s="24"/>
      <c r="C25" s="24"/>
      <c r="D25" s="24"/>
      <c r="E25" s="24"/>
      <c r="F25" s="24"/>
      <c r="G25" s="7" t="s">
        <v>14</v>
      </c>
      <c r="R25" s="17"/>
      <c r="S25" s="17"/>
      <c r="T25" s="17"/>
      <c r="U25" s="17"/>
      <c r="V25" s="17"/>
      <c r="W25" s="17"/>
      <c r="X25" s="17"/>
      <c r="Y25" s="17"/>
      <c r="Z25" s="17"/>
    </row>
    <row r="26" spans="1:26" s="17" customFormat="1" x14ac:dyDescent="0.25">
      <c r="H26" s="18"/>
      <c r="I26" s="18"/>
      <c r="J26" s="18"/>
      <c r="K26" s="18"/>
      <c r="L26" s="18"/>
      <c r="M26" s="18"/>
      <c r="N26" s="18"/>
      <c r="O26" s="18"/>
      <c r="P26" s="18"/>
      <c r="Q26" s="19"/>
    </row>
  </sheetData>
  <sheetProtection algorithmName="SHA-512" hashValue="KWQwqE9JRRtJPAYpDgHvvlei3KQCxKNt3l11N0uCc1fFoTYcAdPG7nuMe/U1p/7J/Od6tiE9FfyNRbODwmlwjA==" saltValue="8Z6z3rq8hHIgIjh5N7g1fA==" spinCount="100000" sheet="1" scenarios="1"/>
  <mergeCells count="18">
    <mergeCell ref="S2:X17"/>
    <mergeCell ref="D3:G3"/>
    <mergeCell ref="D4:G4"/>
    <mergeCell ref="D5:G5"/>
    <mergeCell ref="D6:G6"/>
    <mergeCell ref="D7:G7"/>
    <mergeCell ref="A24:G24"/>
    <mergeCell ref="A25:F25"/>
    <mergeCell ref="J8:K8"/>
    <mergeCell ref="M8:N8"/>
    <mergeCell ref="A1:D2"/>
    <mergeCell ref="E1:G1"/>
    <mergeCell ref="E2:G2"/>
    <mergeCell ref="A3:C3"/>
    <mergeCell ref="A4:C4"/>
    <mergeCell ref="A7:C7"/>
    <mergeCell ref="A5:C5"/>
    <mergeCell ref="A6:C6"/>
  </mergeCells>
  <phoneticPr fontId="3" type="noConversion"/>
  <dataValidations disablePrompts="1" count="2">
    <dataValidation type="list" allowBlank="1" showInputMessage="1" showErrorMessage="1" sqref="B9:B14" xr:uid="{00000000-0002-0000-0000-000000000000}">
      <formula1>$Q$9:$Q$10</formula1>
    </dataValidation>
    <dataValidation type="list" allowBlank="1" showInputMessage="1" showErrorMessage="1" sqref="E9:E14" xr:uid="{00000000-0002-0000-0000-000001000000}">
      <formula1>$Q$11:$Q$12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 PLOTTER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</dc:creator>
  <cp:lastModifiedBy>Richard Gonzaga</cp:lastModifiedBy>
  <dcterms:created xsi:type="dcterms:W3CDTF">2015-02-26T07:34:58Z</dcterms:created>
  <dcterms:modified xsi:type="dcterms:W3CDTF">2023-02-17T03:28:29Z</dcterms:modified>
</cp:coreProperties>
</file>