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binary" PartName="/xl/metadata"/>
  <Override ContentType="application/binary" PartName="/xl/commentsmeta0"/>
  <Override ContentType="application/binary" PartName="/xl/commentsmeta1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ABOR PRODUCTIVITY" sheetId="1" r:id="rId4"/>
    <sheet state="visible" name="MANHOUR EQUIVALENT" sheetId="2" r:id="rId5"/>
    <sheet state="visible" name="LABOR CALCULATOR" sheetId="3" r:id="rId6"/>
    <sheet state="hidden" name="CALCULATIONS" sheetId="4" r:id="rId7"/>
    <sheet state="hidden" name="EST. SHEET" sheetId="5" r:id="rId8"/>
    <sheet state="visible" name="EQUIPMENT" sheetId="6" r:id="rId9"/>
    <sheet state="visible" name="BONUS DATA - STEEL ERECTION" sheetId="7" r:id="rId10"/>
  </sheets>
  <definedNames/>
  <calcPr/>
  <extLst>
    <ext uri="GoogleSheetsCustomDataVersion1">
      <go:sheetsCustomData xmlns:go="http://customooxmlschemas.google.com/" r:id="rId11" roundtripDataSignature="AMtx7mi5DOcxU3Gr2EGCRE13omll8sKFXw=="/>
    </ext>
  </extLst>
</workbook>
</file>

<file path=xl/comments1.xml><?xml version="1.0" encoding="utf-8"?>
<comments xmlns:r="http://schemas.openxmlformats.org/officeDocument/2006/relationships" xmlns="http://schemas.openxmlformats.org/spreadsheetml/2006/main">
  <authors>
    <author/>
  </authors>
  <commentList>
    <comment authorId="0" ref="J2">
      <text>
        <t xml:space="preserve">======
ID#AAAAt0TWdZM
Richard Gonzaga    (2023-04-19 10:49:18)
SELECT YOUR AREA AND MANPOWER @ SHEET 2</t>
      </text>
    </comment>
  </commentList>
  <extLst>
    <ext uri="GoogleSheetsCustomDataVersion1">
      <go:sheetsCustomData xmlns:go="http://customooxmlschemas.google.com/" r:id="rId1" roundtripDataSignature="AMtx7miakHB1UXVmC8GYPag1bp0hDHI28w=="/>
    </ext>
  </extLst>
</comments>
</file>

<file path=xl/comments2.xml><?xml version="1.0" encoding="utf-8"?>
<comments xmlns:r="http://schemas.openxmlformats.org/officeDocument/2006/relationships" xmlns="http://schemas.openxmlformats.org/spreadsheetml/2006/main">
  <authors>
    <author/>
  </authors>
  <commentList>
    <comment authorId="0" ref="D2">
      <text>
        <t xml:space="preserve">======
ID#AAAAt0TWdZI
Richard Gonzaga    (2023-04-19 10:49:18)
SELECT YOUR AREA AND MANPOWER @ SHEET 2</t>
      </text>
    </comment>
  </commentList>
  <extLst>
    <ext uri="GoogleSheetsCustomDataVersion1">
      <go:sheetsCustomData xmlns:go="http://customooxmlschemas.google.com/" r:id="rId1" roundtripDataSignature="AMtx7mjST8pqVMMvHIlFDQPBXS7MCV+17g=="/>
    </ext>
  </extLst>
</comments>
</file>

<file path=xl/sharedStrings.xml><?xml version="1.0" encoding="utf-8"?>
<sst xmlns="http://schemas.openxmlformats.org/spreadsheetml/2006/main" count="1699" uniqueCount="562">
  <si>
    <t>ACTIVITIES</t>
  </si>
  <si>
    <t>OUTPUT PER HOUR</t>
  </si>
  <si>
    <t>MANHOUR EQUIVALENT</t>
  </si>
  <si>
    <t>EQUIVALENT LABOR COST</t>
  </si>
  <si>
    <t>ITEM NO.</t>
  </si>
  <si>
    <t>WORK DESCRIPTION</t>
  </si>
  <si>
    <t>3 WORKER PRODUCTIVITY RATE</t>
  </si>
  <si>
    <t>SLOW</t>
  </si>
  <si>
    <t>UNIT</t>
  </si>
  <si>
    <t>AVERAGE</t>
  </si>
  <si>
    <t>FAST</t>
  </si>
  <si>
    <t>PESOS PER</t>
  </si>
  <si>
    <t>A.</t>
  </si>
  <si>
    <t>FORM WORKS INSTALLATION</t>
  </si>
  <si>
    <t>WALL ON THE GROUND</t>
  </si>
  <si>
    <t>WALL ABOVER GROUND</t>
  </si>
  <si>
    <t>BEAMS</t>
  </si>
  <si>
    <t>COLUMN</t>
  </si>
  <si>
    <t>SUSPENDED SLAB</t>
  </si>
  <si>
    <t>0 TO 18'</t>
  </si>
  <si>
    <t>18' TO 36' UP</t>
  </si>
  <si>
    <t>ELEVATED AND SHORED SLAB FORMING</t>
  </si>
  <si>
    <t>FORMING ONLY</t>
  </si>
  <si>
    <t>FORMING AND SHORING</t>
  </si>
  <si>
    <t>WOOD WALL AND PARTITION</t>
  </si>
  <si>
    <t>B.</t>
  </si>
  <si>
    <t>FORMWORKS FABRICATION</t>
  </si>
  <si>
    <t>C.</t>
  </si>
  <si>
    <t>STRIPPING OF FORMS</t>
  </si>
  <si>
    <t>WALL ON GROUND</t>
  </si>
  <si>
    <t>WALL ABOVE 10'</t>
  </si>
  <si>
    <t>COLUMNS</t>
  </si>
  <si>
    <t>STRIP OF FORMS</t>
  </si>
  <si>
    <t>FLOOR SLAB AT GRADE STRIP OF FORMS</t>
  </si>
  <si>
    <t xml:space="preserve"> </t>
  </si>
  <si>
    <t>D</t>
  </si>
  <si>
    <t>INSTALLION OF CARPENTRY WORKS</t>
  </si>
  <si>
    <t>PLYWOOD PARTITION</t>
  </si>
  <si>
    <t>T &amp; G FLOORING AND SHORING</t>
  </si>
  <si>
    <t>CEILING FRAME</t>
  </si>
  <si>
    <t>SIDING FRAME</t>
  </si>
  <si>
    <t>FLOORING FRAME</t>
  </si>
  <si>
    <t>WOODEN POSS ERECTION</t>
  </si>
  <si>
    <t>TRUSS FABRICATION</t>
  </si>
  <si>
    <t>TRUSS INSTALLATION</t>
  </si>
  <si>
    <t>GIRTS INSTALLTION</t>
  </si>
  <si>
    <t>PLATES INSTALLATION</t>
  </si>
  <si>
    <t>PURLINS INSTALLATION</t>
  </si>
  <si>
    <t>FASCIA BOARD INSTALLATION</t>
  </si>
  <si>
    <t>1/4" or 3/4" thk PLYWOOD</t>
  </si>
  <si>
    <t>CUTTING BY MANUAL</t>
  </si>
  <si>
    <t>ASSEMBLY</t>
  </si>
  <si>
    <t>CEILNG:</t>
  </si>
  <si>
    <t>FRAME INSTALLATION</t>
  </si>
  <si>
    <t>PLYWOOD INSTALLLATION</t>
  </si>
  <si>
    <t>CABINET BOARDING</t>
  </si>
  <si>
    <t>CABINET FRAMING</t>
  </si>
  <si>
    <t>WOOD WALL PARTITION</t>
  </si>
  <si>
    <t>PANEL WALL</t>
  </si>
  <si>
    <t>FORMING WEIGHT ANCHOR BOLT</t>
  </si>
  <si>
    <t>WET FORMING</t>
  </si>
  <si>
    <t>E.</t>
  </si>
  <si>
    <t>DOORS AND WINDOWS</t>
  </si>
  <si>
    <t>W-PANEL INSTALLATION</t>
  </si>
  <si>
    <t>STEEL WINDOWS INSTALLATION</t>
  </si>
  <si>
    <t>LOUVER WINDOWS INSTALLATION:</t>
  </si>
  <si>
    <t>FIXED ASBESTOS</t>
  </si>
  <si>
    <t>FIXED METAL LOUVERS</t>
  </si>
  <si>
    <t>FIXED GI SHEETS</t>
  </si>
  <si>
    <t>FIXED GLASS</t>
  </si>
  <si>
    <t>FIXED WOODEN</t>
  </si>
  <si>
    <t>ALUMINUM FRAME WINDOWS</t>
  </si>
  <si>
    <t>SLIDING GLASS DOOR</t>
  </si>
  <si>
    <t>HOLLOW METAL DOOR</t>
  </si>
  <si>
    <t>ROLLING DOORS</t>
  </si>
  <si>
    <t>FIXED WINDOW</t>
  </si>
  <si>
    <t>DOOR LOCKSET</t>
  </si>
  <si>
    <t>DOOR JAMB FABRICATION</t>
  </si>
  <si>
    <t>DOOR JAMB INSTALLATION</t>
  </si>
  <si>
    <t>CYCLONE WIRE INSTALLATION</t>
  </si>
  <si>
    <t>F.</t>
  </si>
  <si>
    <t>TRADE MASONRY WORKS</t>
  </si>
  <si>
    <t>GROUTING and TOL PLASTERING</t>
  </si>
  <si>
    <t>PEBBLE FINISHED</t>
  </si>
  <si>
    <t>MABLE INSTALLATION</t>
  </si>
  <si>
    <t>1/4"  x 2' x 8" RED BRICKS</t>
  </si>
  <si>
    <t>GLAZED TILES</t>
  </si>
  <si>
    <t>UNGLAZED TILES</t>
  </si>
  <si>
    <t>GLAZED TILE WALL</t>
  </si>
  <si>
    <t>CONC. BLOCK INT. WALL</t>
  </si>
  <si>
    <t>CONC. BLOCK EXT. WALL</t>
  </si>
  <si>
    <t>BRICKWORK</t>
  </si>
  <si>
    <t>PLASTER WALL AND CEILING</t>
  </si>
  <si>
    <t>HOLLOW TILE WALL</t>
  </si>
  <si>
    <t>ACOUSTICAL TILE WALL</t>
  </si>
  <si>
    <t>VINYL FLOOR TILE</t>
  </si>
  <si>
    <t>UNGLAZED OR MOSAIC FLOOR TILE</t>
  </si>
  <si>
    <t>LAYING OF CHB &amp; ADOBE</t>
  </si>
  <si>
    <t>CEMENT FINISH</t>
  </si>
  <si>
    <t>CONC. HOLLOW BLOCK LAYING:</t>
  </si>
  <si>
    <t>6" CHB</t>
  </si>
  <si>
    <t>4" CHB</t>
  </si>
  <si>
    <t>8" CHB</t>
  </si>
  <si>
    <t>VIT. TILES FLOOR</t>
  </si>
  <si>
    <t>VIT. TILES WALL</t>
  </si>
  <si>
    <t>G.</t>
  </si>
  <si>
    <t>TINSMITHING WORK</t>
  </si>
  <si>
    <t>CORR GI SHEETS:</t>
  </si>
  <si>
    <t>LIFTING</t>
  </si>
  <si>
    <t>INSTALLATION</t>
  </si>
  <si>
    <t>INSTALLATION OF ASBESTOS ROOFING</t>
  </si>
  <si>
    <t>INSTALLATION OF ALUMINUM GI SHEET</t>
  </si>
  <si>
    <t>COPPER CLADDING ROOF DECK</t>
  </si>
  <si>
    <t>FAB, GI GUTTER</t>
  </si>
  <si>
    <t>GI SHEET ROOFING</t>
  </si>
  <si>
    <t>FAB OF GI GUTTER</t>
  </si>
  <si>
    <t>FAB. GI DOWNSPOUT</t>
  </si>
  <si>
    <t>GUTTER CUT &amp; SHAPE</t>
  </si>
  <si>
    <t>INST. OF GUTTER</t>
  </si>
  <si>
    <t>DOWNSPOUT CUT AND SHAPE</t>
  </si>
  <si>
    <t>DOWNSPOUT INSTALLATION</t>
  </si>
  <si>
    <t>CORR. GI ROOFING</t>
  </si>
  <si>
    <t>CORR ALUMINUM ROOFING</t>
  </si>
  <si>
    <t>BUILT UP ROOFING 4 PLY</t>
  </si>
  <si>
    <t>PROTECTED METAL</t>
  </si>
  <si>
    <t>CORR. ASBESTOS INST., LIFTING &amp; HAULING</t>
  </si>
  <si>
    <t>LEADERS  &amp; GUTTERS</t>
  </si>
  <si>
    <t>H</t>
  </si>
  <si>
    <t>CONCRETE AND REBAR WORKS</t>
  </si>
  <si>
    <t>PLACING CONCRETE:</t>
  </si>
  <si>
    <t>SLAB ON FILL</t>
  </si>
  <si>
    <t>SLIP FORM</t>
  </si>
  <si>
    <t>FLR FINISH UNHARDENED</t>
  </si>
  <si>
    <t>CONC. FINISH HARDENED</t>
  </si>
  <si>
    <t>REBAR WORKS:</t>
  </si>
  <si>
    <t>GROUND FLR. INSTALLATION</t>
  </si>
  <si>
    <t>UPPER FLR. INSTALLATION</t>
  </si>
  <si>
    <t>FABRICATION</t>
  </si>
  <si>
    <t>MIXING MANUAL</t>
  </si>
  <si>
    <t>MIXING MACHINE</t>
  </si>
  <si>
    <t>MORE THAN 1.80 CU.M. POUR:</t>
  </si>
  <si>
    <t>CHUTE FROM TRUCK</t>
  </si>
  <si>
    <t>CRANE AND BUCKET</t>
  </si>
  <si>
    <t>WHEELING</t>
  </si>
  <si>
    <t>FINISHING</t>
  </si>
  <si>
    <t>CONCRETE POUR ON ELEVATED AND SHORED</t>
  </si>
  <si>
    <t>SLAB FORMING CHUTE &amp; BUCKET</t>
  </si>
  <si>
    <t>PLACEMENT OF REBARS ON FOOTING</t>
  </si>
  <si>
    <t>FIELD FABRICATION OF REBARS</t>
  </si>
  <si>
    <t>I.</t>
  </si>
  <si>
    <t>EARTH WORKS</t>
  </si>
  <si>
    <t>MACHINE EXCAVATION:</t>
  </si>
  <si>
    <t>SAND</t>
  </si>
  <si>
    <t>SAND AND MARL</t>
  </si>
  <si>
    <t>MARL</t>
  </si>
  <si>
    <t>GRANULAR BACKFILL</t>
  </si>
  <si>
    <t>GRANULAR SOIL BACKFILL</t>
  </si>
  <si>
    <t>MANUAL FOUNDATION EXCAVATION &amp; BACKFILL:</t>
  </si>
  <si>
    <t>EXCAVATION OF SAND &amp;MARL</t>
  </si>
  <si>
    <t>EXCAVATION OF MARL</t>
  </si>
  <si>
    <t>BACKFILL OF SAND</t>
  </si>
  <si>
    <t>BACKFILL OF SAND &amp;MARL</t>
  </si>
  <si>
    <t>BACKFILL OF MARL</t>
  </si>
  <si>
    <t>FLOOR SLAB &amp; GRADE:</t>
  </si>
  <si>
    <t>GRADING MANUAL</t>
  </si>
  <si>
    <t>EXCAVATION AND BACKFILL</t>
  </si>
  <si>
    <t>FINE GRADING &amp; FINISHING</t>
  </si>
  <si>
    <t>FINISHING SOIL SURFACE</t>
  </si>
  <si>
    <t>DIKES</t>
  </si>
  <si>
    <t>J</t>
  </si>
  <si>
    <t>ROAD WORKS</t>
  </si>
  <si>
    <t>BASE COURSE</t>
  </si>
  <si>
    <t>CURBS &amp; GUTTER</t>
  </si>
  <si>
    <t>4" THK ROAD</t>
  </si>
  <si>
    <t>6" THK ROAD</t>
  </si>
  <si>
    <t>8" THK ROAD</t>
  </si>
  <si>
    <t>TROWEL FINISH</t>
  </si>
  <si>
    <t>SPECIAL TOPPING</t>
  </si>
  <si>
    <t>4" STONE OR SHELL ROAD</t>
  </si>
  <si>
    <t>6" STONE OR SHELL ROAD</t>
  </si>
  <si>
    <t>8" STONE OR SHELL ROAD</t>
  </si>
  <si>
    <t>ACID PROOFING</t>
  </si>
  <si>
    <t>ASPHALT PAVING:</t>
  </si>
  <si>
    <t>PLACE BASE COURSE</t>
  </si>
  <si>
    <t xml:space="preserve">ASPHALT </t>
  </si>
  <si>
    <t>ACID BLOCK OR PAVING BLOCK:</t>
  </si>
  <si>
    <t>FIND GRADING</t>
  </si>
  <si>
    <t>INSTALL BRICK</t>
  </si>
  <si>
    <t>CRUSH STONE OR SHELL SURFACING</t>
  </si>
  <si>
    <t xml:space="preserve">FINE GRADING </t>
  </si>
  <si>
    <t>PLACE SPREAD AND COMPACT STONE TO 4"</t>
  </si>
  <si>
    <t>OVER 9" THK</t>
  </si>
  <si>
    <t>TANK CUSHION</t>
  </si>
  <si>
    <t>SAND CUSHION</t>
  </si>
  <si>
    <t>APHALT RETAINER RING</t>
  </si>
  <si>
    <t>NON GRANULAR BACKFILL</t>
  </si>
  <si>
    <t>EXCAVATION MANUAL:</t>
  </si>
  <si>
    <t>COMMON EARTH</t>
  </si>
  <si>
    <t>LOAN OF SAND</t>
  </si>
  <si>
    <t>CLAY OR HEAVY SOIL ROCK</t>
  </si>
  <si>
    <t xml:space="preserve">ROCK </t>
  </si>
  <si>
    <t>MECHANICAL EXCAVATION</t>
  </si>
  <si>
    <t>ROCK W/ JACKHAMMER</t>
  </si>
  <si>
    <t>BACKFILLING</t>
  </si>
  <si>
    <t>COMMON MANUAL</t>
  </si>
  <si>
    <t>GRAVEL FILL MANUAL</t>
  </si>
  <si>
    <t>TRENCHING AND BACKFILLING OF UNDERGROUND</t>
  </si>
  <si>
    <t>PIPING USING EXCAVATION MATERIALS MANUAL</t>
  </si>
  <si>
    <t>FROM 0 TO 2 MTRS. DEPTH</t>
  </si>
  <si>
    <t>2 TO 3</t>
  </si>
  <si>
    <t>3 TO 4</t>
  </si>
  <si>
    <t>4 TO 5</t>
  </si>
  <si>
    <t>PLACING BINDER GRAVEL</t>
  </si>
  <si>
    <t>ESCOMBRO BACKFILLING</t>
  </si>
  <si>
    <t>SPREADING, TAMPING AND GRADING</t>
  </si>
  <si>
    <t>MECHANICAL COMPACTION, PLATE COMPACTION</t>
  </si>
  <si>
    <t>MANUAL CLEARING AND GRUBBING</t>
  </si>
  <si>
    <t>CLEARING UNDERGROWTH AND TREES 12"</t>
  </si>
  <si>
    <t>CLEARING UNDERGROWTH AND SHRUBS</t>
  </si>
  <si>
    <t>DISPOSAL OF SOIL</t>
  </si>
  <si>
    <t>MAULING OF SOIL</t>
  </si>
  <si>
    <t>GRAVEL FILL</t>
  </si>
  <si>
    <t>EXCAVATION CRANE AND CLAMPSHELL</t>
  </si>
  <si>
    <t>.</t>
  </si>
  <si>
    <t>WITH 8-MEN AND 2 CARPENTERS</t>
  </si>
  <si>
    <t>K.</t>
  </si>
  <si>
    <t>TRADE: UNDERGROUND PIPING AND PLUMBING WORKS</t>
  </si>
  <si>
    <t>LAYING ASBESTOS PIPES:</t>
  </si>
  <si>
    <t>1//2Ø</t>
  </si>
  <si>
    <t>3/4" Ø</t>
  </si>
  <si>
    <t>1 1/4"</t>
  </si>
  <si>
    <t>1 1/2 TO 2" Ø</t>
  </si>
  <si>
    <t>2 1/2" Ø</t>
  </si>
  <si>
    <t>3" Ø</t>
  </si>
  <si>
    <t>3 1/2" Ø</t>
  </si>
  <si>
    <t>4" Ø</t>
  </si>
  <si>
    <t>CAST IRON PIPE</t>
  </si>
  <si>
    <t>2" Ø</t>
  </si>
  <si>
    <t>6" Ø</t>
  </si>
  <si>
    <t>8" Ø</t>
  </si>
  <si>
    <t>10" Ø</t>
  </si>
  <si>
    <t>12" Ø</t>
  </si>
  <si>
    <t>14" Ø</t>
  </si>
  <si>
    <t>16" Ø</t>
  </si>
  <si>
    <t>18" Ø</t>
  </si>
  <si>
    <t>20" Ø</t>
  </si>
  <si>
    <t>24" Ø</t>
  </si>
  <si>
    <t>30" Ø</t>
  </si>
  <si>
    <t>LAYING PVC PIPE</t>
  </si>
  <si>
    <t>1/2 TO 3/4" Ø</t>
  </si>
  <si>
    <t>1 TO 1 1/4" Ø</t>
  </si>
  <si>
    <t>5" Ø</t>
  </si>
  <si>
    <t>LAYING RCP 8 MEN (1 TEAM)</t>
  </si>
  <si>
    <t>24"Ø</t>
  </si>
  <si>
    <t>36"Ø</t>
  </si>
  <si>
    <t>48"Ø</t>
  </si>
  <si>
    <t>6-18"Ø</t>
  </si>
  <si>
    <t>LAVATORY</t>
  </si>
  <si>
    <t>WATER CLOSET</t>
  </si>
  <si>
    <t>URINAL UTILITY STALL</t>
  </si>
  <si>
    <t>URINAL PEDESTRAL TYPE</t>
  </si>
  <si>
    <t>SHOWER AND INSTALL</t>
  </si>
  <si>
    <t>5 MAN GROUP SHOWER</t>
  </si>
  <si>
    <t>BAH TUBS</t>
  </si>
  <si>
    <t>SLOPE SINK</t>
  </si>
  <si>
    <t>HOT WATER HEATER</t>
  </si>
  <si>
    <t>16 PERSON WASH SINK</t>
  </si>
  <si>
    <t>DRINKING FOUNTAIN</t>
  </si>
  <si>
    <t>EYE WASH</t>
  </si>
  <si>
    <t>MISC. FIXTURES</t>
  </si>
  <si>
    <t>PARTITIONS</t>
  </si>
  <si>
    <t>LAYING OF 24"Ø RCP</t>
  </si>
  <si>
    <t>LAYING OF 36"Ø RCP</t>
  </si>
  <si>
    <t>LAYING OF 48"Ø RCP</t>
  </si>
  <si>
    <t>L.</t>
  </si>
  <si>
    <t>TRADE INSULATION</t>
  </si>
  <si>
    <t>EQUIPMENT INSTALLATION</t>
  </si>
  <si>
    <t>VESSEL, EXCHANGE &amp; TANKS</t>
  </si>
  <si>
    <t>FIELD FABRICATION INSULATION</t>
  </si>
  <si>
    <t>FIELD FABRICATION SHEET METAL COVER</t>
  </si>
  <si>
    <t>APPLY INSULATION</t>
  </si>
  <si>
    <t>APPLY SHEET METAL COVER</t>
  </si>
  <si>
    <t>PUMPS, COMPRESSORS &amp; TURBINES</t>
  </si>
  <si>
    <t>FABRICATE</t>
  </si>
  <si>
    <t>APPLY</t>
  </si>
  <si>
    <t>PIPINGS AND COMPONENT INSULATION</t>
  </si>
  <si>
    <t>FIELD FABRICATE</t>
  </si>
  <si>
    <t>FIELD FABRICATESHEET METAL COVER</t>
  </si>
  <si>
    <t>APPLY SHEET METAL COVER OR METAL COVER</t>
  </si>
  <si>
    <t>FABRICATE INSTRUMENT COVER</t>
  </si>
  <si>
    <t>INSTALL INSTRUMENT COVER</t>
  </si>
  <si>
    <t>INSULATE PIPE HANGERS</t>
  </si>
  <si>
    <t>FOR STREAM TRACED LINES</t>
  </si>
  <si>
    <t>REMOVAL OF OLD OR EXISTING INSTALLATION</t>
  </si>
  <si>
    <t>M.</t>
  </si>
  <si>
    <t>TRADE:FIRE PROOFING</t>
  </si>
  <si>
    <t>INSTALL STUDS</t>
  </si>
  <si>
    <t>INSTALL MESH</t>
  </si>
  <si>
    <t>POURED</t>
  </si>
  <si>
    <t>FORMING</t>
  </si>
  <si>
    <t>STRIP FORMS</t>
  </si>
  <si>
    <t>POUR CONCRETE</t>
  </si>
  <si>
    <t>CURING/PATCHING</t>
  </si>
  <si>
    <t>TROWEL, PLASTERED</t>
  </si>
  <si>
    <t>PNEUMATIC APPLICATION</t>
  </si>
  <si>
    <t>GUNITE</t>
  </si>
  <si>
    <t>APPLY FINEBRICK OR BLOCK</t>
  </si>
  <si>
    <t>REMOVAL OF EXISTING OR OLD FIREPROOFING</t>
  </si>
  <si>
    <t>APPLY FIREPROOFING PAINT</t>
  </si>
  <si>
    <t>FIRE PROTERCTION:</t>
  </si>
  <si>
    <t>FIRE PROTECTION EQUIPMENT INSTALLATION:</t>
  </si>
  <si>
    <t>MONITOR</t>
  </si>
  <si>
    <t>HOSE REELS AND CARTS</t>
  </si>
  <si>
    <t>FIRE EXTINGUISHERS</t>
  </si>
  <si>
    <t>PERSONAL EQUIPMENT:</t>
  </si>
  <si>
    <t>SAFETY SHOWERS</t>
  </si>
  <si>
    <t>BREATHING APPARATUS</t>
  </si>
  <si>
    <t>SPRINKLER SYSTEM</t>
  </si>
  <si>
    <t>SPRAY NOZZLES</t>
  </si>
  <si>
    <t>WATER CANNONS</t>
  </si>
  <si>
    <t>N.</t>
  </si>
  <si>
    <t>TRADE:PERMANENT FENCING</t>
  </si>
  <si>
    <t>INSTALL FENCE</t>
  </si>
  <si>
    <t>INSTALL GATES</t>
  </si>
  <si>
    <t>TO RAIL</t>
  </si>
  <si>
    <t>BARBE WIRE, 3 STRANDS</t>
  </si>
  <si>
    <t>O.</t>
  </si>
  <si>
    <t>TRADE:PAINTING WORKS</t>
  </si>
  <si>
    <t>NEW STRUCTURAL STEEL</t>
  </si>
  <si>
    <t>OLD STRUCTURAL STEEL</t>
  </si>
  <si>
    <t>NEW FLAT FLAT PLATES</t>
  </si>
  <si>
    <t>SURFACE PREPARATION:</t>
  </si>
  <si>
    <t>IN TERMS OF WEIGHT</t>
  </si>
  <si>
    <t>IN TERMS OF AREA</t>
  </si>
  <si>
    <t>SAND PREPARATION</t>
  </si>
  <si>
    <t>P.</t>
  </si>
  <si>
    <t>TRADE:HEATING VENTILATING AND CONDITIONING</t>
  </si>
  <si>
    <t>HEAVY PIPING</t>
  </si>
  <si>
    <t>DUCT WORK INSTALL</t>
  </si>
  <si>
    <t>DUCT WORK FAB.</t>
  </si>
  <si>
    <t>PACKAGE UNIT AIR CONDITIONER</t>
  </si>
  <si>
    <t>UNIT HEATER</t>
  </si>
  <si>
    <t>FINNED CONVERTER</t>
  </si>
  <si>
    <t>EXHAUST FAN PROPELLER</t>
  </si>
  <si>
    <t>GRAVITY ROOF PAINT</t>
  </si>
  <si>
    <t>POWER ROOF VENT</t>
  </si>
  <si>
    <t>ROUND ROOF VENT</t>
  </si>
  <si>
    <t>PLUMBING PIPING</t>
  </si>
  <si>
    <t>Q.</t>
  </si>
  <si>
    <t>MISCELLANEOUS</t>
  </si>
  <si>
    <t>WATER STOP INSTALLATION</t>
  </si>
  <si>
    <t>CAULKING SLAB JOINT</t>
  </si>
  <si>
    <t>ASPHALTING</t>
  </si>
  <si>
    <t>GROUTNG AND TOOL PLASTERING</t>
  </si>
  <si>
    <t>WATER PROOFING RUBBERIZED</t>
  </si>
  <si>
    <t>WATER PROOFING FLINKOTE</t>
  </si>
  <si>
    <t>DEMOLITION OF ADOBE WALL</t>
  </si>
  <si>
    <t>PAINTING</t>
  </si>
  <si>
    <t>COPPER WATER STOP CUT AND SHAPE</t>
  </si>
  <si>
    <t>COPPER WATER STOP CUT AND INSTALLATION</t>
  </si>
  <si>
    <t>SETTING ANCHOR BOLT</t>
  </si>
  <si>
    <t>SETTING ANCHOR BOXES</t>
  </si>
  <si>
    <t>MANHOUR EQUIVALENT RATE</t>
  </si>
  <si>
    <t>Table of Rates</t>
  </si>
  <si>
    <t>Area</t>
  </si>
  <si>
    <t>Position</t>
  </si>
  <si>
    <t>Foreman</t>
  </si>
  <si>
    <t>Skilled</t>
  </si>
  <si>
    <t>Labor</t>
  </si>
  <si>
    <t>NCR</t>
  </si>
  <si>
    <t>CAR</t>
  </si>
  <si>
    <t>Region 1</t>
  </si>
  <si>
    <t>Region 2</t>
  </si>
  <si>
    <t>Region 3</t>
  </si>
  <si>
    <t>(Drop-Down List)</t>
  </si>
  <si>
    <t>Region 4A</t>
  </si>
  <si>
    <t>CHOOSE RATE  :</t>
  </si>
  <si>
    <t>Total Daily Rate</t>
  </si>
  <si>
    <t>Hourly Pay</t>
  </si>
  <si>
    <t>Region 4B</t>
  </si>
  <si>
    <t>Quantity</t>
  </si>
  <si>
    <t>Rate</t>
  </si>
  <si>
    <t>Region 5</t>
  </si>
  <si>
    <t>Region 6</t>
  </si>
  <si>
    <t>Region 7</t>
  </si>
  <si>
    <t>Region 8</t>
  </si>
  <si>
    <t>Total Rate per Manhour =</t>
  </si>
  <si>
    <t>Region 9</t>
  </si>
  <si>
    <t>Region 10</t>
  </si>
  <si>
    <t>NOTE : 
    You can change the quantities of the manpower per position and their respective rates in the Table.</t>
  </si>
  <si>
    <t>Region 11</t>
  </si>
  <si>
    <t>Region 12</t>
  </si>
  <si>
    <t>Region 13</t>
  </si>
  <si>
    <t>BARMM</t>
  </si>
  <si>
    <t>INPUT HERE</t>
  </si>
  <si>
    <t>choose labor productivity rate BELOW</t>
  </si>
  <si>
    <t>TOTAL COST</t>
  </si>
  <si>
    <t>LABOR PRODUCTIVITY</t>
  </si>
  <si>
    <t>QUANTITY</t>
  </si>
  <si>
    <t>RATE PER UNIT</t>
  </si>
  <si>
    <t>TOTAL LABOR COST   =</t>
  </si>
  <si>
    <t>LOW</t>
  </si>
  <si>
    <t>MANHOURS PER QUANTITY (M.H./UNIT)</t>
  </si>
  <si>
    <t>HIGH</t>
  </si>
  <si>
    <t>SQ.M.</t>
  </si>
  <si>
    <t>PC</t>
  </si>
  <si>
    <t>B.F.</t>
  </si>
  <si>
    <t>S.F.</t>
  </si>
  <si>
    <t>PC.</t>
  </si>
  <si>
    <t>EACH</t>
  </si>
  <si>
    <t>SET</t>
  </si>
  <si>
    <t>SHT.</t>
  </si>
  <si>
    <t>L.M.</t>
  </si>
  <si>
    <t>CU.M.</t>
  </si>
  <si>
    <t>KGS</t>
  </si>
  <si>
    <t>PIPE</t>
  </si>
  <si>
    <t>S.M.</t>
  </si>
  <si>
    <t>FLG.</t>
  </si>
  <si>
    <t>TON</t>
  </si>
  <si>
    <t>KG</t>
  </si>
  <si>
    <t>UNIT COST DERIVATION FORM</t>
  </si>
  <si>
    <t>PROJECT TITLE:</t>
  </si>
  <si>
    <t>LOCATION:</t>
  </si>
  <si>
    <t>ITEM OF WORK:</t>
  </si>
  <si>
    <t>ESTIMATED QUANTITIES:</t>
  </si>
  <si>
    <t>UNIT:</t>
  </si>
  <si>
    <t>MATERIALS:</t>
  </si>
  <si>
    <t>DESCRIPTION</t>
  </si>
  <si>
    <t>QTY.</t>
  </si>
  <si>
    <t>UNIT COST</t>
  </si>
  <si>
    <t>AMOUNT</t>
  </si>
  <si>
    <t>LABOR/MANPOWER:</t>
  </si>
  <si>
    <t>NO.</t>
  </si>
  <si>
    <t>NO.-DAYS</t>
  </si>
  <si>
    <t>DAILY RATE</t>
  </si>
  <si>
    <t>EQUIPMENT/TOOLS:</t>
  </si>
  <si>
    <t>HOURLY RATE</t>
  </si>
  <si>
    <t>TOTAL DIRECT COST (A+B+C)</t>
  </si>
  <si>
    <t>E</t>
  </si>
  <si>
    <t>O.C.M. (% of D)</t>
  </si>
  <si>
    <t>F</t>
  </si>
  <si>
    <t>CONTRACTIRS PROFIT (% OF D)</t>
  </si>
  <si>
    <t>G</t>
  </si>
  <si>
    <t>VAT (10% Oof B+C)</t>
  </si>
  <si>
    <t>TOTAL COST (D+E+F+G)</t>
  </si>
  <si>
    <t>I</t>
  </si>
  <si>
    <t>UNIT COST ( DIRECT)</t>
  </si>
  <si>
    <t xml:space="preserve">       PROBABLE OUTPUT OF HEAVY EQUIPMENT</t>
  </si>
  <si>
    <t>EQUIPMENT</t>
  </si>
  <si>
    <t>PROBABLE OUTPUT</t>
  </si>
  <si>
    <t>Clearing &amp; Grubbing</t>
  </si>
  <si>
    <t>Lot Grading (Cut &amp; Fill) m3</t>
  </si>
  <si>
    <t>Trench Excavation</t>
  </si>
  <si>
    <t>Disposal of Unsuitable Materials m3-km</t>
  </si>
  <si>
    <t>Road way Excavation (m3)</t>
  </si>
  <si>
    <t>Embankment/Imported Backfill (m3)</t>
  </si>
  <si>
    <t>Subgrade Preparation (m2)</t>
  </si>
  <si>
    <t>Aggregate Sub-base Course (m3)</t>
  </si>
  <si>
    <t>Aggregate Base Course (m3)</t>
  </si>
  <si>
    <t>Bituminous Asphalt Pavement (MT)</t>
  </si>
  <si>
    <t>Concrete Pavement (m3)</t>
  </si>
  <si>
    <t>A.1</t>
  </si>
  <si>
    <t>EXCAVATOR 200</t>
  </si>
  <si>
    <t>Excavation</t>
  </si>
  <si>
    <t>cu.m./hr.</t>
  </si>
  <si>
    <t>hr/m³</t>
  </si>
  <si>
    <t>sq.m./hr</t>
  </si>
  <si>
    <t>hr/m²</t>
  </si>
  <si>
    <t>DOZER 165 HP</t>
  </si>
  <si>
    <t>Cutting &amp; Stockpiling</t>
  </si>
  <si>
    <t>A.2</t>
  </si>
  <si>
    <t>DOZER D65P-7</t>
  </si>
  <si>
    <t>m3/hr</t>
  </si>
  <si>
    <t>Stripping</t>
  </si>
  <si>
    <t>Quarrying</t>
  </si>
  <si>
    <t>Pushing</t>
  </si>
  <si>
    <t>B.1</t>
  </si>
  <si>
    <t>LOADER -1.91 CU.M.</t>
  </si>
  <si>
    <t>Loading</t>
  </si>
  <si>
    <t>B.2</t>
  </si>
  <si>
    <t>LOADER 950</t>
  </si>
  <si>
    <t>DUMP TRUCK - 10 CU.M.</t>
  </si>
  <si>
    <t>Hauling (dist. = 600M)</t>
  </si>
  <si>
    <t>D.</t>
  </si>
  <si>
    <t>GRADER- 130G</t>
  </si>
  <si>
    <t>10 Passes</t>
  </si>
  <si>
    <t>Subgrading</t>
  </si>
  <si>
    <t>Spreading</t>
  </si>
  <si>
    <t>E.1</t>
  </si>
  <si>
    <t>ROLLER VIBRATORY</t>
  </si>
  <si>
    <t>MT/hr</t>
  </si>
  <si>
    <t>SHEETS FOOT ROLLER</t>
  </si>
  <si>
    <t>Static Rolling 12 passes-15m3 lift</t>
  </si>
  <si>
    <t>Vibratory Rolling-4 pases-15m3 lift</t>
  </si>
  <si>
    <t>No.3W Road Roller-static rolling</t>
  </si>
  <si>
    <t>4 passes-15 m3 lift</t>
  </si>
  <si>
    <t>Tractor Drawn Roller (1-d)</t>
  </si>
  <si>
    <t>Static Rolling 6 passes-20m3 lift</t>
  </si>
  <si>
    <t>Tandem Roller-static rolling</t>
  </si>
  <si>
    <t>6 passes-20 m3 lift</t>
  </si>
  <si>
    <t>E.2</t>
  </si>
  <si>
    <t>VIBRATORY COMPACTOR CA25D</t>
  </si>
  <si>
    <t>WATER TRUCK - 10 CU.M.</t>
  </si>
  <si>
    <t>Watering</t>
  </si>
  <si>
    <t>ASPHALT PAVER</t>
  </si>
  <si>
    <t>ASPHALT DISTRIBUTOR</t>
  </si>
  <si>
    <t>SPRAYING PHALT</t>
  </si>
  <si>
    <t>PLATE COMPACTOR</t>
  </si>
  <si>
    <t>Grave Bedding</t>
  </si>
  <si>
    <t>Concrete Vibrator:</t>
  </si>
  <si>
    <t>Vibrating Concrete</t>
  </si>
  <si>
    <t>Asphalt prime coat, SS-1 (.042 drum/mt)</t>
  </si>
  <si>
    <t>drums</t>
  </si>
  <si>
    <t>Note:1MT of asphalt conc. Covers 8 m2</t>
  </si>
  <si>
    <t xml:space="preserve">of pavement 2" thick or 0.43 m3 of asphalt </t>
  </si>
  <si>
    <t>concrete</t>
  </si>
  <si>
    <t>Coverage = 2.33 MT/CM</t>
  </si>
  <si>
    <t>Bitumil = 0.70 ltr/sq, 200 ltr/drum</t>
  </si>
  <si>
    <t>STRIPPING OF METAL FORMS</t>
  </si>
  <si>
    <t>MANHOURS PER SQ. METER OF CONTACT AREA</t>
  </si>
  <si>
    <t>WOOD SHORES 215 TO 316 FLOORS</t>
  </si>
  <si>
    <t>FORM HEIGHT</t>
  </si>
  <si>
    <t>(METER)</t>
  </si>
  <si>
    <t>5 TO 6</t>
  </si>
  <si>
    <t>6 TO 7</t>
  </si>
  <si>
    <t>7 TO 8</t>
  </si>
  <si>
    <t>WOOD SHORES 368 TO 419 FLOORS</t>
  </si>
  <si>
    <t>CREW:</t>
  </si>
  <si>
    <t>TOOLS:</t>
  </si>
  <si>
    <t>CARPENTER LEAD MAN</t>
  </si>
  <si>
    <t>ONE LOT CARPENTRY TOOLS</t>
  </si>
  <si>
    <t>CARPENTERS</t>
  </si>
  <si>
    <t>TOOLS HOUR</t>
  </si>
  <si>
    <t>HELPERS</t>
  </si>
  <si>
    <t>MANDAYS</t>
  </si>
  <si>
    <t>MANHOURS</t>
  </si>
  <si>
    <t>STEEL ERECTION FOR MULTI STOREY BUILDING FRAME</t>
  </si>
  <si>
    <t>PREFAB SECTIONS, HIGHLY MECHANIZED OPERATION</t>
  </si>
  <si>
    <t>MANHOURS &amp; EQUIPMENTHOUR PER TON ERECTED:</t>
  </si>
  <si>
    <t>MAN-HOURS</t>
  </si>
  <si>
    <t>EQUIPMENT-HOURS</t>
  </si>
  <si>
    <t>MEDIUM FRAME</t>
  </si>
  <si>
    <t>HEAVY FRAME</t>
  </si>
  <si>
    <t>STEEL JOIST</t>
  </si>
  <si>
    <t xml:space="preserve"> LEAD MAN</t>
  </si>
  <si>
    <t>TOWER CRANE</t>
  </si>
  <si>
    <t>RIGGERS</t>
  </si>
  <si>
    <t>WELDING TRANSFORMER</t>
  </si>
  <si>
    <t>FITTERS</t>
  </si>
  <si>
    <t>LOT TOOLS</t>
  </si>
  <si>
    <t>WELDERS</t>
  </si>
  <si>
    <t>TOOL HOURS</t>
  </si>
  <si>
    <t>CRANE OPERATOR</t>
  </si>
  <si>
    <t>MATERIALS : A36 WELDED CONNECTION</t>
  </si>
  <si>
    <t>STEEL ERECTION FOR COMMERCIAL AND MILL BUILDING FRAME</t>
  </si>
  <si>
    <t>COMMERCIAL TYPE BUILDING:</t>
  </si>
  <si>
    <t>LIGHT FRAME</t>
  </si>
  <si>
    <t>MILL TYPE BUILDING:</t>
  </si>
  <si>
    <t>20 TON TOWER CRANE</t>
  </si>
  <si>
    <t>CUTTING OUTFIT</t>
  </si>
  <si>
    <t>EQPT. DAYS</t>
  </si>
  <si>
    <t>EQPT. HOURS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</si>
</sst>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_(* #,##0.00_);_(* \(#,##0.00\);_(* &quot;-&quot;??_);_(@_)"/>
    <numFmt numFmtId="165" formatCode="_-[$₱-3409]* #,##0.00_-;\-[$₱-3409]* #,##0.00_-;_-[$₱-3409]* &quot;-&quot;??_-;_-@"/>
    <numFmt numFmtId="166" formatCode="_-* #,##0.0000_-;\-* #,##0.0000_-;_-* &quot;-&quot;??_-;_-@"/>
    <numFmt numFmtId="167" formatCode="_-* #,##0.00_-;\-* #,##0.00_-;_-* &quot;-&quot;??_-;_-@"/>
    <numFmt numFmtId="168" formatCode="_-&quot;₱&quot;* #,##0.00_-;\-&quot;₱&quot;* #,##0.00_-;_-&quot;₱&quot;* &quot;-&quot;??_-;_-@"/>
    <numFmt numFmtId="169" formatCode="_(* #,##0.000_);_(* \(#,##0.000\);_(* &quot;-&quot;??_);_(@_)"/>
  </numFmts>
  <fonts count="43">
    <font>
      <sz val="10.0"/>
      <color rgb="FF000000"/>
      <name val="Arial"/>
      <scheme val="minor"/>
    </font>
    <font>
      <b/>
      <sz val="28.0"/>
      <color theme="0"/>
      <name val="Arial"/>
    </font>
    <font/>
    <font>
      <b/>
      <sz val="28.0"/>
      <color theme="1"/>
      <name val="Arial"/>
    </font>
    <font>
      <b/>
      <sz val="10.0"/>
      <color theme="0"/>
      <name val="Arial"/>
    </font>
    <font>
      <b/>
      <sz val="10.0"/>
      <color rgb="FF1E4E79"/>
      <name val="Arial"/>
    </font>
    <font>
      <b/>
      <i/>
      <sz val="10.0"/>
      <color theme="0"/>
      <name val="Arial"/>
    </font>
    <font>
      <b/>
      <sz val="8.0"/>
      <color theme="0"/>
      <name val="Arial"/>
    </font>
    <font>
      <b/>
      <sz val="8.0"/>
      <color rgb="FFFFFFFF"/>
      <name val="Arial"/>
    </font>
    <font>
      <sz val="10.0"/>
      <color theme="1"/>
      <name val="Arial"/>
    </font>
    <font>
      <sz val="10.0"/>
      <color rgb="FF1E4E79"/>
      <name val="Arial"/>
    </font>
    <font>
      <b/>
      <sz val="11.0"/>
      <color theme="1"/>
      <name val="Arial"/>
    </font>
    <font>
      <color theme="1"/>
      <name val="Arial"/>
      <scheme val="minor"/>
    </font>
    <font>
      <b/>
      <sz val="10.0"/>
      <color theme="1"/>
      <name val="Arial"/>
    </font>
    <font>
      <b/>
      <i/>
      <sz val="10.0"/>
      <color theme="1"/>
      <name val="Arial"/>
    </font>
    <font>
      <sz val="9.0"/>
      <color theme="1"/>
      <name val="Arial"/>
    </font>
    <font>
      <b/>
      <sz val="36.0"/>
      <color theme="0"/>
      <name val="Isocpeur"/>
    </font>
    <font>
      <b/>
      <sz val="11.0"/>
      <color theme="0"/>
      <name val="Calibri"/>
    </font>
    <font>
      <sz val="11.0"/>
      <color rgb="FF595959"/>
      <name val="Calibri"/>
    </font>
    <font>
      <b/>
      <sz val="11.0"/>
      <color theme="1"/>
      <name val="Calibri"/>
    </font>
    <font>
      <b/>
      <i/>
      <sz val="11.0"/>
      <color theme="1"/>
      <name val="Calibri"/>
    </font>
    <font>
      <sz val="11.0"/>
      <color rgb="FF833C0B"/>
      <name val="Calibri"/>
    </font>
    <font>
      <sz val="11.0"/>
      <color theme="1"/>
      <name val="Calibri"/>
    </font>
    <font>
      <sz val="8.0"/>
      <color rgb="FFFF0000"/>
      <name val="Calibri"/>
    </font>
    <font>
      <b/>
      <sz val="11.0"/>
      <color rgb="FFFFFFFF"/>
      <name val="Calibri"/>
    </font>
    <font>
      <sz val="11.0"/>
      <color theme="0"/>
      <name val="Calibri"/>
    </font>
    <font>
      <sz val="10.0"/>
      <color theme="0"/>
      <name val="Arial"/>
    </font>
    <font>
      <sz val="10.0"/>
      <color rgb="FFFFFF00"/>
      <name val="Arial"/>
    </font>
    <font>
      <b/>
      <sz val="22.0"/>
      <color theme="0"/>
      <name val="Arial"/>
    </font>
    <font>
      <b/>
      <sz val="10.0"/>
      <color rgb="FFFF0000"/>
      <name val="Arial"/>
    </font>
    <font>
      <sz val="8.0"/>
      <color theme="0"/>
      <name val="Arial"/>
    </font>
    <font>
      <b/>
      <sz val="8.0"/>
      <color theme="1"/>
      <name val="Arial"/>
    </font>
    <font>
      <sz val="8.0"/>
      <color theme="1"/>
      <name val="Arial"/>
    </font>
    <font>
      <b/>
      <sz val="9.0"/>
      <color theme="1"/>
      <name val="Arial"/>
    </font>
    <font>
      <b/>
      <sz val="12.0"/>
      <color theme="1"/>
      <name val="Arial"/>
    </font>
    <font>
      <b/>
      <sz val="14.0"/>
      <color theme="1"/>
      <name val="Arial"/>
    </font>
    <font>
      <sz val="12.0"/>
      <color theme="1"/>
      <name val="Arial"/>
    </font>
    <font>
      <b/>
      <sz val="9.0"/>
      <color theme="0"/>
      <name val="Arial"/>
    </font>
    <font>
      <b/>
      <u/>
      <sz val="12.0"/>
      <color theme="1"/>
      <name val="Arial"/>
    </font>
    <font>
      <u/>
      <sz val="10.0"/>
      <color theme="1"/>
      <name val="Arial"/>
    </font>
    <font>
      <u/>
      <sz val="10.0"/>
      <color theme="1"/>
      <name val="Arial"/>
    </font>
    <font>
      <u/>
      <sz val="10.0"/>
      <color theme="1"/>
      <name val="Arial"/>
    </font>
    <font>
      <b/>
      <u/>
      <sz val="11.0"/>
      <color theme="1"/>
      <name val="Arial"/>
    </font>
  </fonts>
  <fills count="21">
    <fill>
      <patternFill patternType="none"/>
    </fill>
    <fill>
      <patternFill patternType="lightGray"/>
    </fill>
    <fill>
      <patternFill patternType="solid">
        <fgColor rgb="FF385623"/>
        <bgColor rgb="FF385623"/>
      </patternFill>
    </fill>
    <fill>
      <patternFill patternType="solid">
        <fgColor rgb="FFD6DCE4"/>
        <bgColor rgb="FFD6DCE4"/>
      </patternFill>
    </fill>
    <fill>
      <patternFill patternType="solid">
        <fgColor rgb="FF833C0B"/>
        <bgColor rgb="FF833C0B"/>
      </patternFill>
    </fill>
    <fill>
      <patternFill patternType="solid">
        <fgColor rgb="FF1E4E79"/>
        <bgColor rgb="FF1E4E79"/>
      </patternFill>
    </fill>
    <fill>
      <patternFill patternType="solid">
        <fgColor rgb="FF1F3864"/>
        <bgColor rgb="FF1F3864"/>
      </patternFill>
    </fill>
    <fill>
      <patternFill patternType="solid">
        <fgColor rgb="FF7F6000"/>
        <bgColor rgb="FF7F6000"/>
      </patternFill>
    </fill>
    <fill>
      <patternFill patternType="solid">
        <fgColor rgb="FF3A3838"/>
        <bgColor rgb="FF3A3838"/>
      </patternFill>
    </fill>
    <fill>
      <patternFill patternType="solid">
        <fgColor rgb="FF333F4F"/>
        <bgColor rgb="FF333F4F"/>
      </patternFill>
    </fill>
    <fill>
      <patternFill patternType="solid">
        <fgColor rgb="FF595959"/>
        <bgColor rgb="FF595959"/>
      </patternFill>
    </fill>
    <fill>
      <patternFill patternType="solid">
        <fgColor rgb="FFE2EFD9"/>
        <bgColor rgb="FFE2EFD9"/>
      </patternFill>
    </fill>
    <fill>
      <patternFill patternType="solid">
        <fgColor rgb="FFD9E2F3"/>
        <bgColor rgb="FFD9E2F3"/>
      </patternFill>
    </fill>
    <fill>
      <patternFill patternType="solid">
        <fgColor rgb="FFD0CECE"/>
        <bgColor rgb="FFD0CECE"/>
      </patternFill>
    </fill>
    <fill>
      <patternFill patternType="solid">
        <fgColor rgb="FF2E75B5"/>
        <bgColor rgb="FF2E75B5"/>
      </patternFill>
    </fill>
    <fill>
      <patternFill patternType="solid">
        <fgColor rgb="FFDEEAF6"/>
        <bgColor rgb="FFDEEAF6"/>
      </patternFill>
    </fill>
    <fill>
      <patternFill patternType="solid">
        <fgColor rgb="FFC8C8C8"/>
        <bgColor rgb="FFC8C8C8"/>
      </patternFill>
    </fill>
    <fill>
      <patternFill patternType="solid">
        <fgColor rgb="FF222A35"/>
        <bgColor rgb="FF222A35"/>
      </patternFill>
    </fill>
    <fill>
      <patternFill patternType="solid">
        <fgColor theme="0"/>
        <bgColor theme="0"/>
      </patternFill>
    </fill>
    <fill>
      <patternFill patternType="solid">
        <fgColor rgb="FFC0C0C0"/>
        <bgColor rgb="FFC0C0C0"/>
      </patternFill>
    </fill>
    <fill>
      <patternFill patternType="solid">
        <fgColor rgb="FF2F5496"/>
        <bgColor rgb="FF2F5496"/>
      </patternFill>
    </fill>
  </fills>
  <borders count="60">
    <border/>
    <border>
      <left/>
      <top/>
    </border>
    <border>
      <right/>
      <top/>
    </border>
    <border>
      <top/>
    </border>
    <border>
      <right style="thin">
        <color rgb="FF000000"/>
      </right>
      <top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/>
    </border>
    <border>
      <right/>
    </border>
    <border>
      <right style="thin">
        <color rgb="FF000000"/>
      </right>
    </border>
    <border>
      <left style="medium">
        <color rgb="FF000000"/>
      </left>
      <right/>
      <top style="thin">
        <color rgb="FF000000"/>
      </top>
      <bottom style="thin">
        <color rgb="FF000000"/>
      </bottom>
    </border>
    <border>
      <left/>
      <top style="thin">
        <color rgb="FF000000"/>
      </top>
      <bottom style="thin">
        <color rgb="FF000000"/>
      </bottom>
    </border>
    <border>
      <left/>
      <bottom style="thin">
        <color rgb="FF000000"/>
      </bottom>
    </border>
    <border>
      <right/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/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/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</border>
    <border>
      <right style="medium">
        <color rgb="FF000000"/>
      </right>
    </border>
    <border>
      <left/>
      <right/>
      <top/>
      <bottom/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bottom/>
    </border>
    <border>
      <bottom/>
    </border>
    <border>
      <right/>
      <bottom/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/>
      <top/>
    </border>
    <border>
      <left/>
      <right/>
      <top/>
    </border>
    <border>
      <left style="thin">
        <color rgb="FF000000"/>
      </left>
    </border>
    <border>
      <left style="thin">
        <color rgb="FF000000"/>
      </left>
      <right/>
      <bottom/>
    </border>
    <border>
      <left/>
      <right/>
    </border>
    <border>
      <left/>
      <right/>
      <bottom style="thin">
        <color rgb="FF000000"/>
      </bottom>
    </border>
    <border>
      <left/>
      <right/>
      <top/>
      <bottom style="thin">
        <color rgb="FF000000"/>
      </bottom>
    </border>
    <border>
      <right/>
      <top style="thin">
        <color rgb="FF000000"/>
      </top>
      <bottom style="thin">
        <color rgb="FF000000"/>
      </bottom>
    </border>
    <border>
      <left/>
      <top/>
      <bottom/>
    </border>
    <border>
      <right/>
      <top/>
      <bottom/>
    </border>
    <border>
      <top/>
      <bottom/>
    </border>
  </borders>
  <cellStyleXfs count="1">
    <xf borderId="0" fillId="0" fontId="0" numFmtId="0" applyAlignment="1" applyFont="1"/>
  </cellStyleXfs>
  <cellXfs count="17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0" fontId="2" numFmtId="0" xfId="0" applyBorder="1" applyFont="1"/>
    <xf borderId="1" fillId="3" fontId="3" numFmtId="164" xfId="0" applyAlignment="1" applyBorder="1" applyFill="1" applyFont="1" applyNumberFormat="1">
      <alignment horizontal="center" shrinkToFit="0" vertical="center" wrapText="1"/>
    </xf>
    <xf borderId="3" fillId="0" fontId="2" numFmtId="0" xfId="0" applyBorder="1" applyFont="1"/>
    <xf borderId="4" fillId="0" fontId="2" numFmtId="0" xfId="0" applyBorder="1" applyFont="1"/>
    <xf borderId="5" fillId="4" fontId="4" numFmtId="0" xfId="0" applyAlignment="1" applyBorder="1" applyFill="1" applyFont="1">
      <alignment horizontal="center"/>
    </xf>
    <xf borderId="6" fillId="0" fontId="2" numFmtId="0" xfId="0" applyBorder="1" applyFont="1"/>
    <xf borderId="7" fillId="0" fontId="2" numFmtId="0" xfId="0" applyBorder="1" applyFont="1"/>
    <xf borderId="8" fillId="4" fontId="5" numFmtId="0" xfId="0" applyAlignment="1" applyBorder="1" applyFont="1">
      <alignment horizontal="center"/>
    </xf>
    <xf borderId="9" fillId="0" fontId="2" numFmtId="0" xfId="0" applyBorder="1" applyFont="1"/>
    <xf borderId="10" fillId="0" fontId="2" numFmtId="0" xfId="0" applyBorder="1" applyFont="1"/>
    <xf borderId="11" fillId="0" fontId="2" numFmtId="0" xfId="0" applyBorder="1" applyFont="1"/>
    <xf borderId="12" fillId="5" fontId="6" numFmtId="165" xfId="0" applyBorder="1" applyFill="1" applyFont="1" applyNumberFormat="1"/>
    <xf borderId="13" fillId="6" fontId="4" numFmtId="164" xfId="0" applyAlignment="1" applyBorder="1" applyFill="1" applyFont="1" applyNumberFormat="1">
      <alignment horizontal="left"/>
    </xf>
    <xf borderId="14" fillId="0" fontId="2" numFmtId="0" xfId="0" applyBorder="1" applyFont="1"/>
    <xf borderId="15" fillId="0" fontId="2" numFmtId="0" xfId="0" applyBorder="1" applyFont="1"/>
    <xf borderId="16" fillId="0" fontId="2" numFmtId="0" xfId="0" applyBorder="1" applyFont="1"/>
    <xf borderId="17" fillId="0" fontId="2" numFmtId="0" xfId="0" applyBorder="1" applyFont="1"/>
    <xf borderId="18" fillId="7" fontId="7" numFmtId="165" xfId="0" applyAlignment="1" applyBorder="1" applyFill="1" applyFont="1" applyNumberFormat="1">
      <alignment horizontal="center" vertical="center"/>
    </xf>
    <xf borderId="19" fillId="0" fontId="2" numFmtId="0" xfId="0" applyBorder="1" applyFont="1"/>
    <xf borderId="20" fillId="0" fontId="2" numFmtId="0" xfId="0" applyBorder="1" applyFont="1"/>
    <xf borderId="21" fillId="8" fontId="4" numFmtId="0" xfId="0" applyAlignment="1" applyBorder="1" applyFill="1" applyFont="1">
      <alignment horizontal="center" shrinkToFit="1" vertical="center" wrapText="0"/>
    </xf>
    <xf borderId="22" fillId="6" fontId="4" numFmtId="0" xfId="0" applyAlignment="1" applyBorder="1" applyFont="1">
      <alignment horizontal="center" shrinkToFit="1" vertical="center" wrapText="0"/>
    </xf>
    <xf borderId="5" fillId="9" fontId="8" numFmtId="164" xfId="0" applyAlignment="1" applyBorder="1" applyFill="1" applyFont="1" applyNumberFormat="1">
      <alignment horizontal="center" readingOrder="0"/>
    </xf>
    <xf borderId="23" fillId="0" fontId="2" numFmtId="0" xfId="0" applyBorder="1" applyFont="1"/>
    <xf borderId="24" fillId="0" fontId="2" numFmtId="0" xfId="0" applyBorder="1" applyFont="1"/>
    <xf borderId="25" fillId="0" fontId="2" numFmtId="0" xfId="0" applyBorder="1" applyFont="1"/>
    <xf borderId="26" fillId="9" fontId="7" numFmtId="164" xfId="0" applyAlignment="1" applyBorder="1" applyFont="1" applyNumberFormat="1">
      <alignment horizontal="center"/>
    </xf>
    <xf borderId="27" fillId="9" fontId="7" numFmtId="164" xfId="0" applyAlignment="1" applyBorder="1" applyFont="1" applyNumberFormat="1">
      <alignment horizontal="center"/>
    </xf>
    <xf borderId="28" fillId="9" fontId="7" numFmtId="164" xfId="0" applyAlignment="1" applyBorder="1" applyFont="1" applyNumberFormat="1">
      <alignment horizontal="center"/>
    </xf>
    <xf borderId="29" fillId="9" fontId="7" numFmtId="164" xfId="0" applyAlignment="1" applyBorder="1" applyFont="1" applyNumberFormat="1">
      <alignment horizontal="center"/>
    </xf>
    <xf borderId="26" fillId="7" fontId="7" numFmtId="165" xfId="0" applyAlignment="1" applyBorder="1" applyFont="1" applyNumberFormat="1">
      <alignment horizontal="center"/>
    </xf>
    <xf borderId="27" fillId="7" fontId="7" numFmtId="165" xfId="0" applyAlignment="1" applyBorder="1" applyFont="1" applyNumberFormat="1">
      <alignment horizontal="center"/>
    </xf>
    <xf borderId="28" fillId="7" fontId="7" numFmtId="165" xfId="0" applyAlignment="1" applyBorder="1" applyFont="1" applyNumberFormat="1">
      <alignment horizontal="center"/>
    </xf>
    <xf borderId="30" fillId="0" fontId="9" numFmtId="164" xfId="0" applyBorder="1" applyFont="1" applyNumberFormat="1"/>
    <xf borderId="0" fillId="0" fontId="10" numFmtId="164" xfId="0" applyFont="1" applyNumberFormat="1"/>
    <xf borderId="31" fillId="0" fontId="10" numFmtId="164" xfId="0" applyBorder="1" applyFont="1" applyNumberFormat="1"/>
    <xf borderId="0" fillId="0" fontId="9" numFmtId="164" xfId="0" applyFont="1" applyNumberFormat="1"/>
    <xf borderId="30" fillId="0" fontId="9" numFmtId="165" xfId="0" applyBorder="1" applyFont="1" applyNumberFormat="1"/>
    <xf borderId="0" fillId="0" fontId="10" numFmtId="165" xfId="0" applyFont="1" applyNumberFormat="1"/>
    <xf borderId="31" fillId="0" fontId="10" numFmtId="165" xfId="0" applyBorder="1" applyFont="1" applyNumberFormat="1"/>
    <xf borderId="0" fillId="0" fontId="11" numFmtId="0" xfId="0" applyAlignment="1" applyFont="1">
      <alignment horizontal="center"/>
    </xf>
    <xf borderId="0" fillId="0" fontId="11" numFmtId="0" xfId="0" applyFont="1"/>
    <xf borderId="0" fillId="0" fontId="12" numFmtId="0" xfId="0" applyFont="1"/>
    <xf borderId="0" fillId="0" fontId="13" numFmtId="0" xfId="0" applyAlignment="1" applyFont="1">
      <alignment horizontal="center"/>
    </xf>
    <xf borderId="0" fillId="0" fontId="13" numFmtId="0" xfId="0" applyFont="1"/>
    <xf borderId="0" fillId="0" fontId="14" numFmtId="0" xfId="0" applyFont="1"/>
    <xf borderId="0" fillId="0" fontId="9" numFmtId="0" xfId="0" applyFont="1"/>
    <xf borderId="0" fillId="0" fontId="9" numFmtId="16" xfId="0" applyFont="1" applyNumberFormat="1"/>
    <xf borderId="0" fillId="0" fontId="9" numFmtId="164" xfId="0" applyAlignment="1" applyFont="1" applyNumberFormat="1">
      <alignment horizontal="center"/>
    </xf>
    <xf borderId="0" fillId="0" fontId="9" numFmtId="0" xfId="0" applyAlignment="1" applyFont="1">
      <alignment horizontal="left"/>
    </xf>
    <xf borderId="0" fillId="0" fontId="13" numFmtId="0" xfId="0" applyAlignment="1" applyFont="1">
      <alignment horizontal="left"/>
    </xf>
    <xf borderId="0" fillId="0" fontId="15" numFmtId="0" xfId="0" applyAlignment="1" applyFont="1">
      <alignment horizontal="left"/>
    </xf>
    <xf borderId="32" fillId="10" fontId="9" numFmtId="0" xfId="0" applyBorder="1" applyFill="1" applyFont="1"/>
    <xf borderId="1" fillId="5" fontId="16" numFmtId="0" xfId="0" applyAlignment="1" applyBorder="1" applyFont="1">
      <alignment horizontal="center" shrinkToFit="0" wrapText="1"/>
    </xf>
    <xf borderId="33" fillId="4" fontId="17" numFmtId="0" xfId="0" applyAlignment="1" applyBorder="1" applyFont="1">
      <alignment horizontal="center"/>
    </xf>
    <xf borderId="34" fillId="0" fontId="2" numFmtId="0" xfId="0" applyBorder="1" applyFont="1"/>
    <xf borderId="35" fillId="0" fontId="2" numFmtId="0" xfId="0" applyBorder="1" applyFont="1"/>
    <xf borderId="32" fillId="10" fontId="18" numFmtId="0" xfId="0" applyBorder="1" applyFont="1"/>
    <xf borderId="36" fillId="0" fontId="19" numFmtId="0" xfId="0" applyAlignment="1" applyBorder="1" applyFont="1">
      <alignment horizontal="center"/>
    </xf>
    <xf borderId="5" fillId="0" fontId="19" numFmtId="164" xfId="0" applyAlignment="1" applyBorder="1" applyFont="1" applyNumberFormat="1">
      <alignment horizontal="center"/>
    </xf>
    <xf borderId="37" fillId="0" fontId="2" numFmtId="0" xfId="0" applyBorder="1" applyFont="1"/>
    <xf borderId="38" fillId="0" fontId="2" numFmtId="0" xfId="0" applyBorder="1" applyFont="1"/>
    <xf borderId="39" fillId="11" fontId="20" numFmtId="164" xfId="0" applyBorder="1" applyFill="1" applyFont="1" applyNumberFormat="1"/>
    <xf borderId="39" fillId="12" fontId="20" numFmtId="164" xfId="0" applyBorder="1" applyFill="1" applyFont="1" applyNumberFormat="1"/>
    <xf borderId="28" fillId="13" fontId="20" numFmtId="164" xfId="0" applyBorder="1" applyFill="1" applyFont="1" applyNumberFormat="1"/>
    <xf borderId="26" fillId="0" fontId="21" numFmtId="0" xfId="0" applyBorder="1" applyFont="1"/>
    <xf borderId="39" fillId="11" fontId="21" numFmtId="164" xfId="0" applyBorder="1" applyFont="1" applyNumberFormat="1"/>
    <xf borderId="39" fillId="12" fontId="21" numFmtId="164" xfId="0" applyBorder="1" applyFont="1" applyNumberFormat="1"/>
    <xf borderId="28" fillId="13" fontId="21" numFmtId="164" xfId="0" applyBorder="1" applyFont="1" applyNumberFormat="1"/>
    <xf borderId="26" fillId="0" fontId="9" numFmtId="0" xfId="0" applyBorder="1" applyFont="1"/>
    <xf borderId="39" fillId="11" fontId="9" numFmtId="164" xfId="0" applyBorder="1" applyFont="1" applyNumberFormat="1"/>
    <xf borderId="39" fillId="12" fontId="22" numFmtId="164" xfId="0" applyBorder="1" applyFont="1" applyNumberFormat="1"/>
    <xf borderId="28" fillId="13" fontId="22" numFmtId="164" xfId="0" applyBorder="1" applyFont="1" applyNumberFormat="1"/>
    <xf borderId="32" fillId="10" fontId="18" numFmtId="166" xfId="0" applyBorder="1" applyFont="1" applyNumberFormat="1"/>
    <xf borderId="32" fillId="10" fontId="18" numFmtId="167" xfId="0" applyBorder="1" applyFont="1" applyNumberFormat="1"/>
    <xf borderId="40" fillId="0" fontId="2" numFmtId="0" xfId="0" applyBorder="1" applyFont="1"/>
    <xf borderId="41" fillId="0" fontId="2" numFmtId="0" xfId="0" applyBorder="1" applyFont="1"/>
    <xf borderId="42" fillId="0" fontId="2" numFmtId="0" xfId="0" applyBorder="1" applyFont="1"/>
    <xf borderId="32" fillId="10" fontId="9" numFmtId="164" xfId="0" applyBorder="1" applyFont="1" applyNumberFormat="1"/>
    <xf borderId="0" fillId="0" fontId="23" numFmtId="0" xfId="0" applyFont="1"/>
    <xf borderId="43" fillId="0" fontId="9" numFmtId="0" xfId="0" applyAlignment="1" applyBorder="1" applyFont="1">
      <alignment horizontal="center"/>
    </xf>
    <xf borderId="44" fillId="0" fontId="2" numFmtId="0" xfId="0" applyBorder="1" applyFont="1"/>
    <xf borderId="45" fillId="14" fontId="24" numFmtId="164" xfId="0" applyAlignment="1" applyBorder="1" applyFill="1" applyFont="1" applyNumberFormat="1">
      <alignment readingOrder="0"/>
    </xf>
    <xf borderId="20" fillId="0" fontId="19" numFmtId="0" xfId="0" applyAlignment="1" applyBorder="1" applyFont="1">
      <alignment horizontal="center" vertical="center"/>
    </xf>
    <xf borderId="21" fillId="0" fontId="19" numFmtId="0" xfId="0" applyAlignment="1" applyBorder="1" applyFont="1">
      <alignment horizontal="center" vertical="center"/>
    </xf>
    <xf borderId="24" fillId="0" fontId="19" numFmtId="0" xfId="0" applyAlignment="1" applyBorder="1" applyFont="1">
      <alignment horizontal="center"/>
    </xf>
    <xf borderId="24" fillId="0" fontId="19" numFmtId="0" xfId="0" applyBorder="1" applyFont="1"/>
    <xf borderId="39" fillId="11" fontId="9" numFmtId="0" xfId="0" applyBorder="1" applyFont="1"/>
    <xf borderId="39" fillId="11" fontId="9" numFmtId="168" xfId="0" applyBorder="1" applyFont="1" applyNumberFormat="1"/>
    <xf borderId="39" fillId="0" fontId="9" numFmtId="168" xfId="0" applyBorder="1" applyFont="1" applyNumberFormat="1"/>
    <xf borderId="39" fillId="15" fontId="9" numFmtId="0" xfId="0" applyBorder="1" applyFill="1" applyFont="1"/>
    <xf borderId="39" fillId="15" fontId="9" numFmtId="168" xfId="0" applyBorder="1" applyFont="1" applyNumberFormat="1"/>
    <xf borderId="39" fillId="16" fontId="9" numFmtId="0" xfId="0" applyBorder="1" applyFill="1" applyFont="1"/>
    <xf borderId="39" fillId="16" fontId="9" numFmtId="168" xfId="0" applyBorder="1" applyFont="1" applyNumberFormat="1"/>
    <xf borderId="32" fillId="5" fontId="17" numFmtId="0" xfId="0" applyBorder="1" applyFont="1"/>
    <xf borderId="32" fillId="5" fontId="17" numFmtId="168" xfId="0" applyBorder="1" applyFont="1" applyNumberFormat="1"/>
    <xf borderId="1" fillId="10" fontId="25" numFmtId="0" xfId="0" applyAlignment="1" applyBorder="1" applyFont="1">
      <alignment horizontal="left" shrinkToFit="0" vertical="top" wrapText="1"/>
    </xf>
    <xf borderId="46" fillId="0" fontId="9" numFmtId="0" xfId="0" applyBorder="1" applyFont="1"/>
    <xf borderId="47" fillId="11" fontId="9" numFmtId="164" xfId="0" applyBorder="1" applyFont="1" applyNumberFormat="1"/>
    <xf borderId="47" fillId="12" fontId="22" numFmtId="164" xfId="0" applyBorder="1" applyFont="1" applyNumberFormat="1"/>
    <xf borderId="48" fillId="13" fontId="22" numFmtId="164" xfId="0" applyBorder="1" applyFont="1" applyNumberFormat="1"/>
    <xf borderId="18" fillId="4" fontId="26" numFmtId="0" xfId="0" applyAlignment="1" applyBorder="1" applyFont="1">
      <alignment horizontal="center" vertical="center"/>
    </xf>
    <xf borderId="49" fillId="17" fontId="26" numFmtId="168" xfId="0" applyAlignment="1" applyBorder="1" applyFill="1" applyFont="1" applyNumberFormat="1">
      <alignment horizontal="center" shrinkToFit="0" vertical="center" wrapText="1"/>
    </xf>
    <xf borderId="50" fillId="8" fontId="4" numFmtId="168" xfId="0" applyAlignment="1" applyBorder="1" applyFont="1" applyNumberFormat="1">
      <alignment horizontal="center"/>
    </xf>
    <xf borderId="51" fillId="0" fontId="2" numFmtId="0" xfId="0" applyBorder="1" applyFont="1"/>
    <xf borderId="52" fillId="0" fontId="2" numFmtId="0" xfId="0" applyBorder="1" applyFont="1"/>
    <xf borderId="53" fillId="0" fontId="2" numFmtId="0" xfId="0" applyBorder="1" applyFont="1"/>
    <xf borderId="32" fillId="9" fontId="26" numFmtId="168" xfId="0" applyBorder="1" applyFont="1" applyNumberFormat="1"/>
    <xf borderId="21" fillId="0" fontId="13" numFmtId="0" xfId="0" applyAlignment="1" applyBorder="1" applyFont="1">
      <alignment horizontal="center"/>
    </xf>
    <xf borderId="21" fillId="0" fontId="13" numFmtId="164" xfId="0" applyAlignment="1" applyBorder="1" applyFont="1" applyNumberFormat="1">
      <alignment horizontal="center"/>
    </xf>
    <xf borderId="32" fillId="9" fontId="27" numFmtId="168" xfId="0" applyAlignment="1" applyBorder="1" applyFont="1" applyNumberFormat="1">
      <alignment horizontal="center" readingOrder="0"/>
    </xf>
    <xf borderId="16" fillId="0" fontId="5" numFmtId="168" xfId="0" applyBorder="1" applyFont="1" applyNumberFormat="1"/>
    <xf borderId="54" fillId="0" fontId="2" numFmtId="0" xfId="0" applyBorder="1" applyFont="1"/>
    <xf borderId="16" fillId="0" fontId="9" numFmtId="0" xfId="0" applyBorder="1" applyFont="1"/>
    <xf borderId="0" fillId="0" fontId="26" numFmtId="0" xfId="0" applyFont="1"/>
    <xf borderId="0" fillId="0" fontId="26" numFmtId="164" xfId="0" applyFont="1" applyNumberFormat="1"/>
    <xf borderId="0" fillId="0" fontId="26" numFmtId="168" xfId="0" applyFont="1" applyNumberFormat="1"/>
    <xf borderId="0" fillId="0" fontId="9" numFmtId="168" xfId="0" applyFont="1" applyNumberFormat="1"/>
    <xf borderId="0" fillId="0" fontId="12" numFmtId="0" xfId="0" applyAlignment="1" applyFont="1">
      <alignment readingOrder="0"/>
    </xf>
    <xf borderId="1" fillId="2" fontId="4" numFmtId="164" xfId="0" applyAlignment="1" applyBorder="1" applyFont="1" applyNumberFormat="1">
      <alignment horizontal="right" vertical="center"/>
    </xf>
    <xf borderId="0" fillId="0" fontId="9" numFmtId="168" xfId="0" applyAlignment="1" applyFont="1" applyNumberFormat="1">
      <alignment horizontal="center"/>
    </xf>
    <xf borderId="39" fillId="4" fontId="4" numFmtId="0" xfId="0" applyAlignment="1" applyBorder="1" applyFont="1">
      <alignment horizontal="center"/>
    </xf>
    <xf borderId="32" fillId="2" fontId="28" numFmtId="0" xfId="0" applyAlignment="1" applyBorder="1" applyFont="1">
      <alignment shrinkToFit="0" vertical="center" wrapText="1"/>
    </xf>
    <xf borderId="5" fillId="0" fontId="14" numFmtId="165" xfId="0" applyBorder="1" applyFont="1" applyNumberFormat="1"/>
    <xf borderId="13" fillId="18" fontId="29" numFmtId="164" xfId="0" applyAlignment="1" applyBorder="1" applyFill="1" applyFont="1" applyNumberFormat="1">
      <alignment horizontal="left"/>
    </xf>
    <xf borderId="18" fillId="7" fontId="30" numFmtId="165" xfId="0" applyAlignment="1" applyBorder="1" applyFont="1" applyNumberFormat="1">
      <alignment horizontal="center" vertical="center"/>
    </xf>
    <xf borderId="55" fillId="2" fontId="28" numFmtId="0" xfId="0" applyAlignment="1" applyBorder="1" applyFont="1">
      <alignment shrinkToFit="0" vertical="center" wrapText="1"/>
    </xf>
    <xf borderId="29" fillId="19" fontId="31" numFmtId="164" xfId="0" applyBorder="1" applyFill="1" applyFont="1" applyNumberFormat="1"/>
    <xf borderId="5" fillId="19" fontId="31" numFmtId="0" xfId="0" applyAlignment="1" applyBorder="1" applyFont="1">
      <alignment horizontal="center"/>
    </xf>
    <xf borderId="56" fillId="0" fontId="2" numFmtId="0" xfId="0" applyBorder="1" applyFont="1"/>
    <xf borderId="5" fillId="9" fontId="7" numFmtId="164" xfId="0" applyAlignment="1" applyBorder="1" applyFont="1" applyNumberFormat="1">
      <alignment horizontal="center"/>
    </xf>
    <xf borderId="39" fillId="7" fontId="7" numFmtId="165" xfId="0" applyAlignment="1" applyBorder="1" applyFont="1" applyNumberFormat="1">
      <alignment horizontal="center"/>
    </xf>
    <xf borderId="39" fillId="19" fontId="31" numFmtId="164" xfId="0" applyAlignment="1" applyBorder="1" applyFont="1" applyNumberFormat="1">
      <alignment horizontal="center"/>
    </xf>
    <xf borderId="39" fillId="19" fontId="31" numFmtId="0" xfId="0" applyAlignment="1" applyBorder="1" applyFont="1">
      <alignment horizontal="center"/>
    </xf>
    <xf borderId="39" fillId="9" fontId="7" numFmtId="164" xfId="0" applyAlignment="1" applyBorder="1" applyFont="1" applyNumberFormat="1">
      <alignment horizontal="center"/>
    </xf>
    <xf borderId="16" fillId="0" fontId="9" numFmtId="164" xfId="0" applyBorder="1" applyFont="1" applyNumberFormat="1"/>
    <xf borderId="0" fillId="0" fontId="9" numFmtId="165" xfId="0" applyFont="1" applyNumberFormat="1"/>
    <xf borderId="11" fillId="0" fontId="9" numFmtId="0" xfId="0" applyBorder="1" applyFont="1"/>
    <xf borderId="0" fillId="0" fontId="9" numFmtId="0" xfId="0" applyAlignment="1" applyFont="1">
      <alignment horizontal="center"/>
    </xf>
    <xf borderId="11" fillId="0" fontId="9" numFmtId="164" xfId="0" applyBorder="1" applyFont="1" applyNumberFormat="1"/>
    <xf borderId="0" fillId="0" fontId="32" numFmtId="0" xfId="0" applyFont="1"/>
    <xf borderId="0" fillId="0" fontId="33" numFmtId="0" xfId="0" applyFont="1"/>
    <xf borderId="0" fillId="0" fontId="33" numFmtId="0" xfId="0" applyAlignment="1" applyFont="1">
      <alignment horizontal="center"/>
    </xf>
    <xf borderId="0" fillId="0" fontId="33" numFmtId="0" xfId="0" applyAlignment="1" applyFont="1">
      <alignment horizontal="right"/>
    </xf>
    <xf borderId="0" fillId="0" fontId="34" numFmtId="0" xfId="0" applyFont="1"/>
    <xf borderId="0" fillId="0" fontId="35" numFmtId="0" xfId="0" applyFont="1"/>
    <xf borderId="0" fillId="0" fontId="36" numFmtId="0" xfId="0" applyFont="1"/>
    <xf borderId="0" fillId="0" fontId="34" numFmtId="0" xfId="0" applyAlignment="1" applyFont="1">
      <alignment horizontal="center"/>
    </xf>
    <xf borderId="32" fillId="20" fontId="26" numFmtId="0" xfId="0" applyBorder="1" applyFill="1" applyFont="1"/>
    <xf borderId="32" fillId="20" fontId="37" numFmtId="0" xfId="0" applyAlignment="1" applyBorder="1" applyFont="1">
      <alignment horizontal="center"/>
    </xf>
    <xf borderId="57" fillId="20" fontId="37" numFmtId="0" xfId="0" applyAlignment="1" applyBorder="1" applyFont="1">
      <alignment horizontal="center"/>
    </xf>
    <xf borderId="58" fillId="0" fontId="2" numFmtId="0" xfId="0" applyBorder="1" applyFont="1"/>
    <xf borderId="0" fillId="0" fontId="9" numFmtId="169" xfId="0" applyFont="1" applyNumberFormat="1"/>
    <xf borderId="0" fillId="0" fontId="9" numFmtId="167" xfId="0" applyFont="1" applyNumberFormat="1"/>
    <xf borderId="0" fillId="0" fontId="38" numFmtId="0" xfId="0" applyFont="1"/>
    <xf borderId="0" fillId="0" fontId="39" numFmtId="0" xfId="0" applyFont="1"/>
    <xf borderId="32" fillId="19" fontId="32" numFmtId="0" xfId="0" applyBorder="1" applyFont="1"/>
    <xf borderId="32" fillId="19" fontId="13" numFmtId="0" xfId="0" applyBorder="1" applyFont="1"/>
    <xf borderId="32" fillId="19" fontId="9" numFmtId="0" xfId="0" applyAlignment="1" applyBorder="1" applyFont="1">
      <alignment horizontal="center"/>
    </xf>
    <xf borderId="0" fillId="0" fontId="31" numFmtId="0" xfId="0" applyAlignment="1" applyFont="1">
      <alignment horizontal="center"/>
    </xf>
    <xf borderId="0" fillId="0" fontId="9" numFmtId="16" xfId="0" applyAlignment="1" applyFont="1" applyNumberFormat="1">
      <alignment horizontal="center"/>
    </xf>
    <xf borderId="0" fillId="0" fontId="9" numFmtId="164" xfId="0" applyAlignment="1" applyFont="1" applyNumberFormat="1">
      <alignment horizontal="right"/>
    </xf>
    <xf borderId="0" fillId="0" fontId="9" numFmtId="16" xfId="0" applyAlignment="1" applyFont="1" applyNumberFormat="1">
      <alignment horizontal="left"/>
    </xf>
    <xf borderId="57" fillId="19" fontId="9" numFmtId="0" xfId="0" applyAlignment="1" applyBorder="1" applyFont="1">
      <alignment horizontal="center"/>
    </xf>
    <xf borderId="59" fillId="0" fontId="2" numFmtId="0" xfId="0" applyBorder="1" applyFont="1"/>
    <xf borderId="0" fillId="0" fontId="40" numFmtId="164" xfId="0" applyAlignment="1" applyFont="1" applyNumberFormat="1">
      <alignment horizontal="center"/>
    </xf>
    <xf borderId="0" fillId="0" fontId="41" numFmtId="164" xfId="0" applyFont="1" applyNumberFormat="1"/>
    <xf borderId="0" fillId="0" fontId="42" numFmtId="0" xfId="0" applyFont="1"/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comments2.xml.rels><?xml version="1.0" encoding="UTF-8" standalone="yes"?><Relationships xmlns="http://schemas.openxmlformats.org/package/2006/relationships"><Relationship Id="rId1" Type="http://customschemas.google.com/relationships/workbookmetadata" Target="commentsmeta1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customschemas.google.com/relationships/workbookmetadata" Target="metadata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2.v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2.0" ySplit="5.0" topLeftCell="C6" activePane="bottomRight" state="frozen"/>
      <selection activeCell="C1" sqref="C1" pane="topRight"/>
      <selection activeCell="A6" sqref="A6" pane="bottomLeft"/>
      <selection activeCell="C6" sqref="C6" pane="bottomRight"/>
    </sheetView>
  </sheetViews>
  <sheetFormatPr customHeight="1" defaultColWidth="12.63" defaultRowHeight="15.0"/>
  <cols>
    <col customWidth="1" min="1" max="1" width="10.75"/>
    <col customWidth="1" min="2" max="2" width="53.63"/>
    <col customWidth="1" min="3" max="3" width="6.75"/>
    <col customWidth="1" min="4" max="4" width="14.38"/>
    <col customWidth="1" min="5" max="5" width="9.38"/>
    <col customWidth="1" min="6" max="6" width="14.38"/>
    <col customWidth="1" min="7" max="7" width="6.75"/>
    <col customWidth="1" min="8" max="8" width="14.38"/>
    <col customWidth="1" min="9" max="14" width="10.63"/>
    <col customWidth="1" min="15" max="26" width="8.63"/>
  </cols>
  <sheetData>
    <row r="1" ht="12.75" customHeight="1">
      <c r="A1" s="1" t="s">
        <v>0</v>
      </c>
      <c r="B1" s="2"/>
      <c r="C1" s="3" t="s">
        <v>1</v>
      </c>
      <c r="D1" s="4"/>
      <c r="E1" s="4"/>
      <c r="F1" s="4"/>
      <c r="G1" s="4"/>
      <c r="H1" s="5"/>
      <c r="I1" s="6" t="s">
        <v>2</v>
      </c>
      <c r="J1" s="7"/>
      <c r="K1" s="7"/>
      <c r="L1" s="7"/>
      <c r="M1" s="8"/>
      <c r="N1" s="9"/>
    </row>
    <row r="2" ht="12.75" customHeight="1">
      <c r="A2" s="10"/>
      <c r="B2" s="11"/>
      <c r="C2" s="10"/>
      <c r="H2" s="12"/>
      <c r="I2" s="13">
        <f>'MANHOUR EQUIVALENT'!F15</f>
        <v>58.68055556</v>
      </c>
      <c r="J2" s="14" t="str">
        <f>CONCATENATE("per hour in area of ",'MANHOUR EQUIVALENT'!D10)</f>
        <v>per hour in area of CAR</v>
      </c>
      <c r="K2" s="7"/>
      <c r="L2" s="7"/>
      <c r="M2" s="7"/>
      <c r="N2" s="8"/>
    </row>
    <row r="3" ht="12.75" customHeight="1">
      <c r="A3" s="15"/>
      <c r="B3" s="16"/>
      <c r="C3" s="15"/>
      <c r="D3" s="17"/>
      <c r="E3" s="17"/>
      <c r="F3" s="17"/>
      <c r="G3" s="17"/>
      <c r="H3" s="18"/>
      <c r="I3" s="19" t="s">
        <v>3</v>
      </c>
      <c r="J3" s="20"/>
      <c r="K3" s="20"/>
      <c r="L3" s="20"/>
      <c r="M3" s="20"/>
      <c r="N3" s="21"/>
    </row>
    <row r="4" ht="12.75" customHeight="1">
      <c r="A4" s="22" t="s">
        <v>4</v>
      </c>
      <c r="B4" s="23" t="s">
        <v>5</v>
      </c>
      <c r="C4" s="24" t="s">
        <v>6</v>
      </c>
      <c r="D4" s="7"/>
      <c r="E4" s="7"/>
      <c r="F4" s="7"/>
      <c r="G4" s="7"/>
      <c r="H4" s="8"/>
      <c r="I4" s="25"/>
      <c r="J4" s="17"/>
      <c r="K4" s="17"/>
      <c r="L4" s="17"/>
      <c r="M4" s="17"/>
      <c r="N4" s="18"/>
    </row>
    <row r="5" ht="12.75" customHeight="1">
      <c r="A5" s="26"/>
      <c r="B5" s="27"/>
      <c r="C5" s="28" t="s">
        <v>7</v>
      </c>
      <c r="D5" s="29" t="s">
        <v>8</v>
      </c>
      <c r="E5" s="28" t="s">
        <v>9</v>
      </c>
      <c r="F5" s="30" t="s">
        <v>8</v>
      </c>
      <c r="G5" s="31" t="s">
        <v>10</v>
      </c>
      <c r="H5" s="29" t="s">
        <v>8</v>
      </c>
      <c r="I5" s="32" t="str">
        <f>C5</f>
        <v>SLOW</v>
      </c>
      <c r="J5" s="33" t="s">
        <v>11</v>
      </c>
      <c r="K5" s="32" t="s">
        <v>9</v>
      </c>
      <c r="L5" s="33" t="s">
        <v>11</v>
      </c>
      <c r="M5" s="32" t="str">
        <f>G5</f>
        <v>FAST</v>
      </c>
      <c r="N5" s="34" t="s">
        <v>11</v>
      </c>
    </row>
    <row r="6" ht="12.75" customHeight="1">
      <c r="C6" s="35"/>
      <c r="D6" s="36"/>
      <c r="E6" s="35"/>
      <c r="F6" s="37"/>
      <c r="G6" s="38"/>
      <c r="H6" s="36"/>
      <c r="I6" s="39"/>
      <c r="J6" s="40"/>
      <c r="K6" s="39"/>
      <c r="L6" s="40"/>
      <c r="M6" s="39"/>
      <c r="N6" s="41"/>
    </row>
    <row r="7" ht="12.75" customHeight="1">
      <c r="A7" s="42" t="s">
        <v>12</v>
      </c>
      <c r="B7" s="43" t="s">
        <v>13</v>
      </c>
      <c r="C7" s="35"/>
      <c r="D7" s="36"/>
      <c r="E7" s="35"/>
      <c r="F7" s="37"/>
      <c r="G7" s="38"/>
      <c r="H7" s="36"/>
      <c r="I7" s="39"/>
      <c r="J7" s="40"/>
      <c r="K7" s="39"/>
      <c r="L7" s="40"/>
      <c r="M7" s="39"/>
      <c r="N7" s="41"/>
    </row>
    <row r="8" ht="12.75" customHeight="1">
      <c r="B8" s="44" t="s">
        <v>14</v>
      </c>
      <c r="C8" s="35">
        <f>IFERROR(1/CALCULATIONS!U8,0)</f>
        <v>0.25</v>
      </c>
      <c r="D8" s="36" t="str">
        <f>CONCATENATE(CALCULATIONS!T8,CALCULATIONS!X8)</f>
        <v>SQ.M.per hour</v>
      </c>
      <c r="E8" s="35">
        <f>IFERROR(1/CALCULATIONS!V8,0)</f>
        <v>0.5</v>
      </c>
      <c r="F8" s="37" t="str">
        <f>CONCATENATE(CALCULATIONS!T8,CALCULATIONS!X8)</f>
        <v>SQ.M.per hour</v>
      </c>
      <c r="G8" s="38">
        <f>IFERROR(1/CALCULATIONS!W8,0)</f>
        <v>0.625</v>
      </c>
      <c r="H8" s="36" t="str">
        <f>CONCATENATE(CALCULATIONS!T8,CALCULATIONS!X8)</f>
        <v>SQ.M.per hour</v>
      </c>
      <c r="I8" s="39">
        <f>CALCULATIONS!U8*$I$2</f>
        <v>234.7222222</v>
      </c>
      <c r="J8" s="40" t="str">
        <f>CONCATENATE(CALCULATIONS!Y8,CALCULATIONS!T8)</f>
        <v>per SQ.M.</v>
      </c>
      <c r="K8" s="39">
        <f>CALCULATIONS!V8*$I$2</f>
        <v>117.3611111</v>
      </c>
      <c r="L8" s="40" t="str">
        <f>CONCATENATE(CALCULATIONS!Y8,CALCULATIONS!T8)</f>
        <v>per SQ.M.</v>
      </c>
      <c r="M8" s="39">
        <f>CALCULATIONS!W8*$I$2</f>
        <v>93.88888889</v>
      </c>
      <c r="N8" s="41" t="str">
        <f>CONCATENATE(CALCULATIONS!Y8,CALCULATIONS!T8)</f>
        <v>per SQ.M.</v>
      </c>
    </row>
    <row r="9" ht="12.75" customHeight="1">
      <c r="B9" s="44" t="s">
        <v>15</v>
      </c>
      <c r="C9" s="35">
        <f>IFERROR(1/CALCULATIONS!U9,0)</f>
        <v>0.2127659574</v>
      </c>
      <c r="D9" s="36" t="str">
        <f>CONCATENATE(CALCULATIONS!T9,CALCULATIONS!X9)</f>
        <v>SQ.M.per hour</v>
      </c>
      <c r="E9" s="35">
        <f>IFERROR(1/CALCULATIONS!V9,0)</f>
        <v>0.4255319149</v>
      </c>
      <c r="F9" s="37" t="str">
        <f>CONCATENATE(CALCULATIONS!T9,CALCULATIONS!X9)</f>
        <v>SQ.M.per hour</v>
      </c>
      <c r="G9" s="38">
        <f>IFERROR(1/CALCULATIONS!W9,0)</f>
        <v>0.5319148936</v>
      </c>
      <c r="H9" s="36" t="str">
        <f>CONCATENATE(CALCULATIONS!T9,CALCULATIONS!X9)</f>
        <v>SQ.M.per hour</v>
      </c>
      <c r="I9" s="39">
        <f>CALCULATIONS!U9*$I$2</f>
        <v>275.7986111</v>
      </c>
      <c r="J9" s="40" t="str">
        <f>CONCATENATE(CALCULATIONS!Y9,CALCULATIONS!T9)</f>
        <v>per SQ.M.</v>
      </c>
      <c r="K9" s="39">
        <f>CALCULATIONS!V9*$I$2</f>
        <v>137.8993056</v>
      </c>
      <c r="L9" s="40" t="str">
        <f>CONCATENATE(CALCULATIONS!Y9,CALCULATIONS!T9)</f>
        <v>per SQ.M.</v>
      </c>
      <c r="M9" s="39">
        <f>CALCULATIONS!W9*$I$2</f>
        <v>110.3194444</v>
      </c>
      <c r="N9" s="41" t="str">
        <f>CONCATENATE(CALCULATIONS!Y9,CALCULATIONS!T9)</f>
        <v>per SQ.M.</v>
      </c>
    </row>
    <row r="10" ht="12.75" customHeight="1">
      <c r="B10" s="44" t="s">
        <v>16</v>
      </c>
      <c r="C10" s="35">
        <f>IFERROR(1/CALCULATIONS!U10,0)</f>
        <v>0.1623376623</v>
      </c>
      <c r="D10" s="36" t="str">
        <f>CONCATENATE(CALCULATIONS!T10,CALCULATIONS!X10)</f>
        <v>SQ.M.per hour</v>
      </c>
      <c r="E10" s="35">
        <f>IFERROR(1/CALCULATIONS!V10,0)</f>
        <v>0.3246753247</v>
      </c>
      <c r="F10" s="37" t="str">
        <f>CONCATENATE(CALCULATIONS!T10,CALCULATIONS!X10)</f>
        <v>SQ.M.per hour</v>
      </c>
      <c r="G10" s="38">
        <f>IFERROR(1/CALCULATIONS!W10,0)</f>
        <v>0.406504065</v>
      </c>
      <c r="H10" s="36" t="str">
        <f>CONCATENATE(CALCULATIONS!T10,CALCULATIONS!X10)</f>
        <v>SQ.M.per hour</v>
      </c>
      <c r="I10" s="39">
        <f>CALCULATIONS!U10*$I$2</f>
        <v>361.4722222</v>
      </c>
      <c r="J10" s="40" t="str">
        <f>CONCATENATE(CALCULATIONS!Y10,CALCULATIONS!T10)</f>
        <v>per SQ.M.</v>
      </c>
      <c r="K10" s="39">
        <f>CALCULATIONS!V10*$I$2</f>
        <v>180.7361111</v>
      </c>
      <c r="L10" s="40" t="str">
        <f>CONCATENATE(CALCULATIONS!Y10,CALCULATIONS!T10)</f>
        <v>per SQ.M.</v>
      </c>
      <c r="M10" s="39">
        <f>CALCULATIONS!W10*$I$2</f>
        <v>144.3541667</v>
      </c>
      <c r="N10" s="41" t="str">
        <f>CONCATENATE(CALCULATIONS!Y10,CALCULATIONS!T10)</f>
        <v>per SQ.M.</v>
      </c>
    </row>
    <row r="11" ht="12.75" customHeight="1">
      <c r="B11" s="44" t="s">
        <v>17</v>
      </c>
      <c r="C11" s="35">
        <f>IFERROR(1/CALCULATIONS!U11,0)</f>
        <v>0.2127659574</v>
      </c>
      <c r="D11" s="36" t="str">
        <f>CONCATENATE(CALCULATIONS!T11,CALCULATIONS!X11)</f>
        <v>SQ.M.per hour</v>
      </c>
      <c r="E11" s="35">
        <f>IFERROR(1/CALCULATIONS!V11,0)</f>
        <v>0.4255319149</v>
      </c>
      <c r="F11" s="37" t="str">
        <f>CONCATENATE(CALCULATIONS!T11,CALCULATIONS!X11)</f>
        <v>SQ.M.per hour</v>
      </c>
      <c r="G11" s="38">
        <f>IFERROR(1/CALCULATIONS!W11,0)</f>
        <v>0.5319148936</v>
      </c>
      <c r="H11" s="36" t="str">
        <f>CONCATENATE(CALCULATIONS!T11,CALCULATIONS!X11)</f>
        <v>SQ.M.per hour</v>
      </c>
      <c r="I11" s="39">
        <f>CALCULATIONS!U11*$I$2</f>
        <v>275.7986111</v>
      </c>
      <c r="J11" s="40" t="str">
        <f>CONCATENATE(CALCULATIONS!Y11,CALCULATIONS!T11)</f>
        <v>per SQ.M.</v>
      </c>
      <c r="K11" s="39">
        <f>CALCULATIONS!V11*$I$2</f>
        <v>137.8993056</v>
      </c>
      <c r="L11" s="40" t="str">
        <f>CONCATENATE(CALCULATIONS!Y11,CALCULATIONS!T11)</f>
        <v>per SQ.M.</v>
      </c>
      <c r="M11" s="39">
        <f>CALCULATIONS!W11*$I$2</f>
        <v>110.3194444</v>
      </c>
      <c r="N11" s="41" t="str">
        <f>CONCATENATE(CALCULATIONS!Y11,CALCULATIONS!T11)</f>
        <v>per SQ.M.</v>
      </c>
    </row>
    <row r="12" ht="12.75" customHeight="1">
      <c r="B12" s="44" t="s">
        <v>18</v>
      </c>
      <c r="C12" s="35">
        <f>IFERROR(1/CALCULATIONS!U12,0)</f>
        <v>0</v>
      </c>
      <c r="D12" s="36" t="str">
        <f>CONCATENATE(CALCULATIONS!T12,CALCULATIONS!X12)</f>
        <v/>
      </c>
      <c r="E12" s="35">
        <f>IFERROR(1/CALCULATIONS!V12,0)</f>
        <v>0</v>
      </c>
      <c r="F12" s="37" t="str">
        <f>CONCATENATE(CALCULATIONS!T12,CALCULATIONS!X12)</f>
        <v/>
      </c>
      <c r="G12" s="38">
        <f>IFERROR(1/CALCULATIONS!W12,0)</f>
        <v>0</v>
      </c>
      <c r="H12" s="36" t="str">
        <f>CONCATENATE(CALCULATIONS!T12,CALCULATIONS!X12)</f>
        <v/>
      </c>
      <c r="I12" s="39">
        <f>CALCULATIONS!U12*$I$2</f>
        <v>0</v>
      </c>
      <c r="J12" s="40" t="str">
        <f>CONCATENATE(CALCULATIONS!Y12,CALCULATIONS!T12)</f>
        <v/>
      </c>
      <c r="K12" s="39">
        <f>CALCULATIONS!V12*$I$2</f>
        <v>0</v>
      </c>
      <c r="L12" s="40" t="str">
        <f>CONCATENATE(CALCULATIONS!Y12,CALCULATIONS!T12)</f>
        <v/>
      </c>
      <c r="M12" s="39">
        <f>CALCULATIONS!W12*$I$2</f>
        <v>0</v>
      </c>
      <c r="N12" s="41" t="str">
        <f>CONCATENATE(CALCULATIONS!Y12,CALCULATIONS!T12)</f>
        <v/>
      </c>
    </row>
    <row r="13" ht="12.75" customHeight="1">
      <c r="B13" s="44" t="s">
        <v>19</v>
      </c>
      <c r="C13" s="35">
        <f>IFERROR(1/CALCULATIONS!U13,0)</f>
        <v>0.2994011976</v>
      </c>
      <c r="D13" s="36" t="str">
        <f>CONCATENATE(CALCULATIONS!T13,CALCULATIONS!X13)</f>
        <v>SQ.M.per hour</v>
      </c>
      <c r="E13" s="35">
        <f>IFERROR(1/CALCULATIONS!V13,0)</f>
        <v>0.5988023952</v>
      </c>
      <c r="F13" s="37" t="str">
        <f>CONCATENATE(CALCULATIONS!T13,CALCULATIONS!X13)</f>
        <v>SQ.M.per hour</v>
      </c>
      <c r="G13" s="38">
        <f>IFERROR(1/CALCULATIONS!W13,0)</f>
        <v>0.7462686567</v>
      </c>
      <c r="H13" s="36" t="str">
        <f>CONCATENATE(CALCULATIONS!T13,CALCULATIONS!X13)</f>
        <v>SQ.M.per hour</v>
      </c>
      <c r="I13" s="39">
        <f>CALCULATIONS!U13*$I$2</f>
        <v>195.9930556</v>
      </c>
      <c r="J13" s="40" t="str">
        <f>CONCATENATE(CALCULATIONS!Y13,CALCULATIONS!T13)</f>
        <v>per SQ.M.</v>
      </c>
      <c r="K13" s="39">
        <f>CALCULATIONS!V13*$I$2</f>
        <v>97.99652778</v>
      </c>
      <c r="L13" s="40" t="str">
        <f>CONCATENATE(CALCULATIONS!Y13,CALCULATIONS!T13)</f>
        <v>per SQ.M.</v>
      </c>
      <c r="M13" s="39">
        <f>CALCULATIONS!W13*$I$2</f>
        <v>78.63194444</v>
      </c>
      <c r="N13" s="41" t="str">
        <f>CONCATENATE(CALCULATIONS!Y13,CALCULATIONS!T13)</f>
        <v>per SQ.M.</v>
      </c>
    </row>
    <row r="14" ht="12.75" customHeight="1">
      <c r="B14" s="44" t="s">
        <v>20</v>
      </c>
      <c r="C14" s="35">
        <f>IFERROR(1/CALCULATIONS!U14,0)</f>
        <v>0.1501501502</v>
      </c>
      <c r="D14" s="36" t="str">
        <f>CONCATENATE(CALCULATIONS!T14,CALCULATIONS!X14)</f>
        <v>SQ.M.per hour</v>
      </c>
      <c r="E14" s="35">
        <f>IFERROR(1/CALCULATIONS!V14,0)</f>
        <v>0.3003003003</v>
      </c>
      <c r="F14" s="37" t="str">
        <f>CONCATENATE(CALCULATIONS!T14,CALCULATIONS!X14)</f>
        <v>SQ.M.per hour</v>
      </c>
      <c r="G14" s="38">
        <f>IFERROR(1/CALCULATIONS!W14,0)</f>
        <v>0.3759398496</v>
      </c>
      <c r="H14" s="36" t="str">
        <f>CONCATENATE(CALCULATIONS!T14,CALCULATIONS!X14)</f>
        <v>SQ.M.per hour</v>
      </c>
      <c r="I14" s="39">
        <f>CALCULATIONS!U14*$I$2</f>
        <v>390.8125</v>
      </c>
      <c r="J14" s="40" t="str">
        <f>CONCATENATE(CALCULATIONS!Y14,CALCULATIONS!T14)</f>
        <v>per SQ.M.</v>
      </c>
      <c r="K14" s="39">
        <f>CALCULATIONS!V14*$I$2</f>
        <v>195.40625</v>
      </c>
      <c r="L14" s="40" t="str">
        <f>CONCATENATE(CALCULATIONS!Y14,CALCULATIONS!T14)</f>
        <v>per SQ.M.</v>
      </c>
      <c r="M14" s="39">
        <f>CALCULATIONS!W14*$I$2</f>
        <v>156.0902778</v>
      </c>
      <c r="N14" s="41" t="str">
        <f>CONCATENATE(CALCULATIONS!Y14,CALCULATIONS!T14)</f>
        <v>per SQ.M.</v>
      </c>
    </row>
    <row r="15" ht="12.75" customHeight="1">
      <c r="B15" s="44" t="s">
        <v>21</v>
      </c>
      <c r="C15" s="35">
        <f>IFERROR(1/CALCULATIONS!U15,0)</f>
        <v>0</v>
      </c>
      <c r="D15" s="36" t="str">
        <f>CONCATENATE(CALCULATIONS!T15,CALCULATIONS!X15)</f>
        <v/>
      </c>
      <c r="E15" s="35">
        <f>IFERROR(1/CALCULATIONS!V15,0)</f>
        <v>0</v>
      </c>
      <c r="F15" s="37" t="str">
        <f>CONCATENATE(CALCULATIONS!T15,CALCULATIONS!X15)</f>
        <v/>
      </c>
      <c r="G15" s="38">
        <f>IFERROR(1/CALCULATIONS!W15,0)</f>
        <v>0</v>
      </c>
      <c r="H15" s="36" t="str">
        <f>CONCATENATE(CALCULATIONS!T15,CALCULATIONS!X15)</f>
        <v/>
      </c>
      <c r="I15" s="39">
        <f>CALCULATIONS!U15*$I$2</f>
        <v>0</v>
      </c>
      <c r="J15" s="40" t="str">
        <f>CONCATENATE(CALCULATIONS!Y15,CALCULATIONS!T15)</f>
        <v/>
      </c>
      <c r="K15" s="39">
        <f>CALCULATIONS!V15*$I$2</f>
        <v>0</v>
      </c>
      <c r="L15" s="40" t="str">
        <f>CONCATENATE(CALCULATIONS!Y15,CALCULATIONS!T15)</f>
        <v/>
      </c>
      <c r="M15" s="39">
        <f>CALCULATIONS!W15*$I$2</f>
        <v>0</v>
      </c>
      <c r="N15" s="41" t="str">
        <f>CONCATENATE(CALCULATIONS!Y15,CALCULATIONS!T15)</f>
        <v/>
      </c>
    </row>
    <row r="16" ht="12.75" customHeight="1">
      <c r="B16" s="44" t="s">
        <v>22</v>
      </c>
      <c r="C16" s="35">
        <f>IFERROR(1/CALCULATIONS!U16,0)</f>
        <v>0.05813953488</v>
      </c>
      <c r="D16" s="36" t="str">
        <f>CONCATENATE(CALCULATIONS!T16,CALCULATIONS!X16)</f>
        <v>SQ.M.per hour</v>
      </c>
      <c r="E16" s="35">
        <f>IFERROR(1/CALCULATIONS!V16,0)</f>
        <v>0.1111111111</v>
      </c>
      <c r="F16" s="37" t="str">
        <f>CONCATENATE(CALCULATIONS!T16,CALCULATIONS!X16)</f>
        <v>SQ.M.per hour</v>
      </c>
      <c r="G16" s="38">
        <f>IFERROR(1/CALCULATIONS!W16,0)</f>
        <v>0.1453488372</v>
      </c>
      <c r="H16" s="36" t="str">
        <f>CONCATENATE(CALCULATIONS!T16,CALCULATIONS!X16)</f>
        <v>SQ.M.per hour</v>
      </c>
      <c r="I16" s="39">
        <f>CALCULATIONS!U16*$I$2</f>
        <v>1009.305556</v>
      </c>
      <c r="J16" s="40" t="str">
        <f>CONCATENATE(CALCULATIONS!Y16,CALCULATIONS!T16)</f>
        <v>per SQ.M.</v>
      </c>
      <c r="K16" s="39">
        <f>CALCULATIONS!V16*$I$2</f>
        <v>528.125</v>
      </c>
      <c r="L16" s="40" t="str">
        <f>CONCATENATE(CALCULATIONS!Y16,CALCULATIONS!T16)</f>
        <v>per SQ.M.</v>
      </c>
      <c r="M16" s="39">
        <f>CALCULATIONS!W16*$I$2</f>
        <v>403.7222222</v>
      </c>
      <c r="N16" s="41" t="str">
        <f>CONCATENATE(CALCULATIONS!Y16,CALCULATIONS!T16)</f>
        <v>per SQ.M.</v>
      </c>
    </row>
    <row r="17" ht="12.75" customHeight="1">
      <c r="B17" s="44" t="s">
        <v>23</v>
      </c>
      <c r="C17" s="35">
        <f>IFERROR(1/CALCULATIONS!U17,0)</f>
        <v>0.04545454545</v>
      </c>
      <c r="D17" s="36" t="str">
        <f>CONCATENATE(CALCULATIONS!T17,CALCULATIONS!X17)</f>
        <v>SQ.M.per hour</v>
      </c>
      <c r="E17" s="35">
        <f>IFERROR(1/CALCULATIONS!V17,0)</f>
        <v>0.09090909091</v>
      </c>
      <c r="F17" s="37" t="str">
        <f>CONCATENATE(CALCULATIONS!T17,CALCULATIONS!X17)</f>
        <v>SQ.M.per hour</v>
      </c>
      <c r="G17" s="38">
        <f>IFERROR(1/CALCULATIONS!W17,0)</f>
        <v>0.1136363636</v>
      </c>
      <c r="H17" s="36" t="str">
        <f>CONCATENATE(CALCULATIONS!T17,CALCULATIONS!X17)</f>
        <v>SQ.M.per hour</v>
      </c>
      <c r="I17" s="39">
        <f>CALCULATIONS!U17*$I$2</f>
        <v>1290.972222</v>
      </c>
      <c r="J17" s="40" t="str">
        <f>CONCATENATE(CALCULATIONS!Y17,CALCULATIONS!T17)</f>
        <v>per SQ.M.</v>
      </c>
      <c r="K17" s="39">
        <f>CALCULATIONS!V17*$I$2</f>
        <v>645.4861111</v>
      </c>
      <c r="L17" s="40" t="str">
        <f>CONCATENATE(CALCULATIONS!Y17,CALCULATIONS!T17)</f>
        <v>per SQ.M.</v>
      </c>
      <c r="M17" s="39">
        <f>CALCULATIONS!W17*$I$2</f>
        <v>516.3888889</v>
      </c>
      <c r="N17" s="41" t="str">
        <f>CONCATENATE(CALCULATIONS!Y17,CALCULATIONS!T17)</f>
        <v>per SQ.M.</v>
      </c>
    </row>
    <row r="18" ht="12.75" customHeight="1">
      <c r="B18" s="44" t="s">
        <v>24</v>
      </c>
      <c r="C18" s="35">
        <f>IFERROR(1/CALCULATIONS!U18,0)</f>
        <v>1</v>
      </c>
      <c r="D18" s="36" t="str">
        <f>CONCATENATE(CALCULATIONS!T18,CALCULATIONS!X18)</f>
        <v>SQ.M.per hour</v>
      </c>
      <c r="E18" s="35">
        <f>IFERROR(1/CALCULATIONS!V18,0)</f>
        <v>1.666666667</v>
      </c>
      <c r="F18" s="37" t="str">
        <f>CONCATENATE(CALCULATIONS!T18,CALCULATIONS!X18)</f>
        <v>SQ.M.per hour</v>
      </c>
      <c r="G18" s="38">
        <f>IFERROR(1/CALCULATIONS!W18,0)</f>
        <v>2.5</v>
      </c>
      <c r="H18" s="36" t="str">
        <f>CONCATENATE(CALCULATIONS!T18,CALCULATIONS!X18)</f>
        <v>SQ.M.per hour</v>
      </c>
      <c r="I18" s="39">
        <f>CALCULATIONS!U18*$I$2</f>
        <v>58.68055556</v>
      </c>
      <c r="J18" s="40" t="str">
        <f>CONCATENATE(CALCULATIONS!Y18,CALCULATIONS!T18)</f>
        <v>per SQ.M.</v>
      </c>
      <c r="K18" s="39">
        <f>CALCULATIONS!V18*$I$2</f>
        <v>35.20833333</v>
      </c>
      <c r="L18" s="40" t="str">
        <f>CONCATENATE(CALCULATIONS!Y18,CALCULATIONS!T18)</f>
        <v>per SQ.M.</v>
      </c>
      <c r="M18" s="39">
        <f>CALCULATIONS!W18*$I$2</f>
        <v>23.47222222</v>
      </c>
      <c r="N18" s="41" t="str">
        <f>CONCATENATE(CALCULATIONS!Y18,CALCULATIONS!T18)</f>
        <v>per SQ.M.</v>
      </c>
    </row>
    <row r="19" ht="12.75" customHeight="1">
      <c r="C19" s="35">
        <f>IFERROR(1/CALCULATIONS!U19,0)</f>
        <v>0</v>
      </c>
      <c r="D19" s="36" t="str">
        <f>CONCATENATE(CALCULATIONS!T19,CALCULATIONS!X19)</f>
        <v/>
      </c>
      <c r="E19" s="35">
        <f>IFERROR(1/CALCULATIONS!V19,0)</f>
        <v>0</v>
      </c>
      <c r="F19" s="37" t="str">
        <f>CONCATENATE(CALCULATIONS!T19,CALCULATIONS!X19)</f>
        <v/>
      </c>
      <c r="G19" s="38">
        <f>IFERROR(1/CALCULATIONS!W19,0)</f>
        <v>0</v>
      </c>
      <c r="H19" s="36" t="str">
        <f>CONCATENATE(CALCULATIONS!T19,CALCULATIONS!X19)</f>
        <v/>
      </c>
      <c r="I19" s="39">
        <f>CALCULATIONS!U19*$I$2</f>
        <v>0</v>
      </c>
      <c r="J19" s="40" t="str">
        <f>CONCATENATE(CALCULATIONS!Y19,CALCULATIONS!T19)</f>
        <v/>
      </c>
      <c r="K19" s="39">
        <f>CALCULATIONS!V19*$I$2</f>
        <v>0</v>
      </c>
      <c r="L19" s="40" t="str">
        <f>CONCATENATE(CALCULATIONS!Y19,CALCULATIONS!T19)</f>
        <v/>
      </c>
      <c r="M19" s="39">
        <f>CALCULATIONS!W19*$I$2</f>
        <v>0</v>
      </c>
      <c r="N19" s="41" t="str">
        <f>CONCATENATE(CALCULATIONS!Y19,CALCULATIONS!T19)</f>
        <v/>
      </c>
    </row>
    <row r="20" ht="12.75" customHeight="1">
      <c r="A20" s="42" t="s">
        <v>25</v>
      </c>
      <c r="B20" s="43" t="s">
        <v>26</v>
      </c>
      <c r="C20" s="35">
        <f>IFERROR(1/CALCULATIONS!U20,0)</f>
        <v>0.4651162791</v>
      </c>
      <c r="D20" s="36" t="str">
        <f>CONCATENATE(CALCULATIONS!T20,CALCULATIONS!X20)</f>
        <v>SQ.M.per hour</v>
      </c>
      <c r="E20" s="35">
        <f>IFERROR(1/CALCULATIONS!V20,0)</f>
        <v>0.9259259259</v>
      </c>
      <c r="F20" s="37" t="str">
        <f>CONCATENATE(CALCULATIONS!T20,CALCULATIONS!X20)</f>
        <v>SQ.M.per hour</v>
      </c>
      <c r="G20" s="38">
        <f>IFERROR(1/CALCULATIONS!W20,0)</f>
        <v>1.162790698</v>
      </c>
      <c r="H20" s="36" t="str">
        <f>CONCATENATE(CALCULATIONS!T20,CALCULATIONS!X20)</f>
        <v>SQ.M.per hour</v>
      </c>
      <c r="I20" s="39">
        <f>CALCULATIONS!U20*$I$2</f>
        <v>126.1631944</v>
      </c>
      <c r="J20" s="40" t="str">
        <f>CONCATENATE(CALCULATIONS!Y20,CALCULATIONS!T20)</f>
        <v>per SQ.M.</v>
      </c>
      <c r="K20" s="39">
        <f>CALCULATIONS!V20*$I$2</f>
        <v>63.375</v>
      </c>
      <c r="L20" s="40" t="str">
        <f>CONCATENATE(CALCULATIONS!Y20,CALCULATIONS!T20)</f>
        <v>per SQ.M.</v>
      </c>
      <c r="M20" s="39">
        <f>CALCULATIONS!W20*$I$2</f>
        <v>50.46527778</v>
      </c>
      <c r="N20" s="41" t="str">
        <f>CONCATENATE(CALCULATIONS!Y20,CALCULATIONS!T20)</f>
        <v>per SQ.M.</v>
      </c>
    </row>
    <row r="21" ht="12.75" customHeight="1">
      <c r="C21" s="35">
        <f>IFERROR(1/CALCULATIONS!U21,0)</f>
        <v>0</v>
      </c>
      <c r="D21" s="36" t="str">
        <f>CONCATENATE(CALCULATIONS!T21,CALCULATIONS!X21)</f>
        <v/>
      </c>
      <c r="E21" s="35">
        <f>IFERROR(1/CALCULATIONS!V21,0)</f>
        <v>0</v>
      </c>
      <c r="F21" s="37" t="str">
        <f>CONCATENATE(CALCULATIONS!T21,CALCULATIONS!X21)</f>
        <v/>
      </c>
      <c r="G21" s="38">
        <f>IFERROR(1/CALCULATIONS!W21,0)</f>
        <v>0</v>
      </c>
      <c r="H21" s="36" t="str">
        <f>CONCATENATE(CALCULATIONS!T21,CALCULATIONS!X21)</f>
        <v/>
      </c>
      <c r="I21" s="39">
        <f>CALCULATIONS!U21*$I$2</f>
        <v>0</v>
      </c>
      <c r="J21" s="40" t="str">
        <f>CONCATENATE(CALCULATIONS!Y21,CALCULATIONS!T21)</f>
        <v/>
      </c>
      <c r="K21" s="39">
        <f>CALCULATIONS!V21*$I$2</f>
        <v>0</v>
      </c>
      <c r="L21" s="40" t="str">
        <f>CONCATENATE(CALCULATIONS!Y21,CALCULATIONS!T21)</f>
        <v/>
      </c>
      <c r="M21" s="39">
        <f>CALCULATIONS!W21*$I$2</f>
        <v>0</v>
      </c>
      <c r="N21" s="41" t="str">
        <f>CONCATENATE(CALCULATIONS!Y21,CALCULATIONS!T21)</f>
        <v/>
      </c>
    </row>
    <row r="22" ht="12.75" customHeight="1">
      <c r="A22" s="42" t="s">
        <v>27</v>
      </c>
      <c r="B22" s="43" t="s">
        <v>28</v>
      </c>
      <c r="C22" s="35">
        <f>IFERROR(1/CALCULATIONS!U22,0)</f>
        <v>0</v>
      </c>
      <c r="D22" s="36" t="str">
        <f>CONCATENATE(CALCULATIONS!T22,CALCULATIONS!X22)</f>
        <v/>
      </c>
      <c r="E22" s="35">
        <f>IFERROR(1/CALCULATIONS!V22,0)</f>
        <v>0</v>
      </c>
      <c r="F22" s="37" t="str">
        <f>CONCATENATE(CALCULATIONS!T22,CALCULATIONS!X22)</f>
        <v/>
      </c>
      <c r="G22" s="38">
        <f>IFERROR(1/CALCULATIONS!W22,0)</f>
        <v>0</v>
      </c>
      <c r="H22" s="36" t="str">
        <f>CONCATENATE(CALCULATIONS!T22,CALCULATIONS!X22)</f>
        <v/>
      </c>
      <c r="I22" s="39">
        <f>CALCULATIONS!U22*$I$2</f>
        <v>0</v>
      </c>
      <c r="J22" s="40" t="str">
        <f>CONCATENATE(CALCULATIONS!Y22,CALCULATIONS!T22)</f>
        <v/>
      </c>
      <c r="K22" s="39">
        <f>CALCULATIONS!V22*$I$2</f>
        <v>0</v>
      </c>
      <c r="L22" s="40" t="str">
        <f>CONCATENATE(CALCULATIONS!Y22,CALCULATIONS!T22)</f>
        <v/>
      </c>
      <c r="M22" s="39">
        <f>CALCULATIONS!W22*$I$2</f>
        <v>0</v>
      </c>
      <c r="N22" s="41" t="str">
        <f>CONCATENATE(CALCULATIONS!Y22,CALCULATIONS!T22)</f>
        <v/>
      </c>
    </row>
    <row r="23" ht="12.75" customHeight="1">
      <c r="B23" s="44" t="s">
        <v>29</v>
      </c>
      <c r="C23" s="35">
        <f>IFERROR(1/CALCULATIONS!U23,0)</f>
        <v>2</v>
      </c>
      <c r="D23" s="36" t="str">
        <f>CONCATENATE(CALCULATIONS!T23,CALCULATIONS!X23)</f>
        <v>SQ.M.per hour</v>
      </c>
      <c r="E23" s="35">
        <f>IFERROR(1/CALCULATIONS!V23,0)</f>
        <v>4</v>
      </c>
      <c r="F23" s="37" t="str">
        <f>CONCATENATE(CALCULATIONS!T23,CALCULATIONS!X23)</f>
        <v>SQ.M.per hour</v>
      </c>
      <c r="G23" s="38">
        <f>IFERROR(1/CALCULATIONS!W23,0)</f>
        <v>5</v>
      </c>
      <c r="H23" s="36" t="str">
        <f>CONCATENATE(CALCULATIONS!T23,CALCULATIONS!X23)</f>
        <v>SQ.M.per hour</v>
      </c>
      <c r="I23" s="39">
        <f>CALCULATIONS!U23*$I$2</f>
        <v>29.34027778</v>
      </c>
      <c r="J23" s="40" t="str">
        <f>CONCATENATE(CALCULATIONS!Y23,CALCULATIONS!T23)</f>
        <v>per SQ.M.</v>
      </c>
      <c r="K23" s="39">
        <f>CALCULATIONS!V23*$I$2</f>
        <v>14.67013889</v>
      </c>
      <c r="L23" s="40" t="str">
        <f>CONCATENATE(CALCULATIONS!Y23,CALCULATIONS!T23)</f>
        <v>per SQ.M.</v>
      </c>
      <c r="M23" s="39">
        <f>CALCULATIONS!W23*$I$2</f>
        <v>11.73611111</v>
      </c>
      <c r="N23" s="41" t="str">
        <f>CONCATENATE(CALCULATIONS!Y23,CALCULATIONS!T23)</f>
        <v>per SQ.M.</v>
      </c>
    </row>
    <row r="24" ht="12.75" customHeight="1">
      <c r="B24" s="44" t="s">
        <v>30</v>
      </c>
      <c r="C24" s="35">
        <f>IFERROR(1/CALCULATIONS!U24,0)</f>
        <v>0.3875968992</v>
      </c>
      <c r="D24" s="36" t="str">
        <f>CONCATENATE(CALCULATIONS!T24,CALCULATIONS!X24)</f>
        <v>SQ.M.per hour</v>
      </c>
      <c r="E24" s="35">
        <f>IFERROR(1/CALCULATIONS!V24,0)</f>
        <v>0.7751937984</v>
      </c>
      <c r="F24" s="37" t="str">
        <f>CONCATENATE(CALCULATIONS!T24,CALCULATIONS!X24)</f>
        <v>SQ.M.per hour</v>
      </c>
      <c r="G24" s="38">
        <f>IFERROR(1/CALCULATIONS!W24,0)</f>
        <v>0.9708737864</v>
      </c>
      <c r="H24" s="36" t="str">
        <f>CONCATENATE(CALCULATIONS!T24,CALCULATIONS!X24)</f>
        <v>SQ.M.per hour</v>
      </c>
      <c r="I24" s="39">
        <f>CALCULATIONS!U24*$I$2</f>
        <v>151.3958333</v>
      </c>
      <c r="J24" s="40" t="str">
        <f>CONCATENATE(CALCULATIONS!Y24,CALCULATIONS!T24)</f>
        <v>per SQ.M.</v>
      </c>
      <c r="K24" s="39">
        <f>CALCULATIONS!V24*$I$2</f>
        <v>75.69791667</v>
      </c>
      <c r="L24" s="40" t="str">
        <f>CONCATENATE(CALCULATIONS!Y24,CALCULATIONS!T24)</f>
        <v>per SQ.M.</v>
      </c>
      <c r="M24" s="39">
        <f>CALCULATIONS!W24*$I$2</f>
        <v>60.44097222</v>
      </c>
      <c r="N24" s="41" t="str">
        <f>CONCATENATE(CALCULATIONS!Y24,CALCULATIONS!T24)</f>
        <v>per SQ.M.</v>
      </c>
    </row>
    <row r="25" ht="12.75" customHeight="1">
      <c r="B25" s="44" t="s">
        <v>16</v>
      </c>
      <c r="C25" s="35">
        <f>IFERROR(1/CALCULATIONS!U25,0)</f>
        <v>0.4854368932</v>
      </c>
      <c r="D25" s="36" t="str">
        <f>CONCATENATE(CALCULATIONS!T25,CALCULATIONS!X25)</f>
        <v>SQ.M.per hour</v>
      </c>
      <c r="E25" s="35">
        <f>IFERROR(1/CALCULATIONS!V25,0)</f>
        <v>0.9708737864</v>
      </c>
      <c r="F25" s="37" t="str">
        <f>CONCATENATE(CALCULATIONS!T25,CALCULATIONS!X25)</f>
        <v>SQ.M.per hour</v>
      </c>
      <c r="G25" s="38">
        <f>IFERROR(1/CALCULATIONS!W25,0)</f>
        <v>1.219512195</v>
      </c>
      <c r="H25" s="36" t="str">
        <f>CONCATENATE(CALCULATIONS!T25,CALCULATIONS!X25)</f>
        <v>SQ.M.per hour</v>
      </c>
      <c r="I25" s="39">
        <f>CALCULATIONS!U25*$I$2</f>
        <v>120.8819444</v>
      </c>
      <c r="J25" s="40" t="str">
        <f>CONCATENATE(CALCULATIONS!Y25,CALCULATIONS!T25)</f>
        <v>per SQ.M.</v>
      </c>
      <c r="K25" s="39">
        <f>CALCULATIONS!V25*$I$2</f>
        <v>60.44097222</v>
      </c>
      <c r="L25" s="40" t="str">
        <f>CONCATENATE(CALCULATIONS!Y25,CALCULATIONS!T25)</f>
        <v>per SQ.M.</v>
      </c>
      <c r="M25" s="39">
        <f>CALCULATIONS!W25*$I$2</f>
        <v>48.11805556</v>
      </c>
      <c r="N25" s="41" t="str">
        <f>CONCATENATE(CALCULATIONS!Y25,CALCULATIONS!T25)</f>
        <v>per SQ.M.</v>
      </c>
    </row>
    <row r="26" ht="12.75" customHeight="1">
      <c r="B26" s="44" t="s">
        <v>31</v>
      </c>
      <c r="C26" s="35">
        <f>IFERROR(1/CALCULATIONS!U26,0)</f>
        <v>0.5882352941</v>
      </c>
      <c r="D26" s="36" t="str">
        <f>CONCATENATE(CALCULATIONS!T26,CALCULATIONS!X26)</f>
        <v>SQ.M.per hour</v>
      </c>
      <c r="E26" s="35">
        <f>IFERROR(1/CALCULATIONS!V26,0)</f>
        <v>1.176470588</v>
      </c>
      <c r="F26" s="37" t="str">
        <f>CONCATENATE(CALCULATIONS!T26,CALCULATIONS!X26)</f>
        <v>SQ.M.per hour</v>
      </c>
      <c r="G26" s="38">
        <f>IFERROR(1/CALCULATIONS!W26,0)</f>
        <v>1.470588235</v>
      </c>
      <c r="H26" s="36" t="str">
        <f>CONCATENATE(CALCULATIONS!T26,CALCULATIONS!X26)</f>
        <v>SQ.M.per hour</v>
      </c>
      <c r="I26" s="39">
        <f>CALCULATIONS!U26*$I$2</f>
        <v>99.75694444</v>
      </c>
      <c r="J26" s="40" t="str">
        <f>CONCATENATE(CALCULATIONS!Y26,CALCULATIONS!T26)</f>
        <v>per SQ.M.</v>
      </c>
      <c r="K26" s="39">
        <f>CALCULATIONS!V26*$I$2</f>
        <v>49.87847222</v>
      </c>
      <c r="L26" s="40" t="str">
        <f>CONCATENATE(CALCULATIONS!Y26,CALCULATIONS!T26)</f>
        <v>per SQ.M.</v>
      </c>
      <c r="M26" s="39">
        <f>CALCULATIONS!W26*$I$2</f>
        <v>39.90277778</v>
      </c>
      <c r="N26" s="41" t="str">
        <f>CONCATENATE(CALCULATIONS!Y26,CALCULATIONS!T26)</f>
        <v>per SQ.M.</v>
      </c>
    </row>
    <row r="27" ht="12.75" customHeight="1">
      <c r="B27" s="44" t="s">
        <v>18</v>
      </c>
      <c r="C27" s="35">
        <f>IFERROR(1/CALCULATIONS!U27,0)</f>
        <v>0</v>
      </c>
      <c r="D27" s="36" t="str">
        <f>CONCATENATE(CALCULATIONS!T27,CALCULATIONS!X27)</f>
        <v>SQ.M.per hour</v>
      </c>
      <c r="E27" s="35">
        <f>IFERROR(1/CALCULATIONS!V27,0)</f>
        <v>0</v>
      </c>
      <c r="F27" s="37" t="str">
        <f>CONCATENATE(CALCULATIONS!T27,CALCULATIONS!X27)</f>
        <v>SQ.M.per hour</v>
      </c>
      <c r="G27" s="38">
        <f>IFERROR(1/CALCULATIONS!W27,0)</f>
        <v>0</v>
      </c>
      <c r="H27" s="36" t="str">
        <f>CONCATENATE(CALCULATIONS!T27,CALCULATIONS!X27)</f>
        <v>SQ.M.per hour</v>
      </c>
      <c r="I27" s="39">
        <f>CALCULATIONS!U27*$I$2</f>
        <v>0</v>
      </c>
      <c r="J27" s="40" t="str">
        <f>CONCATENATE(CALCULATIONS!Y27,CALCULATIONS!T27)</f>
        <v>per SQ.M.</v>
      </c>
      <c r="K27" s="39">
        <f>CALCULATIONS!V27*$I$2</f>
        <v>0</v>
      </c>
      <c r="L27" s="40" t="str">
        <f>CONCATENATE(CALCULATIONS!Y27,CALCULATIONS!T27)</f>
        <v>per SQ.M.</v>
      </c>
      <c r="M27" s="39">
        <f>CALCULATIONS!W27*$I$2</f>
        <v>0</v>
      </c>
      <c r="N27" s="41" t="str">
        <f>CONCATENATE(CALCULATIONS!Y27,CALCULATIONS!T27)</f>
        <v>per SQ.M.</v>
      </c>
    </row>
    <row r="28" ht="12.75" customHeight="1">
      <c r="B28" s="44" t="s">
        <v>19</v>
      </c>
      <c r="C28" s="35">
        <f>IFERROR(1/CALCULATIONS!U28,0)</f>
        <v>0.5988023952</v>
      </c>
      <c r="D28" s="36" t="str">
        <f>CONCATENATE(CALCULATIONS!T28,CALCULATIONS!X28)</f>
        <v>SQ.M.per hour</v>
      </c>
      <c r="E28" s="35">
        <f>IFERROR(1/CALCULATIONS!V28,0)</f>
        <v>1.204819277</v>
      </c>
      <c r="F28" s="37" t="str">
        <f>CONCATENATE(CALCULATIONS!T28,CALCULATIONS!X28)</f>
        <v>SQ.M.per hour</v>
      </c>
      <c r="G28" s="38">
        <f>IFERROR(1/CALCULATIONS!W28,0)</f>
        <v>1.492537313</v>
      </c>
      <c r="H28" s="36" t="str">
        <f>CONCATENATE(CALCULATIONS!T28,CALCULATIONS!X28)</f>
        <v>SQ.M.per hour</v>
      </c>
      <c r="I28" s="39">
        <f>CALCULATIONS!U28*$I$2</f>
        <v>97.99652778</v>
      </c>
      <c r="J28" s="40" t="str">
        <f>CONCATENATE(CALCULATIONS!Y28,CALCULATIONS!T28)</f>
        <v>per SQ.M.</v>
      </c>
      <c r="K28" s="39">
        <f>CALCULATIONS!V28*$I$2</f>
        <v>48.70486111</v>
      </c>
      <c r="L28" s="40" t="str">
        <f>CONCATENATE(CALCULATIONS!Y28,CALCULATIONS!T28)</f>
        <v>per SQ.M.</v>
      </c>
      <c r="M28" s="39">
        <f>CALCULATIONS!W28*$I$2</f>
        <v>39.31597222</v>
      </c>
      <c r="N28" s="41" t="str">
        <f>CONCATENATE(CALCULATIONS!Y28,CALCULATIONS!T28)</f>
        <v>per SQ.M.</v>
      </c>
    </row>
    <row r="29" ht="12.75" customHeight="1">
      <c r="B29" s="44" t="s">
        <v>20</v>
      </c>
      <c r="C29" s="35">
        <f>IFERROR(1/CALCULATIONS!U29,0)</f>
        <v>0.462962963</v>
      </c>
      <c r="D29" s="36" t="str">
        <f>CONCATENATE(CALCULATIONS!T29,CALCULATIONS!X29)</f>
        <v>SQ.M.per hour</v>
      </c>
      <c r="E29" s="35">
        <f>IFERROR(1/CALCULATIONS!V29,0)</f>
        <v>0.9259259259</v>
      </c>
      <c r="F29" s="37" t="str">
        <f>CONCATENATE(CALCULATIONS!T29,CALCULATIONS!X29)</f>
        <v>SQ.M.per hour</v>
      </c>
      <c r="G29" s="38">
        <f>IFERROR(1/CALCULATIONS!W29,0)</f>
        <v>1.162790698</v>
      </c>
      <c r="H29" s="36" t="str">
        <f>CONCATENATE(CALCULATIONS!T29,CALCULATIONS!X29)</f>
        <v>SQ.M.per hour</v>
      </c>
      <c r="I29" s="39">
        <f>CALCULATIONS!U29*$I$2</f>
        <v>126.75</v>
      </c>
      <c r="J29" s="40" t="str">
        <f>CONCATENATE(CALCULATIONS!Y29,CALCULATIONS!T29)</f>
        <v>per SQ.M.</v>
      </c>
      <c r="K29" s="39">
        <f>CALCULATIONS!V29*$I$2</f>
        <v>63.375</v>
      </c>
      <c r="L29" s="40" t="str">
        <f>CONCATENATE(CALCULATIONS!Y29,CALCULATIONS!T29)</f>
        <v>per SQ.M.</v>
      </c>
      <c r="M29" s="39">
        <f>CALCULATIONS!W29*$I$2</f>
        <v>50.46527778</v>
      </c>
      <c r="N29" s="41" t="str">
        <f>CONCATENATE(CALCULATIONS!Y29,CALCULATIONS!T29)</f>
        <v>per SQ.M.</v>
      </c>
    </row>
    <row r="30" ht="12.75" customHeight="1">
      <c r="B30" s="44" t="s">
        <v>21</v>
      </c>
      <c r="C30" s="35">
        <f>IFERROR(1/CALCULATIONS!U30,0)</f>
        <v>0</v>
      </c>
      <c r="D30" s="36" t="str">
        <f>CONCATENATE(CALCULATIONS!T30,CALCULATIONS!X30)</f>
        <v>SQ.M.per hour</v>
      </c>
      <c r="E30" s="35">
        <f>IFERROR(1/CALCULATIONS!V30,0)</f>
        <v>0</v>
      </c>
      <c r="F30" s="37" t="str">
        <f>CONCATENATE(CALCULATIONS!T30,CALCULATIONS!X30)</f>
        <v>SQ.M.per hour</v>
      </c>
      <c r="G30" s="38">
        <f>IFERROR(1/CALCULATIONS!W30,0)</f>
        <v>0</v>
      </c>
      <c r="H30" s="36" t="str">
        <f>CONCATENATE(CALCULATIONS!T30,CALCULATIONS!X30)</f>
        <v>SQ.M.per hour</v>
      </c>
      <c r="I30" s="39">
        <f>CALCULATIONS!U30*$I$2</f>
        <v>0</v>
      </c>
      <c r="J30" s="40" t="str">
        <f>CONCATENATE(CALCULATIONS!Y30,CALCULATIONS!T30)</f>
        <v>per SQ.M.</v>
      </c>
      <c r="K30" s="39">
        <f>CALCULATIONS!V30*$I$2</f>
        <v>0</v>
      </c>
      <c r="L30" s="40" t="str">
        <f>CONCATENATE(CALCULATIONS!Y30,CALCULATIONS!T30)</f>
        <v>per SQ.M.</v>
      </c>
      <c r="M30" s="39">
        <f>CALCULATIONS!W30*$I$2</f>
        <v>0</v>
      </c>
      <c r="N30" s="41" t="str">
        <f>CONCATENATE(CALCULATIONS!Y30,CALCULATIONS!T30)</f>
        <v>per SQ.M.</v>
      </c>
    </row>
    <row r="31" ht="12.75" customHeight="1">
      <c r="B31" s="44" t="s">
        <v>32</v>
      </c>
      <c r="C31" s="35">
        <f>IFERROR(1/CALCULATIONS!U31,0)</f>
        <v>0.1428571429</v>
      </c>
      <c r="D31" s="36" t="str">
        <f>CONCATENATE(CALCULATIONS!T31,CALCULATIONS!X31)</f>
        <v>SQ.M.per hour</v>
      </c>
      <c r="E31" s="35">
        <f>IFERROR(1/CALCULATIONS!V31,0)</f>
        <v>0.2857142857</v>
      </c>
      <c r="F31" s="37" t="str">
        <f>CONCATENATE(CALCULATIONS!T31,CALCULATIONS!X31)</f>
        <v>SQ.M.per hour</v>
      </c>
      <c r="G31" s="38">
        <f>IFERROR(1/CALCULATIONS!W31,0)</f>
        <v>0.3571428571</v>
      </c>
      <c r="H31" s="36" t="str">
        <f>CONCATENATE(CALCULATIONS!T31,CALCULATIONS!X31)</f>
        <v>SQ.M.per hour</v>
      </c>
      <c r="I31" s="39">
        <f>CALCULATIONS!U31*$I$2</f>
        <v>410.7638889</v>
      </c>
      <c r="J31" s="40" t="str">
        <f>CONCATENATE(CALCULATIONS!Y31,CALCULATIONS!T31)</f>
        <v>per SQ.M.</v>
      </c>
      <c r="K31" s="39">
        <f>CALCULATIONS!V31*$I$2</f>
        <v>205.3819444</v>
      </c>
      <c r="L31" s="40" t="str">
        <f>CONCATENATE(CALCULATIONS!Y31,CALCULATIONS!T31)</f>
        <v>per SQ.M.</v>
      </c>
      <c r="M31" s="39">
        <f>CALCULATIONS!W31*$I$2</f>
        <v>164.3055556</v>
      </c>
      <c r="N31" s="41" t="str">
        <f>CONCATENATE(CALCULATIONS!Y31,CALCULATIONS!T31)</f>
        <v>per SQ.M.</v>
      </c>
    </row>
    <row r="32" ht="12.75" customHeight="1">
      <c r="B32" s="44" t="s">
        <v>33</v>
      </c>
      <c r="C32" s="35">
        <f>IFERROR(1/CALCULATIONS!U32,0)</f>
        <v>0.1785714286</v>
      </c>
      <c r="D32" s="36" t="str">
        <f>CONCATENATE(CALCULATIONS!T32,CALCULATIONS!X32)</f>
        <v>SQ.M.per hour</v>
      </c>
      <c r="E32" s="35">
        <f>IFERROR(1/CALCULATIONS!V32,0)</f>
        <v>0.3571428571</v>
      </c>
      <c r="F32" s="37" t="str">
        <f>CONCATENATE(CALCULATIONS!T32,CALCULATIONS!X32)</f>
        <v>SQ.M.per hour</v>
      </c>
      <c r="G32" s="38">
        <f>IFERROR(1/CALCULATIONS!W32,0)</f>
        <v>0.4464285714</v>
      </c>
      <c r="H32" s="36" t="str">
        <f>CONCATENATE(CALCULATIONS!T32,CALCULATIONS!X32)</f>
        <v>SQ.M.per hour</v>
      </c>
      <c r="I32" s="39">
        <f>CALCULATIONS!U32*$I$2</f>
        <v>328.6111111</v>
      </c>
      <c r="J32" s="40" t="str">
        <f>CONCATENATE(CALCULATIONS!Y32,CALCULATIONS!T32)</f>
        <v>per SQ.M.</v>
      </c>
      <c r="K32" s="39">
        <f>CALCULATIONS!V32*$I$2</f>
        <v>164.3055556</v>
      </c>
      <c r="L32" s="40" t="str">
        <f>CONCATENATE(CALCULATIONS!Y32,CALCULATIONS!T32)</f>
        <v>per SQ.M.</v>
      </c>
      <c r="M32" s="39" t="s">
        <v>34</v>
      </c>
      <c r="N32" s="41" t="str">
        <f>CONCATENATE(CALCULATIONS!Y32,CALCULATIONS!T32)</f>
        <v>per SQ.M.</v>
      </c>
    </row>
    <row r="33" ht="12.75" customHeight="1">
      <c r="C33" s="35">
        <f>IFERROR(1/CALCULATIONS!U33,0)</f>
        <v>0</v>
      </c>
      <c r="D33" s="36" t="str">
        <f>CONCATENATE(CALCULATIONS!T33,CALCULATIONS!X33)</f>
        <v/>
      </c>
      <c r="E33" s="35">
        <f>IFERROR(1/CALCULATIONS!V33,0)</f>
        <v>0</v>
      </c>
      <c r="F33" s="37" t="str">
        <f>CONCATENATE(CALCULATIONS!T33,CALCULATIONS!X33)</f>
        <v/>
      </c>
      <c r="G33" s="38">
        <f>IFERROR(1/CALCULATIONS!W33,0)</f>
        <v>0</v>
      </c>
      <c r="H33" s="36" t="str">
        <f>CONCATENATE(CALCULATIONS!T33,CALCULATIONS!X33)</f>
        <v/>
      </c>
      <c r="I33" s="39">
        <f>CALCULATIONS!U33*$I$2</f>
        <v>0</v>
      </c>
      <c r="J33" s="40" t="str">
        <f>CONCATENATE(CALCULATIONS!Y33,CALCULATIONS!T33)</f>
        <v/>
      </c>
      <c r="K33" s="39">
        <f>CALCULATIONS!V33*$I$2</f>
        <v>0</v>
      </c>
      <c r="L33" s="40" t="str">
        <f>CONCATENATE(CALCULATIONS!Y33,CALCULATIONS!T33)</f>
        <v/>
      </c>
      <c r="M33" s="39">
        <f>CALCULATIONS!W33*$I$2</f>
        <v>0</v>
      </c>
      <c r="N33" s="41" t="str">
        <f>CONCATENATE(CALCULATIONS!Y33,CALCULATIONS!T33)</f>
        <v/>
      </c>
    </row>
    <row r="34" ht="12.75" customHeight="1">
      <c r="A34" s="42" t="s">
        <v>35</v>
      </c>
      <c r="B34" s="43" t="s">
        <v>36</v>
      </c>
      <c r="C34" s="35">
        <f>IFERROR(1/CALCULATIONS!U34,0)</f>
        <v>0</v>
      </c>
      <c r="D34" s="36" t="str">
        <f>CONCATENATE(CALCULATIONS!T34,CALCULATIONS!X34)</f>
        <v/>
      </c>
      <c r="E34" s="35">
        <f>IFERROR(1/CALCULATIONS!V34,0)</f>
        <v>0</v>
      </c>
      <c r="F34" s="37" t="str">
        <f>CONCATENATE(CALCULATIONS!T34,CALCULATIONS!X34)</f>
        <v/>
      </c>
      <c r="G34" s="38">
        <f>IFERROR(1/CALCULATIONS!W34,0)</f>
        <v>0</v>
      </c>
      <c r="H34" s="36" t="str">
        <f>CONCATENATE(CALCULATIONS!T34,CALCULATIONS!X34)</f>
        <v/>
      </c>
      <c r="I34" s="39">
        <f>CALCULATIONS!U34*$I$2</f>
        <v>0</v>
      </c>
      <c r="J34" s="40" t="str">
        <f>CONCATENATE(CALCULATIONS!Y34,CALCULATIONS!T34)</f>
        <v/>
      </c>
      <c r="K34" s="39">
        <f>CALCULATIONS!V34*$I$2</f>
        <v>0</v>
      </c>
      <c r="L34" s="40" t="str">
        <f>CONCATENATE(CALCULATIONS!Y34,CALCULATIONS!T34)</f>
        <v/>
      </c>
      <c r="M34" s="39">
        <f>CALCULATIONS!W34*$I$2</f>
        <v>0</v>
      </c>
      <c r="N34" s="41" t="str">
        <f>CONCATENATE(CALCULATIONS!Y34,CALCULATIONS!T34)</f>
        <v/>
      </c>
    </row>
    <row r="35" ht="12.75" customHeight="1">
      <c r="B35" s="44" t="s">
        <v>37</v>
      </c>
      <c r="C35" s="35">
        <f>IFERROR(1/CALCULATIONS!U35,0)</f>
        <v>0.5</v>
      </c>
      <c r="D35" s="36" t="str">
        <f>CONCATENATE(CALCULATIONS!T35,CALCULATIONS!X35)</f>
        <v>PCper hour</v>
      </c>
      <c r="E35" s="35">
        <f>IFERROR(1/CALCULATIONS!V35,0)</f>
        <v>1</v>
      </c>
      <c r="F35" s="37" t="str">
        <f>CONCATENATE(CALCULATIONS!T35,CALCULATIONS!X35)</f>
        <v>PCper hour</v>
      </c>
      <c r="G35" s="38">
        <f>IFERROR(1/CALCULATIONS!W35,0)</f>
        <v>1.25</v>
      </c>
      <c r="H35" s="36" t="str">
        <f>CONCATENATE(CALCULATIONS!T35,CALCULATIONS!X35)</f>
        <v>PCper hour</v>
      </c>
      <c r="I35" s="39">
        <f>CALCULATIONS!U35*$I$2</f>
        <v>117.3611111</v>
      </c>
      <c r="J35" s="40" t="str">
        <f>CONCATENATE(CALCULATIONS!Y35,CALCULATIONS!T35)</f>
        <v>per PC</v>
      </c>
      <c r="K35" s="39">
        <f>CALCULATIONS!V35*$I$2</f>
        <v>58.68055556</v>
      </c>
      <c r="L35" s="40" t="str">
        <f>CONCATENATE(CALCULATIONS!Y35,CALCULATIONS!T35)</f>
        <v>per PC</v>
      </c>
      <c r="M35" s="39">
        <f>CALCULATIONS!W35*$I$2</f>
        <v>46.94444444</v>
      </c>
      <c r="N35" s="41" t="str">
        <f>CONCATENATE(CALCULATIONS!Y35,CALCULATIONS!T35)</f>
        <v>per PC</v>
      </c>
    </row>
    <row r="36" ht="12.75" customHeight="1">
      <c r="B36" s="44" t="s">
        <v>38</v>
      </c>
      <c r="C36" s="35">
        <f>IFERROR(1/CALCULATIONS!U36,0)</f>
        <v>3.448275862</v>
      </c>
      <c r="D36" s="36" t="str">
        <f>CONCATENATE(CALCULATIONS!T36,CALCULATIONS!X36)</f>
        <v>B.F.per hour</v>
      </c>
      <c r="E36" s="35">
        <f>IFERROR(1/CALCULATIONS!V36,0)</f>
        <v>7.142857143</v>
      </c>
      <c r="F36" s="37" t="str">
        <f>CONCATENATE(CALCULATIONS!T36,CALCULATIONS!X36)</f>
        <v>B.F.per hour</v>
      </c>
      <c r="G36" s="38">
        <f>IFERROR(1/CALCULATIONS!W36,0)</f>
        <v>9.090909091</v>
      </c>
      <c r="H36" s="36" t="str">
        <f>CONCATENATE(CALCULATIONS!T36,CALCULATIONS!X36)</f>
        <v>B.F.per hour</v>
      </c>
      <c r="I36" s="39">
        <f>CALCULATIONS!U36*$I$2</f>
        <v>17.01736111</v>
      </c>
      <c r="J36" s="40" t="str">
        <f>CONCATENATE(CALCULATIONS!Y36,CALCULATIONS!T36)</f>
        <v>per B.F.</v>
      </c>
      <c r="K36" s="39">
        <f>CALCULATIONS!V36*$I$2</f>
        <v>8.215277778</v>
      </c>
      <c r="L36" s="40" t="str">
        <f>CONCATENATE(CALCULATIONS!Y36,CALCULATIONS!T36)</f>
        <v>per B.F.</v>
      </c>
      <c r="M36" s="39">
        <f>CALCULATIONS!W36*$I$2</f>
        <v>6.454861111</v>
      </c>
      <c r="N36" s="41" t="str">
        <f>CONCATENATE(CALCULATIONS!Y36,CALCULATIONS!T36)</f>
        <v>per B.F.</v>
      </c>
    </row>
    <row r="37" ht="12.75" customHeight="1">
      <c r="B37" s="44" t="s">
        <v>39</v>
      </c>
      <c r="C37" s="35">
        <f>IFERROR(1/CALCULATIONS!U37,0)</f>
        <v>3.333333333</v>
      </c>
      <c r="D37" s="36" t="str">
        <f>CONCATENATE(CALCULATIONS!T37,CALCULATIONS!X37)</f>
        <v>B.F.per hour</v>
      </c>
      <c r="E37" s="35">
        <f>IFERROR(1/CALCULATIONS!V37,0)</f>
        <v>2.777777778</v>
      </c>
      <c r="F37" s="37" t="str">
        <f>CONCATENATE(CALCULATIONS!T37,CALCULATIONS!X37)</f>
        <v>B.F.per hour</v>
      </c>
      <c r="G37" s="38">
        <f>IFERROR(1/CALCULATIONS!W37,0)</f>
        <v>3.448275862</v>
      </c>
      <c r="H37" s="36" t="str">
        <f>CONCATENATE(CALCULATIONS!T37,CALCULATIONS!X37)</f>
        <v>B.F.per hour</v>
      </c>
      <c r="I37" s="39">
        <f>CALCULATIONS!U37*$I$2</f>
        <v>17.60416667</v>
      </c>
      <c r="J37" s="40" t="str">
        <f>CONCATENATE(CALCULATIONS!Y37,CALCULATIONS!T37)</f>
        <v>per B.F.</v>
      </c>
      <c r="K37" s="39">
        <f>CALCULATIONS!V37*$I$2</f>
        <v>21.125</v>
      </c>
      <c r="L37" s="40" t="str">
        <f>CONCATENATE(CALCULATIONS!Y37,CALCULATIONS!T37)</f>
        <v>per B.F.</v>
      </c>
      <c r="M37" s="39">
        <f>CALCULATIONS!W37*$I$2</f>
        <v>17.01736111</v>
      </c>
      <c r="N37" s="41" t="str">
        <f>CONCATENATE(CALCULATIONS!Y37,CALCULATIONS!T37)</f>
        <v>per B.F.</v>
      </c>
    </row>
    <row r="38" ht="12.75" customHeight="1">
      <c r="B38" s="44" t="s">
        <v>40</v>
      </c>
      <c r="C38" s="35">
        <f>IFERROR(1/CALCULATIONS!U38,0)</f>
        <v>1.886792453</v>
      </c>
      <c r="D38" s="36" t="str">
        <f>CONCATENATE(CALCULATIONS!T38,CALCULATIONS!X38)</f>
        <v>B.F.per hour</v>
      </c>
      <c r="E38" s="35">
        <f>IFERROR(1/CALCULATIONS!V38,0)</f>
        <v>3.703703704</v>
      </c>
      <c r="F38" s="37" t="str">
        <f>CONCATENATE(CALCULATIONS!T38,CALCULATIONS!X38)</f>
        <v>B.F.per hour</v>
      </c>
      <c r="G38" s="38">
        <f>IFERROR(1/CALCULATIONS!W38,0)</f>
        <v>4.761904762</v>
      </c>
      <c r="H38" s="36" t="str">
        <f>CONCATENATE(CALCULATIONS!T38,CALCULATIONS!X38)</f>
        <v>B.F.per hour</v>
      </c>
      <c r="I38" s="39">
        <f>CALCULATIONS!U38*$I$2</f>
        <v>31.10069444</v>
      </c>
      <c r="J38" s="40" t="str">
        <f>CONCATENATE(CALCULATIONS!Y38,CALCULATIONS!T38)</f>
        <v>per B.F.</v>
      </c>
      <c r="K38" s="39">
        <f>CALCULATIONS!V38*$I$2</f>
        <v>15.84375</v>
      </c>
      <c r="L38" s="40" t="str">
        <f>CONCATENATE(CALCULATIONS!Y38,CALCULATIONS!T38)</f>
        <v>per B.F.</v>
      </c>
      <c r="M38" s="39">
        <f>CALCULATIONS!W38*$I$2</f>
        <v>12.32291667</v>
      </c>
      <c r="N38" s="41" t="str">
        <f>CONCATENATE(CALCULATIONS!Y38,CALCULATIONS!T38)</f>
        <v>per B.F.</v>
      </c>
    </row>
    <row r="39" ht="12.75" customHeight="1">
      <c r="B39" s="44" t="s">
        <v>41</v>
      </c>
      <c r="C39" s="35">
        <f>IFERROR(1/CALCULATIONS!U39,0)</f>
        <v>0.5154639175</v>
      </c>
      <c r="D39" s="36" t="str">
        <f>CONCATENATE(CALCULATIONS!T39,CALCULATIONS!X39)</f>
        <v>B.F.per hour</v>
      </c>
      <c r="E39" s="35">
        <f>IFERROR(1/CALCULATIONS!V39,0)</f>
        <v>1.030927835</v>
      </c>
      <c r="F39" s="37" t="str">
        <f>CONCATENATE(CALCULATIONS!T39,CALCULATIONS!X39)</f>
        <v>B.F.per hour</v>
      </c>
      <c r="G39" s="38">
        <f>IFERROR(1/CALCULATIONS!W39,0)</f>
        <v>1.298701299</v>
      </c>
      <c r="H39" s="36" t="str">
        <f>CONCATENATE(CALCULATIONS!T39,CALCULATIONS!X39)</f>
        <v>B.F.per hour</v>
      </c>
      <c r="I39" s="39">
        <f>CALCULATIONS!U39*$I$2</f>
        <v>113.8402778</v>
      </c>
      <c r="J39" s="40" t="str">
        <f>CONCATENATE(CALCULATIONS!Y39,CALCULATIONS!T39)</f>
        <v>per B.F.</v>
      </c>
      <c r="K39" s="39">
        <f>CALCULATIONS!V39*$I$2</f>
        <v>56.92013889</v>
      </c>
      <c r="L39" s="40" t="str">
        <f>CONCATENATE(CALCULATIONS!Y39,CALCULATIONS!T39)</f>
        <v>per B.F.</v>
      </c>
      <c r="M39" s="39">
        <f>CALCULATIONS!W39*$I$2</f>
        <v>45.18402778</v>
      </c>
      <c r="N39" s="41" t="str">
        <f>CONCATENATE(CALCULATIONS!Y39,CALCULATIONS!T39)</f>
        <v>per B.F.</v>
      </c>
    </row>
    <row r="40" ht="12.75" customHeight="1">
      <c r="B40" s="44" t="s">
        <v>42</v>
      </c>
      <c r="C40" s="35">
        <f>IFERROR(1/CALCULATIONS!U40,0)</f>
        <v>1.176470588</v>
      </c>
      <c r="D40" s="36" t="str">
        <f>CONCATENATE(CALCULATIONS!T40,CALCULATIONS!X40)</f>
        <v>B.F.per hour</v>
      </c>
      <c r="E40" s="35">
        <f>IFERROR(1/CALCULATIONS!V40,0)</f>
        <v>2.325581395</v>
      </c>
      <c r="F40" s="37" t="str">
        <f>CONCATENATE(CALCULATIONS!T40,CALCULATIONS!X40)</f>
        <v>B.F.per hour</v>
      </c>
      <c r="G40" s="38">
        <f>IFERROR(1/CALCULATIONS!W40,0)</f>
        <v>2.941176471</v>
      </c>
      <c r="H40" s="36" t="str">
        <f>CONCATENATE(CALCULATIONS!T40,CALCULATIONS!X40)</f>
        <v>B.F.per hour</v>
      </c>
      <c r="I40" s="39">
        <f>CALCULATIONS!U40*$I$2</f>
        <v>49.87847222</v>
      </c>
      <c r="J40" s="40" t="str">
        <f>CONCATENATE(CALCULATIONS!Y40,CALCULATIONS!T40)</f>
        <v>per B.F.</v>
      </c>
      <c r="K40" s="39">
        <f>CALCULATIONS!V40*$I$2</f>
        <v>25.23263889</v>
      </c>
      <c r="L40" s="40" t="str">
        <f>CONCATENATE(CALCULATIONS!Y40,CALCULATIONS!T40)</f>
        <v>per B.F.</v>
      </c>
      <c r="M40" s="39">
        <f>CALCULATIONS!W40*$I$2</f>
        <v>19.95138889</v>
      </c>
      <c r="N40" s="41" t="str">
        <f>CONCATENATE(CALCULATIONS!Y40,CALCULATIONS!T40)</f>
        <v>per B.F.</v>
      </c>
    </row>
    <row r="41" ht="12.75" customHeight="1">
      <c r="B41" s="44" t="s">
        <v>43</v>
      </c>
      <c r="C41" s="35">
        <f>IFERROR(1/CALCULATIONS!U41,0)</f>
        <v>1.428571429</v>
      </c>
      <c r="D41" s="36" t="str">
        <f>CONCATENATE(CALCULATIONS!T41,CALCULATIONS!X41)</f>
        <v>B.F.per hour</v>
      </c>
      <c r="E41" s="35">
        <f>IFERROR(1/CALCULATIONS!V41,0)</f>
        <v>2.857142857</v>
      </c>
      <c r="F41" s="37" t="str">
        <f>CONCATENATE(CALCULATIONS!T41,CALCULATIONS!X41)</f>
        <v>B.F.per hour</v>
      </c>
      <c r="G41" s="38">
        <f>IFERROR(1/CALCULATIONS!W41,0)</f>
        <v>3.571428571</v>
      </c>
      <c r="H41" s="36" t="str">
        <f>CONCATENATE(CALCULATIONS!T41,CALCULATIONS!X41)</f>
        <v>B.F.per hour</v>
      </c>
      <c r="I41" s="39">
        <f>CALCULATIONS!U41*$I$2</f>
        <v>41.07638889</v>
      </c>
      <c r="J41" s="40" t="str">
        <f>CONCATENATE(CALCULATIONS!Y41,CALCULATIONS!T41)</f>
        <v>per B.F.</v>
      </c>
      <c r="K41" s="39">
        <f>CALCULATIONS!V41*$I$2</f>
        <v>20.53819444</v>
      </c>
      <c r="L41" s="40" t="str">
        <f>CONCATENATE(CALCULATIONS!Y41,CALCULATIONS!T41)</f>
        <v>per B.F.</v>
      </c>
      <c r="M41" s="39">
        <f>CALCULATIONS!W41*$I$2</f>
        <v>16.43055556</v>
      </c>
      <c r="N41" s="41" t="str">
        <f>CONCATENATE(CALCULATIONS!Y41,CALCULATIONS!T41)</f>
        <v>per B.F.</v>
      </c>
    </row>
    <row r="42" ht="12.75" customHeight="1">
      <c r="B42" s="44" t="s">
        <v>44</v>
      </c>
      <c r="C42" s="35">
        <f>IFERROR(1/CALCULATIONS!U42,0)</f>
        <v>0.625</v>
      </c>
      <c r="D42" s="36" t="str">
        <f>CONCATENATE(CALCULATIONS!T42,CALCULATIONS!X42)</f>
        <v>B.F.per hour</v>
      </c>
      <c r="E42" s="35">
        <f>IFERROR(1/CALCULATIONS!V42,0)</f>
        <v>1.25</v>
      </c>
      <c r="F42" s="37" t="str">
        <f>CONCATENATE(CALCULATIONS!T42,CALCULATIONS!X42)</f>
        <v>B.F.per hour</v>
      </c>
      <c r="G42" s="38">
        <f>IFERROR(1/CALCULATIONS!W42,0)</f>
        <v>1.5625</v>
      </c>
      <c r="H42" s="36" t="str">
        <f>CONCATENATE(CALCULATIONS!T42,CALCULATIONS!X42)</f>
        <v>B.F.per hour</v>
      </c>
      <c r="I42" s="39">
        <f>CALCULATIONS!U42*$I$2</f>
        <v>93.88888889</v>
      </c>
      <c r="J42" s="40" t="str">
        <f>CONCATENATE(CALCULATIONS!Y42,CALCULATIONS!T42)</f>
        <v>per B.F.</v>
      </c>
      <c r="K42" s="39">
        <f>CALCULATIONS!V42*$I$2</f>
        <v>46.94444444</v>
      </c>
      <c r="L42" s="40" t="str">
        <f>CONCATENATE(CALCULATIONS!Y42,CALCULATIONS!T42)</f>
        <v>per B.F.</v>
      </c>
      <c r="M42" s="39">
        <f>CALCULATIONS!W42*$I$2</f>
        <v>37.55555556</v>
      </c>
      <c r="N42" s="41" t="str">
        <f>CONCATENATE(CALCULATIONS!Y42,CALCULATIONS!T42)</f>
        <v>per B.F.</v>
      </c>
    </row>
    <row r="43" ht="12.75" customHeight="1">
      <c r="B43" s="44" t="s">
        <v>45</v>
      </c>
      <c r="C43" s="35">
        <f>IFERROR(1/CALCULATIONS!U43,0)</f>
        <v>2.325581395</v>
      </c>
      <c r="D43" s="36" t="str">
        <f>CONCATENATE(CALCULATIONS!T43,CALCULATIONS!X43)</f>
        <v>B.F.per hour</v>
      </c>
      <c r="E43" s="35">
        <f>IFERROR(1/CALCULATIONS!V43,0)</f>
        <v>4.761904762</v>
      </c>
      <c r="F43" s="37" t="str">
        <f>CONCATENATE(CALCULATIONS!T43,CALCULATIONS!X43)</f>
        <v>B.F.per hour</v>
      </c>
      <c r="G43" s="38">
        <f>IFERROR(1/CALCULATIONS!W43,0)</f>
        <v>5.882352941</v>
      </c>
      <c r="H43" s="36" t="str">
        <f>CONCATENATE(CALCULATIONS!T43,CALCULATIONS!X43)</f>
        <v>B.F.per hour</v>
      </c>
      <c r="I43" s="39">
        <f>CALCULATIONS!U43*$I$2</f>
        <v>25.23263889</v>
      </c>
      <c r="J43" s="40" t="str">
        <f>CONCATENATE(CALCULATIONS!Y43,CALCULATIONS!T43)</f>
        <v>per B.F.</v>
      </c>
      <c r="K43" s="39">
        <f>CALCULATIONS!V43*$I$2</f>
        <v>12.32291667</v>
      </c>
      <c r="L43" s="40" t="str">
        <f>CONCATENATE(CALCULATIONS!Y43,CALCULATIONS!T43)</f>
        <v>per B.F.</v>
      </c>
      <c r="M43" s="39">
        <f>CALCULATIONS!W43*$I$2</f>
        <v>9.975694444</v>
      </c>
      <c r="N43" s="41" t="str">
        <f>CONCATENATE(CALCULATIONS!Y43,CALCULATIONS!T43)</f>
        <v>per B.F.</v>
      </c>
    </row>
    <row r="44" ht="12.75" customHeight="1">
      <c r="B44" s="44" t="s">
        <v>46</v>
      </c>
      <c r="C44" s="35">
        <f>IFERROR(1/CALCULATIONS!U44,0)</f>
        <v>3.703703704</v>
      </c>
      <c r="D44" s="36" t="str">
        <f>CONCATENATE(CALCULATIONS!T44,CALCULATIONS!X44)</f>
        <v>B.F.per hour</v>
      </c>
      <c r="E44" s="35">
        <f>IFERROR(1/CALCULATIONS!V44,0)</f>
        <v>7.692307692</v>
      </c>
      <c r="F44" s="37" t="str">
        <f>CONCATENATE(CALCULATIONS!T44,CALCULATIONS!X44)</f>
        <v>B.F.per hour</v>
      </c>
      <c r="G44" s="38">
        <f>IFERROR(1/CALCULATIONS!W44,0)</f>
        <v>9.090909091</v>
      </c>
      <c r="H44" s="36" t="str">
        <f>CONCATENATE(CALCULATIONS!T44,CALCULATIONS!X44)</f>
        <v>B.F.per hour</v>
      </c>
      <c r="I44" s="39">
        <f>CALCULATIONS!U44*$I$2</f>
        <v>15.84375</v>
      </c>
      <c r="J44" s="40" t="str">
        <f>CONCATENATE(CALCULATIONS!Y44,CALCULATIONS!T44)</f>
        <v>per B.F.</v>
      </c>
      <c r="K44" s="39">
        <f>CALCULATIONS!V44*$I$2</f>
        <v>7.628472222</v>
      </c>
      <c r="L44" s="40" t="str">
        <f>CONCATENATE(CALCULATIONS!Y44,CALCULATIONS!T44)</f>
        <v>per B.F.</v>
      </c>
      <c r="M44" s="39">
        <f>CALCULATIONS!W44*$I$2</f>
        <v>6.454861111</v>
      </c>
      <c r="N44" s="41" t="str">
        <f>CONCATENATE(CALCULATIONS!Y44,CALCULATIONS!T44)</f>
        <v>per B.F.</v>
      </c>
    </row>
    <row r="45" ht="12.75" customHeight="1">
      <c r="B45" s="44" t="s">
        <v>47</v>
      </c>
      <c r="C45" s="35">
        <f>IFERROR(1/CALCULATIONS!U45,0)</f>
        <v>1.886792453</v>
      </c>
      <c r="D45" s="36" t="str">
        <f>CONCATENATE(CALCULATIONS!T45,CALCULATIONS!X45)</f>
        <v>B.F.per hour</v>
      </c>
      <c r="E45" s="35">
        <f>IFERROR(1/CALCULATIONS!V45,0)</f>
        <v>3.703703704</v>
      </c>
      <c r="F45" s="37" t="str">
        <f>CONCATENATE(CALCULATIONS!T45,CALCULATIONS!X45)</f>
        <v>B.F.per hour</v>
      </c>
      <c r="G45" s="38">
        <f>IFERROR(1/CALCULATIONS!W45,0)</f>
        <v>10</v>
      </c>
      <c r="H45" s="36" t="str">
        <f>CONCATENATE(CALCULATIONS!T45,CALCULATIONS!X45)</f>
        <v>B.F.per hour</v>
      </c>
      <c r="I45" s="39">
        <f>CALCULATIONS!U45*$I$2</f>
        <v>31.10069444</v>
      </c>
      <c r="J45" s="40" t="str">
        <f>CONCATENATE(CALCULATIONS!Y45,CALCULATIONS!T45)</f>
        <v>per B.F.</v>
      </c>
      <c r="K45" s="39">
        <f>CALCULATIONS!V45*$I$2</f>
        <v>15.84375</v>
      </c>
      <c r="L45" s="40" t="str">
        <f>CONCATENATE(CALCULATIONS!Y45,CALCULATIONS!T45)</f>
        <v>per B.F.</v>
      </c>
      <c r="M45" s="39">
        <f>CALCULATIONS!W45*$I$2</f>
        <v>5.868055556</v>
      </c>
      <c r="N45" s="41" t="str">
        <f>CONCATENATE(CALCULATIONS!Y45,CALCULATIONS!T45)</f>
        <v>per B.F.</v>
      </c>
    </row>
    <row r="46" ht="12.75" customHeight="1">
      <c r="B46" s="44" t="s">
        <v>48</v>
      </c>
      <c r="C46" s="35">
        <f>IFERROR(1/CALCULATIONS!U46,0)</f>
        <v>1.098901099</v>
      </c>
      <c r="D46" s="36" t="str">
        <f>CONCATENATE(CALCULATIONS!T46,CALCULATIONS!X46)</f>
        <v>B.F.per hour</v>
      </c>
      <c r="E46" s="35">
        <f>IFERROR(1/CALCULATIONS!V46,0)</f>
        <v>2.173913043</v>
      </c>
      <c r="F46" s="37" t="str">
        <f>CONCATENATE(CALCULATIONS!T46,CALCULATIONS!X46)</f>
        <v>B.F.per hour</v>
      </c>
      <c r="G46" s="38">
        <f>IFERROR(1/CALCULATIONS!W46,0)</f>
        <v>2.777777778</v>
      </c>
      <c r="H46" s="36" t="str">
        <f>CONCATENATE(CALCULATIONS!T46,CALCULATIONS!X46)</f>
        <v>B.F.per hour</v>
      </c>
      <c r="I46" s="39">
        <f>CALCULATIONS!U46*$I$2</f>
        <v>53.39930556</v>
      </c>
      <c r="J46" s="40" t="str">
        <f>CONCATENATE(CALCULATIONS!Y46,CALCULATIONS!T46)</f>
        <v>per B.F.</v>
      </c>
      <c r="K46" s="39">
        <f>CALCULATIONS!V46*$I$2</f>
        <v>26.99305556</v>
      </c>
      <c r="L46" s="40" t="str">
        <f>CONCATENATE(CALCULATIONS!Y46,CALCULATIONS!T46)</f>
        <v>per B.F.</v>
      </c>
      <c r="M46" s="39">
        <f>CALCULATIONS!W46*$I$2</f>
        <v>21.125</v>
      </c>
      <c r="N46" s="41" t="str">
        <f>CONCATENATE(CALCULATIONS!Y46,CALCULATIONS!T46)</f>
        <v>per B.F.</v>
      </c>
    </row>
    <row r="47" ht="12.75" customHeight="1">
      <c r="B47" s="44" t="s">
        <v>49</v>
      </c>
      <c r="C47" s="35">
        <f>IFERROR(1/CALCULATIONS!U47,0)</f>
        <v>0</v>
      </c>
      <c r="D47" s="36" t="str">
        <f>CONCATENATE(CALCULATIONS!T47,CALCULATIONS!X47)</f>
        <v/>
      </c>
      <c r="E47" s="35">
        <f>IFERROR(1/CALCULATIONS!V47,0)</f>
        <v>0</v>
      </c>
      <c r="F47" s="37" t="str">
        <f>CONCATENATE(CALCULATIONS!T47,CALCULATIONS!X47)</f>
        <v/>
      </c>
      <c r="G47" s="38">
        <f>IFERROR(1/CALCULATIONS!W47,0)</f>
        <v>0</v>
      </c>
      <c r="H47" s="36" t="str">
        <f>CONCATENATE(CALCULATIONS!T47,CALCULATIONS!X47)</f>
        <v/>
      </c>
      <c r="I47" s="39">
        <f>CALCULATIONS!U47*$I$2</f>
        <v>0</v>
      </c>
      <c r="J47" s="40" t="str">
        <f>CONCATENATE(CALCULATIONS!Y47,CALCULATIONS!T47)</f>
        <v/>
      </c>
      <c r="K47" s="39">
        <f>CALCULATIONS!V47*$I$2</f>
        <v>0</v>
      </c>
      <c r="L47" s="40" t="str">
        <f>CONCATENATE(CALCULATIONS!Y47,CALCULATIONS!T47)</f>
        <v/>
      </c>
      <c r="M47" s="39">
        <f>CALCULATIONS!W47*$I$2</f>
        <v>0</v>
      </c>
      <c r="N47" s="41" t="str">
        <f>CONCATENATE(CALCULATIONS!Y47,CALCULATIONS!T47)</f>
        <v/>
      </c>
    </row>
    <row r="48" ht="12.75" customHeight="1">
      <c r="B48" s="44" t="s">
        <v>50</v>
      </c>
      <c r="C48" s="35">
        <f>IFERROR(1/CALCULATIONS!U48,0)</f>
        <v>0.5</v>
      </c>
      <c r="D48" s="36" t="str">
        <f>CONCATENATE(CALCULATIONS!T48,CALCULATIONS!X48)</f>
        <v>PCper hour</v>
      </c>
      <c r="E48" s="35">
        <f>IFERROR(1/CALCULATIONS!V48,0)</f>
        <v>1</v>
      </c>
      <c r="F48" s="37" t="str">
        <f>CONCATENATE(CALCULATIONS!T48,CALCULATIONS!X48)</f>
        <v>PCper hour</v>
      </c>
      <c r="G48" s="38">
        <f>IFERROR(1/CALCULATIONS!W48,0)</f>
        <v>1.25</v>
      </c>
      <c r="H48" s="36" t="str">
        <f>CONCATENATE(CALCULATIONS!T48,CALCULATIONS!X48)</f>
        <v>PCper hour</v>
      </c>
      <c r="I48" s="39">
        <f>CALCULATIONS!U48*$I$2</f>
        <v>117.3611111</v>
      </c>
      <c r="J48" s="40" t="str">
        <f>CONCATENATE(CALCULATIONS!Y48,CALCULATIONS!T48)</f>
        <v>per PC</v>
      </c>
      <c r="K48" s="39">
        <f>CALCULATIONS!V48*$I$2</f>
        <v>58.68055556</v>
      </c>
      <c r="L48" s="40" t="str">
        <f>CONCATENATE(CALCULATIONS!Y48,CALCULATIONS!T48)</f>
        <v>per PC</v>
      </c>
      <c r="M48" s="39">
        <f>CALCULATIONS!W48*$I$2</f>
        <v>46.94444444</v>
      </c>
      <c r="N48" s="41" t="str">
        <f>CONCATENATE(CALCULATIONS!Y48,CALCULATIONS!T48)</f>
        <v>per PC</v>
      </c>
    </row>
    <row r="49" ht="12.75" customHeight="1">
      <c r="B49" s="44" t="s">
        <v>51</v>
      </c>
      <c r="C49" s="35">
        <f>IFERROR(1/CALCULATIONS!U49,0)</f>
        <v>1.204819277</v>
      </c>
      <c r="D49" s="36" t="str">
        <f>CONCATENATE(CALCULATIONS!T49,CALCULATIONS!X49)</f>
        <v>S.F.per hour</v>
      </c>
      <c r="E49" s="35">
        <f>IFERROR(1/CALCULATIONS!V49,0)</f>
        <v>2.380952381</v>
      </c>
      <c r="F49" s="37" t="str">
        <f>CONCATENATE(CALCULATIONS!T49,CALCULATIONS!X49)</f>
        <v>S.F.per hour</v>
      </c>
      <c r="G49" s="38">
        <f>IFERROR(1/CALCULATIONS!W49,0)</f>
        <v>3.03030303</v>
      </c>
      <c r="H49" s="36" t="str">
        <f>CONCATENATE(CALCULATIONS!T49,CALCULATIONS!X49)</f>
        <v>S.F.per hour</v>
      </c>
      <c r="I49" s="39">
        <f>CALCULATIONS!U49*$I$2</f>
        <v>48.70486111</v>
      </c>
      <c r="J49" s="40" t="str">
        <f>CONCATENATE(CALCULATIONS!Y49,CALCULATIONS!T49)</f>
        <v>per S.F.</v>
      </c>
      <c r="K49" s="39">
        <f>CALCULATIONS!V49*$I$2</f>
        <v>24.64583333</v>
      </c>
      <c r="L49" s="40" t="str">
        <f>CONCATENATE(CALCULATIONS!Y49,CALCULATIONS!T49)</f>
        <v>per S.F.</v>
      </c>
      <c r="M49" s="39">
        <f>CALCULATIONS!W49*$I$2</f>
        <v>19.36458333</v>
      </c>
      <c r="N49" s="41" t="str">
        <f>CONCATENATE(CALCULATIONS!Y49,CALCULATIONS!T49)</f>
        <v>per S.F.</v>
      </c>
    </row>
    <row r="50" ht="12.75" customHeight="1">
      <c r="B50" s="44" t="s">
        <v>52</v>
      </c>
      <c r="C50" s="35">
        <f>IFERROR(1/CALCULATIONS!U50,0)</f>
        <v>0</v>
      </c>
      <c r="D50" s="36" t="str">
        <f>CONCATENATE(CALCULATIONS!T50,CALCULATIONS!X50)</f>
        <v/>
      </c>
      <c r="E50" s="35">
        <f>IFERROR(1/CALCULATIONS!V50,0)</f>
        <v>0</v>
      </c>
      <c r="F50" s="37" t="str">
        <f>CONCATENATE(CALCULATIONS!T50,CALCULATIONS!X50)</f>
        <v/>
      </c>
      <c r="G50" s="38">
        <f>IFERROR(1/CALCULATIONS!W50,0)</f>
        <v>0</v>
      </c>
      <c r="H50" s="36" t="str">
        <f>CONCATENATE(CALCULATIONS!T50,CALCULATIONS!X50)</f>
        <v/>
      </c>
      <c r="I50" s="39">
        <f>CALCULATIONS!U50*$I$2</f>
        <v>0</v>
      </c>
      <c r="J50" s="40" t="str">
        <f>CONCATENATE(CALCULATIONS!Y50,CALCULATIONS!T50)</f>
        <v/>
      </c>
      <c r="K50" s="39">
        <f>CALCULATIONS!V50*$I$2</f>
        <v>0</v>
      </c>
      <c r="L50" s="40" t="str">
        <f>CONCATENATE(CALCULATIONS!Y50,CALCULATIONS!T50)</f>
        <v/>
      </c>
      <c r="M50" s="39">
        <f>CALCULATIONS!W50*$I$2</f>
        <v>0</v>
      </c>
      <c r="N50" s="41" t="str">
        <f>CONCATENATE(CALCULATIONS!Y50,CALCULATIONS!T50)</f>
        <v/>
      </c>
    </row>
    <row r="51" ht="12.75" customHeight="1">
      <c r="B51" s="44" t="s">
        <v>53</v>
      </c>
      <c r="C51" s="35">
        <f>IFERROR(1/CALCULATIONS!U51,0)</f>
        <v>0.3759398496</v>
      </c>
      <c r="D51" s="36" t="str">
        <f>CONCATENATE(CALCULATIONS!T51,CALCULATIONS!X51)</f>
        <v>SQ.M.per hour</v>
      </c>
      <c r="E51" s="35">
        <f>IFERROR(1/CALCULATIONS!V51,0)</f>
        <v>0.7518796992</v>
      </c>
      <c r="F51" s="37" t="str">
        <f>CONCATENATE(CALCULATIONS!T51,CALCULATIONS!X51)</f>
        <v>SQ.M.per hour</v>
      </c>
      <c r="G51" s="38">
        <f>IFERROR(1/CALCULATIONS!W51,0)</f>
        <v>0.9433962264</v>
      </c>
      <c r="H51" s="36" t="str">
        <f>CONCATENATE(CALCULATIONS!T51,CALCULATIONS!X51)</f>
        <v>SQ.M.per hour</v>
      </c>
      <c r="I51" s="39">
        <f>CALCULATIONS!U51*$I$2</f>
        <v>156.0902778</v>
      </c>
      <c r="J51" s="40" t="str">
        <f>CONCATENATE(CALCULATIONS!Y51,CALCULATIONS!T51)</f>
        <v>per SQ.M.</v>
      </c>
      <c r="K51" s="39">
        <f>CALCULATIONS!V51*$I$2</f>
        <v>78.04513889</v>
      </c>
      <c r="L51" s="40" t="str">
        <f>CONCATENATE(CALCULATIONS!Y51,CALCULATIONS!T51)</f>
        <v>per SQ.M.</v>
      </c>
      <c r="M51" s="39">
        <f>CALCULATIONS!W51*$I$2</f>
        <v>62.20138889</v>
      </c>
      <c r="N51" s="41" t="str">
        <f>CONCATENATE(CALCULATIONS!Y51,CALCULATIONS!T51)</f>
        <v>per SQ.M.</v>
      </c>
    </row>
    <row r="52" ht="12.75" customHeight="1">
      <c r="B52" s="44" t="s">
        <v>54</v>
      </c>
      <c r="C52" s="35">
        <f>IFERROR(1/CALCULATIONS!U52,0)</f>
        <v>0.5</v>
      </c>
      <c r="D52" s="36" t="str">
        <f>CONCATENATE(CALCULATIONS!T52,CALCULATIONS!X52)</f>
        <v>SQ.M.per hour</v>
      </c>
      <c r="E52" s="35">
        <f>IFERROR(1/CALCULATIONS!V52,0)</f>
        <v>1</v>
      </c>
      <c r="F52" s="37" t="str">
        <f>CONCATENATE(CALCULATIONS!T52,CALCULATIONS!X52)</f>
        <v>SQ.M.per hour</v>
      </c>
      <c r="G52" s="38">
        <f>IFERROR(1/CALCULATIONS!W52,0)</f>
        <v>1.111111111</v>
      </c>
      <c r="H52" s="36" t="str">
        <f>CONCATENATE(CALCULATIONS!T52,CALCULATIONS!X52)</f>
        <v>SQ.M.per hour</v>
      </c>
      <c r="I52" s="39">
        <f>CALCULATIONS!U52*$I$2</f>
        <v>117.3611111</v>
      </c>
      <c r="J52" s="40" t="str">
        <f>CONCATENATE(CALCULATIONS!Y52,CALCULATIONS!T52)</f>
        <v>per SQ.M.</v>
      </c>
      <c r="K52" s="39">
        <f>CALCULATIONS!V52*$I$2</f>
        <v>58.68055556</v>
      </c>
      <c r="L52" s="40" t="str">
        <f>CONCATENATE(CALCULATIONS!Y52,CALCULATIONS!T52)</f>
        <v>per SQ.M.</v>
      </c>
      <c r="M52" s="39">
        <f>CALCULATIONS!W52*$I$2</f>
        <v>52.8125</v>
      </c>
      <c r="N52" s="41" t="str">
        <f>CONCATENATE(CALCULATIONS!Y52,CALCULATIONS!T52)</f>
        <v>per SQ.M.</v>
      </c>
    </row>
    <row r="53" ht="12.75" customHeight="1">
      <c r="B53" s="44" t="s">
        <v>55</v>
      </c>
      <c r="C53" s="35">
        <f>IFERROR(1/CALCULATIONS!U53,0)</f>
        <v>3.846153846</v>
      </c>
      <c r="D53" s="36" t="str">
        <f>CONCATENATE(CALCULATIONS!T53,CALCULATIONS!X53)</f>
        <v>B.F.per hour</v>
      </c>
      <c r="E53" s="35">
        <f>IFERROR(1/CALCULATIONS!V53,0)</f>
        <v>7.692307692</v>
      </c>
      <c r="F53" s="37" t="str">
        <f>CONCATENATE(CALCULATIONS!T53,CALCULATIONS!X53)</f>
        <v>B.F.per hour</v>
      </c>
      <c r="G53" s="38">
        <f>IFERROR(1/CALCULATIONS!W53,0)</f>
        <v>10</v>
      </c>
      <c r="H53" s="36" t="str">
        <f>CONCATENATE(CALCULATIONS!T53,CALCULATIONS!X53)</f>
        <v>B.F.per hour</v>
      </c>
      <c r="I53" s="39">
        <f>CALCULATIONS!U53*$I$2</f>
        <v>15.25694444</v>
      </c>
      <c r="J53" s="40" t="str">
        <f>CONCATENATE(CALCULATIONS!Y53,CALCULATIONS!T53)</f>
        <v>per B.F.</v>
      </c>
      <c r="K53" s="39">
        <f>CALCULATIONS!V53*$I$2</f>
        <v>7.628472222</v>
      </c>
      <c r="L53" s="40" t="str">
        <f>CONCATENATE(CALCULATIONS!Y53,CALCULATIONS!T53)</f>
        <v>per B.F.</v>
      </c>
      <c r="M53" s="39">
        <f>CALCULATIONS!W53*$I$2</f>
        <v>5.868055556</v>
      </c>
      <c r="N53" s="41" t="str">
        <f>CONCATENATE(CALCULATIONS!Y53,CALCULATIONS!T53)</f>
        <v>per B.F.</v>
      </c>
    </row>
    <row r="54" ht="12.75" customHeight="1">
      <c r="B54" s="44" t="s">
        <v>56</v>
      </c>
      <c r="C54" s="35">
        <f>IFERROR(1/CALCULATIONS!U54,0)</f>
        <v>2.777777778</v>
      </c>
      <c r="D54" s="36" t="str">
        <f>CONCATENATE(CALCULATIONS!T54,CALCULATIONS!X54)</f>
        <v>B.F.per hour</v>
      </c>
      <c r="E54" s="35">
        <f>IFERROR(1/CALCULATIONS!V54,0)</f>
        <v>5.555555556</v>
      </c>
      <c r="F54" s="37" t="str">
        <f>CONCATENATE(CALCULATIONS!T54,CALCULATIONS!X54)</f>
        <v>B.F.per hour</v>
      </c>
      <c r="G54" s="38">
        <f>IFERROR(1/CALCULATIONS!W54,0)</f>
        <v>7.142857143</v>
      </c>
      <c r="H54" s="36" t="str">
        <f>CONCATENATE(CALCULATIONS!T54,CALCULATIONS!X54)</f>
        <v>B.F.per hour</v>
      </c>
      <c r="I54" s="39">
        <f>CALCULATIONS!U54*$I$2</f>
        <v>21.125</v>
      </c>
      <c r="J54" s="40" t="str">
        <f>CONCATENATE(CALCULATIONS!Y54,CALCULATIONS!T54)</f>
        <v>per B.F.</v>
      </c>
      <c r="K54" s="39">
        <f>CALCULATIONS!V54*$I$2</f>
        <v>10.5625</v>
      </c>
      <c r="L54" s="40" t="str">
        <f>CONCATENATE(CALCULATIONS!Y54,CALCULATIONS!T54)</f>
        <v>per B.F.</v>
      </c>
      <c r="M54" s="39">
        <f>CALCULATIONS!W54*$I$2</f>
        <v>8.215277778</v>
      </c>
      <c r="N54" s="41" t="str">
        <f>CONCATENATE(CALCULATIONS!Y54,CALCULATIONS!T54)</f>
        <v>per B.F.</v>
      </c>
    </row>
    <row r="55" ht="12.75" customHeight="1">
      <c r="B55" s="44" t="s">
        <v>57</v>
      </c>
      <c r="C55" s="35">
        <f>IFERROR(1/CALCULATIONS!U55,0)</f>
        <v>1</v>
      </c>
      <c r="D55" s="36" t="str">
        <f>CONCATENATE(CALCULATIONS!T55,CALCULATIONS!X55)</f>
        <v>SQ.M.per hour</v>
      </c>
      <c r="E55" s="35">
        <f>IFERROR(1/CALCULATIONS!V55,0)</f>
        <v>2</v>
      </c>
      <c r="F55" s="37" t="str">
        <f>CONCATENATE(CALCULATIONS!T55,CALCULATIONS!X55)</f>
        <v>SQ.M.per hour</v>
      </c>
      <c r="G55" s="38">
        <f>IFERROR(1/CALCULATIONS!W55,0)</f>
        <v>2.5</v>
      </c>
      <c r="H55" s="36" t="str">
        <f>CONCATENATE(CALCULATIONS!T55,CALCULATIONS!X55)</f>
        <v>SQ.M.per hour</v>
      </c>
      <c r="I55" s="39">
        <f>CALCULATIONS!U55*$I$2</f>
        <v>58.68055556</v>
      </c>
      <c r="J55" s="40" t="str">
        <f>CONCATENATE(CALCULATIONS!Y55,CALCULATIONS!T55)</f>
        <v>per SQ.M.</v>
      </c>
      <c r="K55" s="39">
        <f>CALCULATIONS!V55*$I$2</f>
        <v>29.34027778</v>
      </c>
      <c r="L55" s="40" t="str">
        <f>CONCATENATE(CALCULATIONS!Y55,CALCULATIONS!T55)</f>
        <v>per SQ.M.</v>
      </c>
      <c r="M55" s="39">
        <f>CALCULATIONS!W55*$I$2</f>
        <v>23.47222222</v>
      </c>
      <c r="N55" s="41" t="str">
        <f>CONCATENATE(CALCULATIONS!Y55,CALCULATIONS!T55)</f>
        <v>per SQ.M.</v>
      </c>
    </row>
    <row r="56" ht="12.75" customHeight="1">
      <c r="B56" s="44" t="s">
        <v>58</v>
      </c>
      <c r="C56" s="35">
        <f>IFERROR(1/CALCULATIONS!U56,0)</f>
        <v>0.07142857143</v>
      </c>
      <c r="D56" s="36" t="str">
        <f>CONCATENATE(CALCULATIONS!T56,CALCULATIONS!X56)</f>
        <v>SQ.M.per hour</v>
      </c>
      <c r="E56" s="35">
        <f>IFERROR(1/CALCULATIONS!V56,0)</f>
        <v>0.1428571429</v>
      </c>
      <c r="F56" s="37" t="str">
        <f>CONCATENATE(CALCULATIONS!T56,CALCULATIONS!X56)</f>
        <v>SQ.M.per hour</v>
      </c>
      <c r="G56" s="38">
        <f>IFERROR(1/CALCULATIONS!W56,0)</f>
        <v>0.1785714286</v>
      </c>
      <c r="H56" s="36" t="str">
        <f>CONCATENATE(CALCULATIONS!T56,CALCULATIONS!X56)</f>
        <v>SQ.M.per hour</v>
      </c>
      <c r="I56" s="39">
        <f>CALCULATIONS!U56*$I$2</f>
        <v>821.5277778</v>
      </c>
      <c r="J56" s="40" t="str">
        <f>CONCATENATE(CALCULATIONS!Y56,CALCULATIONS!T56)</f>
        <v>per SQ.M.</v>
      </c>
      <c r="K56" s="39">
        <f>CALCULATIONS!V56*$I$2</f>
        <v>410.7638889</v>
      </c>
      <c r="L56" s="40" t="str">
        <f>CONCATENATE(CALCULATIONS!Y56,CALCULATIONS!T56)</f>
        <v>per SQ.M.</v>
      </c>
      <c r="M56" s="39">
        <f>CALCULATIONS!W56*$I$2</f>
        <v>328.6111111</v>
      </c>
      <c r="N56" s="41" t="str">
        <f>CONCATENATE(CALCULATIONS!Y56,CALCULATIONS!T56)</f>
        <v>per SQ.M.</v>
      </c>
    </row>
    <row r="57" ht="12.75" customHeight="1">
      <c r="B57" s="44" t="s">
        <v>59</v>
      </c>
      <c r="C57" s="35">
        <f>IFERROR(1/CALCULATIONS!U57,0)</f>
        <v>0.1111111111</v>
      </c>
      <c r="D57" s="36" t="str">
        <f>CONCATENATE(CALCULATIONS!T57,CALCULATIONS!X57)</f>
        <v>SQ.M.per hour</v>
      </c>
      <c r="E57" s="35">
        <f>IFERROR(1/CALCULATIONS!V57,0)</f>
        <v>0.2222222222</v>
      </c>
      <c r="F57" s="37" t="str">
        <f>CONCATENATE(CALCULATIONS!T57,CALCULATIONS!X57)</f>
        <v>SQ.M.per hour</v>
      </c>
      <c r="G57" s="38">
        <f>IFERROR(1/CALCULATIONS!W57,0)</f>
        <v>0.2777777778</v>
      </c>
      <c r="H57" s="36" t="str">
        <f>CONCATENATE(CALCULATIONS!T57,CALCULATIONS!X57)</f>
        <v>SQ.M.per hour</v>
      </c>
      <c r="I57" s="39">
        <f>CALCULATIONS!U57*$I$2</f>
        <v>528.125</v>
      </c>
      <c r="J57" s="40" t="str">
        <f>CONCATENATE(CALCULATIONS!Y57,CALCULATIONS!T57)</f>
        <v>per SQ.M.</v>
      </c>
      <c r="K57" s="39">
        <f>CALCULATIONS!V57*$I$2</f>
        <v>264.0625</v>
      </c>
      <c r="L57" s="40" t="str">
        <f>CONCATENATE(CALCULATIONS!Y57,CALCULATIONS!T57)</f>
        <v>per SQ.M.</v>
      </c>
      <c r="M57" s="39">
        <f>CALCULATIONS!W57*$I$2</f>
        <v>211.25</v>
      </c>
      <c r="N57" s="41" t="str">
        <f>CONCATENATE(CALCULATIONS!Y57,CALCULATIONS!T57)</f>
        <v>per SQ.M.</v>
      </c>
    </row>
    <row r="58" ht="12.75" customHeight="1">
      <c r="B58" s="44" t="s">
        <v>60</v>
      </c>
      <c r="C58" s="35">
        <f>IFERROR(1/CALCULATIONS!U58,0)</f>
        <v>0.1428571429</v>
      </c>
      <c r="D58" s="36" t="str">
        <f>CONCATENATE(CALCULATIONS!T58,CALCULATIONS!X58)</f>
        <v>SQ.M.per hour</v>
      </c>
      <c r="E58" s="35">
        <f>IFERROR(1/CALCULATIONS!V58,0)</f>
        <v>0.2857142857</v>
      </c>
      <c r="F58" s="37" t="str">
        <f>CONCATENATE(CALCULATIONS!T58,CALCULATIONS!X58)</f>
        <v>SQ.M.per hour</v>
      </c>
      <c r="G58" s="38">
        <f>IFERROR(1/CALCULATIONS!W58,0)</f>
        <v>0.3571428571</v>
      </c>
      <c r="H58" s="36" t="str">
        <f>CONCATENATE(CALCULATIONS!T58,CALCULATIONS!X58)</f>
        <v>SQ.M.per hour</v>
      </c>
      <c r="I58" s="39">
        <f>CALCULATIONS!U58*$I$2</f>
        <v>410.7638889</v>
      </c>
      <c r="J58" s="40" t="str">
        <f>CONCATENATE(CALCULATIONS!Y58,CALCULATIONS!T58)</f>
        <v>per SQ.M.</v>
      </c>
      <c r="K58" s="39">
        <f>CALCULATIONS!V58*$I$2</f>
        <v>205.3819444</v>
      </c>
      <c r="L58" s="40" t="str">
        <f>CONCATENATE(CALCULATIONS!Y58,CALCULATIONS!T58)</f>
        <v>per SQ.M.</v>
      </c>
      <c r="M58" s="39">
        <f>CALCULATIONS!W58*$I$2</f>
        <v>164.3055556</v>
      </c>
      <c r="N58" s="41" t="str">
        <f>CONCATENATE(CALCULATIONS!Y58,CALCULATIONS!T58)</f>
        <v>per SQ.M.</v>
      </c>
    </row>
    <row r="59" ht="12.75" customHeight="1">
      <c r="C59" s="35">
        <f>IFERROR(1/CALCULATIONS!U59,0)</f>
        <v>0</v>
      </c>
      <c r="D59" s="36" t="str">
        <f>CONCATENATE(CALCULATIONS!T59,CALCULATIONS!X59)</f>
        <v/>
      </c>
      <c r="E59" s="35">
        <f>IFERROR(1/CALCULATIONS!V59,0)</f>
        <v>0</v>
      </c>
      <c r="F59" s="37" t="str">
        <f>CONCATENATE(CALCULATIONS!T59,CALCULATIONS!X59)</f>
        <v/>
      </c>
      <c r="G59" s="38">
        <f>IFERROR(1/CALCULATIONS!W59,0)</f>
        <v>0</v>
      </c>
      <c r="H59" s="36" t="str">
        <f>CONCATENATE(CALCULATIONS!T59,CALCULATIONS!X59)</f>
        <v/>
      </c>
      <c r="I59" s="39">
        <f>CALCULATIONS!U59*$I$2</f>
        <v>0</v>
      </c>
      <c r="J59" s="40" t="str">
        <f>CONCATENATE(CALCULATIONS!Y59,CALCULATIONS!T59)</f>
        <v/>
      </c>
      <c r="K59" s="39">
        <f>CALCULATIONS!V59*$I$2</f>
        <v>0</v>
      </c>
      <c r="L59" s="40" t="str">
        <f>CONCATENATE(CALCULATIONS!Y59,CALCULATIONS!T59)</f>
        <v/>
      </c>
      <c r="M59" s="39">
        <f>CALCULATIONS!W59*$I$2</f>
        <v>0</v>
      </c>
      <c r="N59" s="41" t="str">
        <f>CONCATENATE(CALCULATIONS!Y59,CALCULATIONS!T59)</f>
        <v/>
      </c>
    </row>
    <row r="60" ht="12.75" customHeight="1">
      <c r="A60" s="45" t="s">
        <v>61</v>
      </c>
      <c r="B60" s="46" t="s">
        <v>62</v>
      </c>
      <c r="C60" s="35">
        <f>IFERROR(1/CALCULATIONS!U60,0)</f>
        <v>0</v>
      </c>
      <c r="D60" s="36" t="str">
        <f>CONCATENATE(CALCULATIONS!T60,CALCULATIONS!X60)</f>
        <v/>
      </c>
      <c r="E60" s="35">
        <f>IFERROR(1/CALCULATIONS!V60,0)</f>
        <v>0</v>
      </c>
      <c r="F60" s="37" t="str">
        <f>CONCATENATE(CALCULATIONS!T60,CALCULATIONS!X60)</f>
        <v/>
      </c>
      <c r="G60" s="38">
        <f>IFERROR(1/CALCULATIONS!W60,0)</f>
        <v>0</v>
      </c>
      <c r="H60" s="36" t="str">
        <f>CONCATENATE(CALCULATIONS!T60,CALCULATIONS!X60)</f>
        <v/>
      </c>
      <c r="I60" s="39">
        <f>CALCULATIONS!U60*$I$2</f>
        <v>0</v>
      </c>
      <c r="J60" s="40" t="str">
        <f>CONCATENATE(CALCULATIONS!Y60,CALCULATIONS!T60)</f>
        <v/>
      </c>
      <c r="K60" s="39">
        <f>CALCULATIONS!V60*$I$2</f>
        <v>0</v>
      </c>
      <c r="L60" s="40" t="str">
        <f>CONCATENATE(CALCULATIONS!Y60,CALCULATIONS!T60)</f>
        <v/>
      </c>
      <c r="M60" s="39">
        <f>CALCULATIONS!W60*$I$2</f>
        <v>0</v>
      </c>
      <c r="N60" s="41" t="str">
        <f>CONCATENATE(CALCULATIONS!Y60,CALCULATIONS!T60)</f>
        <v/>
      </c>
    </row>
    <row r="61" ht="12.75" customHeight="1">
      <c r="B61" s="44" t="s">
        <v>63</v>
      </c>
      <c r="C61" s="35">
        <f>IFERROR(1/CALCULATIONS!U61,0)</f>
        <v>1.25</v>
      </c>
      <c r="D61" s="36" t="str">
        <f>CONCATENATE(CALCULATIONS!T61,CALCULATIONS!X61)</f>
        <v>PC.per hour</v>
      </c>
      <c r="E61" s="35">
        <f>IFERROR(1/CALCULATIONS!V61,0)</f>
        <v>2.5</v>
      </c>
      <c r="F61" s="37" t="str">
        <f>CONCATENATE(CALCULATIONS!T61,CALCULATIONS!X61)</f>
        <v>PC.per hour</v>
      </c>
      <c r="G61" s="38">
        <f>IFERROR(1/CALCULATIONS!W61,0)</f>
        <v>3.125</v>
      </c>
      <c r="H61" s="36" t="str">
        <f>CONCATENATE(CALCULATIONS!T61,CALCULATIONS!X61)</f>
        <v>PC.per hour</v>
      </c>
      <c r="I61" s="39">
        <f>CALCULATIONS!U61*$I$2</f>
        <v>46.94444444</v>
      </c>
      <c r="J61" s="40" t="str">
        <f>CONCATENATE(CALCULATIONS!Y61,CALCULATIONS!T61)</f>
        <v>per PC.</v>
      </c>
      <c r="K61" s="39">
        <f>CALCULATIONS!V61*$I$2</f>
        <v>23.47222222</v>
      </c>
      <c r="L61" s="40" t="str">
        <f>CONCATENATE(CALCULATIONS!Y61,CALCULATIONS!T61)</f>
        <v>per PC.</v>
      </c>
      <c r="M61" s="39">
        <f>CALCULATIONS!W61*$I$2</f>
        <v>18.77777778</v>
      </c>
      <c r="N61" s="41" t="str">
        <f>CONCATENATE(CALCULATIONS!Y61,CALCULATIONS!T61)</f>
        <v>per PC.</v>
      </c>
    </row>
    <row r="62" ht="12.75" customHeight="1">
      <c r="B62" s="44" t="s">
        <v>64</v>
      </c>
      <c r="C62" s="35">
        <f>IFERROR(1/CALCULATIONS!U62,0)</f>
        <v>0.25</v>
      </c>
      <c r="D62" s="36" t="str">
        <f>CONCATENATE(CALCULATIONS!T62,CALCULATIONS!X62)</f>
        <v>PC.per hour</v>
      </c>
      <c r="E62" s="35">
        <f>IFERROR(1/CALCULATIONS!V62,0)</f>
        <v>0.5</v>
      </c>
      <c r="F62" s="37" t="str">
        <f>CONCATENATE(CALCULATIONS!T62,CALCULATIONS!X62)</f>
        <v>PC.per hour</v>
      </c>
      <c r="G62" s="38">
        <f>IFERROR(1/CALCULATIONS!W62,0)</f>
        <v>0.625</v>
      </c>
      <c r="H62" s="36" t="str">
        <f>CONCATENATE(CALCULATIONS!T62,CALCULATIONS!X62)</f>
        <v>PC.per hour</v>
      </c>
      <c r="I62" s="39">
        <f>CALCULATIONS!U62*$I$2</f>
        <v>234.7222222</v>
      </c>
      <c r="J62" s="40" t="str">
        <f>CONCATENATE(CALCULATIONS!Y62,CALCULATIONS!T62)</f>
        <v>per PC.</v>
      </c>
      <c r="K62" s="39">
        <f>CALCULATIONS!V62*$I$2</f>
        <v>117.3611111</v>
      </c>
      <c r="L62" s="40" t="str">
        <f>CONCATENATE(CALCULATIONS!Y62,CALCULATIONS!T62)</f>
        <v>per PC.</v>
      </c>
      <c r="M62" s="39">
        <f>CALCULATIONS!W62*$I$2</f>
        <v>93.88888889</v>
      </c>
      <c r="N62" s="41" t="str">
        <f>CONCATENATE(CALCULATIONS!Y62,CALCULATIONS!T62)</f>
        <v>per PC.</v>
      </c>
    </row>
    <row r="63" ht="12.75" customHeight="1">
      <c r="B63" s="44" t="s">
        <v>65</v>
      </c>
      <c r="C63" s="35">
        <f>IFERROR(1/CALCULATIONS!U63,0)</f>
        <v>0</v>
      </c>
      <c r="D63" s="36" t="str">
        <f>CONCATENATE(CALCULATIONS!T63,CALCULATIONS!X63)</f>
        <v/>
      </c>
      <c r="E63" s="35">
        <f>IFERROR(1/CALCULATIONS!V63,0)</f>
        <v>0</v>
      </c>
      <c r="F63" s="37" t="str">
        <f>CONCATENATE(CALCULATIONS!T63,CALCULATIONS!X63)</f>
        <v/>
      </c>
      <c r="G63" s="38">
        <f>IFERROR(1/CALCULATIONS!W63,0)</f>
        <v>0</v>
      </c>
      <c r="H63" s="36" t="str">
        <f>CONCATENATE(CALCULATIONS!T63,CALCULATIONS!X63)</f>
        <v/>
      </c>
      <c r="I63" s="39">
        <f>CALCULATIONS!U63*$I$2</f>
        <v>0</v>
      </c>
      <c r="J63" s="40" t="str">
        <f>CONCATENATE(CALCULATIONS!Y63,CALCULATIONS!T63)</f>
        <v/>
      </c>
      <c r="K63" s="39">
        <f>CALCULATIONS!V63*$I$2</f>
        <v>0</v>
      </c>
      <c r="L63" s="40" t="str">
        <f>CONCATENATE(CALCULATIONS!Y63,CALCULATIONS!T63)</f>
        <v/>
      </c>
      <c r="M63" s="39">
        <f>CALCULATIONS!W63*$I$2</f>
        <v>0</v>
      </c>
      <c r="N63" s="41" t="str">
        <f>CONCATENATE(CALCULATIONS!Y63,CALCULATIONS!T63)</f>
        <v/>
      </c>
    </row>
    <row r="64" ht="12.75" customHeight="1">
      <c r="B64" s="44" t="s">
        <v>66</v>
      </c>
      <c r="C64" s="35">
        <f>IFERROR(1/CALCULATIONS!U64,0)</f>
        <v>0.1079913607</v>
      </c>
      <c r="D64" s="36" t="str">
        <f>CONCATENATE(CALCULATIONS!T64,CALCULATIONS!X64)</f>
        <v>SQ.M.per hour</v>
      </c>
      <c r="E64" s="35">
        <f>IFERROR(1/CALCULATIONS!V64,0)</f>
        <v>0.2159827214</v>
      </c>
      <c r="F64" s="37" t="str">
        <f>CONCATENATE(CALCULATIONS!T64,CALCULATIONS!X64)</f>
        <v>SQ.M.per hour</v>
      </c>
      <c r="G64" s="38">
        <f>IFERROR(1/CALCULATIONS!W64,0)</f>
        <v>0.2702702703</v>
      </c>
      <c r="H64" s="36" t="str">
        <f>CONCATENATE(CALCULATIONS!T64,CALCULATIONS!X64)</f>
        <v>SQ.M.per hour</v>
      </c>
      <c r="I64" s="39">
        <f>CALCULATIONS!U64*$I$2</f>
        <v>543.3819444</v>
      </c>
      <c r="J64" s="40" t="str">
        <f>CONCATENATE(CALCULATIONS!Y64,CALCULATIONS!T64)</f>
        <v>per SQ.M.</v>
      </c>
      <c r="K64" s="39">
        <f>CALCULATIONS!V64*$I$2</f>
        <v>271.6909722</v>
      </c>
      <c r="L64" s="40" t="str">
        <f>CONCATENATE(CALCULATIONS!Y64,CALCULATIONS!T64)</f>
        <v>per SQ.M.</v>
      </c>
      <c r="M64" s="39">
        <f>CALCULATIONS!W64*$I$2</f>
        <v>217.1180556</v>
      </c>
      <c r="N64" s="41" t="str">
        <f>CONCATENATE(CALCULATIONS!Y64,CALCULATIONS!T64)</f>
        <v>per SQ.M.</v>
      </c>
    </row>
    <row r="65" ht="12.75" customHeight="1">
      <c r="B65" s="44" t="s">
        <v>67</v>
      </c>
      <c r="C65" s="35">
        <f>IFERROR(1/CALCULATIONS!U65,0)</f>
        <v>0.1602564103</v>
      </c>
      <c r="D65" s="36" t="str">
        <f>CONCATENATE(CALCULATIONS!T65,CALCULATIONS!X65)</f>
        <v>SQ.M.per hour</v>
      </c>
      <c r="E65" s="35">
        <f>IFERROR(1/CALCULATIONS!V65,0)</f>
        <v>0.3205128205</v>
      </c>
      <c r="F65" s="37" t="str">
        <f>CONCATENATE(CALCULATIONS!T65,CALCULATIONS!X65)</f>
        <v>SQ.M.per hour</v>
      </c>
      <c r="G65" s="38">
        <f>IFERROR(1/CALCULATIONS!W65,0)</f>
        <v>0.4</v>
      </c>
      <c r="H65" s="36" t="str">
        <f>CONCATENATE(CALCULATIONS!T65,CALCULATIONS!X65)</f>
        <v>SQ.M.per hour</v>
      </c>
      <c r="I65" s="39">
        <f>CALCULATIONS!U65*$I$2</f>
        <v>366.1666667</v>
      </c>
      <c r="J65" s="40" t="str">
        <f>CONCATENATE(CALCULATIONS!Y65,CALCULATIONS!T65)</f>
        <v>per SQ.M.</v>
      </c>
      <c r="K65" s="39">
        <f>CALCULATIONS!V65*$I$2</f>
        <v>183.0833333</v>
      </c>
      <c r="L65" s="40" t="str">
        <f>CONCATENATE(CALCULATIONS!Y65,CALCULATIONS!T65)</f>
        <v>per SQ.M.</v>
      </c>
      <c r="M65" s="39">
        <f>CALCULATIONS!W65*$I$2</f>
        <v>146.7013889</v>
      </c>
      <c r="N65" s="41" t="str">
        <f>CONCATENATE(CALCULATIONS!Y65,CALCULATIONS!T65)</f>
        <v>per SQ.M.</v>
      </c>
    </row>
    <row r="66" ht="12.75" customHeight="1">
      <c r="B66" s="44" t="s">
        <v>68</v>
      </c>
      <c r="C66" s="35">
        <f>IFERROR(1/CALCULATIONS!U66,0)</f>
        <v>0.1079913607</v>
      </c>
      <c r="D66" s="36" t="str">
        <f>CONCATENATE(CALCULATIONS!T66,CALCULATIONS!X66)</f>
        <v>SQ.M.per hour</v>
      </c>
      <c r="E66" s="35">
        <f>IFERROR(1/CALCULATIONS!V66,0)</f>
        <v>0.2159827214</v>
      </c>
      <c r="F66" s="37" t="str">
        <f>CONCATENATE(CALCULATIONS!T66,CALCULATIONS!X66)</f>
        <v>SQ.M.per hour</v>
      </c>
      <c r="G66" s="38">
        <f>IFERROR(1/CALCULATIONS!W66,0)</f>
        <v>0.2702702703</v>
      </c>
      <c r="H66" s="36" t="str">
        <f>CONCATENATE(CALCULATIONS!T66,CALCULATIONS!X66)</f>
        <v>SQ.M.per hour</v>
      </c>
      <c r="I66" s="39">
        <f>CALCULATIONS!U66*$I$2</f>
        <v>543.3819444</v>
      </c>
      <c r="J66" s="40" t="str">
        <f>CONCATENATE(CALCULATIONS!Y66,CALCULATIONS!T66)</f>
        <v>per SQ.M.</v>
      </c>
      <c r="K66" s="39">
        <f>CALCULATIONS!V66*$I$2</f>
        <v>271.6909722</v>
      </c>
      <c r="L66" s="40" t="str">
        <f>CONCATENATE(CALCULATIONS!Y66,CALCULATIONS!T66)</f>
        <v>per SQ.M.</v>
      </c>
      <c r="M66" s="39">
        <f>CALCULATIONS!W66*$I$2</f>
        <v>217.1180556</v>
      </c>
      <c r="N66" s="41" t="str">
        <f>CONCATENATE(CALCULATIONS!Y66,CALCULATIONS!T66)</f>
        <v>per SQ.M.</v>
      </c>
    </row>
    <row r="67" ht="12.75" customHeight="1">
      <c r="B67" s="44" t="s">
        <v>69</v>
      </c>
      <c r="C67" s="35">
        <f>IFERROR(1/CALCULATIONS!U67,0)</f>
        <v>0.1577287066</v>
      </c>
      <c r="D67" s="36" t="str">
        <f>CONCATENATE(CALCULATIONS!T67,CALCULATIONS!X67)</f>
        <v>SQ.M.per hour</v>
      </c>
      <c r="E67" s="35">
        <f>IFERROR(1/CALCULATIONS!V67,0)</f>
        <v>0.3205128205</v>
      </c>
      <c r="F67" s="37" t="str">
        <f>CONCATENATE(CALCULATIONS!T67,CALCULATIONS!X67)</f>
        <v>SQ.M.per hour</v>
      </c>
      <c r="G67" s="38">
        <f>IFERROR(1/CALCULATIONS!W67,0)</f>
        <v>0.4</v>
      </c>
      <c r="H67" s="36" t="str">
        <f>CONCATENATE(CALCULATIONS!T67,CALCULATIONS!X67)</f>
        <v>SQ.M.per hour</v>
      </c>
      <c r="I67" s="39">
        <f>CALCULATIONS!U67*$I$2</f>
        <v>372.0347222</v>
      </c>
      <c r="J67" s="40" t="str">
        <f>CONCATENATE(CALCULATIONS!Y67,CALCULATIONS!T67)</f>
        <v>per SQ.M.</v>
      </c>
      <c r="K67" s="39">
        <f>CALCULATIONS!V67*$I$2</f>
        <v>183.0833333</v>
      </c>
      <c r="L67" s="40" t="str">
        <f>CONCATENATE(CALCULATIONS!Y67,CALCULATIONS!T67)</f>
        <v>per SQ.M.</v>
      </c>
      <c r="M67" s="39">
        <f>CALCULATIONS!W67*$I$2</f>
        <v>146.7013889</v>
      </c>
      <c r="N67" s="41" t="str">
        <f>CONCATENATE(CALCULATIONS!Y67,CALCULATIONS!T67)</f>
        <v>per SQ.M.</v>
      </c>
    </row>
    <row r="68" ht="12.75" customHeight="1">
      <c r="B68" s="44" t="s">
        <v>70</v>
      </c>
      <c r="C68" s="35">
        <f>IFERROR(1/CALCULATIONS!U68,0)</f>
        <v>0.1479289941</v>
      </c>
      <c r="D68" s="36" t="str">
        <f>CONCATENATE(CALCULATIONS!T68,CALCULATIONS!X68)</f>
        <v>SQ.M.per hour</v>
      </c>
      <c r="E68" s="35">
        <f>IFERROR(1/CALCULATIONS!V68,0)</f>
        <v>0.2958579882</v>
      </c>
      <c r="F68" s="37" t="str">
        <f>CONCATENATE(CALCULATIONS!T68,CALCULATIONS!X68)</f>
        <v>SQ.M.per hour</v>
      </c>
      <c r="G68" s="38">
        <f>IFERROR(1/CALCULATIONS!W68,0)</f>
        <v>0.3703703704</v>
      </c>
      <c r="H68" s="36" t="str">
        <f>CONCATENATE(CALCULATIONS!T68,CALCULATIONS!X68)</f>
        <v>SQ.M.per hour</v>
      </c>
      <c r="I68" s="39">
        <f>CALCULATIONS!U68*$I$2</f>
        <v>396.6805556</v>
      </c>
      <c r="J68" s="40" t="str">
        <f>CONCATENATE(CALCULATIONS!Y68,CALCULATIONS!T68)</f>
        <v>per SQ.M.</v>
      </c>
      <c r="K68" s="39">
        <f>CALCULATIONS!V68*$I$2</f>
        <v>198.3402778</v>
      </c>
      <c r="L68" s="40" t="str">
        <f>CONCATENATE(CALCULATIONS!Y68,CALCULATIONS!T68)</f>
        <v>per SQ.M.</v>
      </c>
      <c r="M68" s="39">
        <f>CALCULATIONS!W68*$I$2</f>
        <v>158.4375</v>
      </c>
      <c r="N68" s="41" t="str">
        <f>CONCATENATE(CALCULATIONS!Y68,CALCULATIONS!T68)</f>
        <v>per SQ.M.</v>
      </c>
    </row>
    <row r="69" ht="12.75" customHeight="1">
      <c r="B69" s="44" t="s">
        <v>71</v>
      </c>
      <c r="C69" s="35">
        <f>IFERROR(1/CALCULATIONS!U69,0)</f>
        <v>0.05</v>
      </c>
      <c r="D69" s="36" t="str">
        <f>CONCATENATE(CALCULATIONS!T69,CALCULATIONS!X69)</f>
        <v>EACHper hour</v>
      </c>
      <c r="E69" s="35">
        <f>IFERROR(1/CALCULATIONS!V69,0)</f>
        <v>0.1</v>
      </c>
      <c r="F69" s="37" t="str">
        <f>CONCATENATE(CALCULATIONS!T69,CALCULATIONS!X69)</f>
        <v>EACHper hour</v>
      </c>
      <c r="G69" s="38">
        <f>IFERROR(1/CALCULATIONS!W69,0)</f>
        <v>0.125</v>
      </c>
      <c r="H69" s="36" t="str">
        <f>CONCATENATE(CALCULATIONS!T69,CALCULATIONS!X69)</f>
        <v>EACHper hour</v>
      </c>
      <c r="I69" s="39">
        <f>CALCULATIONS!U69*$I$2</f>
        <v>1173.611111</v>
      </c>
      <c r="J69" s="40" t="str">
        <f>CONCATENATE(CALCULATIONS!Y69,CALCULATIONS!T69)</f>
        <v>per EACH</v>
      </c>
      <c r="K69" s="39">
        <f>CALCULATIONS!V69*$I$2</f>
        <v>586.8055556</v>
      </c>
      <c r="L69" s="40" t="str">
        <f>CONCATENATE(CALCULATIONS!Y69,CALCULATIONS!T69)</f>
        <v>per EACH</v>
      </c>
      <c r="M69" s="39">
        <f>CALCULATIONS!W69*$I$2</f>
        <v>469.4444444</v>
      </c>
      <c r="N69" s="41" t="str">
        <f>CONCATENATE(CALCULATIONS!Y69,CALCULATIONS!T69)</f>
        <v>per EACH</v>
      </c>
    </row>
    <row r="70" ht="12.75" customHeight="1">
      <c r="B70" s="44" t="s">
        <v>72</v>
      </c>
      <c r="C70" s="35">
        <f>IFERROR(1/CALCULATIONS!U70,0)</f>
        <v>0.04166666667</v>
      </c>
      <c r="D70" s="36" t="str">
        <f>CONCATENATE(CALCULATIONS!T70,CALCULATIONS!X70)</f>
        <v>EACHper hour</v>
      </c>
      <c r="E70" s="35">
        <f>IFERROR(1/CALCULATIONS!V70,0)</f>
        <v>0.08333333333</v>
      </c>
      <c r="F70" s="37" t="str">
        <f>CONCATENATE(CALCULATIONS!T70,CALCULATIONS!X70)</f>
        <v>EACHper hour</v>
      </c>
      <c r="G70" s="38">
        <f>IFERROR(1/CALCULATIONS!W70,0)</f>
        <v>0.1041666667</v>
      </c>
      <c r="H70" s="36" t="str">
        <f>CONCATENATE(CALCULATIONS!T70,CALCULATIONS!X70)</f>
        <v>EACHper hour</v>
      </c>
      <c r="I70" s="39">
        <f>CALCULATIONS!U70*$I$2</f>
        <v>1408.333333</v>
      </c>
      <c r="J70" s="40" t="str">
        <f>CONCATENATE(CALCULATIONS!Y70,CALCULATIONS!T70)</f>
        <v>per EACH</v>
      </c>
      <c r="K70" s="39">
        <f>CALCULATIONS!V70*$I$2</f>
        <v>704.1666667</v>
      </c>
      <c r="L70" s="40" t="str">
        <f>CONCATENATE(CALCULATIONS!Y70,CALCULATIONS!T70)</f>
        <v>per EACH</v>
      </c>
      <c r="M70" s="39">
        <f>CALCULATIONS!W70*$I$2</f>
        <v>563.3333333</v>
      </c>
      <c r="N70" s="41" t="str">
        <f>CONCATENATE(CALCULATIONS!Y70,CALCULATIONS!T70)</f>
        <v>per EACH</v>
      </c>
    </row>
    <row r="71" ht="12.75" customHeight="1">
      <c r="B71" s="44" t="s">
        <v>73</v>
      </c>
      <c r="C71" s="35">
        <f>IFERROR(1/CALCULATIONS!U71,0)</f>
        <v>0.05</v>
      </c>
      <c r="D71" s="36" t="str">
        <f>CONCATENATE(CALCULATIONS!T71,CALCULATIONS!X71)</f>
        <v>EACHper hour</v>
      </c>
      <c r="E71" s="35">
        <f>IFERROR(1/CALCULATIONS!V71,0)</f>
        <v>0.1</v>
      </c>
      <c r="F71" s="37" t="str">
        <f>CONCATENATE(CALCULATIONS!T71,CALCULATIONS!X71)</f>
        <v>EACHper hour</v>
      </c>
      <c r="G71" s="38">
        <f>IFERROR(1/CALCULATIONS!W71,0)</f>
        <v>0.125</v>
      </c>
      <c r="H71" s="36" t="str">
        <f>CONCATENATE(CALCULATIONS!T71,CALCULATIONS!X71)</f>
        <v>EACHper hour</v>
      </c>
      <c r="I71" s="39">
        <f>CALCULATIONS!U71*$I$2</f>
        <v>1173.611111</v>
      </c>
      <c r="J71" s="40" t="str">
        <f>CONCATENATE(CALCULATIONS!Y71,CALCULATIONS!T71)</f>
        <v>per EACH</v>
      </c>
      <c r="K71" s="39">
        <f>CALCULATIONS!V71*$I$2</f>
        <v>586.8055556</v>
      </c>
      <c r="L71" s="40" t="str">
        <f>CONCATENATE(CALCULATIONS!Y71,CALCULATIONS!T71)</f>
        <v>per EACH</v>
      </c>
      <c r="M71" s="39">
        <f>CALCULATIONS!W71*$I$2</f>
        <v>469.4444444</v>
      </c>
      <c r="N71" s="41" t="str">
        <f>CONCATENATE(CALCULATIONS!Y71,CALCULATIONS!T71)</f>
        <v>per EACH</v>
      </c>
    </row>
    <row r="72" ht="12.75" customHeight="1">
      <c r="B72" s="44" t="s">
        <v>74</v>
      </c>
      <c r="C72" s="35">
        <f>IFERROR(1/CALCULATIONS!U72,0)</f>
        <v>0.02</v>
      </c>
      <c r="D72" s="36" t="str">
        <f>CONCATENATE(CALCULATIONS!T72,CALCULATIONS!X72)</f>
        <v>EACHper hour</v>
      </c>
      <c r="E72" s="35">
        <f>IFERROR(1/CALCULATIONS!V72,0)</f>
        <v>0.04</v>
      </c>
      <c r="F72" s="37" t="str">
        <f>CONCATENATE(CALCULATIONS!T72,CALCULATIONS!X72)</f>
        <v>EACHper hour</v>
      </c>
      <c r="G72" s="38">
        <f>IFERROR(1/CALCULATIONS!W72,0)</f>
        <v>0.05</v>
      </c>
      <c r="H72" s="36" t="str">
        <f>CONCATENATE(CALCULATIONS!T72,CALCULATIONS!X72)</f>
        <v>EACHper hour</v>
      </c>
      <c r="I72" s="39">
        <f>CALCULATIONS!U72*$I$2</f>
        <v>2934.027778</v>
      </c>
      <c r="J72" s="40" t="str">
        <f>CONCATENATE(CALCULATIONS!Y72,CALCULATIONS!T72)</f>
        <v>per EACH</v>
      </c>
      <c r="K72" s="39">
        <f>CALCULATIONS!V72*$I$2</f>
        <v>1467.013889</v>
      </c>
      <c r="L72" s="40" t="str">
        <f>CONCATENATE(CALCULATIONS!Y72,CALCULATIONS!T72)</f>
        <v>per EACH</v>
      </c>
      <c r="M72" s="39">
        <f>CALCULATIONS!W72*$I$2</f>
        <v>1173.611111</v>
      </c>
      <c r="N72" s="41" t="str">
        <f>CONCATENATE(CALCULATIONS!Y72,CALCULATIONS!T72)</f>
        <v>per EACH</v>
      </c>
    </row>
    <row r="73" ht="12.75" customHeight="1">
      <c r="B73" s="44" t="s">
        <v>75</v>
      </c>
      <c r="C73" s="35">
        <f>IFERROR(1/CALCULATIONS!U73,0)</f>
        <v>1.587301587</v>
      </c>
      <c r="D73" s="36" t="str">
        <f>CONCATENATE(CALCULATIONS!T73,CALCULATIONS!X73)</f>
        <v>S.F.per hour</v>
      </c>
      <c r="E73" s="35">
        <f>IFERROR(1/CALCULATIONS!V73,0)</f>
        <v>3.225806452</v>
      </c>
      <c r="F73" s="37" t="str">
        <f>CONCATENATE(CALCULATIONS!T73,CALCULATIONS!X73)</f>
        <v>S.F.per hour</v>
      </c>
      <c r="G73" s="38">
        <f>IFERROR(1/CALCULATIONS!W73,0)</f>
        <v>4</v>
      </c>
      <c r="H73" s="36" t="str">
        <f>CONCATENATE(CALCULATIONS!T73,CALCULATIONS!X73)</f>
        <v>S.F.per hour</v>
      </c>
      <c r="I73" s="39">
        <f>CALCULATIONS!U73*$I$2</f>
        <v>36.96875</v>
      </c>
      <c r="J73" s="40" t="str">
        <f>CONCATENATE(CALCULATIONS!Y73,CALCULATIONS!T73)</f>
        <v>per S.F.</v>
      </c>
      <c r="K73" s="39">
        <f>CALCULATIONS!V73*$I$2</f>
        <v>18.19097222</v>
      </c>
      <c r="L73" s="40" t="str">
        <f>CONCATENATE(CALCULATIONS!Y73,CALCULATIONS!T73)</f>
        <v>per S.F.</v>
      </c>
      <c r="M73" s="39">
        <f>CALCULATIONS!W73*$I$2</f>
        <v>14.67013889</v>
      </c>
      <c r="N73" s="41" t="str">
        <f>CONCATENATE(CALCULATIONS!Y73,CALCULATIONS!T73)</f>
        <v>per S.F.</v>
      </c>
    </row>
    <row r="74" ht="12.75" customHeight="1">
      <c r="B74" s="44" t="s">
        <v>76</v>
      </c>
      <c r="C74" s="35">
        <f>IFERROR(1/CALCULATIONS!U74,0)</f>
        <v>0.3125</v>
      </c>
      <c r="D74" s="36" t="str">
        <f>CONCATENATE(CALCULATIONS!T74,CALCULATIONS!X74)</f>
        <v>SETper hour</v>
      </c>
      <c r="E74" s="35">
        <f>IFERROR(1/CALCULATIONS!V74,0)</f>
        <v>0.625</v>
      </c>
      <c r="F74" s="37" t="str">
        <f>CONCATENATE(CALCULATIONS!T74,CALCULATIONS!X74)</f>
        <v>SETper hour</v>
      </c>
      <c r="G74" s="38">
        <f>IFERROR(1/CALCULATIONS!W74,0)</f>
        <v>0.78125</v>
      </c>
      <c r="H74" s="36" t="str">
        <f>CONCATENATE(CALCULATIONS!T74,CALCULATIONS!X74)</f>
        <v>SETper hour</v>
      </c>
      <c r="I74" s="39">
        <f>CALCULATIONS!U74*$I$2</f>
        <v>187.7777778</v>
      </c>
      <c r="J74" s="40" t="str">
        <f>CONCATENATE(CALCULATIONS!Y74,CALCULATIONS!T74)</f>
        <v>per SET</v>
      </c>
      <c r="K74" s="39">
        <f>CALCULATIONS!V74*$I$2</f>
        <v>93.88888889</v>
      </c>
      <c r="L74" s="40" t="str">
        <f>CONCATENATE(CALCULATIONS!Y74,CALCULATIONS!T74)</f>
        <v>per SET</v>
      </c>
      <c r="M74" s="39">
        <f>CALCULATIONS!W74*$I$2</f>
        <v>75.11111111</v>
      </c>
      <c r="N74" s="41" t="str">
        <f>CONCATENATE(CALCULATIONS!Y74,CALCULATIONS!T74)</f>
        <v>per SET</v>
      </c>
    </row>
    <row r="75" ht="12.75" customHeight="1">
      <c r="B75" s="44" t="s">
        <v>77</v>
      </c>
      <c r="C75" s="35">
        <f>IFERROR(1/CALCULATIONS!U75,0)</f>
        <v>2.272727273</v>
      </c>
      <c r="D75" s="36" t="str">
        <f>CONCATENATE(CALCULATIONS!T75,CALCULATIONS!X75)</f>
        <v>B.F.per hour</v>
      </c>
      <c r="E75" s="35">
        <f>IFERROR(1/CALCULATIONS!V75,0)</f>
        <v>4.545454545</v>
      </c>
      <c r="F75" s="37" t="str">
        <f>CONCATENATE(CALCULATIONS!T75,CALCULATIONS!X75)</f>
        <v>B.F.per hour</v>
      </c>
      <c r="G75" s="38">
        <f>IFERROR(1/CALCULATIONS!W75,0)</f>
        <v>5.555555556</v>
      </c>
      <c r="H75" s="36" t="str">
        <f>CONCATENATE(CALCULATIONS!T75,CALCULATIONS!X75)</f>
        <v>B.F.per hour</v>
      </c>
      <c r="I75" s="39">
        <f>CALCULATIONS!U75*$I$2</f>
        <v>25.81944444</v>
      </c>
      <c r="J75" s="40" t="str">
        <f>CONCATENATE(CALCULATIONS!Y75,CALCULATIONS!T75)</f>
        <v>per B.F.</v>
      </c>
      <c r="K75" s="39">
        <f>CALCULATIONS!V75*$I$2</f>
        <v>12.90972222</v>
      </c>
      <c r="L75" s="40" t="str">
        <f>CONCATENATE(CALCULATIONS!Y75,CALCULATIONS!T75)</f>
        <v>per B.F.</v>
      </c>
      <c r="M75" s="39">
        <f>CALCULATIONS!W75*$I$2</f>
        <v>10.5625</v>
      </c>
      <c r="N75" s="41" t="str">
        <f>CONCATENATE(CALCULATIONS!Y75,CALCULATIONS!T75)</f>
        <v>per B.F.</v>
      </c>
    </row>
    <row r="76" ht="12.75" customHeight="1">
      <c r="B76" s="44" t="s">
        <v>78</v>
      </c>
      <c r="C76" s="35">
        <f>IFERROR(1/CALCULATIONS!U76,0)</f>
        <v>1.515151515</v>
      </c>
      <c r="D76" s="36" t="str">
        <f>CONCATENATE(CALCULATIONS!T76,CALCULATIONS!X76)</f>
        <v>B.F.per hour</v>
      </c>
      <c r="E76" s="35">
        <f>IFERROR(1/CALCULATIONS!V76,0)</f>
        <v>3.03030303</v>
      </c>
      <c r="F76" s="37" t="str">
        <f>CONCATENATE(CALCULATIONS!T76,CALCULATIONS!X76)</f>
        <v>B.F.per hour</v>
      </c>
      <c r="G76" s="38">
        <f>IFERROR(1/CALCULATIONS!W76,0)</f>
        <v>3.846153846</v>
      </c>
      <c r="H76" s="36" t="str">
        <f>CONCATENATE(CALCULATIONS!T76,CALCULATIONS!X76)</f>
        <v>B.F.per hour</v>
      </c>
      <c r="I76" s="39">
        <f>CALCULATIONS!U76*$I$2</f>
        <v>38.72916667</v>
      </c>
      <c r="J76" s="40" t="str">
        <f>CONCATENATE(CALCULATIONS!Y76,CALCULATIONS!T76)</f>
        <v>per B.F.</v>
      </c>
      <c r="K76" s="39">
        <f>CALCULATIONS!V76*$I$2</f>
        <v>19.36458333</v>
      </c>
      <c r="L76" s="40" t="str">
        <f>CONCATENATE(CALCULATIONS!Y76,CALCULATIONS!T76)</f>
        <v>per B.F.</v>
      </c>
      <c r="M76" s="39">
        <f>CALCULATIONS!W76*$I$2</f>
        <v>15.25694444</v>
      </c>
      <c r="N76" s="41" t="str">
        <f>CONCATENATE(CALCULATIONS!Y76,CALCULATIONS!T76)</f>
        <v>per B.F.</v>
      </c>
    </row>
    <row r="77" ht="12.75" customHeight="1">
      <c r="B77" s="44" t="s">
        <v>79</v>
      </c>
      <c r="C77" s="35">
        <f>IFERROR(1/CALCULATIONS!U77,0)</f>
        <v>0.1602564103</v>
      </c>
      <c r="D77" s="36" t="str">
        <f>CONCATENATE(CALCULATIONS!T77,CALCULATIONS!X77)</f>
        <v>SQ.M.per hour</v>
      </c>
      <c r="E77" s="35">
        <f>IFERROR(1/CALCULATIONS!V77,0)</f>
        <v>0.3205128205</v>
      </c>
      <c r="F77" s="37" t="str">
        <f>CONCATENATE(CALCULATIONS!T77,CALCULATIONS!X77)</f>
        <v>SQ.M.per hour</v>
      </c>
      <c r="G77" s="38">
        <f>IFERROR(1/CALCULATIONS!W77,0)</f>
        <v>0.4</v>
      </c>
      <c r="H77" s="36" t="str">
        <f>CONCATENATE(CALCULATIONS!T77,CALCULATIONS!X77)</f>
        <v>SQ.M.per hour</v>
      </c>
      <c r="I77" s="39">
        <f>CALCULATIONS!U77*$I$2</f>
        <v>366.1666667</v>
      </c>
      <c r="J77" s="40" t="str">
        <f>CONCATENATE(CALCULATIONS!Y77,CALCULATIONS!T77)</f>
        <v>per SQ.M.</v>
      </c>
      <c r="K77" s="39">
        <f>CALCULATIONS!V77*$I$2</f>
        <v>183.0833333</v>
      </c>
      <c r="L77" s="40" t="str">
        <f>CONCATENATE(CALCULATIONS!Y77,CALCULATIONS!T77)</f>
        <v>per SQ.M.</v>
      </c>
      <c r="M77" s="39">
        <f>CALCULATIONS!W77*$I$2</f>
        <v>146.7013889</v>
      </c>
      <c r="N77" s="41" t="str">
        <f>CONCATENATE(CALCULATIONS!Y77,CALCULATIONS!T77)</f>
        <v>per SQ.M.</v>
      </c>
    </row>
    <row r="78" ht="12.75" customHeight="1">
      <c r="C78" s="35">
        <f>IFERROR(1/CALCULATIONS!U78,0)</f>
        <v>0</v>
      </c>
      <c r="D78" s="36" t="str">
        <f>CONCATENATE(CALCULATIONS!T78,CALCULATIONS!X78)</f>
        <v/>
      </c>
      <c r="E78" s="35">
        <f>IFERROR(1/CALCULATIONS!V78,0)</f>
        <v>0</v>
      </c>
      <c r="F78" s="37" t="str">
        <f>CONCATENATE(CALCULATIONS!T78,CALCULATIONS!X78)</f>
        <v/>
      </c>
      <c r="G78" s="38">
        <f>IFERROR(1/CALCULATIONS!W78,0)</f>
        <v>0</v>
      </c>
      <c r="H78" s="36" t="str">
        <f>CONCATENATE(CALCULATIONS!T78,CALCULATIONS!X78)</f>
        <v/>
      </c>
      <c r="I78" s="39">
        <f>CALCULATIONS!U78*$I$2</f>
        <v>0</v>
      </c>
      <c r="J78" s="40" t="str">
        <f>CONCATENATE(CALCULATIONS!Y78,CALCULATIONS!T78)</f>
        <v/>
      </c>
      <c r="K78" s="39">
        <f>CALCULATIONS!V78*$I$2</f>
        <v>0</v>
      </c>
      <c r="L78" s="40" t="str">
        <f>CONCATENATE(CALCULATIONS!Y78,CALCULATIONS!T78)</f>
        <v/>
      </c>
      <c r="M78" s="39">
        <f>CALCULATIONS!W78*$I$2</f>
        <v>0</v>
      </c>
      <c r="N78" s="41" t="str">
        <f>CONCATENATE(CALCULATIONS!Y78,CALCULATIONS!T78)</f>
        <v/>
      </c>
    </row>
    <row r="79" ht="12.75" customHeight="1">
      <c r="A79" s="45" t="s">
        <v>80</v>
      </c>
      <c r="B79" s="46" t="s">
        <v>81</v>
      </c>
      <c r="C79" s="35">
        <f>IFERROR(1/CALCULATIONS!U79,0)</f>
        <v>0</v>
      </c>
      <c r="D79" s="36" t="str">
        <f>CONCATENATE(CALCULATIONS!T79,CALCULATIONS!X79)</f>
        <v/>
      </c>
      <c r="E79" s="35">
        <f>IFERROR(1/CALCULATIONS!V79,0)</f>
        <v>0</v>
      </c>
      <c r="F79" s="37" t="str">
        <f>CONCATENATE(CALCULATIONS!T79,CALCULATIONS!X79)</f>
        <v/>
      </c>
      <c r="G79" s="38">
        <f>IFERROR(1/CALCULATIONS!W79,0)</f>
        <v>0</v>
      </c>
      <c r="H79" s="36" t="str">
        <f>CONCATENATE(CALCULATIONS!T79,CALCULATIONS!X79)</f>
        <v/>
      </c>
      <c r="I79" s="39">
        <f>CALCULATIONS!U79*$I$2</f>
        <v>0</v>
      </c>
      <c r="J79" s="40" t="str">
        <f>CONCATENATE(CALCULATIONS!Y79,CALCULATIONS!T79)</f>
        <v/>
      </c>
      <c r="K79" s="39">
        <f>CALCULATIONS!V79*$I$2</f>
        <v>0</v>
      </c>
      <c r="L79" s="40" t="str">
        <f>CONCATENATE(CALCULATIONS!Y79,CALCULATIONS!T79)</f>
        <v/>
      </c>
      <c r="M79" s="39">
        <f>CALCULATIONS!W79*$I$2</f>
        <v>0</v>
      </c>
      <c r="N79" s="41" t="str">
        <f>CONCATENATE(CALCULATIONS!Y79,CALCULATIONS!T79)</f>
        <v/>
      </c>
    </row>
    <row r="80" ht="12.75" customHeight="1">
      <c r="B80" s="44" t="s">
        <v>82</v>
      </c>
      <c r="C80" s="35">
        <f>IFERROR(1/CALCULATIONS!U80,0)</f>
        <v>0.2994011976</v>
      </c>
      <c r="D80" s="36" t="str">
        <f>CONCATENATE(CALCULATIONS!T80,CALCULATIONS!X80)</f>
        <v>SQ.M.per hour</v>
      </c>
      <c r="E80" s="35">
        <f>IFERROR(1/CALCULATIONS!V80,0)</f>
        <v>0.5988023952</v>
      </c>
      <c r="F80" s="37" t="str">
        <f>CONCATENATE(CALCULATIONS!T80,CALCULATIONS!X80)</f>
        <v>SQ.M.per hour</v>
      </c>
      <c r="G80" s="38">
        <f>IFERROR(1/CALCULATIONS!W80,0)</f>
        <v>0.7462686567</v>
      </c>
      <c r="H80" s="36" t="str">
        <f>CONCATENATE(CALCULATIONS!T80,CALCULATIONS!X80)</f>
        <v>SQ.M.per hour</v>
      </c>
      <c r="I80" s="39">
        <f>CALCULATIONS!U80*$I$2</f>
        <v>195.9930556</v>
      </c>
      <c r="J80" s="40" t="str">
        <f>CONCATENATE(CALCULATIONS!Y80,CALCULATIONS!T80)</f>
        <v>per SQ.M.</v>
      </c>
      <c r="K80" s="39">
        <f>CALCULATIONS!V80*$I$2</f>
        <v>97.99652778</v>
      </c>
      <c r="L80" s="40" t="str">
        <f>CONCATENATE(CALCULATIONS!Y80,CALCULATIONS!T80)</f>
        <v>per SQ.M.</v>
      </c>
      <c r="M80" s="39">
        <f>CALCULATIONS!W80*$I$2</f>
        <v>78.63194444</v>
      </c>
      <c r="N80" s="41" t="str">
        <f>CONCATENATE(CALCULATIONS!Y80,CALCULATIONS!T80)</f>
        <v>per SQ.M.</v>
      </c>
    </row>
    <row r="81" ht="12.75" customHeight="1">
      <c r="B81" s="44" t="s">
        <v>83</v>
      </c>
      <c r="C81" s="35">
        <f>IFERROR(1/CALCULATIONS!U81,0)</f>
        <v>0.3496503497</v>
      </c>
      <c r="D81" s="36" t="str">
        <f>CONCATENATE(CALCULATIONS!T81,CALCULATIONS!X81)</f>
        <v>SQ.M.per hour</v>
      </c>
      <c r="E81" s="35">
        <f>IFERROR(1/CALCULATIONS!V81,0)</f>
        <v>0.6993006993</v>
      </c>
      <c r="F81" s="37" t="str">
        <f>CONCATENATE(CALCULATIONS!T81,CALCULATIONS!X81)</f>
        <v>SQ.M.per hour</v>
      </c>
      <c r="G81" s="38">
        <f>IFERROR(1/CALCULATIONS!W81,0)</f>
        <v>0.7462686567</v>
      </c>
      <c r="H81" s="36" t="str">
        <f>CONCATENATE(CALCULATIONS!T81,CALCULATIONS!X81)</f>
        <v>SQ.M.per hour</v>
      </c>
      <c r="I81" s="39">
        <f>CALCULATIONS!U81*$I$2</f>
        <v>167.8263889</v>
      </c>
      <c r="J81" s="40" t="str">
        <f>CONCATENATE(CALCULATIONS!Y81,CALCULATIONS!T81)</f>
        <v>per SQ.M.</v>
      </c>
      <c r="K81" s="39">
        <f>CALCULATIONS!V81*$I$2</f>
        <v>83.91319444</v>
      </c>
      <c r="L81" s="40" t="str">
        <f>CONCATENATE(CALCULATIONS!Y81,CALCULATIONS!T81)</f>
        <v>per SQ.M.</v>
      </c>
      <c r="M81" s="39">
        <f>CALCULATIONS!W81*$I$2</f>
        <v>78.63194444</v>
      </c>
      <c r="N81" s="41" t="str">
        <f>CONCATENATE(CALCULATIONS!Y81,CALCULATIONS!T81)</f>
        <v>per SQ.M.</v>
      </c>
    </row>
    <row r="82" ht="12.75" customHeight="1">
      <c r="B82" s="44" t="s">
        <v>84</v>
      </c>
      <c r="C82" s="35">
        <f>IFERROR(1/CALCULATIONS!U82,0)</f>
        <v>0.25</v>
      </c>
      <c r="D82" s="36" t="str">
        <f>CONCATENATE(CALCULATIONS!T82,CALCULATIONS!X82)</f>
        <v>SQ.M.per hour</v>
      </c>
      <c r="E82" s="35">
        <f>IFERROR(1/CALCULATIONS!V82,0)</f>
        <v>0.5</v>
      </c>
      <c r="F82" s="37" t="str">
        <f>CONCATENATE(CALCULATIONS!T82,CALCULATIONS!X82)</f>
        <v>SQ.M.per hour</v>
      </c>
      <c r="G82" s="38">
        <f>IFERROR(1/CALCULATIONS!W82,0)</f>
        <v>0.625</v>
      </c>
      <c r="H82" s="36" t="str">
        <f>CONCATENATE(CALCULATIONS!T82,CALCULATIONS!X82)</f>
        <v>SQ.M.per hour</v>
      </c>
      <c r="I82" s="39">
        <f>CALCULATIONS!U82*$I$2</f>
        <v>234.7222222</v>
      </c>
      <c r="J82" s="40" t="str">
        <f>CONCATENATE(CALCULATIONS!Y82,CALCULATIONS!T82)</f>
        <v>per SQ.M.</v>
      </c>
      <c r="K82" s="39">
        <f>CALCULATIONS!V82*$I$2</f>
        <v>117.3611111</v>
      </c>
      <c r="L82" s="40" t="str">
        <f>CONCATENATE(CALCULATIONS!Y82,CALCULATIONS!T82)</f>
        <v>per SQ.M.</v>
      </c>
      <c r="M82" s="39">
        <f>CALCULATIONS!W82*$I$2</f>
        <v>93.88888889</v>
      </c>
      <c r="N82" s="41" t="str">
        <f>CONCATENATE(CALCULATIONS!Y82,CALCULATIONS!T82)</f>
        <v>per SQ.M.</v>
      </c>
    </row>
    <row r="83" ht="12.75" customHeight="1">
      <c r="B83" s="44" t="s">
        <v>85</v>
      </c>
      <c r="C83" s="35">
        <f>IFERROR(1/CALCULATIONS!U83,0)</f>
        <v>0.1</v>
      </c>
      <c r="D83" s="36" t="str">
        <f>CONCATENATE(CALCULATIONS!T83,CALCULATIONS!X83)</f>
        <v>SQ.M.per hour</v>
      </c>
      <c r="E83" s="35">
        <f>IFERROR(1/CALCULATIONS!V83,0)</f>
        <v>0.2</v>
      </c>
      <c r="F83" s="37" t="str">
        <f>CONCATENATE(CALCULATIONS!T83,CALCULATIONS!X83)</f>
        <v>SQ.M.per hour</v>
      </c>
      <c r="G83" s="38">
        <f>IFERROR(1/CALCULATIONS!W83,0)</f>
        <v>0.25</v>
      </c>
      <c r="H83" s="36" t="str">
        <f>CONCATENATE(CALCULATIONS!T83,CALCULATIONS!X83)</f>
        <v>SQ.M.per hour</v>
      </c>
      <c r="I83" s="39">
        <f>CALCULATIONS!U83*$I$2</f>
        <v>586.8055556</v>
      </c>
      <c r="J83" s="40" t="str">
        <f>CONCATENATE(CALCULATIONS!Y83,CALCULATIONS!T83)</f>
        <v>per SQ.M.</v>
      </c>
      <c r="K83" s="39">
        <f>CALCULATIONS!V83*$I$2</f>
        <v>293.4027778</v>
      </c>
      <c r="L83" s="40" t="str">
        <f>CONCATENATE(CALCULATIONS!Y83,CALCULATIONS!T83)</f>
        <v>per SQ.M.</v>
      </c>
      <c r="M83" s="39">
        <f>CALCULATIONS!W83*$I$2</f>
        <v>234.7222222</v>
      </c>
      <c r="N83" s="41" t="str">
        <f>CONCATENATE(CALCULATIONS!Y83,CALCULATIONS!T83)</f>
        <v>per SQ.M.</v>
      </c>
    </row>
    <row r="84" ht="12.75" customHeight="1">
      <c r="B84" s="44" t="s">
        <v>86</v>
      </c>
      <c r="C84" s="35">
        <f>IFERROR(1/CALCULATIONS!U84,0)</f>
        <v>0.04748338082</v>
      </c>
      <c r="D84" s="36" t="str">
        <f>CONCATENATE(CALCULATIONS!T84,CALCULATIONS!X84)</f>
        <v>SQ.M.per hour</v>
      </c>
      <c r="E84" s="35">
        <f>IFERROR(1/CALCULATIONS!V84,0)</f>
        <v>0.09496676163</v>
      </c>
      <c r="F84" s="37" t="str">
        <f>CONCATENATE(CALCULATIONS!T84,CALCULATIONS!X84)</f>
        <v>SQ.M.per hour</v>
      </c>
      <c r="G84" s="38">
        <f>IFERROR(1/CALCULATIONS!W84,0)</f>
        <v>0.1187648456</v>
      </c>
      <c r="H84" s="36" t="str">
        <f>CONCATENATE(CALCULATIONS!T84,CALCULATIONS!X84)</f>
        <v>SQ.M.per hour</v>
      </c>
      <c r="I84" s="39">
        <f>CALCULATIONS!U84*$I$2</f>
        <v>1235.8125</v>
      </c>
      <c r="J84" s="40" t="str">
        <f>CONCATENATE(CALCULATIONS!Y84,CALCULATIONS!T84)</f>
        <v>per SQ.M.</v>
      </c>
      <c r="K84" s="39">
        <f>CALCULATIONS!V84*$I$2</f>
        <v>617.90625</v>
      </c>
      <c r="L84" s="40" t="str">
        <f>CONCATENATE(CALCULATIONS!Y84,CALCULATIONS!T84)</f>
        <v>per SQ.M.</v>
      </c>
      <c r="M84" s="39">
        <f>CALCULATIONS!W84*$I$2</f>
        <v>494.0902778</v>
      </c>
      <c r="N84" s="41" t="str">
        <f>CONCATENATE(CALCULATIONS!Y84,CALCULATIONS!T84)</f>
        <v>per SQ.M.</v>
      </c>
    </row>
    <row r="85" ht="12.75" customHeight="1">
      <c r="B85" s="44" t="s">
        <v>87</v>
      </c>
      <c r="C85" s="35">
        <f>IFERROR(1/CALCULATIONS!U85,0)</f>
        <v>0.1149425287</v>
      </c>
      <c r="D85" s="36" t="str">
        <f>CONCATENATE(CALCULATIONS!T85,CALCULATIONS!X85)</f>
        <v>SQ.M.per hour</v>
      </c>
      <c r="E85" s="35">
        <f>IFERROR(1/CALCULATIONS!V85,0)</f>
        <v>0.2298850575</v>
      </c>
      <c r="F85" s="37" t="str">
        <f>CONCATENATE(CALCULATIONS!T85,CALCULATIONS!X85)</f>
        <v>SQ.M.per hour</v>
      </c>
      <c r="G85" s="38">
        <f>IFERROR(1/CALCULATIONS!W85,0)</f>
        <v>0.2873563218</v>
      </c>
      <c r="H85" s="36" t="str">
        <f>CONCATENATE(CALCULATIONS!T85,CALCULATIONS!X85)</f>
        <v>SQ.M.per hour</v>
      </c>
      <c r="I85" s="39">
        <f>CALCULATIONS!U85*$I$2</f>
        <v>510.5208333</v>
      </c>
      <c r="J85" s="40" t="str">
        <f>CONCATENATE(CALCULATIONS!Y85,CALCULATIONS!T85)</f>
        <v>per SQ.M.</v>
      </c>
      <c r="K85" s="39">
        <f>CALCULATIONS!V85*$I$2</f>
        <v>255.2604167</v>
      </c>
      <c r="L85" s="40" t="str">
        <f>CONCATENATE(CALCULATIONS!Y85,CALCULATIONS!T85)</f>
        <v>per SQ.M.</v>
      </c>
      <c r="M85" s="39">
        <f>CALCULATIONS!W85*$I$2</f>
        <v>204.2083333</v>
      </c>
      <c r="N85" s="41" t="str">
        <f>CONCATENATE(CALCULATIONS!Y85,CALCULATIONS!T85)</f>
        <v>per SQ.M.</v>
      </c>
    </row>
    <row r="86" ht="12.75" customHeight="1">
      <c r="B86" s="44" t="s">
        <v>88</v>
      </c>
      <c r="C86" s="35">
        <f>IFERROR(1/CALCULATIONS!U86,0)</f>
        <v>0.1666666667</v>
      </c>
      <c r="D86" s="36" t="str">
        <f>CONCATENATE(CALCULATIONS!T86,CALCULATIONS!X86)</f>
        <v>SQ.M.per hour</v>
      </c>
      <c r="E86" s="35">
        <f>IFERROR(1/CALCULATIONS!V86,0)</f>
        <v>0.3333333333</v>
      </c>
      <c r="F86" s="37" t="str">
        <f>CONCATENATE(CALCULATIONS!T86,CALCULATIONS!X86)</f>
        <v>SQ.M.per hour</v>
      </c>
      <c r="G86" s="38">
        <f>IFERROR(1/CALCULATIONS!W86,0)</f>
        <v>0.4166666667</v>
      </c>
      <c r="H86" s="36" t="str">
        <f>CONCATENATE(CALCULATIONS!T86,CALCULATIONS!X86)</f>
        <v>SQ.M.per hour</v>
      </c>
      <c r="I86" s="39">
        <f>CALCULATIONS!U86*$I$2</f>
        <v>352.0833333</v>
      </c>
      <c r="J86" s="40" t="str">
        <f>CONCATENATE(CALCULATIONS!Y86,CALCULATIONS!T86)</f>
        <v>per SQ.M.</v>
      </c>
      <c r="K86" s="39">
        <f>CALCULATIONS!V86*$I$2</f>
        <v>176.0416667</v>
      </c>
      <c r="L86" s="40" t="str">
        <f>CONCATENATE(CALCULATIONS!Y86,CALCULATIONS!T86)</f>
        <v>per SQ.M.</v>
      </c>
      <c r="M86" s="39">
        <f>CALCULATIONS!W86*$I$2</f>
        <v>140.8333333</v>
      </c>
      <c r="N86" s="41" t="str">
        <f>CONCATENATE(CALCULATIONS!Y86,CALCULATIONS!T86)</f>
        <v>per SQ.M.</v>
      </c>
    </row>
    <row r="87" ht="12.75" customHeight="1">
      <c r="B87" s="44" t="s">
        <v>89</v>
      </c>
      <c r="C87" s="35">
        <f>IFERROR(1/CALCULATIONS!U87,0)</f>
        <v>0.1111111111</v>
      </c>
      <c r="D87" s="36" t="str">
        <f>CONCATENATE(CALCULATIONS!T87,CALCULATIONS!X87)</f>
        <v>SQ.M.per hour</v>
      </c>
      <c r="E87" s="35">
        <f>IFERROR(1/CALCULATIONS!V87,0)</f>
        <v>0.2222222222</v>
      </c>
      <c r="F87" s="37" t="str">
        <f>CONCATENATE(CALCULATIONS!T87,CALCULATIONS!X87)</f>
        <v>SQ.M.per hour</v>
      </c>
      <c r="G87" s="38">
        <f>IFERROR(1/CALCULATIONS!W87,0)</f>
        <v>0.2777777778</v>
      </c>
      <c r="H87" s="36" t="str">
        <f>CONCATENATE(CALCULATIONS!T87,CALCULATIONS!X87)</f>
        <v>SQ.M.per hour</v>
      </c>
      <c r="I87" s="39">
        <f>CALCULATIONS!U87*$I$2</f>
        <v>528.125</v>
      </c>
      <c r="J87" s="40" t="str">
        <f>CONCATENATE(CALCULATIONS!Y87,CALCULATIONS!T87)</f>
        <v>per SQ.M.</v>
      </c>
      <c r="K87" s="39">
        <f>CALCULATIONS!V87*$I$2</f>
        <v>264.0625</v>
      </c>
      <c r="L87" s="40" t="str">
        <f>CONCATENATE(CALCULATIONS!Y87,CALCULATIONS!T87)</f>
        <v>per SQ.M.</v>
      </c>
      <c r="M87" s="39">
        <f>CALCULATIONS!W87*$I$2</f>
        <v>211.25</v>
      </c>
      <c r="N87" s="41" t="str">
        <f>CONCATENATE(CALCULATIONS!Y87,CALCULATIONS!T87)</f>
        <v>per SQ.M.</v>
      </c>
    </row>
    <row r="88" ht="12.75" customHeight="1">
      <c r="B88" s="44" t="s">
        <v>90</v>
      </c>
      <c r="C88" s="35">
        <f>IFERROR(1/CALCULATIONS!U88,0)</f>
        <v>0.125</v>
      </c>
      <c r="D88" s="36" t="str">
        <f>CONCATENATE(CALCULATIONS!T88,CALCULATIONS!X88)</f>
        <v>SQ.M.per hour</v>
      </c>
      <c r="E88" s="35">
        <f>IFERROR(1/CALCULATIONS!V88,0)</f>
        <v>0.25</v>
      </c>
      <c r="F88" s="37" t="str">
        <f>CONCATENATE(CALCULATIONS!T88,CALCULATIONS!X88)</f>
        <v>SQ.M.per hour</v>
      </c>
      <c r="G88" s="38">
        <f>IFERROR(1/CALCULATIONS!W88,0)</f>
        <v>0.3125</v>
      </c>
      <c r="H88" s="36" t="str">
        <f>CONCATENATE(CALCULATIONS!T88,CALCULATIONS!X88)</f>
        <v>SQ.M.per hour</v>
      </c>
      <c r="I88" s="39">
        <f>CALCULATIONS!U88*$I$2</f>
        <v>469.4444444</v>
      </c>
      <c r="J88" s="40" t="str">
        <f>CONCATENATE(CALCULATIONS!Y88,CALCULATIONS!T88)</f>
        <v>per SQ.M.</v>
      </c>
      <c r="K88" s="39">
        <f>CALCULATIONS!V88*$I$2</f>
        <v>234.7222222</v>
      </c>
      <c r="L88" s="40" t="str">
        <f>CONCATENATE(CALCULATIONS!Y88,CALCULATIONS!T88)</f>
        <v>per SQ.M.</v>
      </c>
      <c r="M88" s="39">
        <f>CALCULATIONS!W88*$I$2</f>
        <v>187.7777778</v>
      </c>
      <c r="N88" s="41" t="str">
        <f>CONCATENATE(CALCULATIONS!Y88,CALCULATIONS!T88)</f>
        <v>per SQ.M.</v>
      </c>
    </row>
    <row r="89" ht="12.75" customHeight="1">
      <c r="B89" s="44" t="s">
        <v>91</v>
      </c>
      <c r="C89" s="35">
        <f>IFERROR(1/CALCULATIONS!U89,0)</f>
        <v>1</v>
      </c>
      <c r="D89" s="36" t="str">
        <f>CONCATENATE(CALCULATIONS!T89,CALCULATIONS!X89)</f>
        <v>SQ.M.per hour</v>
      </c>
      <c r="E89" s="35">
        <f>IFERROR(1/CALCULATIONS!V89,0)</f>
        <v>2</v>
      </c>
      <c r="F89" s="37" t="str">
        <f>CONCATENATE(CALCULATIONS!T89,CALCULATIONS!X89)</f>
        <v>SQ.M.per hour</v>
      </c>
      <c r="G89" s="38">
        <f>IFERROR(1/CALCULATIONS!W89,0)</f>
        <v>2.5</v>
      </c>
      <c r="H89" s="36" t="str">
        <f>CONCATENATE(CALCULATIONS!T89,CALCULATIONS!X89)</f>
        <v>SQ.M.per hour</v>
      </c>
      <c r="I89" s="39">
        <f>CALCULATIONS!U89*$I$2</f>
        <v>58.68055556</v>
      </c>
      <c r="J89" s="40" t="str">
        <f>CONCATENATE(CALCULATIONS!Y89,CALCULATIONS!T89)</f>
        <v>per SQ.M.</v>
      </c>
      <c r="K89" s="39">
        <f>CALCULATIONS!V89*$I$2</f>
        <v>29.34027778</v>
      </c>
      <c r="L89" s="40" t="str">
        <f>CONCATENATE(CALCULATIONS!Y89,CALCULATIONS!T89)</f>
        <v>per SQ.M.</v>
      </c>
      <c r="M89" s="39">
        <f>CALCULATIONS!W89*$I$2</f>
        <v>23.47222222</v>
      </c>
      <c r="N89" s="41" t="str">
        <f>CONCATENATE(CALCULATIONS!Y89,CALCULATIONS!T89)</f>
        <v>per SQ.M.</v>
      </c>
    </row>
    <row r="90" ht="12.75" customHeight="1">
      <c r="B90" s="44" t="s">
        <v>92</v>
      </c>
      <c r="C90" s="35">
        <f>IFERROR(1/CALCULATIONS!U90,0)</f>
        <v>0.1666666667</v>
      </c>
      <c r="D90" s="36" t="str">
        <f>CONCATENATE(CALCULATIONS!T90,CALCULATIONS!X90)</f>
        <v>SQ.M.per hour</v>
      </c>
      <c r="E90" s="35">
        <f>IFERROR(1/CALCULATIONS!V90,0)</f>
        <v>0.3333333333</v>
      </c>
      <c r="F90" s="37" t="str">
        <f>CONCATENATE(CALCULATIONS!T90,CALCULATIONS!X90)</f>
        <v>SQ.M.per hour</v>
      </c>
      <c r="G90" s="38">
        <f>IFERROR(1/CALCULATIONS!W90,0)</f>
        <v>0.2941176471</v>
      </c>
      <c r="H90" s="36" t="str">
        <f>CONCATENATE(CALCULATIONS!T90,CALCULATIONS!X90)</f>
        <v>SQ.M.per hour</v>
      </c>
      <c r="I90" s="39">
        <f>CALCULATIONS!U90*$I$2</f>
        <v>352.0833333</v>
      </c>
      <c r="J90" s="40" t="str">
        <f>CONCATENATE(CALCULATIONS!Y90,CALCULATIONS!T90)</f>
        <v>per SQ.M.</v>
      </c>
      <c r="K90" s="39">
        <f>CALCULATIONS!V90*$I$2</f>
        <v>176.0416667</v>
      </c>
      <c r="L90" s="40" t="str">
        <f>CONCATENATE(CALCULATIONS!Y90,CALCULATIONS!T90)</f>
        <v>per SQ.M.</v>
      </c>
      <c r="M90" s="39">
        <f>CALCULATIONS!W90*$I$2</f>
        <v>199.5138889</v>
      </c>
      <c r="N90" s="41" t="str">
        <f>CONCATENATE(CALCULATIONS!Y90,CALCULATIONS!T90)</f>
        <v>per SQ.M.</v>
      </c>
    </row>
    <row r="91" ht="12.75" customHeight="1">
      <c r="B91" s="44" t="s">
        <v>93</v>
      </c>
      <c r="C91" s="35">
        <f>IFERROR(1/CALCULATIONS!U91,0)</f>
        <v>0.25</v>
      </c>
      <c r="D91" s="36" t="str">
        <f>CONCATENATE(CALCULATIONS!T91,CALCULATIONS!X91)</f>
        <v>SQ.M.per hour</v>
      </c>
      <c r="E91" s="35">
        <f>IFERROR(1/CALCULATIONS!V91,0)</f>
        <v>0.5</v>
      </c>
      <c r="F91" s="37" t="str">
        <f>CONCATENATE(CALCULATIONS!T91,CALCULATIONS!X91)</f>
        <v>SQ.M.per hour</v>
      </c>
      <c r="G91" s="38">
        <f>IFERROR(1/CALCULATIONS!W91,0)</f>
        <v>0.625</v>
      </c>
      <c r="H91" s="36" t="str">
        <f>CONCATENATE(CALCULATIONS!T91,CALCULATIONS!X91)</f>
        <v>SQ.M.per hour</v>
      </c>
      <c r="I91" s="39">
        <f>CALCULATIONS!U91*$I$2</f>
        <v>234.7222222</v>
      </c>
      <c r="J91" s="40" t="str">
        <f>CONCATENATE(CALCULATIONS!Y91,CALCULATIONS!T91)</f>
        <v>per SQ.M.</v>
      </c>
      <c r="K91" s="39">
        <f>CALCULATIONS!V91*$I$2</f>
        <v>117.3611111</v>
      </c>
      <c r="L91" s="40" t="str">
        <f>CONCATENATE(CALCULATIONS!Y91,CALCULATIONS!T91)</f>
        <v>per SQ.M.</v>
      </c>
      <c r="M91" s="39">
        <f>CALCULATIONS!W91*$I$2</f>
        <v>93.88888889</v>
      </c>
      <c r="N91" s="41" t="str">
        <f>CONCATENATE(CALCULATIONS!Y91,CALCULATIONS!T91)</f>
        <v>per SQ.M.</v>
      </c>
    </row>
    <row r="92" ht="12.75" customHeight="1">
      <c r="B92" s="44" t="s">
        <v>94</v>
      </c>
      <c r="C92" s="35">
        <f>IFERROR(1/CALCULATIONS!U92,0)</f>
        <v>0.4166666667</v>
      </c>
      <c r="D92" s="36" t="str">
        <f>CONCATENATE(CALCULATIONS!T92,CALCULATIONS!X92)</f>
        <v>SQ.M.per hour</v>
      </c>
      <c r="E92" s="35">
        <f>IFERROR(1/CALCULATIONS!V92,0)</f>
        <v>0.8333333333</v>
      </c>
      <c r="F92" s="37" t="str">
        <f>CONCATENATE(CALCULATIONS!T92,CALCULATIONS!X92)</f>
        <v>SQ.M.per hour</v>
      </c>
      <c r="G92" s="38">
        <f>IFERROR(1/CALCULATIONS!W92,0)</f>
        <v>1.041666667</v>
      </c>
      <c r="H92" s="36" t="str">
        <f>CONCATENATE(CALCULATIONS!T92,CALCULATIONS!X92)</f>
        <v>SQ.M.per hour</v>
      </c>
      <c r="I92" s="39">
        <f>CALCULATIONS!U92*$I$2</f>
        <v>140.8333333</v>
      </c>
      <c r="J92" s="40" t="str">
        <f>CONCATENATE(CALCULATIONS!Y92,CALCULATIONS!T92)</f>
        <v>per SQ.M.</v>
      </c>
      <c r="K92" s="39">
        <f>CALCULATIONS!V92*$I$2</f>
        <v>70.41666667</v>
      </c>
      <c r="L92" s="40" t="str">
        <f>CONCATENATE(CALCULATIONS!Y92,CALCULATIONS!T92)</f>
        <v>per SQ.M.</v>
      </c>
      <c r="M92" s="39">
        <f>CALCULATIONS!W92*$I$2</f>
        <v>56.33333333</v>
      </c>
      <c r="N92" s="41" t="str">
        <f>CONCATENATE(CALCULATIONS!Y92,CALCULATIONS!T92)</f>
        <v>per SQ.M.</v>
      </c>
    </row>
    <row r="93" ht="12.75" customHeight="1">
      <c r="B93" s="44" t="s">
        <v>95</v>
      </c>
      <c r="C93" s="35">
        <f>IFERROR(1/CALCULATIONS!U93,0)</f>
        <v>0.2777777778</v>
      </c>
      <c r="D93" s="36" t="str">
        <f>CONCATENATE(CALCULATIONS!T93,CALCULATIONS!X93)</f>
        <v>SQ.M.per hour</v>
      </c>
      <c r="E93" s="35">
        <f>IFERROR(1/CALCULATIONS!V93,0)</f>
        <v>0.5555555556</v>
      </c>
      <c r="F93" s="37" t="str">
        <f>CONCATENATE(CALCULATIONS!T93,CALCULATIONS!X93)</f>
        <v>SQ.M.per hour</v>
      </c>
      <c r="G93" s="38">
        <f>IFERROR(1/CALCULATIONS!W93,0)</f>
        <v>0.6944444444</v>
      </c>
      <c r="H93" s="36" t="str">
        <f>CONCATENATE(CALCULATIONS!T93,CALCULATIONS!X93)</f>
        <v>SQ.M.per hour</v>
      </c>
      <c r="I93" s="39">
        <f>CALCULATIONS!U93*$I$2</f>
        <v>211.25</v>
      </c>
      <c r="J93" s="40" t="str">
        <f>CONCATENATE(CALCULATIONS!Y93,CALCULATIONS!T93)</f>
        <v>per SQ.M.</v>
      </c>
      <c r="K93" s="39">
        <f>CALCULATIONS!V93*$I$2</f>
        <v>105.625</v>
      </c>
      <c r="L93" s="40" t="str">
        <f>CONCATENATE(CALCULATIONS!Y93,CALCULATIONS!T93)</f>
        <v>per SQ.M.</v>
      </c>
      <c r="M93" s="39">
        <f>CALCULATIONS!W93*$I$2</f>
        <v>84.5</v>
      </c>
      <c r="N93" s="41" t="str">
        <f>CONCATENATE(CALCULATIONS!Y93,CALCULATIONS!T93)</f>
        <v>per SQ.M.</v>
      </c>
    </row>
    <row r="94" ht="12.75" customHeight="1">
      <c r="B94" s="44" t="s">
        <v>96</v>
      </c>
      <c r="C94" s="35">
        <f>IFERROR(1/CALCULATIONS!U94,0)</f>
        <v>0.05882352941</v>
      </c>
      <c r="D94" s="36" t="str">
        <f>CONCATENATE(CALCULATIONS!T94,CALCULATIONS!X94)</f>
        <v>SQ.M.per hour</v>
      </c>
      <c r="E94" s="35">
        <f>IFERROR(1/CALCULATIONS!V94,0)</f>
        <v>0.1052631579</v>
      </c>
      <c r="F94" s="37" t="str">
        <f>CONCATENATE(CALCULATIONS!T94,CALCULATIONS!X94)</f>
        <v>SQ.M.per hour</v>
      </c>
      <c r="G94" s="38">
        <f>IFERROR(1/CALCULATIONS!W94,0)</f>
        <v>0.1470588235</v>
      </c>
      <c r="H94" s="36" t="str">
        <f>CONCATENATE(CALCULATIONS!T94,CALCULATIONS!X94)</f>
        <v>SQ.M.per hour</v>
      </c>
      <c r="I94" s="39">
        <f>CALCULATIONS!U94*$I$2</f>
        <v>997.5694444</v>
      </c>
      <c r="J94" s="40" t="str">
        <f>CONCATENATE(CALCULATIONS!Y94,CALCULATIONS!T94)</f>
        <v>per SQ.M.</v>
      </c>
      <c r="K94" s="39">
        <f>CALCULATIONS!V94*$I$2</f>
        <v>557.4652778</v>
      </c>
      <c r="L94" s="40" t="str">
        <f>CONCATENATE(CALCULATIONS!Y94,CALCULATIONS!T94)</f>
        <v>per SQ.M.</v>
      </c>
      <c r="M94" s="39">
        <f>CALCULATIONS!W94*$I$2</f>
        <v>399.0277778</v>
      </c>
      <c r="N94" s="41" t="str">
        <f>CONCATENATE(CALCULATIONS!Y94,CALCULATIONS!T94)</f>
        <v>per SQ.M.</v>
      </c>
    </row>
    <row r="95" ht="12.75" customHeight="1">
      <c r="B95" s="44" t="s">
        <v>97</v>
      </c>
      <c r="C95" s="35">
        <f>IFERROR(1/CALCULATIONS!U95,0)</f>
        <v>0.4385964912</v>
      </c>
      <c r="D95" s="36" t="str">
        <f>CONCATENATE(CALCULATIONS!T95,CALCULATIONS!X95)</f>
        <v>SQ.M.per hour</v>
      </c>
      <c r="E95" s="35">
        <f>IFERROR(1/CALCULATIONS!V95,0)</f>
        <v>0.8771929825</v>
      </c>
      <c r="F95" s="37" t="str">
        <f>CONCATENATE(CALCULATIONS!T95,CALCULATIONS!X95)</f>
        <v>SQ.M.per hour</v>
      </c>
      <c r="G95" s="38">
        <f>IFERROR(1/CALCULATIONS!W95,0)</f>
        <v>1.098901099</v>
      </c>
      <c r="H95" s="36" t="str">
        <f>CONCATENATE(CALCULATIONS!T95,CALCULATIONS!X95)</f>
        <v>SQ.M.per hour</v>
      </c>
      <c r="I95" s="39">
        <f>CALCULATIONS!U95*$I$2</f>
        <v>133.7916667</v>
      </c>
      <c r="J95" s="40" t="str">
        <f>CONCATENATE(CALCULATIONS!Y95,CALCULATIONS!T95)</f>
        <v>per SQ.M.</v>
      </c>
      <c r="K95" s="39">
        <f>CALCULATIONS!V95*$I$2</f>
        <v>66.89583333</v>
      </c>
      <c r="L95" s="40" t="str">
        <f>CONCATENATE(CALCULATIONS!Y95,CALCULATIONS!T95)</f>
        <v>per SQ.M.</v>
      </c>
      <c r="M95" s="39">
        <f>CALCULATIONS!W95*$I$2</f>
        <v>53.39930556</v>
      </c>
      <c r="N95" s="41" t="str">
        <f>CONCATENATE(CALCULATIONS!Y95,CALCULATIONS!T95)</f>
        <v>per SQ.M.</v>
      </c>
    </row>
    <row r="96" ht="12.75" customHeight="1">
      <c r="B96" s="44" t="s">
        <v>98</v>
      </c>
      <c r="C96" s="35">
        <f>IFERROR(1/CALCULATIONS!U96,0)</f>
        <v>0.6993006993</v>
      </c>
      <c r="D96" s="36" t="str">
        <f>CONCATENATE(CALCULATIONS!T96,CALCULATIONS!X96)</f>
        <v>SQ.M.per hour</v>
      </c>
      <c r="E96" s="35">
        <f>IFERROR(1/CALCULATIONS!V96,0)</f>
        <v>1.388888889</v>
      </c>
      <c r="F96" s="37" t="str">
        <f>CONCATENATE(CALCULATIONS!T96,CALCULATIONS!X96)</f>
        <v>SQ.M.per hour</v>
      </c>
      <c r="G96" s="38">
        <f>IFERROR(1/CALCULATIONS!W96,0)</f>
        <v>1.754385965</v>
      </c>
      <c r="H96" s="36" t="str">
        <f>CONCATENATE(CALCULATIONS!T96,CALCULATIONS!X96)</f>
        <v>SQ.M.per hour</v>
      </c>
      <c r="I96" s="39">
        <f>CALCULATIONS!U96*$I$2</f>
        <v>83.91319444</v>
      </c>
      <c r="J96" s="40" t="str">
        <f>CONCATENATE(CALCULATIONS!Y96,CALCULATIONS!T96)</f>
        <v>per SQ.M.</v>
      </c>
      <c r="K96" s="39">
        <f>CALCULATIONS!V96*$I$2</f>
        <v>42.25</v>
      </c>
      <c r="L96" s="40" t="str">
        <f>CONCATENATE(CALCULATIONS!Y96,CALCULATIONS!T96)</f>
        <v>per SQ.M.</v>
      </c>
      <c r="M96" s="39">
        <f>CALCULATIONS!W96*$I$2</f>
        <v>33.44791667</v>
      </c>
      <c r="N96" s="41" t="str">
        <f>CONCATENATE(CALCULATIONS!Y96,CALCULATIONS!T96)</f>
        <v>per SQ.M.</v>
      </c>
    </row>
    <row r="97" ht="12.75" customHeight="1">
      <c r="B97" s="44" t="s">
        <v>99</v>
      </c>
      <c r="C97" s="35">
        <f>IFERROR(1/CALCULATIONS!U97,0)</f>
        <v>0</v>
      </c>
      <c r="D97" s="36" t="str">
        <f>CONCATENATE(CALCULATIONS!T97,CALCULATIONS!X97)</f>
        <v/>
      </c>
      <c r="E97" s="35">
        <f>IFERROR(1/CALCULATIONS!V97,0)</f>
        <v>0</v>
      </c>
      <c r="F97" s="37" t="str">
        <f>CONCATENATE(CALCULATIONS!T97,CALCULATIONS!X97)</f>
        <v/>
      </c>
      <c r="G97" s="38">
        <f>IFERROR(1/CALCULATIONS!W97,0)</f>
        <v>0</v>
      </c>
      <c r="H97" s="36" t="str">
        <f>CONCATENATE(CALCULATIONS!T97,CALCULATIONS!X97)</f>
        <v/>
      </c>
      <c r="I97" s="39">
        <f>CALCULATIONS!U97*$I$2</f>
        <v>0</v>
      </c>
      <c r="J97" s="40" t="str">
        <f>CONCATENATE(CALCULATIONS!Y97,CALCULATIONS!T97)</f>
        <v/>
      </c>
      <c r="K97" s="39">
        <f>CALCULATIONS!V97*$I$2</f>
        <v>0</v>
      </c>
      <c r="L97" s="40" t="str">
        <f>CONCATENATE(CALCULATIONS!Y97,CALCULATIONS!T97)</f>
        <v/>
      </c>
      <c r="M97" s="39">
        <f>CALCULATIONS!W97*$I$2</f>
        <v>0</v>
      </c>
      <c r="N97" s="41" t="str">
        <f>CONCATENATE(CALCULATIONS!Y97,CALCULATIONS!T97)</f>
        <v/>
      </c>
    </row>
    <row r="98" ht="12.75" customHeight="1">
      <c r="B98" s="44" t="s">
        <v>100</v>
      </c>
      <c r="C98" s="35">
        <f>IFERROR(1/CALCULATIONS!U98,0)</f>
        <v>0.3125</v>
      </c>
      <c r="D98" s="36" t="str">
        <f>CONCATENATE(CALCULATIONS!T98,CALCULATIONS!X98)</f>
        <v>SQ.M.per hour</v>
      </c>
      <c r="E98" s="35">
        <f>IFERROR(1/CALCULATIONS!V98,0)</f>
        <v>0.625</v>
      </c>
      <c r="F98" s="37" t="str">
        <f>CONCATENATE(CALCULATIONS!T98,CALCULATIONS!X98)</f>
        <v>SQ.M.per hour</v>
      </c>
      <c r="G98" s="38">
        <f>IFERROR(1/CALCULATIONS!W98,0)</f>
        <v>0.78125</v>
      </c>
      <c r="H98" s="36" t="str">
        <f>CONCATENATE(CALCULATIONS!T98,CALCULATIONS!X98)</f>
        <v>SQ.M.per hour</v>
      </c>
      <c r="I98" s="39">
        <f>CALCULATIONS!U98*$I$2</f>
        <v>187.7777778</v>
      </c>
      <c r="J98" s="40" t="str">
        <f>CONCATENATE(CALCULATIONS!Y98,CALCULATIONS!T98)</f>
        <v>per SQ.M.</v>
      </c>
      <c r="K98" s="39">
        <f>CALCULATIONS!V98*$I$2</f>
        <v>93.88888889</v>
      </c>
      <c r="L98" s="40" t="str">
        <f>CONCATENATE(CALCULATIONS!Y98,CALCULATIONS!T98)</f>
        <v>per SQ.M.</v>
      </c>
      <c r="M98" s="39">
        <f>CALCULATIONS!W98*$I$2</f>
        <v>75.11111111</v>
      </c>
      <c r="N98" s="41" t="str">
        <f>CONCATENATE(CALCULATIONS!Y98,CALCULATIONS!T98)</f>
        <v>per SQ.M.</v>
      </c>
    </row>
    <row r="99" ht="12.75" customHeight="1">
      <c r="B99" s="44" t="s">
        <v>101</v>
      </c>
      <c r="C99" s="35">
        <f>IFERROR(1/CALCULATIONS!U99,0)</f>
        <v>0.3759398496</v>
      </c>
      <c r="D99" s="36" t="str">
        <f>CONCATENATE(CALCULATIONS!T99,CALCULATIONS!X99)</f>
        <v>SQ.M.per hour</v>
      </c>
      <c r="E99" s="35">
        <f>IFERROR(1/CALCULATIONS!V99,0)</f>
        <v>0.7518796992</v>
      </c>
      <c r="F99" s="37" t="str">
        <f>CONCATENATE(CALCULATIONS!T99,CALCULATIONS!X99)</f>
        <v>SQ.M.per hour</v>
      </c>
      <c r="G99" s="38">
        <f>IFERROR(1/CALCULATIONS!W99,0)</f>
        <v>0.9433962264</v>
      </c>
      <c r="H99" s="36" t="str">
        <f>CONCATENATE(CALCULATIONS!T99,CALCULATIONS!X99)</f>
        <v>SQ.M.per hour</v>
      </c>
      <c r="I99" s="39">
        <f>CALCULATIONS!U99*$I$2</f>
        <v>156.0902778</v>
      </c>
      <c r="J99" s="40" t="str">
        <f>CONCATENATE(CALCULATIONS!Y99,CALCULATIONS!T99)</f>
        <v>per SQ.M.</v>
      </c>
      <c r="K99" s="39">
        <f>CALCULATIONS!V99*$I$2</f>
        <v>78.04513889</v>
      </c>
      <c r="L99" s="40" t="str">
        <f>CONCATENATE(CALCULATIONS!Y99,CALCULATIONS!T99)</f>
        <v>per SQ.M.</v>
      </c>
      <c r="M99" s="39">
        <f>CALCULATIONS!W99*$I$2</f>
        <v>62.20138889</v>
      </c>
      <c r="N99" s="41" t="str">
        <f>CONCATENATE(CALCULATIONS!Y99,CALCULATIONS!T99)</f>
        <v>per SQ.M.</v>
      </c>
    </row>
    <row r="100" ht="12.75" customHeight="1">
      <c r="B100" s="44" t="s">
        <v>102</v>
      </c>
      <c r="C100" s="35">
        <f>IFERROR(1/CALCULATIONS!U100,0)</f>
        <v>0.25</v>
      </c>
      <c r="D100" s="36" t="str">
        <f>CONCATENATE(CALCULATIONS!T100,CALCULATIONS!X100)</f>
        <v>SQ.M.per hour</v>
      </c>
      <c r="E100" s="35">
        <f>IFERROR(1/CALCULATIONS!V100,0)</f>
        <v>0.5</v>
      </c>
      <c r="F100" s="37" t="str">
        <f>CONCATENATE(CALCULATIONS!T100,CALCULATIONS!X100)</f>
        <v>SQ.M.per hour</v>
      </c>
      <c r="G100" s="38">
        <f>IFERROR(1/CALCULATIONS!W100,0)</f>
        <v>0.625</v>
      </c>
      <c r="H100" s="36" t="str">
        <f>CONCATENATE(CALCULATIONS!T100,CALCULATIONS!X100)</f>
        <v>SQ.M.per hour</v>
      </c>
      <c r="I100" s="39">
        <f>CALCULATIONS!U100*$I$2</f>
        <v>234.7222222</v>
      </c>
      <c r="J100" s="40" t="str">
        <f>CONCATENATE(CALCULATIONS!Y100,CALCULATIONS!T100)</f>
        <v>per SQ.M.</v>
      </c>
      <c r="K100" s="39">
        <f>CALCULATIONS!V100*$I$2</f>
        <v>117.3611111</v>
      </c>
      <c r="L100" s="40" t="str">
        <f>CONCATENATE(CALCULATIONS!Y100,CALCULATIONS!T100)</f>
        <v>per SQ.M.</v>
      </c>
      <c r="M100" s="39">
        <f>CALCULATIONS!W100*$I$2</f>
        <v>93.88888889</v>
      </c>
      <c r="N100" s="41" t="str">
        <f>CONCATENATE(CALCULATIONS!Y100,CALCULATIONS!T100)</f>
        <v>per SQ.M.</v>
      </c>
    </row>
    <row r="101" ht="12.75" customHeight="1">
      <c r="B101" s="44" t="s">
        <v>103</v>
      </c>
      <c r="C101" s="35">
        <f>IFERROR(1/CALCULATIONS!U101,0)</f>
        <v>0.09380863039</v>
      </c>
      <c r="D101" s="36" t="str">
        <f>CONCATENATE(CALCULATIONS!T101,CALCULATIONS!X101)</f>
        <v>SQ.M.per hour</v>
      </c>
      <c r="E101" s="35">
        <f>IFERROR(1/CALCULATIONS!V101,0)</f>
        <v>0.1876172608</v>
      </c>
      <c r="F101" s="37" t="str">
        <f>CONCATENATE(CALCULATIONS!T101,CALCULATIONS!X101)</f>
        <v>SQ.M.per hour</v>
      </c>
      <c r="G101" s="38">
        <f>IFERROR(1/CALCULATIONS!W101,0)</f>
        <v>0.234741784</v>
      </c>
      <c r="H101" s="36" t="str">
        <f>CONCATENATE(CALCULATIONS!T101,CALCULATIONS!X101)</f>
        <v>SQ.M.per hour</v>
      </c>
      <c r="I101" s="39">
        <f>CALCULATIONS!U101*$I$2</f>
        <v>625.5347222</v>
      </c>
      <c r="J101" s="40" t="str">
        <f>CONCATENATE(CALCULATIONS!Y101,CALCULATIONS!T101)</f>
        <v>per SQ.M.</v>
      </c>
      <c r="K101" s="39">
        <f>CALCULATIONS!V101*$I$2</f>
        <v>312.7673611</v>
      </c>
      <c r="L101" s="40" t="str">
        <f>CONCATENATE(CALCULATIONS!Y101,CALCULATIONS!T101)</f>
        <v>per SQ.M.</v>
      </c>
      <c r="M101" s="39">
        <f>CALCULATIONS!W101*$I$2</f>
        <v>249.9791667</v>
      </c>
      <c r="N101" s="41" t="str">
        <f>CONCATENATE(CALCULATIONS!Y101,CALCULATIONS!T101)</f>
        <v>per SQ.M.</v>
      </c>
    </row>
    <row r="102" ht="12.75" customHeight="1">
      <c r="B102" s="44" t="s">
        <v>104</v>
      </c>
      <c r="C102" s="35">
        <f>IFERROR(1/CALCULATIONS!U102,0)</f>
        <v>0.0837520938</v>
      </c>
      <c r="D102" s="36" t="str">
        <f>CONCATENATE(CALCULATIONS!T102,CALCULATIONS!X102)</f>
        <v>SQ.M.per hour</v>
      </c>
      <c r="E102" s="35">
        <f>IFERROR(1/CALCULATIONS!V102,0)</f>
        <v>0.1675041876</v>
      </c>
      <c r="F102" s="37" t="str">
        <f>CONCATENATE(CALCULATIONS!T102,CALCULATIONS!X102)</f>
        <v>SQ.M.per hour</v>
      </c>
      <c r="G102" s="38">
        <f>IFERROR(1/CALCULATIONS!W102,0)</f>
        <v>0.2092050209</v>
      </c>
      <c r="H102" s="36" t="str">
        <f>CONCATENATE(CALCULATIONS!T102,CALCULATIONS!X102)</f>
        <v>SQ.M.per hour</v>
      </c>
      <c r="I102" s="39">
        <f>CALCULATIONS!U102*$I$2</f>
        <v>700.6458333</v>
      </c>
      <c r="J102" s="40" t="str">
        <f>CONCATENATE(CALCULATIONS!Y102,CALCULATIONS!T102)</f>
        <v>per SQ.M.</v>
      </c>
      <c r="K102" s="39">
        <f>CALCULATIONS!V102*$I$2</f>
        <v>350.3229167</v>
      </c>
      <c r="L102" s="40" t="str">
        <f>CONCATENATE(CALCULATIONS!Y102,CALCULATIONS!T102)</f>
        <v>per SQ.M.</v>
      </c>
      <c r="M102" s="39">
        <f>CALCULATIONS!W102*$I$2</f>
        <v>280.4930556</v>
      </c>
      <c r="N102" s="41" t="str">
        <f>CONCATENATE(CALCULATIONS!Y102,CALCULATIONS!T102)</f>
        <v>per SQ.M.</v>
      </c>
    </row>
    <row r="103" ht="12.75" customHeight="1">
      <c r="C103" s="35">
        <f>IFERROR(1/CALCULATIONS!U103,0)</f>
        <v>0</v>
      </c>
      <c r="D103" s="36" t="str">
        <f>CONCATENATE(CALCULATIONS!T103,CALCULATIONS!X103)</f>
        <v/>
      </c>
      <c r="E103" s="35">
        <f>IFERROR(1/CALCULATIONS!V103,0)</f>
        <v>0</v>
      </c>
      <c r="F103" s="37" t="str">
        <f>CONCATENATE(CALCULATIONS!T103,CALCULATIONS!X103)</f>
        <v/>
      </c>
      <c r="G103" s="38">
        <f>IFERROR(1/CALCULATIONS!W103,0)</f>
        <v>0</v>
      </c>
      <c r="H103" s="36" t="str">
        <f>CONCATENATE(CALCULATIONS!T103,CALCULATIONS!X103)</f>
        <v/>
      </c>
      <c r="I103" s="39">
        <f>CALCULATIONS!U103*$I$2</f>
        <v>0</v>
      </c>
      <c r="J103" s="40" t="str">
        <f>CONCATENATE(CALCULATIONS!Y103,CALCULATIONS!T103)</f>
        <v/>
      </c>
      <c r="K103" s="39">
        <f>CALCULATIONS!V103*$I$2</f>
        <v>0</v>
      </c>
      <c r="L103" s="40" t="str">
        <f>CONCATENATE(CALCULATIONS!Y103,CALCULATIONS!T103)</f>
        <v/>
      </c>
      <c r="M103" s="39">
        <f>CALCULATIONS!W103*$I$2</f>
        <v>0</v>
      </c>
      <c r="N103" s="41" t="str">
        <f>CONCATENATE(CALCULATIONS!Y103,CALCULATIONS!T103)</f>
        <v/>
      </c>
    </row>
    <row r="104" ht="12.75" customHeight="1">
      <c r="A104" s="45" t="s">
        <v>105</v>
      </c>
      <c r="B104" s="46" t="s">
        <v>106</v>
      </c>
      <c r="C104" s="35">
        <f>IFERROR(1/CALCULATIONS!U104,0)</f>
        <v>0</v>
      </c>
      <c r="D104" s="36" t="str">
        <f>CONCATENATE(CALCULATIONS!T104,CALCULATIONS!X104)</f>
        <v/>
      </c>
      <c r="E104" s="35">
        <f>IFERROR(1/CALCULATIONS!V104,0)</f>
        <v>0</v>
      </c>
      <c r="F104" s="37" t="str">
        <f>CONCATENATE(CALCULATIONS!T104,CALCULATIONS!X104)</f>
        <v/>
      </c>
      <c r="G104" s="38">
        <f>IFERROR(1/CALCULATIONS!W104,0)</f>
        <v>0</v>
      </c>
      <c r="H104" s="36" t="str">
        <f>CONCATENATE(CALCULATIONS!T104,CALCULATIONS!X104)</f>
        <v/>
      </c>
      <c r="I104" s="39">
        <f>CALCULATIONS!U104*$I$2</f>
        <v>0</v>
      </c>
      <c r="J104" s="40" t="str">
        <f>CONCATENATE(CALCULATIONS!Y104,CALCULATIONS!T104)</f>
        <v/>
      </c>
      <c r="K104" s="39">
        <f>CALCULATIONS!V104*$I$2</f>
        <v>0</v>
      </c>
      <c r="L104" s="40" t="str">
        <f>CONCATENATE(CALCULATIONS!Y104,CALCULATIONS!T104)</f>
        <v/>
      </c>
      <c r="M104" s="39">
        <f>CALCULATIONS!W104*$I$2</f>
        <v>0</v>
      </c>
      <c r="N104" s="41" t="str">
        <f>CONCATENATE(CALCULATIONS!Y104,CALCULATIONS!T104)</f>
        <v/>
      </c>
    </row>
    <row r="105" ht="12.75" customHeight="1">
      <c r="B105" s="44" t="s">
        <v>107</v>
      </c>
      <c r="C105" s="35">
        <f>IFERROR(1/CALCULATIONS!U105,0)</f>
        <v>0</v>
      </c>
      <c r="D105" s="36" t="str">
        <f>CONCATENATE(CALCULATIONS!T105,CALCULATIONS!X105)</f>
        <v/>
      </c>
      <c r="E105" s="35">
        <f>IFERROR(1/CALCULATIONS!V105,0)</f>
        <v>0</v>
      </c>
      <c r="F105" s="37" t="str">
        <f>CONCATENATE(CALCULATIONS!T105,CALCULATIONS!X105)</f>
        <v/>
      </c>
      <c r="G105" s="38">
        <f>IFERROR(1/CALCULATIONS!W105,0)</f>
        <v>0</v>
      </c>
      <c r="H105" s="36" t="str">
        <f>CONCATENATE(CALCULATIONS!T105,CALCULATIONS!X105)</f>
        <v/>
      </c>
      <c r="I105" s="39">
        <f>CALCULATIONS!U105*$I$2</f>
        <v>0</v>
      </c>
      <c r="J105" s="40" t="str">
        <f>CONCATENATE(CALCULATIONS!Y105,CALCULATIONS!T105)</f>
        <v/>
      </c>
      <c r="K105" s="39">
        <f>CALCULATIONS!V105*$I$2</f>
        <v>0</v>
      </c>
      <c r="L105" s="40" t="str">
        <f>CONCATENATE(CALCULATIONS!Y105,CALCULATIONS!T105)</f>
        <v/>
      </c>
      <c r="M105" s="39">
        <f>CALCULATIONS!W105*$I$2</f>
        <v>0</v>
      </c>
      <c r="N105" s="41" t="str">
        <f>CONCATENATE(CALCULATIONS!Y105,CALCULATIONS!T105)</f>
        <v/>
      </c>
    </row>
    <row r="106" ht="12.75" customHeight="1">
      <c r="B106" s="44" t="s">
        <v>108</v>
      </c>
      <c r="C106" s="35">
        <f>IFERROR(1/CALCULATIONS!U106,0)</f>
        <v>0.462962963</v>
      </c>
      <c r="D106" s="36" t="str">
        <f>CONCATENATE(CALCULATIONS!T106,CALCULATIONS!X106)</f>
        <v>SQ.M.per hour</v>
      </c>
      <c r="E106" s="35">
        <f>IFERROR(1/CALCULATIONS!V106,0)</f>
        <v>0.9259259259</v>
      </c>
      <c r="F106" s="37" t="str">
        <f>CONCATENATE(CALCULATIONS!T106,CALCULATIONS!X106)</f>
        <v>SQ.M.per hour</v>
      </c>
      <c r="G106" s="38">
        <f>IFERROR(1/CALCULATIONS!W106,0)</f>
        <v>1.162790698</v>
      </c>
      <c r="H106" s="36" t="str">
        <f>CONCATENATE(CALCULATIONS!T106,CALCULATIONS!X106)</f>
        <v>SQ.M.per hour</v>
      </c>
      <c r="I106" s="39">
        <f>CALCULATIONS!U106*$I$2</f>
        <v>126.75</v>
      </c>
      <c r="J106" s="40" t="str">
        <f>CONCATENATE(CALCULATIONS!Y106,CALCULATIONS!T106)</f>
        <v>per SQ.M.</v>
      </c>
      <c r="K106" s="39">
        <f>CALCULATIONS!V106*$I$2</f>
        <v>63.375</v>
      </c>
      <c r="L106" s="40" t="str">
        <f>CONCATENATE(CALCULATIONS!Y106,CALCULATIONS!T106)</f>
        <v>per SQ.M.</v>
      </c>
      <c r="M106" s="39">
        <f>CALCULATIONS!W106*$I$2</f>
        <v>50.46527778</v>
      </c>
      <c r="N106" s="41" t="str">
        <f>CONCATENATE(CALCULATIONS!Y106,CALCULATIONS!T106)</f>
        <v>per SQ.M.</v>
      </c>
    </row>
    <row r="107" ht="12.75" customHeight="1">
      <c r="B107" s="44" t="s">
        <v>109</v>
      </c>
      <c r="C107" s="35">
        <f>IFERROR(1/CALCULATIONS!U107,0)</f>
        <v>0.1633986928</v>
      </c>
      <c r="D107" s="36" t="str">
        <f>CONCATENATE(CALCULATIONS!T107,CALCULATIONS!X107)</f>
        <v>SQ.M.per hour</v>
      </c>
      <c r="E107" s="35">
        <f>IFERROR(1/CALCULATIONS!V107,0)</f>
        <v>0.3267973856</v>
      </c>
      <c r="F107" s="37" t="str">
        <f>CONCATENATE(CALCULATIONS!T107,CALCULATIONS!X107)</f>
        <v>SQ.M.per hour</v>
      </c>
      <c r="G107" s="38">
        <f>IFERROR(1/CALCULATIONS!W107,0)</f>
        <v>0.4081632653</v>
      </c>
      <c r="H107" s="36" t="str">
        <f>CONCATENATE(CALCULATIONS!T107,CALCULATIONS!X107)</f>
        <v>SQ.M.per hour</v>
      </c>
      <c r="I107" s="39">
        <f>CALCULATIONS!U107*$I$2</f>
        <v>359.125</v>
      </c>
      <c r="J107" s="40" t="str">
        <f>CONCATENATE(CALCULATIONS!Y107,CALCULATIONS!T107)</f>
        <v>per SQ.M.</v>
      </c>
      <c r="K107" s="39">
        <f>CALCULATIONS!V107*$I$2</f>
        <v>179.5625</v>
      </c>
      <c r="L107" s="40" t="str">
        <f>CONCATENATE(CALCULATIONS!Y107,CALCULATIONS!T107)</f>
        <v>per SQ.M.</v>
      </c>
      <c r="M107" s="39">
        <f>CALCULATIONS!W107*$I$2</f>
        <v>143.7673611</v>
      </c>
      <c r="N107" s="41" t="str">
        <f>CONCATENATE(CALCULATIONS!Y107,CALCULATIONS!T107)</f>
        <v>per SQ.M.</v>
      </c>
    </row>
    <row r="108" ht="12.75" customHeight="1">
      <c r="B108" s="44" t="s">
        <v>110</v>
      </c>
      <c r="C108" s="35">
        <f>IFERROR(1/CALCULATIONS!U108,0)</f>
        <v>0.5</v>
      </c>
      <c r="D108" s="36" t="str">
        <f>CONCATENATE(CALCULATIONS!T108,CALCULATIONS!X108)</f>
        <v>SHT.per hour</v>
      </c>
      <c r="E108" s="35">
        <f>IFERROR(1/CALCULATIONS!V108,0)</f>
        <v>1</v>
      </c>
      <c r="F108" s="37" t="str">
        <f>CONCATENATE(CALCULATIONS!T108,CALCULATIONS!X108)</f>
        <v>SHT.per hour</v>
      </c>
      <c r="G108" s="38">
        <f>IFERROR(1/CALCULATIONS!W108,0)</f>
        <v>1.25</v>
      </c>
      <c r="H108" s="36" t="str">
        <f>CONCATENATE(CALCULATIONS!T108,CALCULATIONS!X108)</f>
        <v>SHT.per hour</v>
      </c>
      <c r="I108" s="39">
        <f>CALCULATIONS!U108*$I$2</f>
        <v>117.3611111</v>
      </c>
      <c r="J108" s="40" t="str">
        <f>CONCATENATE(CALCULATIONS!Y108,CALCULATIONS!T108)</f>
        <v>per SHT.</v>
      </c>
      <c r="K108" s="39">
        <f>CALCULATIONS!V108*$I$2</f>
        <v>58.68055556</v>
      </c>
      <c r="L108" s="40" t="str">
        <f>CONCATENATE(CALCULATIONS!Y108,CALCULATIONS!T108)</f>
        <v>per SHT.</v>
      </c>
      <c r="M108" s="39">
        <f>CALCULATIONS!W108*$I$2</f>
        <v>46.94444444</v>
      </c>
      <c r="N108" s="41" t="str">
        <f>CONCATENATE(CALCULATIONS!Y108,CALCULATIONS!T108)</f>
        <v>per SHT.</v>
      </c>
    </row>
    <row r="109" ht="12.75" customHeight="1">
      <c r="B109" s="44" t="s">
        <v>111</v>
      </c>
      <c r="C109" s="35">
        <f>IFERROR(1/CALCULATIONS!U109,0)</f>
        <v>0.625</v>
      </c>
      <c r="D109" s="36" t="str">
        <f>CONCATENATE(CALCULATIONS!T109,CALCULATIONS!X109)</f>
        <v>SHT.per hour</v>
      </c>
      <c r="E109" s="35">
        <f>IFERROR(1/CALCULATIONS!V109,0)</f>
        <v>0.1020408163</v>
      </c>
      <c r="F109" s="37" t="str">
        <f>CONCATENATE(CALCULATIONS!T109,CALCULATIONS!X109)</f>
        <v>SHT.per hour</v>
      </c>
      <c r="G109" s="38">
        <f>IFERROR(1/CALCULATIONS!W109,0)</f>
        <v>1.5625</v>
      </c>
      <c r="H109" s="36" t="str">
        <f>CONCATENATE(CALCULATIONS!T109,CALCULATIONS!X109)</f>
        <v>SHT.per hour</v>
      </c>
      <c r="I109" s="39">
        <f>CALCULATIONS!U109*$I$2</f>
        <v>93.88888889</v>
      </c>
      <c r="J109" s="40" t="str">
        <f>CONCATENATE(CALCULATIONS!Y109,CALCULATIONS!T109)</f>
        <v>per SHT.</v>
      </c>
      <c r="K109" s="39">
        <f>CALCULATIONS!V109*$I$2</f>
        <v>575.0694444</v>
      </c>
      <c r="L109" s="40" t="str">
        <f>CONCATENATE(CALCULATIONS!Y109,CALCULATIONS!T109)</f>
        <v>per SHT.</v>
      </c>
      <c r="M109" s="39">
        <f>CALCULATIONS!W109*$I$2</f>
        <v>37.55555556</v>
      </c>
      <c r="N109" s="41" t="str">
        <f>CONCATENATE(CALCULATIONS!Y109,CALCULATIONS!T109)</f>
        <v>per SHT.</v>
      </c>
    </row>
    <row r="110" ht="12.75" customHeight="1">
      <c r="B110" s="44" t="s">
        <v>112</v>
      </c>
      <c r="C110" s="35">
        <f>IFERROR(1/CALCULATIONS!U110,0)</f>
        <v>0.9900990099</v>
      </c>
      <c r="D110" s="36" t="str">
        <f>CONCATENATE(CALCULATIONS!T110,CALCULATIONS!X110)</f>
        <v>L.M.per hour</v>
      </c>
      <c r="E110" s="35">
        <f>IFERROR(1/CALCULATIONS!V110,0)</f>
        <v>1.960784314</v>
      </c>
      <c r="F110" s="37" t="str">
        <f>CONCATENATE(CALCULATIONS!T110,CALCULATIONS!X110)</f>
        <v>L.M.per hour</v>
      </c>
      <c r="G110" s="38">
        <f>IFERROR(1/CALCULATIONS!W110,0)</f>
        <v>2.5</v>
      </c>
      <c r="H110" s="36" t="str">
        <f>CONCATENATE(CALCULATIONS!T110,CALCULATIONS!X110)</f>
        <v>L.M.per hour</v>
      </c>
      <c r="I110" s="39">
        <f>CALCULATIONS!U110*$I$2</f>
        <v>59.26736111</v>
      </c>
      <c r="J110" s="40" t="str">
        <f>CONCATENATE(CALCULATIONS!Y110,CALCULATIONS!T110)</f>
        <v>per L.M.</v>
      </c>
      <c r="K110" s="39">
        <f>CALCULATIONS!V110*$I$2</f>
        <v>29.92708333</v>
      </c>
      <c r="L110" s="40" t="str">
        <f>CONCATENATE(CALCULATIONS!Y110,CALCULATIONS!T110)</f>
        <v>per L.M.</v>
      </c>
      <c r="M110" s="39">
        <f>CALCULATIONS!W110*$I$2</f>
        <v>23.47222222</v>
      </c>
      <c r="N110" s="41" t="str">
        <f>CONCATENATE(CALCULATIONS!Y110,CALCULATIONS!T110)</f>
        <v>per L.M.</v>
      </c>
    </row>
    <row r="111" ht="12.75" customHeight="1">
      <c r="B111" s="44" t="s">
        <v>113</v>
      </c>
      <c r="C111" s="35">
        <f>IFERROR(1/CALCULATIONS!U111,0)</f>
        <v>0.144092219</v>
      </c>
      <c r="D111" s="36" t="str">
        <f>CONCATENATE(CALCULATIONS!T111,CALCULATIONS!X111)</f>
        <v>SHT.per hour</v>
      </c>
      <c r="E111" s="35">
        <f>IFERROR(1/CALCULATIONS!V111,0)</f>
        <v>0.288184438</v>
      </c>
      <c r="F111" s="37" t="str">
        <f>CONCATENATE(CALCULATIONS!T111,CALCULATIONS!X111)</f>
        <v>SHT.per hour</v>
      </c>
      <c r="G111" s="38">
        <f>IFERROR(1/CALCULATIONS!W111,0)</f>
        <v>0.3597122302</v>
      </c>
      <c r="H111" s="36" t="str">
        <f>CONCATENATE(CALCULATIONS!T111,CALCULATIONS!X111)</f>
        <v>SHT.per hour</v>
      </c>
      <c r="I111" s="39">
        <f>CALCULATIONS!U111*$I$2</f>
        <v>407.2430556</v>
      </c>
      <c r="J111" s="40" t="str">
        <f>CONCATENATE(CALCULATIONS!Y111,CALCULATIONS!T111)</f>
        <v>per SHT.</v>
      </c>
      <c r="K111" s="39">
        <f>CALCULATIONS!V111*$I$2</f>
        <v>203.6215278</v>
      </c>
      <c r="L111" s="40" t="str">
        <f>CONCATENATE(CALCULATIONS!Y111,CALCULATIONS!T111)</f>
        <v>per SHT.</v>
      </c>
      <c r="M111" s="39">
        <f>CALCULATIONS!W111*$I$2</f>
        <v>163.1319444</v>
      </c>
      <c r="N111" s="41" t="str">
        <f>CONCATENATE(CALCULATIONS!Y111,CALCULATIONS!T111)</f>
        <v>per SHT.</v>
      </c>
    </row>
    <row r="112" ht="12.75" customHeight="1">
      <c r="B112" s="44" t="s">
        <v>114</v>
      </c>
      <c r="C112" s="35">
        <f>IFERROR(1/CALCULATIONS!U112,0)</f>
        <v>0.6097560976</v>
      </c>
      <c r="D112" s="36" t="str">
        <f>CONCATENATE(CALCULATIONS!T112,CALCULATIONS!X112)</f>
        <v>SHT.per hour</v>
      </c>
      <c r="E112" s="35">
        <f>IFERROR(1/CALCULATIONS!V112,0)</f>
        <v>1.219512195</v>
      </c>
      <c r="F112" s="37" t="str">
        <f>CONCATENATE(CALCULATIONS!T112,CALCULATIONS!X112)</f>
        <v>SHT.per hour</v>
      </c>
      <c r="G112" s="38">
        <f>IFERROR(1/CALCULATIONS!W112,0)</f>
        <v>1.515151515</v>
      </c>
      <c r="H112" s="36" t="str">
        <f>CONCATENATE(CALCULATIONS!T112,CALCULATIONS!X112)</f>
        <v>SHT.per hour</v>
      </c>
      <c r="I112" s="39">
        <f>CALCULATIONS!U112*$I$2</f>
        <v>96.23611111</v>
      </c>
      <c r="J112" s="40" t="str">
        <f>CONCATENATE(CALCULATIONS!Y112,CALCULATIONS!T112)</f>
        <v>per SHT.</v>
      </c>
      <c r="K112" s="39">
        <f>CALCULATIONS!V112*$I$2</f>
        <v>48.11805556</v>
      </c>
      <c r="L112" s="40" t="str">
        <f>CONCATENATE(CALCULATIONS!Y112,CALCULATIONS!T112)</f>
        <v>per SHT.</v>
      </c>
      <c r="M112" s="39">
        <f>CALCULATIONS!W112*$I$2</f>
        <v>38.72916667</v>
      </c>
      <c r="N112" s="41" t="str">
        <f>CONCATENATE(CALCULATIONS!Y112,CALCULATIONS!T112)</f>
        <v>per SHT.</v>
      </c>
    </row>
    <row r="113" ht="12.75" customHeight="1">
      <c r="B113" s="44" t="s">
        <v>115</v>
      </c>
      <c r="C113" s="35">
        <f>IFERROR(1/CALCULATIONS!U113,0)</f>
        <v>0.9523809524</v>
      </c>
      <c r="D113" s="36" t="str">
        <f>CONCATENATE(CALCULATIONS!T113,CALCULATIONS!X113)</f>
        <v>L.M.per hour</v>
      </c>
      <c r="E113" s="35">
        <f>IFERROR(1/CALCULATIONS!V113,0)</f>
        <v>1.886792453</v>
      </c>
      <c r="F113" s="37" t="str">
        <f>CONCATENATE(CALCULATIONS!T113,CALCULATIONS!X113)</f>
        <v>L.M.per hour</v>
      </c>
      <c r="G113" s="38">
        <f>IFERROR(1/CALCULATIONS!W113,0)</f>
        <v>2.380952381</v>
      </c>
      <c r="H113" s="36" t="str">
        <f>CONCATENATE(CALCULATIONS!T113,CALCULATIONS!X113)</f>
        <v>L.M.per hour</v>
      </c>
      <c r="I113" s="39">
        <f>CALCULATIONS!U113*$I$2</f>
        <v>61.61458333</v>
      </c>
      <c r="J113" s="40" t="str">
        <f>CONCATENATE(CALCULATIONS!Y113,CALCULATIONS!T113)</f>
        <v>per L.M.</v>
      </c>
      <c r="K113" s="39">
        <f>CALCULATIONS!V113*$I$2</f>
        <v>31.10069444</v>
      </c>
      <c r="L113" s="40" t="str">
        <f>CONCATENATE(CALCULATIONS!Y113,CALCULATIONS!T113)</f>
        <v>per L.M.</v>
      </c>
      <c r="M113" s="39">
        <f>CALCULATIONS!W113*$I$2</f>
        <v>24.64583333</v>
      </c>
      <c r="N113" s="41" t="str">
        <f>CONCATENATE(CALCULATIONS!Y113,CALCULATIONS!T113)</f>
        <v>per L.M.</v>
      </c>
    </row>
    <row r="114" ht="12.75" customHeight="1">
      <c r="B114" s="44" t="s">
        <v>116</v>
      </c>
      <c r="C114" s="35">
        <f>IFERROR(1/CALCULATIONS!U114,0)</f>
        <v>0.5154639175</v>
      </c>
      <c r="D114" s="36" t="str">
        <f>CONCATENATE(CALCULATIONS!T114,CALCULATIONS!X114)</f>
        <v>L.M.per hour</v>
      </c>
      <c r="E114" s="35">
        <f>IFERROR(1/CALCULATIONS!V114,0)</f>
        <v>1.030927835</v>
      </c>
      <c r="F114" s="37" t="str">
        <f>CONCATENATE(CALCULATIONS!T114,CALCULATIONS!X114)</f>
        <v>L.M.per hour</v>
      </c>
      <c r="G114" s="38">
        <f>IFERROR(1/CALCULATIONS!W114,0)</f>
        <v>0.5617977528</v>
      </c>
      <c r="H114" s="36" t="str">
        <f>CONCATENATE(CALCULATIONS!T114,CALCULATIONS!X114)</f>
        <v>L.M.per hour</v>
      </c>
      <c r="I114" s="39">
        <f>CALCULATIONS!U114*$I$2</f>
        <v>113.8402778</v>
      </c>
      <c r="J114" s="40" t="str">
        <f>CONCATENATE(CALCULATIONS!Y114,CALCULATIONS!T114)</f>
        <v>per L.M.</v>
      </c>
      <c r="K114" s="39">
        <f>CALCULATIONS!V114*$I$2</f>
        <v>56.92013889</v>
      </c>
      <c r="L114" s="40" t="str">
        <f>CONCATENATE(CALCULATIONS!Y114,CALCULATIONS!T114)</f>
        <v>per L.M.</v>
      </c>
      <c r="M114" s="39">
        <f>CALCULATIONS!W114*$I$2</f>
        <v>104.4513889</v>
      </c>
      <c r="N114" s="41" t="str">
        <f>CONCATENATE(CALCULATIONS!Y114,CALCULATIONS!T114)</f>
        <v>per L.M.</v>
      </c>
    </row>
    <row r="115" ht="12.75" customHeight="1">
      <c r="B115" s="44" t="s">
        <v>117</v>
      </c>
      <c r="C115" s="35">
        <f>IFERROR(1/CALCULATIONS!U115,0)</f>
        <v>3.125</v>
      </c>
      <c r="D115" s="36" t="str">
        <f>CONCATENATE(CALCULATIONS!T115,CALCULATIONS!X115)</f>
        <v>L.M.per hour</v>
      </c>
      <c r="E115" s="35">
        <f>IFERROR(1/CALCULATIONS!V115,0)</f>
        <v>6.25</v>
      </c>
      <c r="F115" s="37" t="str">
        <f>CONCATENATE(CALCULATIONS!T115,CALCULATIONS!X115)</f>
        <v>L.M.per hour</v>
      </c>
      <c r="G115" s="38">
        <f>IFERROR(1/CALCULATIONS!W115,0)</f>
        <v>7.692307692</v>
      </c>
      <c r="H115" s="36" t="str">
        <f>CONCATENATE(CALCULATIONS!T115,CALCULATIONS!X115)</f>
        <v>L.M.per hour</v>
      </c>
      <c r="I115" s="39">
        <f>CALCULATIONS!U115*$I$2</f>
        <v>18.77777778</v>
      </c>
      <c r="J115" s="40" t="str">
        <f>CONCATENATE(CALCULATIONS!Y115,CALCULATIONS!T115)</f>
        <v>per L.M.</v>
      </c>
      <c r="K115" s="39">
        <f>CALCULATIONS!V115*$I$2</f>
        <v>9.388888889</v>
      </c>
      <c r="L115" s="40" t="str">
        <f>CONCATENATE(CALCULATIONS!Y115,CALCULATIONS!T115)</f>
        <v>per L.M.</v>
      </c>
      <c r="M115" s="39">
        <f>CALCULATIONS!W115*$I$2</f>
        <v>7.628472222</v>
      </c>
      <c r="N115" s="41" t="str">
        <f>CONCATENATE(CALCULATIONS!Y115,CALCULATIONS!T115)</f>
        <v>per L.M.</v>
      </c>
    </row>
    <row r="116" ht="12.75" customHeight="1">
      <c r="B116" s="44" t="s">
        <v>118</v>
      </c>
      <c r="C116" s="35">
        <f>IFERROR(1/CALCULATIONS!U116,0)</f>
        <v>0.5617977528</v>
      </c>
      <c r="D116" s="36" t="str">
        <f>CONCATENATE(CALCULATIONS!T116,CALCULATIONS!X116)</f>
        <v>L.M.per hour</v>
      </c>
      <c r="E116" s="35">
        <f>IFERROR(1/CALCULATIONS!V116,0)</f>
        <v>0.1111111111</v>
      </c>
      <c r="F116" s="37" t="str">
        <f>CONCATENATE(CALCULATIONS!T116,CALCULATIONS!X116)</f>
        <v>L.M.per hour</v>
      </c>
      <c r="G116" s="38">
        <f>IFERROR(1/CALCULATIONS!W116,0)</f>
        <v>1.408450704</v>
      </c>
      <c r="H116" s="36" t="str">
        <f>CONCATENATE(CALCULATIONS!T116,CALCULATIONS!X116)</f>
        <v>L.M.per hour</v>
      </c>
      <c r="I116" s="39">
        <f>CALCULATIONS!U116*$I$2</f>
        <v>104.4513889</v>
      </c>
      <c r="J116" s="40" t="str">
        <f>CONCATENATE(CALCULATIONS!Y116,CALCULATIONS!T116)</f>
        <v>per L.M.</v>
      </c>
      <c r="K116" s="39">
        <f>CALCULATIONS!V116*$I$2</f>
        <v>528.125</v>
      </c>
      <c r="L116" s="40" t="str">
        <f>CONCATENATE(CALCULATIONS!Y116,CALCULATIONS!T116)</f>
        <v>per L.M.</v>
      </c>
      <c r="M116" s="39">
        <f>CALCULATIONS!W116*$I$2</f>
        <v>41.66319444</v>
      </c>
      <c r="N116" s="41" t="str">
        <f>CONCATENATE(CALCULATIONS!Y116,CALCULATIONS!T116)</f>
        <v>per L.M.</v>
      </c>
    </row>
    <row r="117" ht="12.75" customHeight="1">
      <c r="B117" s="44" t="s">
        <v>119</v>
      </c>
      <c r="C117" s="35">
        <f>IFERROR(1/CALCULATIONS!U117,0)</f>
        <v>1.694915254</v>
      </c>
      <c r="D117" s="36" t="str">
        <f>CONCATENATE(CALCULATIONS!T117,CALCULATIONS!X117)</f>
        <v>L.M.per hour</v>
      </c>
      <c r="E117" s="35">
        <f>IFERROR(1/CALCULATIONS!V117,0)</f>
        <v>3.333333333</v>
      </c>
      <c r="F117" s="37" t="str">
        <f>CONCATENATE(CALCULATIONS!T117,CALCULATIONS!X117)</f>
        <v>L.M.per hour</v>
      </c>
      <c r="G117" s="38">
        <f>IFERROR(1/CALCULATIONS!W117,0)</f>
        <v>4.166666667</v>
      </c>
      <c r="H117" s="36" t="str">
        <f>CONCATENATE(CALCULATIONS!T117,CALCULATIONS!X117)</f>
        <v>L.M.per hour</v>
      </c>
      <c r="I117" s="39">
        <f>CALCULATIONS!U117*$I$2</f>
        <v>34.62152778</v>
      </c>
      <c r="J117" s="40" t="str">
        <f>CONCATENATE(CALCULATIONS!Y117,CALCULATIONS!T117)</f>
        <v>per L.M.</v>
      </c>
      <c r="K117" s="39">
        <f>CALCULATIONS!V117*$I$2</f>
        <v>17.60416667</v>
      </c>
      <c r="L117" s="40" t="str">
        <f>CONCATENATE(CALCULATIONS!Y117,CALCULATIONS!T117)</f>
        <v>per L.M.</v>
      </c>
      <c r="M117" s="39">
        <f>CALCULATIONS!W117*$I$2</f>
        <v>14.08333333</v>
      </c>
      <c r="N117" s="41" t="str">
        <f>CONCATENATE(CALCULATIONS!Y117,CALCULATIONS!T117)</f>
        <v>per L.M.</v>
      </c>
    </row>
    <row r="118" ht="12.75" customHeight="1">
      <c r="B118" s="44" t="s">
        <v>120</v>
      </c>
      <c r="C118" s="35">
        <f>IFERROR(1/CALCULATIONS!U118,0)</f>
        <v>3.703703704</v>
      </c>
      <c r="D118" s="36" t="str">
        <f>CONCATENATE(CALCULATIONS!T118,CALCULATIONS!X118)</f>
        <v>L.M.per hour</v>
      </c>
      <c r="E118" s="35">
        <f>IFERROR(1/CALCULATIONS!V118,0)</f>
        <v>7.692307692</v>
      </c>
      <c r="F118" s="37" t="str">
        <f>CONCATENATE(CALCULATIONS!T118,CALCULATIONS!X118)</f>
        <v>L.M.per hour</v>
      </c>
      <c r="G118" s="38">
        <f>IFERROR(1/CALCULATIONS!W118,0)</f>
        <v>9.090909091</v>
      </c>
      <c r="H118" s="36" t="str">
        <f>CONCATENATE(CALCULATIONS!T118,CALCULATIONS!X118)</f>
        <v>L.M.per hour</v>
      </c>
      <c r="I118" s="39">
        <f>CALCULATIONS!U118*$I$2</f>
        <v>15.84375</v>
      </c>
      <c r="J118" s="40" t="str">
        <f>CONCATENATE(CALCULATIONS!Y118,CALCULATIONS!T118)</f>
        <v>per L.M.</v>
      </c>
      <c r="K118" s="39">
        <f>CALCULATIONS!V118*$I$2</f>
        <v>7.628472222</v>
      </c>
      <c r="L118" s="40" t="str">
        <f>CONCATENATE(CALCULATIONS!Y118,CALCULATIONS!T118)</f>
        <v>per L.M.</v>
      </c>
      <c r="M118" s="39">
        <f>CALCULATIONS!W118*$I$2</f>
        <v>6.454861111</v>
      </c>
      <c r="N118" s="41" t="str">
        <f>CONCATENATE(CALCULATIONS!Y118,CALCULATIONS!T118)</f>
        <v>per L.M.</v>
      </c>
    </row>
    <row r="119" ht="12.75" customHeight="1">
      <c r="B119" s="44" t="s">
        <v>121</v>
      </c>
      <c r="C119" s="35">
        <f>IFERROR(1/CALCULATIONS!U119,0)</f>
        <v>0.2777777778</v>
      </c>
      <c r="D119" s="36" t="str">
        <f>CONCATENATE(CALCULATIONS!T119,CALCULATIONS!X119)</f>
        <v>SQ.M.per hour</v>
      </c>
      <c r="E119" s="35">
        <f>IFERROR(1/CALCULATIONS!V119,0)</f>
        <v>0.5555555556</v>
      </c>
      <c r="F119" s="37" t="str">
        <f>CONCATENATE(CALCULATIONS!T119,CALCULATIONS!X119)</f>
        <v>SQ.M.per hour</v>
      </c>
      <c r="G119" s="38">
        <f>IFERROR(1/CALCULATIONS!W119,0)</f>
        <v>0.6944444444</v>
      </c>
      <c r="H119" s="36" t="str">
        <f>CONCATENATE(CALCULATIONS!T119,CALCULATIONS!X119)</f>
        <v>SQ.M.per hour</v>
      </c>
      <c r="I119" s="39">
        <f>CALCULATIONS!U119*$I$2</f>
        <v>211.25</v>
      </c>
      <c r="J119" s="40" t="str">
        <f>CONCATENATE(CALCULATIONS!Y119,CALCULATIONS!T119)</f>
        <v>per SQ.M.</v>
      </c>
      <c r="K119" s="39">
        <f>CALCULATIONS!V119*$I$2</f>
        <v>105.625</v>
      </c>
      <c r="L119" s="40" t="str">
        <f>CONCATENATE(CALCULATIONS!Y119,CALCULATIONS!T119)</f>
        <v>per SQ.M.</v>
      </c>
      <c r="M119" s="39">
        <f>CALCULATIONS!W119*$I$2</f>
        <v>84.5</v>
      </c>
      <c r="N119" s="41" t="str">
        <f>CONCATENATE(CALCULATIONS!Y119,CALCULATIONS!T119)</f>
        <v>per SQ.M.</v>
      </c>
    </row>
    <row r="120" ht="12.75" customHeight="1">
      <c r="B120" s="44" t="s">
        <v>122</v>
      </c>
      <c r="C120" s="35">
        <f>IFERROR(1/CALCULATIONS!U120,0)</f>
        <v>0.2777777778</v>
      </c>
      <c r="D120" s="36" t="str">
        <f>CONCATENATE(CALCULATIONS!T120,CALCULATIONS!X120)</f>
        <v>SQ.M.per hour</v>
      </c>
      <c r="E120" s="35">
        <f>IFERROR(1/CALCULATIONS!V120,0)</f>
        <v>0.5555555556</v>
      </c>
      <c r="F120" s="37" t="str">
        <f>CONCATENATE(CALCULATIONS!T120,CALCULATIONS!X120)</f>
        <v>SQ.M.per hour</v>
      </c>
      <c r="G120" s="38">
        <f>IFERROR(1/CALCULATIONS!W120,0)</f>
        <v>0.6944444444</v>
      </c>
      <c r="H120" s="36" t="str">
        <f>CONCATENATE(CALCULATIONS!T120,CALCULATIONS!X120)</f>
        <v>SQ.M.per hour</v>
      </c>
      <c r="I120" s="39">
        <f>CALCULATIONS!U120*$I$2</f>
        <v>211.25</v>
      </c>
      <c r="J120" s="40" t="str">
        <f>CONCATENATE(CALCULATIONS!Y120,CALCULATIONS!T120)</f>
        <v>per SQ.M.</v>
      </c>
      <c r="K120" s="39">
        <f>CALCULATIONS!V120*$I$2</f>
        <v>105.625</v>
      </c>
      <c r="L120" s="40" t="str">
        <f>CONCATENATE(CALCULATIONS!Y120,CALCULATIONS!T120)</f>
        <v>per SQ.M.</v>
      </c>
      <c r="M120" s="39">
        <f>CALCULATIONS!W120*$I$2</f>
        <v>84.5</v>
      </c>
      <c r="N120" s="41" t="str">
        <f>CONCATENATE(CALCULATIONS!Y120,CALCULATIONS!T120)</f>
        <v>per SQ.M.</v>
      </c>
    </row>
    <row r="121" ht="12.75" customHeight="1">
      <c r="B121" s="44" t="s">
        <v>123</v>
      </c>
      <c r="C121" s="35">
        <f>IFERROR(1/CALCULATIONS!U121,0)</f>
        <v>0.05882352941</v>
      </c>
      <c r="D121" s="36" t="str">
        <f>CONCATENATE(CALCULATIONS!T121,CALCULATIONS!X121)</f>
        <v>SQ.M.per hour</v>
      </c>
      <c r="E121" s="35">
        <f>IFERROR(1/CALCULATIONS!V121,0)</f>
        <v>0.1176470588</v>
      </c>
      <c r="F121" s="37" t="str">
        <f>CONCATENATE(CALCULATIONS!T121,CALCULATIONS!X121)</f>
        <v>SQ.M.per hour</v>
      </c>
      <c r="G121" s="38">
        <f>IFERROR(1/CALCULATIONS!W121,0)</f>
        <v>0.1470588235</v>
      </c>
      <c r="H121" s="36" t="str">
        <f>CONCATENATE(CALCULATIONS!T121,CALCULATIONS!X121)</f>
        <v>SQ.M.per hour</v>
      </c>
      <c r="I121" s="39">
        <f>CALCULATIONS!U121*$I$2</f>
        <v>997.5694444</v>
      </c>
      <c r="J121" s="40" t="str">
        <f>CONCATENATE(CALCULATIONS!Y121,CALCULATIONS!T121)</f>
        <v>per SQ.M.</v>
      </c>
      <c r="K121" s="39">
        <f>CALCULATIONS!V121*$I$2</f>
        <v>498.7847222</v>
      </c>
      <c r="L121" s="40" t="str">
        <f>CONCATENATE(CALCULATIONS!Y121,CALCULATIONS!T121)</f>
        <v>per SQ.M.</v>
      </c>
      <c r="M121" s="39">
        <f>CALCULATIONS!W121*$I$2</f>
        <v>399.0277778</v>
      </c>
      <c r="N121" s="41" t="str">
        <f>CONCATENATE(CALCULATIONS!Y121,CALCULATIONS!T121)</f>
        <v>per SQ.M.</v>
      </c>
    </row>
    <row r="122" ht="12.75" customHeight="1">
      <c r="B122" s="44" t="s">
        <v>124</v>
      </c>
      <c r="C122" s="35">
        <f>IFERROR(1/CALCULATIONS!U122,0)</f>
        <v>0.25</v>
      </c>
      <c r="D122" s="36" t="str">
        <f>CONCATENATE(CALCULATIONS!T122,CALCULATIONS!X122)</f>
        <v>SQ.M.per hour</v>
      </c>
      <c r="E122" s="35">
        <f>IFERROR(1/CALCULATIONS!V122,0)</f>
        <v>0.5</v>
      </c>
      <c r="F122" s="37" t="str">
        <f>CONCATENATE(CALCULATIONS!T122,CALCULATIONS!X122)</f>
        <v>SQ.M.per hour</v>
      </c>
      <c r="G122" s="38">
        <f>IFERROR(1/CALCULATIONS!W122,0)</f>
        <v>0.625</v>
      </c>
      <c r="H122" s="36" t="str">
        <f>CONCATENATE(CALCULATIONS!T122,CALCULATIONS!X122)</f>
        <v>SQ.M.per hour</v>
      </c>
      <c r="I122" s="39">
        <f>CALCULATIONS!U122*$I$2</f>
        <v>234.7222222</v>
      </c>
      <c r="J122" s="40" t="str">
        <f>CONCATENATE(CALCULATIONS!Y122,CALCULATIONS!T122)</f>
        <v>per SQ.M.</v>
      </c>
      <c r="K122" s="39">
        <f>CALCULATIONS!V122*$I$2</f>
        <v>117.3611111</v>
      </c>
      <c r="L122" s="40" t="str">
        <f>CONCATENATE(CALCULATIONS!Y122,CALCULATIONS!T122)</f>
        <v>per SQ.M.</v>
      </c>
      <c r="M122" s="39">
        <f>CALCULATIONS!W122*$I$2</f>
        <v>93.88888889</v>
      </c>
      <c r="N122" s="41" t="str">
        <f>CONCATENATE(CALCULATIONS!Y122,CALCULATIONS!T122)</f>
        <v>per SQ.M.</v>
      </c>
    </row>
    <row r="123" ht="12.75" customHeight="1">
      <c r="B123" s="44" t="s">
        <v>125</v>
      </c>
      <c r="C123" s="35">
        <f>IFERROR(1/CALCULATIONS!U123,0)</f>
        <v>0.2941176471</v>
      </c>
      <c r="D123" s="36" t="str">
        <f>CONCATENATE(CALCULATIONS!T123,CALCULATIONS!X123)</f>
        <v>SQ.M.per hour</v>
      </c>
      <c r="E123" s="35">
        <f>IFERROR(1/CALCULATIONS!V123,0)</f>
        <v>0.5882352941</v>
      </c>
      <c r="F123" s="37" t="str">
        <f>CONCATENATE(CALCULATIONS!T123,CALCULATIONS!X123)</f>
        <v>SQ.M.per hour</v>
      </c>
      <c r="G123" s="38">
        <f>IFERROR(1/CALCULATIONS!W123,0)</f>
        <v>0.7352941176</v>
      </c>
      <c r="H123" s="36" t="str">
        <f>CONCATENATE(CALCULATIONS!T123,CALCULATIONS!X123)</f>
        <v>SQ.M.per hour</v>
      </c>
      <c r="I123" s="39">
        <f>CALCULATIONS!U123*$I$2</f>
        <v>199.5138889</v>
      </c>
      <c r="J123" s="40" t="str">
        <f>CONCATENATE(CALCULATIONS!Y123,CALCULATIONS!T123)</f>
        <v>per SQ.M.</v>
      </c>
      <c r="K123" s="39">
        <f>CALCULATIONS!V123*$I$2</f>
        <v>99.75694444</v>
      </c>
      <c r="L123" s="40" t="str">
        <f>CONCATENATE(CALCULATIONS!Y123,CALCULATIONS!T123)</f>
        <v>per SQ.M.</v>
      </c>
      <c r="M123" s="39">
        <f>CALCULATIONS!W123*$I$2</f>
        <v>79.80555556</v>
      </c>
      <c r="N123" s="41" t="str">
        <f>CONCATENATE(CALCULATIONS!Y123,CALCULATIONS!T123)</f>
        <v>per SQ.M.</v>
      </c>
    </row>
    <row r="124" ht="12.75" customHeight="1">
      <c r="B124" s="44" t="s">
        <v>126</v>
      </c>
      <c r="C124" s="35">
        <f>IFERROR(1/CALCULATIONS!U124,0)</f>
        <v>0.8333333333</v>
      </c>
      <c r="D124" s="36" t="str">
        <f>CONCATENATE(CALCULATIONS!T124,CALCULATIONS!X124)</f>
        <v>SQ.M.per hour</v>
      </c>
      <c r="E124" s="35">
        <f>IFERROR(1/CALCULATIONS!V124,0)</f>
        <v>1.666666667</v>
      </c>
      <c r="F124" s="37" t="str">
        <f>CONCATENATE(CALCULATIONS!T124,CALCULATIONS!X124)</f>
        <v>SQ.M.per hour</v>
      </c>
      <c r="G124" s="38">
        <f>IFERROR(1/CALCULATIONS!W124,0)</f>
        <v>2.083333333</v>
      </c>
      <c r="H124" s="36" t="str">
        <f>CONCATENATE(CALCULATIONS!T124,CALCULATIONS!X124)</f>
        <v>SQ.M.per hour</v>
      </c>
      <c r="I124" s="39">
        <f>CALCULATIONS!U124*$I$2</f>
        <v>70.41666667</v>
      </c>
      <c r="J124" s="40" t="str">
        <f>CONCATENATE(CALCULATIONS!Y124,CALCULATIONS!T124)</f>
        <v>per SQ.M.</v>
      </c>
      <c r="K124" s="39">
        <f>CALCULATIONS!V124*$I$2</f>
        <v>35.20833333</v>
      </c>
      <c r="L124" s="40" t="str">
        <f>CONCATENATE(CALCULATIONS!Y124,CALCULATIONS!T124)</f>
        <v>per SQ.M.</v>
      </c>
      <c r="M124" s="39">
        <f>CALCULATIONS!W124*$I$2</f>
        <v>28.16666667</v>
      </c>
      <c r="N124" s="41" t="str">
        <f>CONCATENATE(CALCULATIONS!Y124,CALCULATIONS!T124)</f>
        <v>per SQ.M.</v>
      </c>
    </row>
    <row r="125" ht="12.75" customHeight="1">
      <c r="C125" s="35">
        <f>IFERROR(1/CALCULATIONS!U125,0)</f>
        <v>0</v>
      </c>
      <c r="D125" s="36" t="str">
        <f>CONCATENATE(CALCULATIONS!T125,CALCULATIONS!X125)</f>
        <v/>
      </c>
      <c r="E125" s="35">
        <f>IFERROR(1/CALCULATIONS!V125,0)</f>
        <v>0</v>
      </c>
      <c r="F125" s="37" t="str">
        <f>CONCATENATE(CALCULATIONS!T125,CALCULATIONS!X125)</f>
        <v/>
      </c>
      <c r="G125" s="38">
        <f>IFERROR(1/CALCULATIONS!W125,0)</f>
        <v>0</v>
      </c>
      <c r="H125" s="36" t="str">
        <f>CONCATENATE(CALCULATIONS!T125,CALCULATIONS!X125)</f>
        <v/>
      </c>
      <c r="I125" s="39">
        <f>CALCULATIONS!U125*$I$2</f>
        <v>0</v>
      </c>
      <c r="J125" s="40" t="str">
        <f>CONCATENATE(CALCULATIONS!Y125,CALCULATIONS!T125)</f>
        <v/>
      </c>
      <c r="K125" s="39">
        <f>CALCULATIONS!V125*$I$2</f>
        <v>0</v>
      </c>
      <c r="L125" s="40" t="str">
        <f>CONCATENATE(CALCULATIONS!Y125,CALCULATIONS!T125)</f>
        <v/>
      </c>
      <c r="M125" s="39">
        <f>CALCULATIONS!W125*$I$2</f>
        <v>0</v>
      </c>
      <c r="N125" s="41" t="str">
        <f>CONCATENATE(CALCULATIONS!Y125,CALCULATIONS!T125)</f>
        <v/>
      </c>
    </row>
    <row r="126" ht="12.75" customHeight="1">
      <c r="A126" s="45" t="s">
        <v>127</v>
      </c>
      <c r="B126" s="46" t="s">
        <v>128</v>
      </c>
      <c r="C126" s="35">
        <f>IFERROR(1/CALCULATIONS!U126,0)</f>
        <v>0</v>
      </c>
      <c r="D126" s="36" t="str">
        <f>CONCATENATE(CALCULATIONS!T126,CALCULATIONS!X126)</f>
        <v/>
      </c>
      <c r="E126" s="35">
        <f>IFERROR(1/CALCULATIONS!V126,0)</f>
        <v>0</v>
      </c>
      <c r="F126" s="37" t="str">
        <f>CONCATENATE(CALCULATIONS!T126,CALCULATIONS!X126)</f>
        <v/>
      </c>
      <c r="G126" s="38">
        <f>IFERROR(1/CALCULATIONS!W126,0)</f>
        <v>0</v>
      </c>
      <c r="H126" s="36" t="str">
        <f>CONCATENATE(CALCULATIONS!T126,CALCULATIONS!X126)</f>
        <v/>
      </c>
      <c r="I126" s="39">
        <f>CALCULATIONS!U126*$I$2</f>
        <v>0</v>
      </c>
      <c r="J126" s="40" t="str">
        <f>CONCATENATE(CALCULATIONS!Y126,CALCULATIONS!T126)</f>
        <v/>
      </c>
      <c r="K126" s="39">
        <f>CALCULATIONS!V126*$I$2</f>
        <v>0</v>
      </c>
      <c r="L126" s="40" t="str">
        <f>CONCATENATE(CALCULATIONS!Y126,CALCULATIONS!T126)</f>
        <v/>
      </c>
      <c r="M126" s="39">
        <f>CALCULATIONS!W126*$I$2</f>
        <v>0</v>
      </c>
      <c r="N126" s="41" t="str">
        <f>CONCATENATE(CALCULATIONS!Y126,CALCULATIONS!T126)</f>
        <v/>
      </c>
    </row>
    <row r="127" ht="12.75" customHeight="1">
      <c r="B127" s="46" t="s">
        <v>129</v>
      </c>
      <c r="C127" s="35">
        <f>IFERROR(1/CALCULATIONS!U127,0)</f>
        <v>0</v>
      </c>
      <c r="D127" s="36" t="str">
        <f>CONCATENATE(CALCULATIONS!T127,CALCULATIONS!X127)</f>
        <v/>
      </c>
      <c r="E127" s="35">
        <f>IFERROR(1/CALCULATIONS!V127,0)</f>
        <v>0</v>
      </c>
      <c r="F127" s="37" t="str">
        <f>CONCATENATE(CALCULATIONS!T127,CALCULATIONS!X127)</f>
        <v/>
      </c>
      <c r="G127" s="38">
        <f>IFERROR(1/CALCULATIONS!W127,0)</f>
        <v>0</v>
      </c>
      <c r="H127" s="36" t="str">
        <f>CONCATENATE(CALCULATIONS!T127,CALCULATIONS!X127)</f>
        <v/>
      </c>
      <c r="I127" s="39">
        <f>CALCULATIONS!U127*$I$2</f>
        <v>0</v>
      </c>
      <c r="J127" s="40" t="str">
        <f>CONCATENATE(CALCULATIONS!Y127,CALCULATIONS!T127)</f>
        <v/>
      </c>
      <c r="K127" s="39">
        <f>CALCULATIONS!V127*$I$2</f>
        <v>0</v>
      </c>
      <c r="L127" s="40" t="str">
        <f>CONCATENATE(CALCULATIONS!Y127,CALCULATIONS!T127)</f>
        <v/>
      </c>
      <c r="M127" s="39">
        <f>CALCULATIONS!W127*$I$2</f>
        <v>0</v>
      </c>
      <c r="N127" s="41" t="str">
        <f>CONCATENATE(CALCULATIONS!Y127,CALCULATIONS!T127)</f>
        <v/>
      </c>
    </row>
    <row r="128" ht="12.75" customHeight="1">
      <c r="B128" s="44" t="s">
        <v>130</v>
      </c>
      <c r="C128" s="35">
        <f>IFERROR(1/CALCULATIONS!U128,0)</f>
        <v>0.1</v>
      </c>
      <c r="D128" s="36" t="str">
        <f>CONCATENATE(CALCULATIONS!T128,CALCULATIONS!X128)</f>
        <v>CU.M.per hour</v>
      </c>
      <c r="E128" s="35">
        <f>IFERROR(1/CALCULATIONS!V128,0)</f>
        <v>0.2</v>
      </c>
      <c r="F128" s="37" t="str">
        <f>CONCATENATE(CALCULATIONS!T128,CALCULATIONS!X128)</f>
        <v>CU.M.per hour</v>
      </c>
      <c r="G128" s="38">
        <f>IFERROR(1/CALCULATIONS!W128,0)</f>
        <v>0.25</v>
      </c>
      <c r="H128" s="36" t="str">
        <f>CONCATENATE(CALCULATIONS!T128,CALCULATIONS!X128)</f>
        <v>CU.M.per hour</v>
      </c>
      <c r="I128" s="39">
        <f>CALCULATIONS!U128*$I$2</f>
        <v>586.8055556</v>
      </c>
      <c r="J128" s="40" t="str">
        <f>CONCATENATE(CALCULATIONS!Y128,CALCULATIONS!T128)</f>
        <v>per CU.M.</v>
      </c>
      <c r="K128" s="39">
        <f>CALCULATIONS!V128*$I$2</f>
        <v>293.4027778</v>
      </c>
      <c r="L128" s="40" t="str">
        <f>CONCATENATE(CALCULATIONS!Y128,CALCULATIONS!T128)</f>
        <v>per CU.M.</v>
      </c>
      <c r="M128" s="39">
        <f>CALCULATIONS!W128*$I$2</f>
        <v>234.7222222</v>
      </c>
      <c r="N128" s="41" t="str">
        <f>CONCATENATE(CALCULATIONS!Y128,CALCULATIONS!T128)</f>
        <v>per CU.M.</v>
      </c>
    </row>
    <row r="129" ht="12.75" customHeight="1">
      <c r="B129" s="44" t="s">
        <v>131</v>
      </c>
      <c r="C129" s="35">
        <f>IFERROR(1/CALCULATIONS!U129,0)</f>
        <v>0.02</v>
      </c>
      <c r="D129" s="36" t="str">
        <f>CONCATENATE(CALCULATIONS!T129,CALCULATIONS!X129)</f>
        <v>CU.M.per hour</v>
      </c>
      <c r="E129" s="35">
        <f>IFERROR(1/CALCULATIONS!V129,0)</f>
        <v>0.04</v>
      </c>
      <c r="F129" s="37" t="str">
        <f>CONCATENATE(CALCULATIONS!T129,CALCULATIONS!X129)</f>
        <v>CU.M.per hour</v>
      </c>
      <c r="G129" s="38">
        <f>IFERROR(1/CALCULATIONS!W129,0)</f>
        <v>0.05</v>
      </c>
      <c r="H129" s="36" t="str">
        <f>CONCATENATE(CALCULATIONS!T129,CALCULATIONS!X129)</f>
        <v>CU.M.per hour</v>
      </c>
      <c r="I129" s="39">
        <f>CALCULATIONS!U129*$I$2</f>
        <v>2934.027778</v>
      </c>
      <c r="J129" s="40" t="str">
        <f>CONCATENATE(CALCULATIONS!Y129,CALCULATIONS!T129)</f>
        <v>per CU.M.</v>
      </c>
      <c r="K129" s="39">
        <f>CALCULATIONS!V129*$I$2</f>
        <v>1467.013889</v>
      </c>
      <c r="L129" s="40" t="str">
        <f>CONCATENATE(CALCULATIONS!Y129,CALCULATIONS!T129)</f>
        <v>per CU.M.</v>
      </c>
      <c r="M129" s="39">
        <f>CALCULATIONS!W129*$I$2</f>
        <v>1173.611111</v>
      </c>
      <c r="N129" s="41" t="str">
        <f>CONCATENATE(CALCULATIONS!Y129,CALCULATIONS!T129)</f>
        <v>per CU.M.</v>
      </c>
    </row>
    <row r="130" ht="12.75" customHeight="1">
      <c r="B130" s="44" t="s">
        <v>132</v>
      </c>
      <c r="C130" s="35">
        <f>IFERROR(1/CALCULATIONS!U130,0)</f>
        <v>0.5</v>
      </c>
      <c r="D130" s="36" t="str">
        <f>CONCATENATE(CALCULATIONS!T130,CALCULATIONS!X130)</f>
        <v>SQ.M.per hour</v>
      </c>
      <c r="E130" s="35">
        <f>IFERROR(1/CALCULATIONS!V130,0)</f>
        <v>1</v>
      </c>
      <c r="F130" s="37" t="str">
        <f>CONCATENATE(CALCULATIONS!T130,CALCULATIONS!X130)</f>
        <v>SQ.M.per hour</v>
      </c>
      <c r="G130" s="38">
        <f>IFERROR(1/CALCULATIONS!W130,0)</f>
        <v>1.25</v>
      </c>
      <c r="H130" s="36" t="str">
        <f>CONCATENATE(CALCULATIONS!T130,CALCULATIONS!X130)</f>
        <v>SQ.M.per hour</v>
      </c>
      <c r="I130" s="39">
        <f>CALCULATIONS!U130*$I$2</f>
        <v>117.3611111</v>
      </c>
      <c r="J130" s="40" t="str">
        <f>CONCATENATE(CALCULATIONS!Y130,CALCULATIONS!T130)</f>
        <v>per SQ.M.</v>
      </c>
      <c r="K130" s="39">
        <f>CALCULATIONS!V130*$I$2</f>
        <v>58.68055556</v>
      </c>
      <c r="L130" s="40" t="str">
        <f>CONCATENATE(CALCULATIONS!Y130,CALCULATIONS!T130)</f>
        <v>per SQ.M.</v>
      </c>
      <c r="M130" s="39">
        <f>CALCULATIONS!W130*$I$2</f>
        <v>46.94444444</v>
      </c>
      <c r="N130" s="41" t="str">
        <f>CONCATENATE(CALCULATIONS!Y130,CALCULATIONS!T130)</f>
        <v>per SQ.M.</v>
      </c>
    </row>
    <row r="131" ht="12.75" customHeight="1">
      <c r="B131" s="44" t="s">
        <v>133</v>
      </c>
      <c r="C131" s="35">
        <f>IFERROR(1/CALCULATIONS!U131,0)</f>
        <v>0.3496503497</v>
      </c>
      <c r="D131" s="36" t="str">
        <f>CONCATENATE(CALCULATIONS!T131,CALCULATIONS!X131)</f>
        <v>SQ.M.per hour</v>
      </c>
      <c r="E131" s="35">
        <f>IFERROR(1/CALCULATIONS!V131,0)</f>
        <v>0.6993006993</v>
      </c>
      <c r="F131" s="37" t="str">
        <f>CONCATENATE(CALCULATIONS!T131,CALCULATIONS!X131)</f>
        <v>SQ.M.per hour</v>
      </c>
      <c r="G131" s="38">
        <f>IFERROR(1/CALCULATIONS!W131,0)</f>
        <v>0.8771929825</v>
      </c>
      <c r="H131" s="36" t="str">
        <f>CONCATENATE(CALCULATIONS!T131,CALCULATIONS!X131)</f>
        <v>SQ.M.per hour</v>
      </c>
      <c r="I131" s="39">
        <f>CALCULATIONS!U131*$I$2</f>
        <v>167.8263889</v>
      </c>
      <c r="J131" s="40" t="str">
        <f>CONCATENATE(CALCULATIONS!Y131,CALCULATIONS!T131)</f>
        <v>per SQ.M.</v>
      </c>
      <c r="K131" s="39">
        <f>CALCULATIONS!V131*$I$2</f>
        <v>83.91319444</v>
      </c>
      <c r="L131" s="40" t="str">
        <f>CONCATENATE(CALCULATIONS!Y131,CALCULATIONS!T131)</f>
        <v>per SQ.M.</v>
      </c>
      <c r="M131" s="39">
        <f>CALCULATIONS!W131*$I$2</f>
        <v>66.89583333</v>
      </c>
      <c r="N131" s="41" t="str">
        <f>CONCATENATE(CALCULATIONS!Y131,CALCULATIONS!T131)</f>
        <v>per SQ.M.</v>
      </c>
    </row>
    <row r="132" ht="12.75" customHeight="1">
      <c r="B132" s="46" t="s">
        <v>134</v>
      </c>
      <c r="C132" s="35">
        <f>IFERROR(1/CALCULATIONS!U132,0)</f>
        <v>0</v>
      </c>
      <c r="D132" s="36" t="str">
        <f>CONCATENATE(CALCULATIONS!T132,CALCULATIONS!X132)</f>
        <v/>
      </c>
      <c r="E132" s="35">
        <f>IFERROR(1/CALCULATIONS!V132,0)</f>
        <v>0</v>
      </c>
      <c r="F132" s="37" t="str">
        <f>CONCATENATE(CALCULATIONS!T132,CALCULATIONS!X132)</f>
        <v/>
      </c>
      <c r="G132" s="38">
        <f>IFERROR(1/CALCULATIONS!W132,0)</f>
        <v>0</v>
      </c>
      <c r="H132" s="36" t="str">
        <f>CONCATENATE(CALCULATIONS!T132,CALCULATIONS!X132)</f>
        <v/>
      </c>
      <c r="I132" s="39">
        <f>CALCULATIONS!U132*$I$2</f>
        <v>0</v>
      </c>
      <c r="J132" s="40" t="str">
        <f>CONCATENATE(CALCULATIONS!Y132,CALCULATIONS!T132)</f>
        <v/>
      </c>
      <c r="K132" s="39">
        <f>CALCULATIONS!V132*$I$2</f>
        <v>0</v>
      </c>
      <c r="L132" s="40" t="str">
        <f>CONCATENATE(CALCULATIONS!Y132,CALCULATIONS!T132)</f>
        <v/>
      </c>
      <c r="M132" s="39">
        <f>CALCULATIONS!W132*$I$2</f>
        <v>0</v>
      </c>
      <c r="N132" s="41" t="str">
        <f>CONCATENATE(CALCULATIONS!Y132,CALCULATIONS!T132)</f>
        <v/>
      </c>
    </row>
    <row r="133" ht="12.75" customHeight="1">
      <c r="B133" s="44" t="s">
        <v>135</v>
      </c>
      <c r="C133" s="35">
        <f>IFERROR(1/CALCULATIONS!U133,0)</f>
        <v>7.142857143</v>
      </c>
      <c r="D133" s="36" t="str">
        <f>CONCATENATE(CALCULATIONS!T133,CALCULATIONS!X133)</f>
        <v>KGSper hour</v>
      </c>
      <c r="E133" s="35">
        <f>IFERROR(1/CALCULATIONS!V133,0)</f>
        <v>14.28571429</v>
      </c>
      <c r="F133" s="37" t="str">
        <f>CONCATENATE(CALCULATIONS!T133,CALCULATIONS!X133)</f>
        <v>KGSper hour</v>
      </c>
      <c r="G133" s="38">
        <f>IFERROR(1/CALCULATIONS!W133,0)</f>
        <v>16.66666667</v>
      </c>
      <c r="H133" s="36" t="str">
        <f>CONCATENATE(CALCULATIONS!T133,CALCULATIONS!X133)</f>
        <v>KGSper hour</v>
      </c>
      <c r="I133" s="39">
        <f>CALCULATIONS!U133*$I$2</f>
        <v>8.215277778</v>
      </c>
      <c r="J133" s="40" t="str">
        <f>CONCATENATE(CALCULATIONS!Y133,CALCULATIONS!T133)</f>
        <v>per KGS</v>
      </c>
      <c r="K133" s="39">
        <f>CALCULATIONS!V133*$I$2</f>
        <v>4.107638889</v>
      </c>
      <c r="L133" s="40" t="str">
        <f>CONCATENATE(CALCULATIONS!Y133,CALCULATIONS!T133)</f>
        <v>per KGS</v>
      </c>
      <c r="M133" s="39">
        <f>CALCULATIONS!W133*$I$2</f>
        <v>3.520833333</v>
      </c>
      <c r="N133" s="41" t="str">
        <f>CONCATENATE(CALCULATIONS!Y133,CALCULATIONS!T133)</f>
        <v>per KGS</v>
      </c>
    </row>
    <row r="134" ht="12.75" customHeight="1">
      <c r="B134" s="44" t="s">
        <v>136</v>
      </c>
      <c r="C134" s="35">
        <f>IFERROR(1/CALCULATIONS!U134,0)</f>
        <v>6.25</v>
      </c>
      <c r="D134" s="36" t="str">
        <f>CONCATENATE(CALCULATIONS!T134,CALCULATIONS!X134)</f>
        <v>KGSper hour</v>
      </c>
      <c r="E134" s="35">
        <f>IFERROR(1/CALCULATIONS!V134,0)</f>
        <v>12.5</v>
      </c>
      <c r="F134" s="37" t="str">
        <f>CONCATENATE(CALCULATIONS!T134,CALCULATIONS!X134)</f>
        <v>KGSper hour</v>
      </c>
      <c r="G134" s="38">
        <f>IFERROR(1/CALCULATIONS!W134,0)</f>
        <v>16.66666667</v>
      </c>
      <c r="H134" s="36" t="str">
        <f>CONCATENATE(CALCULATIONS!T134,CALCULATIONS!X134)</f>
        <v>KGSper hour</v>
      </c>
      <c r="I134" s="39">
        <f>CALCULATIONS!U134*$I$2</f>
        <v>9.388888889</v>
      </c>
      <c r="J134" s="40" t="str">
        <f>CONCATENATE(CALCULATIONS!Y134,CALCULATIONS!T134)</f>
        <v>per KGS</v>
      </c>
      <c r="K134" s="39">
        <f>CALCULATIONS!V134*$I$2</f>
        <v>4.694444444</v>
      </c>
      <c r="L134" s="40" t="str">
        <f>CONCATENATE(CALCULATIONS!Y134,CALCULATIONS!T134)</f>
        <v>per KGS</v>
      </c>
      <c r="M134" s="39">
        <f>CALCULATIONS!W134*$I$2</f>
        <v>3.520833333</v>
      </c>
      <c r="N134" s="41" t="str">
        <f>CONCATENATE(CALCULATIONS!Y134,CALCULATIONS!T134)</f>
        <v>per KGS</v>
      </c>
    </row>
    <row r="135" ht="12.75" customHeight="1">
      <c r="B135" s="44" t="s">
        <v>137</v>
      </c>
      <c r="C135" s="35">
        <f>IFERROR(1/CALCULATIONS!U135,0)</f>
        <v>5</v>
      </c>
      <c r="D135" s="36" t="str">
        <f>CONCATENATE(CALCULATIONS!T135,CALCULATIONS!X135)</f>
        <v>KGSper hour</v>
      </c>
      <c r="E135" s="35">
        <f>IFERROR(1/CALCULATIONS!V135,0)</f>
        <v>10</v>
      </c>
      <c r="F135" s="37" t="str">
        <f>CONCATENATE(CALCULATIONS!T135,CALCULATIONS!X135)</f>
        <v>KGSper hour</v>
      </c>
      <c r="G135" s="38">
        <f>IFERROR(1/CALCULATIONS!W135,0)</f>
        <v>12.5</v>
      </c>
      <c r="H135" s="36" t="str">
        <f>CONCATENATE(CALCULATIONS!T135,CALCULATIONS!X135)</f>
        <v>KGSper hour</v>
      </c>
      <c r="I135" s="39">
        <f>CALCULATIONS!U135*$I$2</f>
        <v>11.73611111</v>
      </c>
      <c r="J135" s="40" t="str">
        <f>CONCATENATE(CALCULATIONS!Y135,CALCULATIONS!T135)</f>
        <v>per KGS</v>
      </c>
      <c r="K135" s="39">
        <f>CALCULATIONS!V135*$I$2</f>
        <v>5.868055556</v>
      </c>
      <c r="L135" s="40" t="str">
        <f>CONCATENATE(CALCULATIONS!Y135,CALCULATIONS!T135)</f>
        <v>per KGS</v>
      </c>
      <c r="M135" s="39">
        <f>CALCULATIONS!W135*$I$2</f>
        <v>4.694444444</v>
      </c>
      <c r="N135" s="41" t="str">
        <f>CONCATENATE(CALCULATIONS!Y135,CALCULATIONS!T135)</f>
        <v>per KGS</v>
      </c>
    </row>
    <row r="136" ht="12.75" customHeight="1">
      <c r="B136" s="44" t="s">
        <v>138</v>
      </c>
      <c r="C136" s="35">
        <f>IFERROR(1/CALCULATIONS!U136,0)</f>
        <v>0.03125</v>
      </c>
      <c r="D136" s="36" t="str">
        <f>CONCATENATE(CALCULATIONS!T136,CALCULATIONS!X136)</f>
        <v>CU.M.per hour</v>
      </c>
      <c r="E136" s="35">
        <f>IFERROR(1/CALCULATIONS!V136,0)</f>
        <v>0.0625</v>
      </c>
      <c r="F136" s="37" t="str">
        <f>CONCATENATE(CALCULATIONS!T136,CALCULATIONS!X136)</f>
        <v>CU.M.per hour</v>
      </c>
      <c r="G136" s="38">
        <f>IFERROR(1/CALCULATIONS!W136,0)</f>
        <v>0.078125</v>
      </c>
      <c r="H136" s="36" t="str">
        <f>CONCATENATE(CALCULATIONS!T136,CALCULATIONS!X136)</f>
        <v>CU.M.per hour</v>
      </c>
      <c r="I136" s="39">
        <f>CALCULATIONS!U136*$I$2</f>
        <v>1877.777778</v>
      </c>
      <c r="J136" s="40" t="str">
        <f>CONCATENATE(CALCULATIONS!Y136,CALCULATIONS!T136)</f>
        <v>per CU.M.</v>
      </c>
      <c r="K136" s="39">
        <f>CALCULATIONS!V136*$I$2</f>
        <v>938.8888889</v>
      </c>
      <c r="L136" s="40" t="str">
        <f>CONCATENATE(CALCULATIONS!Y136,CALCULATIONS!T136)</f>
        <v>per CU.M.</v>
      </c>
      <c r="M136" s="39">
        <f>CALCULATIONS!W136*$I$2</f>
        <v>751.1111111</v>
      </c>
      <c r="N136" s="41" t="str">
        <f>CONCATENATE(CALCULATIONS!Y136,CALCULATIONS!T136)</f>
        <v>per CU.M.</v>
      </c>
    </row>
    <row r="137" ht="12.75" customHeight="1">
      <c r="B137" s="44" t="s">
        <v>139</v>
      </c>
      <c r="C137" s="35">
        <f>IFERROR(1/CALCULATIONS!U137,0)</f>
        <v>0.2777777778</v>
      </c>
      <c r="D137" s="36" t="str">
        <f>CONCATENATE(CALCULATIONS!T137,CALCULATIONS!X137)</f>
        <v>CU.M.per hour</v>
      </c>
      <c r="E137" s="35">
        <f>IFERROR(1/CALCULATIONS!V137,0)</f>
        <v>0.5555555556</v>
      </c>
      <c r="F137" s="37" t="str">
        <f>CONCATENATE(CALCULATIONS!T137,CALCULATIONS!X137)</f>
        <v>CU.M.per hour</v>
      </c>
      <c r="G137" s="38">
        <f>IFERROR(1/CALCULATIONS!W137,0)</f>
        <v>0.6944444444</v>
      </c>
      <c r="H137" s="36" t="str">
        <f>CONCATENATE(CALCULATIONS!T137,CALCULATIONS!X137)</f>
        <v>CU.M.per hour</v>
      </c>
      <c r="I137" s="39">
        <f>CALCULATIONS!U137*$I$2</f>
        <v>211.25</v>
      </c>
      <c r="J137" s="40" t="str">
        <f>CONCATENATE(CALCULATIONS!Y137,CALCULATIONS!T137)</f>
        <v>per CU.M.</v>
      </c>
      <c r="K137" s="39">
        <f>CALCULATIONS!V137*$I$2</f>
        <v>105.625</v>
      </c>
      <c r="L137" s="40" t="str">
        <f>CONCATENATE(CALCULATIONS!Y137,CALCULATIONS!T137)</f>
        <v>per CU.M.</v>
      </c>
      <c r="M137" s="39">
        <f>CALCULATIONS!W137*$I$2</f>
        <v>84.5</v>
      </c>
      <c r="N137" s="41" t="str">
        <f>CONCATENATE(CALCULATIONS!Y137,CALCULATIONS!T137)</f>
        <v>per CU.M.</v>
      </c>
    </row>
    <row r="138" ht="12.75" customHeight="1">
      <c r="B138" s="46" t="s">
        <v>140</v>
      </c>
      <c r="C138" s="35">
        <f>IFERROR(1/CALCULATIONS!U138,0)</f>
        <v>0</v>
      </c>
      <c r="D138" s="36" t="str">
        <f>CONCATENATE(CALCULATIONS!T138,CALCULATIONS!X138)</f>
        <v/>
      </c>
      <c r="E138" s="35">
        <f>IFERROR(1/CALCULATIONS!V138,0)</f>
        <v>0</v>
      </c>
      <c r="F138" s="37" t="str">
        <f>CONCATENATE(CALCULATIONS!T138,CALCULATIONS!X138)</f>
        <v/>
      </c>
      <c r="G138" s="38">
        <f>IFERROR(1/CALCULATIONS!W138,0)</f>
        <v>0</v>
      </c>
      <c r="H138" s="36" t="str">
        <f>CONCATENATE(CALCULATIONS!T138,CALCULATIONS!X138)</f>
        <v/>
      </c>
      <c r="I138" s="39">
        <f>CALCULATIONS!U138*$I$2</f>
        <v>0</v>
      </c>
      <c r="J138" s="40" t="str">
        <f>CONCATENATE(CALCULATIONS!Y138,CALCULATIONS!T138)</f>
        <v/>
      </c>
      <c r="K138" s="39">
        <f>CALCULATIONS!V138*$I$2</f>
        <v>0</v>
      </c>
      <c r="L138" s="40" t="str">
        <f>CONCATENATE(CALCULATIONS!Y138,CALCULATIONS!T138)</f>
        <v/>
      </c>
      <c r="M138" s="39">
        <f>CALCULATIONS!W138*$I$2</f>
        <v>0</v>
      </c>
      <c r="N138" s="41" t="str">
        <f>CONCATENATE(CALCULATIONS!Y138,CALCULATIONS!T138)</f>
        <v/>
      </c>
    </row>
    <row r="139" ht="12.75" customHeight="1">
      <c r="B139" s="44" t="s">
        <v>141</v>
      </c>
      <c r="C139" s="35">
        <f>IFERROR(1/CALCULATIONS!U139,0)</f>
        <v>0.07142857143</v>
      </c>
      <c r="D139" s="36" t="str">
        <f>CONCATENATE(CALCULATIONS!T139,CALCULATIONS!X139)</f>
        <v>CU.M.per hour</v>
      </c>
      <c r="E139" s="35">
        <f>IFERROR(1/CALCULATIONS!V139,0)</f>
        <v>0.1428571429</v>
      </c>
      <c r="F139" s="37" t="str">
        <f>CONCATENATE(CALCULATIONS!T139,CALCULATIONS!X139)</f>
        <v>CU.M.per hour</v>
      </c>
      <c r="G139" s="38">
        <f>IFERROR(1/CALCULATIONS!W139,0)</f>
        <v>0.1785714286</v>
      </c>
      <c r="H139" s="36" t="str">
        <f>CONCATENATE(CALCULATIONS!T139,CALCULATIONS!X139)</f>
        <v>CU.M.per hour</v>
      </c>
      <c r="I139" s="39">
        <f>CALCULATIONS!U139*$I$2</f>
        <v>821.5277778</v>
      </c>
      <c r="J139" s="40" t="str">
        <f>CONCATENATE(CALCULATIONS!Y139,CALCULATIONS!T139)</f>
        <v>per CU.M.</v>
      </c>
      <c r="K139" s="39">
        <f>CALCULATIONS!V139*$I$2</f>
        <v>410.7638889</v>
      </c>
      <c r="L139" s="40" t="str">
        <f>CONCATENATE(CALCULATIONS!Y139,CALCULATIONS!T139)</f>
        <v>per CU.M.</v>
      </c>
      <c r="M139" s="39">
        <f>CALCULATIONS!W139*$I$2</f>
        <v>328.6111111</v>
      </c>
      <c r="N139" s="41" t="str">
        <f>CONCATENATE(CALCULATIONS!Y139,CALCULATIONS!T139)</f>
        <v>per CU.M.</v>
      </c>
    </row>
    <row r="140" ht="12.75" customHeight="1">
      <c r="B140" s="44" t="s">
        <v>142</v>
      </c>
      <c r="C140" s="35">
        <f>IFERROR(1/CALCULATIONS!U140,0)</f>
        <v>0.03571428571</v>
      </c>
      <c r="D140" s="36" t="str">
        <f>CONCATENATE(CALCULATIONS!T140,CALCULATIONS!X140)</f>
        <v>CU.M.per hour</v>
      </c>
      <c r="E140" s="35">
        <f>IFERROR(1/CALCULATIONS!V140,0)</f>
        <v>0.07142857143</v>
      </c>
      <c r="F140" s="37" t="str">
        <f>CONCATENATE(CALCULATIONS!T140,CALCULATIONS!X140)</f>
        <v>CU.M.per hour</v>
      </c>
      <c r="G140" s="38">
        <f>IFERROR(1/CALCULATIONS!W140,0)</f>
        <v>0.08928571429</v>
      </c>
      <c r="H140" s="36" t="str">
        <f>CONCATENATE(CALCULATIONS!T140,CALCULATIONS!X140)</f>
        <v>CU.M.per hour</v>
      </c>
      <c r="I140" s="39">
        <f>CALCULATIONS!U140*$I$2</f>
        <v>1643.055556</v>
      </c>
      <c r="J140" s="40" t="str">
        <f>CONCATENATE(CALCULATIONS!Y140,CALCULATIONS!T140)</f>
        <v>per CU.M.</v>
      </c>
      <c r="K140" s="39">
        <f>CALCULATIONS!V140*$I$2</f>
        <v>821.5277778</v>
      </c>
      <c r="L140" s="40" t="str">
        <f>CONCATENATE(CALCULATIONS!Y140,CALCULATIONS!T140)</f>
        <v>per CU.M.</v>
      </c>
      <c r="M140" s="39">
        <f>CALCULATIONS!W140*$I$2</f>
        <v>657.2222222</v>
      </c>
      <c r="N140" s="41" t="str">
        <f>CONCATENATE(CALCULATIONS!Y140,CALCULATIONS!T140)</f>
        <v>per CU.M.</v>
      </c>
    </row>
    <row r="141" ht="12.75" customHeight="1">
      <c r="B141" s="44" t="s">
        <v>143</v>
      </c>
      <c r="C141" s="35">
        <f>IFERROR(1/CALCULATIONS!U141,0)</f>
        <v>0.01851851852</v>
      </c>
      <c r="D141" s="36" t="str">
        <f>CONCATENATE(CALCULATIONS!T141,CALCULATIONS!X141)</f>
        <v>CU.M.per hour</v>
      </c>
      <c r="E141" s="35">
        <f>IFERROR(1/CALCULATIONS!V141,0)</f>
        <v>0.03703703704</v>
      </c>
      <c r="F141" s="37" t="str">
        <f>CONCATENATE(CALCULATIONS!T141,CALCULATIONS!X141)</f>
        <v>CU.M.per hour</v>
      </c>
      <c r="G141" s="38">
        <f>IFERROR(1/CALCULATIONS!W141,0)</f>
        <v>0.0462962963</v>
      </c>
      <c r="H141" s="36" t="str">
        <f>CONCATENATE(CALCULATIONS!T141,CALCULATIONS!X141)</f>
        <v>CU.M.per hour</v>
      </c>
      <c r="I141" s="39">
        <f>CALCULATIONS!U141*$I$2</f>
        <v>3168.75</v>
      </c>
      <c r="J141" s="40" t="str">
        <f>CONCATENATE(CALCULATIONS!Y141,CALCULATIONS!T141)</f>
        <v>per CU.M.</v>
      </c>
      <c r="K141" s="39">
        <f>CALCULATIONS!V141*$I$2</f>
        <v>1584.375</v>
      </c>
      <c r="L141" s="40" t="str">
        <f>CONCATENATE(CALCULATIONS!Y141,CALCULATIONS!T141)</f>
        <v>per CU.M.</v>
      </c>
      <c r="M141" s="39">
        <f>CALCULATIONS!W141*$I$2</f>
        <v>1267.5</v>
      </c>
      <c r="N141" s="41" t="str">
        <f>CONCATENATE(CALCULATIONS!Y141,CALCULATIONS!T141)</f>
        <v>per CU.M.</v>
      </c>
    </row>
    <row r="142" ht="12.75" customHeight="1">
      <c r="B142" s="44" t="s">
        <v>144</v>
      </c>
      <c r="C142" s="35">
        <f>IFERROR(1/CALCULATIONS!U142,0)</f>
        <v>0.1785714286</v>
      </c>
      <c r="D142" s="36" t="str">
        <f>CONCATENATE(CALCULATIONS!T142,CALCULATIONS!X142)</f>
        <v>SQ.M.per hour</v>
      </c>
      <c r="E142" s="35">
        <f>IFERROR(1/CALCULATIONS!V142,0)</f>
        <v>0.3571428571</v>
      </c>
      <c r="F142" s="37" t="str">
        <f>CONCATENATE(CALCULATIONS!T142,CALCULATIONS!X142)</f>
        <v>SQ.M.per hour</v>
      </c>
      <c r="G142" s="38">
        <f>IFERROR(1/CALCULATIONS!W142,0)</f>
        <v>0.4464285714</v>
      </c>
      <c r="H142" s="36" t="str">
        <f>CONCATENATE(CALCULATIONS!T142,CALCULATIONS!X142)</f>
        <v>SQ.M.per hour</v>
      </c>
      <c r="I142" s="39">
        <f>CALCULATIONS!U142*$I$2</f>
        <v>328.6111111</v>
      </c>
      <c r="J142" s="40" t="str">
        <f>CONCATENATE(CALCULATIONS!Y142,CALCULATIONS!T142)</f>
        <v>per SQ.M.</v>
      </c>
      <c r="K142" s="39">
        <f>CALCULATIONS!V142*$I$2</f>
        <v>164.3055556</v>
      </c>
      <c r="L142" s="40" t="str">
        <f>CONCATENATE(CALCULATIONS!Y142,CALCULATIONS!T142)</f>
        <v>per SQ.M.</v>
      </c>
      <c r="M142" s="39">
        <f>CALCULATIONS!W142*$I$2</f>
        <v>131.4444444</v>
      </c>
      <c r="N142" s="41" t="str">
        <f>CONCATENATE(CALCULATIONS!Y142,CALCULATIONS!T142)</f>
        <v>per SQ.M.</v>
      </c>
    </row>
    <row r="143" ht="12.75" customHeight="1">
      <c r="B143" s="46" t="s">
        <v>145</v>
      </c>
      <c r="C143" s="35">
        <f>IFERROR(1/CALCULATIONS!U143,0)</f>
        <v>0</v>
      </c>
      <c r="D143" s="36" t="str">
        <f>CONCATENATE(CALCULATIONS!T143,CALCULATIONS!X143)</f>
        <v/>
      </c>
      <c r="E143" s="35">
        <f>IFERROR(1/CALCULATIONS!V143,0)</f>
        <v>0</v>
      </c>
      <c r="F143" s="37" t="str">
        <f>CONCATENATE(CALCULATIONS!T143,CALCULATIONS!X143)</f>
        <v/>
      </c>
      <c r="G143" s="38">
        <f>IFERROR(1/CALCULATIONS!W143,0)</f>
        <v>0</v>
      </c>
      <c r="H143" s="36" t="str">
        <f>CONCATENATE(CALCULATIONS!T143,CALCULATIONS!X143)</f>
        <v/>
      </c>
      <c r="I143" s="39">
        <f>CALCULATIONS!U143*$I$2</f>
        <v>0</v>
      </c>
      <c r="J143" s="40" t="str">
        <f>CONCATENATE(CALCULATIONS!Y143,CALCULATIONS!T143)</f>
        <v/>
      </c>
      <c r="K143" s="39">
        <f>CALCULATIONS!V143*$I$2</f>
        <v>0</v>
      </c>
      <c r="L143" s="40" t="str">
        <f>CONCATENATE(CALCULATIONS!Y143,CALCULATIONS!T143)</f>
        <v/>
      </c>
      <c r="M143" s="39">
        <f>CALCULATIONS!W143*$I$2</f>
        <v>0</v>
      </c>
      <c r="N143" s="41" t="str">
        <f>CONCATENATE(CALCULATIONS!Y143,CALCULATIONS!T143)</f>
        <v/>
      </c>
    </row>
    <row r="144" ht="12.75" customHeight="1">
      <c r="B144" s="44" t="s">
        <v>146</v>
      </c>
      <c r="C144" s="35">
        <f>IFERROR(1/CALCULATIONS!U144,0)</f>
        <v>0.02380952381</v>
      </c>
      <c r="D144" s="36" t="str">
        <f>CONCATENATE(CALCULATIONS!T144,CALCULATIONS!X144)</f>
        <v>CU.M.per hour</v>
      </c>
      <c r="E144" s="35">
        <f>IFERROR(1/CALCULATIONS!V144,0)</f>
        <v>0.04761904762</v>
      </c>
      <c r="F144" s="37" t="str">
        <f>CONCATENATE(CALCULATIONS!T144,CALCULATIONS!X144)</f>
        <v>CU.M.per hour</v>
      </c>
      <c r="G144" s="38">
        <f>IFERROR(1/CALCULATIONS!W144,0)</f>
        <v>0.05952380952</v>
      </c>
      <c r="H144" s="36" t="str">
        <f>CONCATENATE(CALCULATIONS!T144,CALCULATIONS!X144)</f>
        <v>CU.M.per hour</v>
      </c>
      <c r="I144" s="39">
        <f>CALCULATIONS!U144*$I$2</f>
        <v>2464.583333</v>
      </c>
      <c r="J144" s="40" t="str">
        <f>CONCATENATE(CALCULATIONS!Y144,CALCULATIONS!T144)</f>
        <v>per CU.M.</v>
      </c>
      <c r="K144" s="39">
        <f>CALCULATIONS!V144*$I$2</f>
        <v>1232.291667</v>
      </c>
      <c r="L144" s="40" t="str">
        <f>CONCATENATE(CALCULATIONS!Y144,CALCULATIONS!T144)</f>
        <v>per CU.M.</v>
      </c>
      <c r="M144" s="39">
        <f>CALCULATIONS!W144*$I$2</f>
        <v>985.8333333</v>
      </c>
      <c r="N144" s="41" t="str">
        <f>CONCATENATE(CALCULATIONS!Y144,CALCULATIONS!T144)</f>
        <v>per CU.M.</v>
      </c>
    </row>
    <row r="145" ht="12.75" customHeight="1">
      <c r="B145" s="44" t="s">
        <v>147</v>
      </c>
      <c r="C145" s="35">
        <f>IFERROR(1/CALCULATIONS!U145,0)</f>
        <v>0.9433962264</v>
      </c>
      <c r="D145" s="36" t="str">
        <f>CONCATENATE(CALCULATIONS!T145,CALCULATIONS!X145)</f>
        <v>KGSper hour</v>
      </c>
      <c r="E145" s="35">
        <f>IFERROR(1/CALCULATIONS!V145,0)</f>
        <v>1.886792453</v>
      </c>
      <c r="F145" s="37" t="str">
        <f>CONCATENATE(CALCULATIONS!T145,CALCULATIONS!X145)</f>
        <v>KGSper hour</v>
      </c>
      <c r="G145" s="38">
        <f>IFERROR(1/CALCULATIONS!W145,0)</f>
        <v>2.380952381</v>
      </c>
      <c r="H145" s="36" t="str">
        <f>CONCATENATE(CALCULATIONS!T145,CALCULATIONS!X145)</f>
        <v>KGSper hour</v>
      </c>
      <c r="I145" s="39">
        <f>CALCULATIONS!U145*$I$2</f>
        <v>62.20138889</v>
      </c>
      <c r="J145" s="40" t="str">
        <f>CONCATENATE(CALCULATIONS!Y145,CALCULATIONS!T145)</f>
        <v>per KGS</v>
      </c>
      <c r="K145" s="39">
        <f>CALCULATIONS!V145*$I$2</f>
        <v>31.10069444</v>
      </c>
      <c r="L145" s="40" t="str">
        <f>CONCATENATE(CALCULATIONS!Y145,CALCULATIONS!T145)</f>
        <v>per KGS</v>
      </c>
      <c r="M145" s="39">
        <f>CALCULATIONS!W145*$I$2</f>
        <v>24.64583333</v>
      </c>
      <c r="N145" s="41" t="str">
        <f>CONCATENATE(CALCULATIONS!Y145,CALCULATIONS!T145)</f>
        <v>per KGS</v>
      </c>
    </row>
    <row r="146" ht="12.75" customHeight="1">
      <c r="B146" s="44" t="s">
        <v>148</v>
      </c>
      <c r="C146" s="35">
        <f>IFERROR(1/CALCULATIONS!U146,0)</f>
        <v>1.515151515</v>
      </c>
      <c r="D146" s="36" t="str">
        <f>CONCATENATE(CALCULATIONS!T146,CALCULATIONS!X146)</f>
        <v>KGSper hour</v>
      </c>
      <c r="E146" s="35">
        <f>IFERROR(1/CALCULATIONS!V146,0)</f>
        <v>3.03030303</v>
      </c>
      <c r="F146" s="37" t="str">
        <f>CONCATENATE(CALCULATIONS!T146,CALCULATIONS!X146)</f>
        <v>KGSper hour</v>
      </c>
      <c r="G146" s="38">
        <f>IFERROR(1/CALCULATIONS!W146,0)</f>
        <v>3.846153846</v>
      </c>
      <c r="H146" s="36" t="str">
        <f>CONCATENATE(CALCULATIONS!T146,CALCULATIONS!X146)</f>
        <v>KGSper hour</v>
      </c>
      <c r="I146" s="39">
        <f>CALCULATIONS!U146*$I$2</f>
        <v>38.72916667</v>
      </c>
      <c r="J146" s="40" t="str">
        <f>CONCATENATE(CALCULATIONS!Y146,CALCULATIONS!T146)</f>
        <v>per KGS</v>
      </c>
      <c r="K146" s="39">
        <f>CALCULATIONS!V146*$I$2</f>
        <v>19.36458333</v>
      </c>
      <c r="L146" s="40" t="str">
        <f>CONCATENATE(CALCULATIONS!Y146,CALCULATIONS!T146)</f>
        <v>per KGS</v>
      </c>
      <c r="M146" s="39">
        <f>CALCULATIONS!W146*$I$2</f>
        <v>15.25694444</v>
      </c>
      <c r="N146" s="41" t="str">
        <f>CONCATENATE(CALCULATIONS!Y146,CALCULATIONS!T146)</f>
        <v>per KGS</v>
      </c>
    </row>
    <row r="147" ht="12.75" customHeight="1">
      <c r="C147" s="35">
        <f>IFERROR(1/CALCULATIONS!U147,0)</f>
        <v>0</v>
      </c>
      <c r="D147" s="36" t="str">
        <f>CONCATENATE(CALCULATIONS!T147,CALCULATIONS!X147)</f>
        <v/>
      </c>
      <c r="E147" s="35">
        <f>IFERROR(1/CALCULATIONS!V147,0)</f>
        <v>0</v>
      </c>
      <c r="F147" s="37" t="str">
        <f>CONCATENATE(CALCULATIONS!T147,CALCULATIONS!X147)</f>
        <v/>
      </c>
      <c r="G147" s="38">
        <f>IFERROR(1/CALCULATIONS!W147,0)</f>
        <v>0</v>
      </c>
      <c r="H147" s="36" t="str">
        <f>CONCATENATE(CALCULATIONS!T147,CALCULATIONS!X147)</f>
        <v/>
      </c>
      <c r="I147" s="39">
        <f>CALCULATIONS!U147*$I$2</f>
        <v>0</v>
      </c>
      <c r="J147" s="40" t="str">
        <f>CONCATENATE(CALCULATIONS!Y147,CALCULATIONS!T147)</f>
        <v/>
      </c>
      <c r="K147" s="39">
        <f>CALCULATIONS!V147*$I$2</f>
        <v>0</v>
      </c>
      <c r="L147" s="40" t="str">
        <f>CONCATENATE(CALCULATIONS!Y147,CALCULATIONS!T147)</f>
        <v/>
      </c>
      <c r="M147" s="39">
        <f>CALCULATIONS!W147*$I$2</f>
        <v>0</v>
      </c>
      <c r="N147" s="41" t="str">
        <f>CONCATENATE(CALCULATIONS!Y147,CALCULATIONS!T147)</f>
        <v/>
      </c>
    </row>
    <row r="148" ht="12.75" customHeight="1">
      <c r="A148" s="45" t="s">
        <v>149</v>
      </c>
      <c r="B148" s="46" t="s">
        <v>150</v>
      </c>
      <c r="C148" s="35">
        <f>IFERROR(1/CALCULATIONS!U148,0)</f>
        <v>0</v>
      </c>
      <c r="D148" s="36" t="str">
        <f>CONCATENATE(CALCULATIONS!T148,CALCULATIONS!X148)</f>
        <v/>
      </c>
      <c r="E148" s="35">
        <f>IFERROR(1/CALCULATIONS!V148,0)</f>
        <v>0</v>
      </c>
      <c r="F148" s="37" t="str">
        <f>CONCATENATE(CALCULATIONS!T148,CALCULATIONS!X148)</f>
        <v/>
      </c>
      <c r="G148" s="38">
        <f>IFERROR(1/CALCULATIONS!W148,0)</f>
        <v>0</v>
      </c>
      <c r="H148" s="36" t="str">
        <f>CONCATENATE(CALCULATIONS!T148,CALCULATIONS!X148)</f>
        <v/>
      </c>
      <c r="I148" s="39">
        <f>CALCULATIONS!U148*$I$2</f>
        <v>0</v>
      </c>
      <c r="J148" s="40" t="str">
        <f>CONCATENATE(CALCULATIONS!Y148,CALCULATIONS!T148)</f>
        <v/>
      </c>
      <c r="K148" s="39">
        <f>CALCULATIONS!V148*$I$2</f>
        <v>0</v>
      </c>
      <c r="L148" s="40" t="str">
        <f>CONCATENATE(CALCULATIONS!Y148,CALCULATIONS!T148)</f>
        <v/>
      </c>
      <c r="M148" s="39">
        <f>CALCULATIONS!W148*$I$2</f>
        <v>0</v>
      </c>
      <c r="N148" s="41" t="str">
        <f>CONCATENATE(CALCULATIONS!Y148,CALCULATIONS!T148)</f>
        <v/>
      </c>
    </row>
    <row r="149" ht="12.75" customHeight="1">
      <c r="B149" s="47" t="s">
        <v>151</v>
      </c>
      <c r="C149" s="35">
        <f>IFERROR(1/CALCULATIONS!U149,0)</f>
        <v>0</v>
      </c>
      <c r="D149" s="36" t="str">
        <f>CONCATENATE(CALCULATIONS!T149,CALCULATIONS!X149)</f>
        <v/>
      </c>
      <c r="E149" s="35">
        <f>IFERROR(1/CALCULATIONS!V149,0)</f>
        <v>0</v>
      </c>
      <c r="F149" s="37" t="str">
        <f>CONCATENATE(CALCULATIONS!T149,CALCULATIONS!X149)</f>
        <v/>
      </c>
      <c r="G149" s="38">
        <f>IFERROR(1/CALCULATIONS!W149,0)</f>
        <v>0</v>
      </c>
      <c r="H149" s="36" t="str">
        <f>CONCATENATE(CALCULATIONS!T149,CALCULATIONS!X149)</f>
        <v/>
      </c>
      <c r="I149" s="39">
        <f>CALCULATIONS!U149*$I$2</f>
        <v>0</v>
      </c>
      <c r="J149" s="40" t="str">
        <f>CONCATENATE(CALCULATIONS!Y149,CALCULATIONS!T149)</f>
        <v/>
      </c>
      <c r="K149" s="39">
        <f>CALCULATIONS!V149*$I$2</f>
        <v>0</v>
      </c>
      <c r="L149" s="40" t="str">
        <f>CONCATENATE(CALCULATIONS!Y149,CALCULATIONS!T149)</f>
        <v/>
      </c>
      <c r="M149" s="39">
        <f>CALCULATIONS!W149*$I$2</f>
        <v>0</v>
      </c>
      <c r="N149" s="41" t="str">
        <f>CONCATENATE(CALCULATIONS!Y149,CALCULATIONS!T149)</f>
        <v/>
      </c>
    </row>
    <row r="150" ht="12.75" customHeight="1">
      <c r="B150" s="44" t="s">
        <v>152</v>
      </c>
      <c r="C150" s="35">
        <f>IFERROR(1/CALCULATIONS!U150,0)</f>
        <v>0.8333333333</v>
      </c>
      <c r="D150" s="36" t="str">
        <f>CONCATENATE(CALCULATIONS!T150,CALCULATIONS!X150)</f>
        <v>CU.M.per hour</v>
      </c>
      <c r="E150" s="35">
        <f>IFERROR(1/CALCULATIONS!V150,0)</f>
        <v>1.666666667</v>
      </c>
      <c r="F150" s="37" t="str">
        <f>CONCATENATE(CALCULATIONS!T150,CALCULATIONS!X150)</f>
        <v>CU.M.per hour</v>
      </c>
      <c r="G150" s="38">
        <f>IFERROR(1/CALCULATIONS!W150,0)</f>
        <v>2.083333333</v>
      </c>
      <c r="H150" s="36" t="str">
        <f>CONCATENATE(CALCULATIONS!T150,CALCULATIONS!X150)</f>
        <v>CU.M.per hour</v>
      </c>
      <c r="I150" s="39">
        <f>CALCULATIONS!U150*$I$2</f>
        <v>70.41666667</v>
      </c>
      <c r="J150" s="40" t="str">
        <f>CONCATENATE(CALCULATIONS!Y150,CALCULATIONS!T150)</f>
        <v>per CU.M.</v>
      </c>
      <c r="K150" s="39">
        <f>CALCULATIONS!V150*$I$2</f>
        <v>35.20833333</v>
      </c>
      <c r="L150" s="40" t="str">
        <f>CONCATENATE(CALCULATIONS!Y150,CALCULATIONS!T150)</f>
        <v>per CU.M.</v>
      </c>
      <c r="M150" s="39">
        <f>CALCULATIONS!W150*$I$2</f>
        <v>28.16666667</v>
      </c>
      <c r="N150" s="41" t="str">
        <f>CONCATENATE(CALCULATIONS!Y150,CALCULATIONS!T150)</f>
        <v>per CU.M.</v>
      </c>
    </row>
    <row r="151" ht="12.75" customHeight="1">
      <c r="B151" s="44" t="s">
        <v>153</v>
      </c>
      <c r="C151" s="35">
        <f>IFERROR(1/CALCULATIONS!U151,0)</f>
        <v>0.625</v>
      </c>
      <c r="D151" s="36" t="str">
        <f>CONCATENATE(CALCULATIONS!T151,CALCULATIONS!X151)</f>
        <v>CU.M.per hour</v>
      </c>
      <c r="E151" s="35">
        <f>IFERROR(1/CALCULATIONS!V151,0)</f>
        <v>1.25</v>
      </c>
      <c r="F151" s="37" t="str">
        <f>CONCATENATE(CALCULATIONS!T151,CALCULATIONS!X151)</f>
        <v>CU.M.per hour</v>
      </c>
      <c r="G151" s="38">
        <f>IFERROR(1/CALCULATIONS!W151,0)</f>
        <v>1.5625</v>
      </c>
      <c r="H151" s="36" t="str">
        <f>CONCATENATE(CALCULATIONS!T151,CALCULATIONS!X151)</f>
        <v>CU.M.per hour</v>
      </c>
      <c r="I151" s="39">
        <f>CALCULATIONS!U151*$I$2</f>
        <v>93.88888889</v>
      </c>
      <c r="J151" s="40" t="str">
        <f>CONCATENATE(CALCULATIONS!Y151,CALCULATIONS!T151)</f>
        <v>per CU.M.</v>
      </c>
      <c r="K151" s="39">
        <f>CALCULATIONS!V151*$I$2</f>
        <v>46.94444444</v>
      </c>
      <c r="L151" s="40" t="str">
        <f>CONCATENATE(CALCULATIONS!Y151,CALCULATIONS!T151)</f>
        <v>per CU.M.</v>
      </c>
      <c r="M151" s="39">
        <f>CALCULATIONS!W151*$I$2</f>
        <v>37.55555556</v>
      </c>
      <c r="N151" s="41" t="str">
        <f>CONCATENATE(CALCULATIONS!Y151,CALCULATIONS!T151)</f>
        <v>per CU.M.</v>
      </c>
    </row>
    <row r="152" ht="12.75" customHeight="1">
      <c r="B152" s="44" t="s">
        <v>154</v>
      </c>
      <c r="C152" s="35">
        <f>IFERROR(1/CALCULATIONS!U152,0)</f>
        <v>0.4545454545</v>
      </c>
      <c r="D152" s="36" t="str">
        <f>CONCATENATE(CALCULATIONS!T152,CALCULATIONS!X152)</f>
        <v>CU.M.per hour</v>
      </c>
      <c r="E152" s="35">
        <f>IFERROR(1/CALCULATIONS!V152,0)</f>
        <v>0.9090909091</v>
      </c>
      <c r="F152" s="37" t="str">
        <f>CONCATENATE(CALCULATIONS!T152,CALCULATIONS!X152)</f>
        <v>CU.M.per hour</v>
      </c>
      <c r="G152" s="38">
        <f>IFERROR(1/CALCULATIONS!W152,0)</f>
        <v>1.136363636</v>
      </c>
      <c r="H152" s="36" t="str">
        <f>CONCATENATE(CALCULATIONS!T152,CALCULATIONS!X152)</f>
        <v>CU.M.per hour</v>
      </c>
      <c r="I152" s="39">
        <f>CALCULATIONS!U152*$I$2</f>
        <v>129.0972222</v>
      </c>
      <c r="J152" s="40" t="str">
        <f>CONCATENATE(CALCULATIONS!Y152,CALCULATIONS!T152)</f>
        <v>per CU.M.</v>
      </c>
      <c r="K152" s="39">
        <f>CALCULATIONS!V152*$I$2</f>
        <v>64.54861111</v>
      </c>
      <c r="L152" s="40" t="str">
        <f>CONCATENATE(CALCULATIONS!Y152,CALCULATIONS!T152)</f>
        <v>per CU.M.</v>
      </c>
      <c r="M152" s="39">
        <f>CALCULATIONS!W152*$I$2</f>
        <v>51.63888889</v>
      </c>
      <c r="N152" s="41" t="str">
        <f>CONCATENATE(CALCULATIONS!Y152,CALCULATIONS!T152)</f>
        <v>per CU.M.</v>
      </c>
    </row>
    <row r="153" ht="12.75" customHeight="1">
      <c r="B153" s="44" t="s">
        <v>155</v>
      </c>
      <c r="C153" s="35">
        <f>IFERROR(1/CALCULATIONS!U153,0)</f>
        <v>0.4166666667</v>
      </c>
      <c r="D153" s="36" t="str">
        <f>CONCATENATE(CALCULATIONS!T153,CALCULATIONS!X153)</f>
        <v>CU.M.per hour</v>
      </c>
      <c r="E153" s="35">
        <f>IFERROR(1/CALCULATIONS!V153,0)</f>
        <v>0.8333333333</v>
      </c>
      <c r="F153" s="37" t="str">
        <f>CONCATENATE(CALCULATIONS!T153,CALCULATIONS!X153)</f>
        <v>CU.M.per hour</v>
      </c>
      <c r="G153" s="38">
        <f>IFERROR(1/CALCULATIONS!W153,0)</f>
        <v>1.041666667</v>
      </c>
      <c r="H153" s="36" t="str">
        <f>CONCATENATE(CALCULATIONS!T153,CALCULATIONS!X153)</f>
        <v>CU.M.per hour</v>
      </c>
      <c r="I153" s="39">
        <f>CALCULATIONS!U153*$I$2</f>
        <v>140.8333333</v>
      </c>
      <c r="J153" s="40" t="str">
        <f>CONCATENATE(CALCULATIONS!Y153,CALCULATIONS!T153)</f>
        <v>per CU.M.</v>
      </c>
      <c r="K153" s="39">
        <f>CALCULATIONS!V153*$I$2</f>
        <v>70.41666667</v>
      </c>
      <c r="L153" s="40" t="str">
        <f>CONCATENATE(CALCULATIONS!Y153,CALCULATIONS!T153)</f>
        <v>per CU.M.</v>
      </c>
      <c r="M153" s="39">
        <f>CALCULATIONS!W153*$I$2</f>
        <v>56.33333333</v>
      </c>
      <c r="N153" s="41" t="str">
        <f>CONCATENATE(CALCULATIONS!Y153,CALCULATIONS!T153)</f>
        <v>per CU.M.</v>
      </c>
    </row>
    <row r="154" ht="12.75" customHeight="1">
      <c r="B154" s="44" t="s">
        <v>156</v>
      </c>
      <c r="C154" s="35">
        <f>IFERROR(1/CALCULATIONS!U154,0)</f>
        <v>0.3333333333</v>
      </c>
      <c r="D154" s="36" t="str">
        <f>CONCATENATE(CALCULATIONS!T154,CALCULATIONS!X154)</f>
        <v>CU.M.per hour</v>
      </c>
      <c r="E154" s="35">
        <f>IFERROR(1/CALCULATIONS!V154,0)</f>
        <v>0.6666666667</v>
      </c>
      <c r="F154" s="37" t="str">
        <f>CONCATENATE(CALCULATIONS!T154,CALCULATIONS!X154)</f>
        <v>CU.M.per hour</v>
      </c>
      <c r="G154" s="38">
        <f>IFERROR(1/CALCULATIONS!W154,0)</f>
        <v>0.8333333333</v>
      </c>
      <c r="H154" s="36" t="str">
        <f>CONCATENATE(CALCULATIONS!T154,CALCULATIONS!X154)</f>
        <v>CU.M.per hour</v>
      </c>
      <c r="I154" s="39">
        <f>CALCULATIONS!U154*$I$2</f>
        <v>176.0416667</v>
      </c>
      <c r="J154" s="40" t="str">
        <f>CONCATENATE(CALCULATIONS!Y154,CALCULATIONS!T154)</f>
        <v>per CU.M.</v>
      </c>
      <c r="K154" s="39">
        <f>CALCULATIONS!V154*$I$2</f>
        <v>88.02083333</v>
      </c>
      <c r="L154" s="40" t="str">
        <f>CONCATENATE(CALCULATIONS!Y154,CALCULATIONS!T154)</f>
        <v>per CU.M.</v>
      </c>
      <c r="M154" s="39">
        <f>CALCULATIONS!W154*$I$2</f>
        <v>70.41666667</v>
      </c>
      <c r="N154" s="41" t="str">
        <f>CONCATENATE(CALCULATIONS!Y154,CALCULATIONS!T154)</f>
        <v>per CU.M.</v>
      </c>
    </row>
    <row r="155" ht="12.75" customHeight="1">
      <c r="B155" s="47" t="s">
        <v>157</v>
      </c>
      <c r="C155" s="35">
        <f>IFERROR(1/CALCULATIONS!U155,0)</f>
        <v>0</v>
      </c>
      <c r="D155" s="36" t="str">
        <f>CONCATENATE(CALCULATIONS!T155,CALCULATIONS!X155)</f>
        <v/>
      </c>
      <c r="E155" s="35">
        <f>IFERROR(1/CALCULATIONS!V155,0)</f>
        <v>0</v>
      </c>
      <c r="F155" s="37" t="str">
        <f>CONCATENATE(CALCULATIONS!T155,CALCULATIONS!X155)</f>
        <v/>
      </c>
      <c r="G155" s="38">
        <f>IFERROR(1/CALCULATIONS!W155,0)</f>
        <v>0</v>
      </c>
      <c r="H155" s="36" t="str">
        <f>CONCATENATE(CALCULATIONS!T155,CALCULATIONS!X155)</f>
        <v/>
      </c>
      <c r="I155" s="39">
        <f>CALCULATIONS!U155*$I$2</f>
        <v>0</v>
      </c>
      <c r="J155" s="40" t="str">
        <f>CONCATENATE(CALCULATIONS!Y155,CALCULATIONS!T155)</f>
        <v/>
      </c>
      <c r="K155" s="39">
        <f>CALCULATIONS!V155*$I$2</f>
        <v>0</v>
      </c>
      <c r="L155" s="40" t="str">
        <f>CONCATENATE(CALCULATIONS!Y155,CALCULATIONS!T155)</f>
        <v/>
      </c>
      <c r="M155" s="39">
        <f>CALCULATIONS!W155*$I$2</f>
        <v>0</v>
      </c>
      <c r="N155" s="41" t="str">
        <f>CONCATENATE(CALCULATIONS!Y155,CALCULATIONS!T155)</f>
        <v/>
      </c>
    </row>
    <row r="156" ht="12.75" customHeight="1">
      <c r="B156" s="44" t="s">
        <v>152</v>
      </c>
      <c r="C156" s="35">
        <f>IFERROR(1/CALCULATIONS!U156,0)</f>
        <v>0.125</v>
      </c>
      <c r="D156" s="36" t="str">
        <f>CONCATENATE(CALCULATIONS!T156,CALCULATIONS!X156)</f>
        <v>CU.M.per hour</v>
      </c>
      <c r="E156" s="35">
        <f>IFERROR(1/CALCULATIONS!V156,0)</f>
        <v>0.25</v>
      </c>
      <c r="F156" s="37" t="str">
        <f>CONCATENATE(CALCULATIONS!T156,CALCULATIONS!X156)</f>
        <v>CU.M.per hour</v>
      </c>
      <c r="G156" s="38">
        <f>IFERROR(1/CALCULATIONS!W156,0)</f>
        <v>0.3125</v>
      </c>
      <c r="H156" s="36" t="str">
        <f>CONCATENATE(CALCULATIONS!T156,CALCULATIONS!X156)</f>
        <v>CU.M.per hour</v>
      </c>
      <c r="I156" s="39">
        <f>CALCULATIONS!U156*$I$2</f>
        <v>469.4444444</v>
      </c>
      <c r="J156" s="40" t="str">
        <f>CONCATENATE(CALCULATIONS!Y156,CALCULATIONS!T156)</f>
        <v>per CU.M.</v>
      </c>
      <c r="K156" s="39">
        <f>CALCULATIONS!V156*$I$2</f>
        <v>234.7222222</v>
      </c>
      <c r="L156" s="40" t="str">
        <f>CONCATENATE(CALCULATIONS!Y156,CALCULATIONS!T156)</f>
        <v>per CU.M.</v>
      </c>
      <c r="M156" s="39">
        <f>CALCULATIONS!W156*$I$2</f>
        <v>187.7777778</v>
      </c>
      <c r="N156" s="41" t="str">
        <f>CONCATENATE(CALCULATIONS!Y156,CALCULATIONS!T156)</f>
        <v>per CU.M.</v>
      </c>
    </row>
    <row r="157" ht="12.75" customHeight="1">
      <c r="B157" s="44" t="s">
        <v>158</v>
      </c>
      <c r="C157" s="35">
        <f>IFERROR(1/CALCULATIONS!U157,0)</f>
        <v>0.07692307692</v>
      </c>
      <c r="D157" s="36" t="str">
        <f>CONCATENATE(CALCULATIONS!T157,CALCULATIONS!X157)</f>
        <v>CU.M.per hour</v>
      </c>
      <c r="E157" s="35">
        <f>IFERROR(1/CALCULATIONS!V157,0)</f>
        <v>0.1538461538</v>
      </c>
      <c r="F157" s="37" t="str">
        <f>CONCATENATE(CALCULATIONS!T157,CALCULATIONS!X157)</f>
        <v>CU.M.per hour</v>
      </c>
      <c r="G157" s="38">
        <f>IFERROR(1/CALCULATIONS!W157,0)</f>
        <v>0.1923076923</v>
      </c>
      <c r="H157" s="36" t="str">
        <f>CONCATENATE(CALCULATIONS!T157,CALCULATIONS!X157)</f>
        <v>CU.M.per hour</v>
      </c>
      <c r="I157" s="39">
        <f>CALCULATIONS!U157*$I$2</f>
        <v>762.8472222</v>
      </c>
      <c r="J157" s="40" t="str">
        <f>CONCATENATE(CALCULATIONS!Y157,CALCULATIONS!T157)</f>
        <v>per CU.M.</v>
      </c>
      <c r="K157" s="39">
        <f>CALCULATIONS!V157*$I$2</f>
        <v>381.4236111</v>
      </c>
      <c r="L157" s="40" t="str">
        <f>CONCATENATE(CALCULATIONS!Y157,CALCULATIONS!T157)</f>
        <v>per CU.M.</v>
      </c>
      <c r="M157" s="39">
        <f>CALCULATIONS!W157*$I$2</f>
        <v>305.1388889</v>
      </c>
      <c r="N157" s="41" t="str">
        <f>CONCATENATE(CALCULATIONS!Y157,CALCULATIONS!T157)</f>
        <v>per CU.M.</v>
      </c>
    </row>
    <row r="158" ht="12.75" customHeight="1">
      <c r="B158" s="44" t="s">
        <v>159</v>
      </c>
      <c r="C158" s="35">
        <f>IFERROR(1/CALCULATIONS!U158,0)</f>
        <v>0.04761904762</v>
      </c>
      <c r="D158" s="36" t="str">
        <f>CONCATENATE(CALCULATIONS!T158,CALCULATIONS!X158)</f>
        <v>CU.M.per hour</v>
      </c>
      <c r="E158" s="35">
        <f>IFERROR(1/CALCULATIONS!V158,0)</f>
        <v>0.09523809524</v>
      </c>
      <c r="F158" s="37" t="str">
        <f>CONCATENATE(CALCULATIONS!T158,CALCULATIONS!X158)</f>
        <v>CU.M.per hour</v>
      </c>
      <c r="G158" s="38">
        <f>IFERROR(1/CALCULATIONS!W158,0)</f>
        <v>0.119047619</v>
      </c>
      <c r="H158" s="36" t="str">
        <f>CONCATENATE(CALCULATIONS!T158,CALCULATIONS!X158)</f>
        <v>CU.M.per hour</v>
      </c>
      <c r="I158" s="39">
        <f>CALCULATIONS!U158*$I$2</f>
        <v>1232.291667</v>
      </c>
      <c r="J158" s="40" t="str">
        <f>CONCATENATE(CALCULATIONS!Y158,CALCULATIONS!T158)</f>
        <v>per CU.M.</v>
      </c>
      <c r="K158" s="39">
        <f>CALCULATIONS!V158*$I$2</f>
        <v>616.1458333</v>
      </c>
      <c r="L158" s="40" t="str">
        <f>CONCATENATE(CALCULATIONS!Y158,CALCULATIONS!T158)</f>
        <v>per CU.M.</v>
      </c>
      <c r="M158" s="39">
        <f>CALCULATIONS!W158*$I$2</f>
        <v>492.9166667</v>
      </c>
      <c r="N158" s="41" t="str">
        <f>CONCATENATE(CALCULATIONS!Y158,CALCULATIONS!T158)</f>
        <v>per CU.M.</v>
      </c>
    </row>
    <row r="159" ht="12.75" customHeight="1">
      <c r="B159" s="44" t="s">
        <v>160</v>
      </c>
      <c r="C159" s="35">
        <f>IFERROR(1/CALCULATIONS!U159,0)</f>
        <v>0.09090909091</v>
      </c>
      <c r="D159" s="36" t="str">
        <f>CONCATENATE(CALCULATIONS!T159,CALCULATIONS!X159)</f>
        <v>CU.M.per hour</v>
      </c>
      <c r="E159" s="35">
        <f>IFERROR(1/CALCULATIONS!V159,0)</f>
        <v>0.1818181818</v>
      </c>
      <c r="F159" s="37" t="str">
        <f>CONCATENATE(CALCULATIONS!T159,CALCULATIONS!X159)</f>
        <v>CU.M.per hour</v>
      </c>
      <c r="G159" s="38">
        <f>IFERROR(1/CALCULATIONS!W159,0)</f>
        <v>0.2272727273</v>
      </c>
      <c r="H159" s="36" t="str">
        <f>CONCATENATE(CALCULATIONS!T159,CALCULATIONS!X159)</f>
        <v>CU.M.per hour</v>
      </c>
      <c r="I159" s="39">
        <f>CALCULATIONS!U159*$I$2</f>
        <v>645.4861111</v>
      </c>
      <c r="J159" s="40" t="str">
        <f>CONCATENATE(CALCULATIONS!Y159,CALCULATIONS!T159)</f>
        <v>per CU.M.</v>
      </c>
      <c r="K159" s="39">
        <f>CALCULATIONS!V159*$I$2</f>
        <v>322.7430556</v>
      </c>
      <c r="L159" s="40" t="str">
        <f>CONCATENATE(CALCULATIONS!Y159,CALCULATIONS!T159)</f>
        <v>per CU.M.</v>
      </c>
      <c r="M159" s="39">
        <f>CALCULATIONS!W159*$I$2</f>
        <v>258.1944444</v>
      </c>
      <c r="N159" s="41" t="str">
        <f>CONCATENATE(CALCULATIONS!Y159,CALCULATIONS!T159)</f>
        <v>per CU.M.</v>
      </c>
    </row>
    <row r="160" ht="12.75" customHeight="1">
      <c r="B160" s="44" t="s">
        <v>161</v>
      </c>
      <c r="C160" s="35">
        <f>IFERROR(1/CALCULATIONS!U160,0)</f>
        <v>0.0625</v>
      </c>
      <c r="D160" s="36" t="str">
        <f>CONCATENATE(CALCULATIONS!T160,CALCULATIONS!X160)</f>
        <v>CU.M.per hour</v>
      </c>
      <c r="E160" s="35">
        <f>IFERROR(1/CALCULATIONS!V160,0)</f>
        <v>0.125</v>
      </c>
      <c r="F160" s="37" t="str">
        <f>CONCATENATE(CALCULATIONS!T160,CALCULATIONS!X160)</f>
        <v>CU.M.per hour</v>
      </c>
      <c r="G160" s="38">
        <f>IFERROR(1/CALCULATIONS!W160,0)</f>
        <v>0.15625</v>
      </c>
      <c r="H160" s="36" t="str">
        <f>CONCATENATE(CALCULATIONS!T160,CALCULATIONS!X160)</f>
        <v>CU.M.per hour</v>
      </c>
      <c r="I160" s="39">
        <f>CALCULATIONS!U160*$I$2</f>
        <v>938.8888889</v>
      </c>
      <c r="J160" s="40" t="str">
        <f>CONCATENATE(CALCULATIONS!Y160,CALCULATIONS!T160)</f>
        <v>per CU.M.</v>
      </c>
      <c r="K160" s="39">
        <f>CALCULATIONS!V160*$I$2</f>
        <v>469.4444444</v>
      </c>
      <c r="L160" s="40" t="str">
        <f>CONCATENATE(CALCULATIONS!Y160,CALCULATIONS!T160)</f>
        <v>per CU.M.</v>
      </c>
      <c r="M160" s="39">
        <f>CALCULATIONS!W160*$I$2</f>
        <v>375.5555556</v>
      </c>
      <c r="N160" s="41" t="str">
        <f>CONCATENATE(CALCULATIONS!Y160,CALCULATIONS!T160)</f>
        <v>per CU.M.</v>
      </c>
    </row>
    <row r="161" ht="12.75" customHeight="1">
      <c r="B161" s="44" t="s">
        <v>162</v>
      </c>
      <c r="C161" s="35">
        <f>IFERROR(1/CALCULATIONS!U161,0)</f>
        <v>0.04166666667</v>
      </c>
      <c r="D161" s="36" t="str">
        <f>CONCATENATE(CALCULATIONS!T161,CALCULATIONS!X161)</f>
        <v>CU.M.per hour</v>
      </c>
      <c r="E161" s="35">
        <f>IFERROR(1/CALCULATIONS!V161,0)</f>
        <v>0.08333333333</v>
      </c>
      <c r="F161" s="37" t="str">
        <f>CONCATENATE(CALCULATIONS!T161,CALCULATIONS!X161)</f>
        <v>CU.M.per hour</v>
      </c>
      <c r="G161" s="38">
        <f>IFERROR(1/CALCULATIONS!W161,0)</f>
        <v>0.1041666667</v>
      </c>
      <c r="H161" s="36" t="str">
        <f>CONCATENATE(CALCULATIONS!T161,CALCULATIONS!X161)</f>
        <v>CU.M.per hour</v>
      </c>
      <c r="I161" s="39">
        <f>CALCULATIONS!U161*$I$2</f>
        <v>1408.333333</v>
      </c>
      <c r="J161" s="40" t="str">
        <f>CONCATENATE(CALCULATIONS!Y161,CALCULATIONS!T161)</f>
        <v>per CU.M.</v>
      </c>
      <c r="K161" s="39">
        <f>CALCULATIONS!V161*$I$2</f>
        <v>704.1666667</v>
      </c>
      <c r="L161" s="40" t="str">
        <f>CONCATENATE(CALCULATIONS!Y161,CALCULATIONS!T161)</f>
        <v>per CU.M.</v>
      </c>
      <c r="M161" s="39">
        <f>CALCULATIONS!W161*$I$2</f>
        <v>563.3333333</v>
      </c>
      <c r="N161" s="41" t="str">
        <f>CONCATENATE(CALCULATIONS!Y161,CALCULATIONS!T161)</f>
        <v>per CU.M.</v>
      </c>
    </row>
    <row r="162" ht="12.75" customHeight="1">
      <c r="B162" s="44" t="s">
        <v>163</v>
      </c>
      <c r="C162" s="35">
        <f>IFERROR(1/CALCULATIONS!U162,0)</f>
        <v>0</v>
      </c>
      <c r="D162" s="36" t="str">
        <f>CONCATENATE(CALCULATIONS!T162,CALCULATIONS!X162)</f>
        <v/>
      </c>
      <c r="E162" s="35">
        <f>IFERROR(1/CALCULATIONS!V162,0)</f>
        <v>0</v>
      </c>
      <c r="F162" s="37" t="str">
        <f>CONCATENATE(CALCULATIONS!T162,CALCULATIONS!X162)</f>
        <v/>
      </c>
      <c r="G162" s="38">
        <f>IFERROR(1/CALCULATIONS!W162,0)</f>
        <v>0</v>
      </c>
      <c r="H162" s="36" t="str">
        <f>CONCATENATE(CALCULATIONS!T162,CALCULATIONS!X162)</f>
        <v/>
      </c>
      <c r="I162" s="39">
        <f>CALCULATIONS!U162*$I$2</f>
        <v>0</v>
      </c>
      <c r="J162" s="40" t="str">
        <f>CONCATENATE(CALCULATIONS!Y162,CALCULATIONS!T162)</f>
        <v/>
      </c>
      <c r="K162" s="39">
        <f>CALCULATIONS!V162*$I$2</f>
        <v>0</v>
      </c>
      <c r="L162" s="40" t="str">
        <f>CONCATENATE(CALCULATIONS!Y162,CALCULATIONS!T162)</f>
        <v/>
      </c>
      <c r="M162" s="39">
        <f>CALCULATIONS!W162*$I$2</f>
        <v>0</v>
      </c>
      <c r="N162" s="41" t="str">
        <f>CONCATENATE(CALCULATIONS!Y162,CALCULATIONS!T162)</f>
        <v/>
      </c>
    </row>
    <row r="163" ht="12.75" customHeight="1">
      <c r="B163" s="44" t="s">
        <v>164</v>
      </c>
      <c r="C163" s="35">
        <f>IFERROR(1/CALCULATIONS!U163,0)</f>
        <v>0.3846153846</v>
      </c>
      <c r="D163" s="36" t="str">
        <f>CONCATENATE(CALCULATIONS!T163,CALCULATIONS!X163)</f>
        <v>SQ.M.per hour</v>
      </c>
      <c r="E163" s="35">
        <f>IFERROR(1/CALCULATIONS!V163,0)</f>
        <v>0.7692307692</v>
      </c>
      <c r="F163" s="37" t="str">
        <f>CONCATENATE(CALCULATIONS!T163,CALCULATIONS!X163)</f>
        <v>SQ.M.per hour</v>
      </c>
      <c r="G163" s="38">
        <f>IFERROR(1/CALCULATIONS!W163,0)</f>
        <v>0.9615384615</v>
      </c>
      <c r="H163" s="36" t="str">
        <f>CONCATENATE(CALCULATIONS!T163,CALCULATIONS!X163)</f>
        <v>SQ.M.per hour</v>
      </c>
      <c r="I163" s="39">
        <f>CALCULATIONS!U163*$I$2</f>
        <v>152.5694444</v>
      </c>
      <c r="J163" s="40" t="str">
        <f>CONCATENATE(CALCULATIONS!Y163,CALCULATIONS!T163)</f>
        <v>per SQ.M.</v>
      </c>
      <c r="K163" s="39">
        <f>CALCULATIONS!V163*$I$2</f>
        <v>76.28472222</v>
      </c>
      <c r="L163" s="40" t="str">
        <f>CONCATENATE(CALCULATIONS!Y163,CALCULATIONS!T163)</f>
        <v>per SQ.M.</v>
      </c>
      <c r="M163" s="39">
        <f>CALCULATIONS!W163*$I$2</f>
        <v>61.02777778</v>
      </c>
      <c r="N163" s="41" t="str">
        <f>CONCATENATE(CALCULATIONS!Y163,CALCULATIONS!T163)</f>
        <v>per SQ.M.</v>
      </c>
    </row>
    <row r="164" ht="12.75" customHeight="1">
      <c r="B164" s="44" t="s">
        <v>165</v>
      </c>
      <c r="C164" s="35">
        <f>IFERROR(1/CALCULATIONS!U164,0)</f>
        <v>0.02777777778</v>
      </c>
      <c r="D164" s="36" t="str">
        <f>CONCATENATE(CALCULATIONS!T164,CALCULATIONS!X164)</f>
        <v>CU.M.per hour</v>
      </c>
      <c r="E164" s="35">
        <f>IFERROR(1/CALCULATIONS!V164,0)</f>
        <v>0.05555555556</v>
      </c>
      <c r="F164" s="37" t="str">
        <f>CONCATENATE(CALCULATIONS!T164,CALCULATIONS!X164)</f>
        <v>CU.M.per hour</v>
      </c>
      <c r="G164" s="38">
        <f>IFERROR(1/CALCULATIONS!W164,0)</f>
        <v>0.06944444444</v>
      </c>
      <c r="H164" s="36" t="str">
        <f>CONCATENATE(CALCULATIONS!T164,CALCULATIONS!X164)</f>
        <v>CU.M.per hour</v>
      </c>
      <c r="I164" s="39">
        <f>CALCULATIONS!U164*$I$2</f>
        <v>2112.5</v>
      </c>
      <c r="J164" s="40" t="str">
        <f>CONCATENATE(CALCULATIONS!Y164,CALCULATIONS!T164)</f>
        <v>per CU.M.</v>
      </c>
      <c r="K164" s="39">
        <f>CALCULATIONS!V164*$I$2</f>
        <v>1056.25</v>
      </c>
      <c r="L164" s="40" t="str">
        <f>CONCATENATE(CALCULATIONS!Y164,CALCULATIONS!T164)</f>
        <v>per CU.M.</v>
      </c>
      <c r="M164" s="39">
        <f>CALCULATIONS!W164*$I$2</f>
        <v>845</v>
      </c>
      <c r="N164" s="41" t="str">
        <f>CONCATENATE(CALCULATIONS!Y164,CALCULATIONS!T164)</f>
        <v>per CU.M.</v>
      </c>
    </row>
    <row r="165" ht="12.75" customHeight="1">
      <c r="B165" s="44" t="s">
        <v>166</v>
      </c>
      <c r="C165" s="35">
        <f>IFERROR(1/CALCULATIONS!U165,0)</f>
        <v>0</v>
      </c>
      <c r="D165" s="36" t="str">
        <f>CONCATENATE(CALCULATIONS!T165,CALCULATIONS!X165)</f>
        <v/>
      </c>
      <c r="E165" s="35">
        <f>IFERROR(1/CALCULATIONS!V165,0)</f>
        <v>0</v>
      </c>
      <c r="F165" s="37" t="str">
        <f>CONCATENATE(CALCULATIONS!T165,CALCULATIONS!X165)</f>
        <v/>
      </c>
      <c r="G165" s="38">
        <f>IFERROR(1/CALCULATIONS!W165,0)</f>
        <v>0</v>
      </c>
      <c r="H165" s="36" t="str">
        <f>CONCATENATE(CALCULATIONS!T165,CALCULATIONS!X165)</f>
        <v/>
      </c>
      <c r="I165" s="39">
        <f>CALCULATIONS!U165*$I$2</f>
        <v>0</v>
      </c>
      <c r="J165" s="40" t="str">
        <f>CONCATENATE(CALCULATIONS!Y165,CALCULATIONS!T165)</f>
        <v/>
      </c>
      <c r="K165" s="39">
        <f>CALCULATIONS!V165*$I$2</f>
        <v>0</v>
      </c>
      <c r="L165" s="40" t="str">
        <f>CONCATENATE(CALCULATIONS!Y165,CALCULATIONS!T165)</f>
        <v/>
      </c>
      <c r="M165" s="39">
        <f>CALCULATIONS!W165*$I$2</f>
        <v>0</v>
      </c>
      <c r="N165" s="41" t="str">
        <f>CONCATENATE(CALCULATIONS!Y165,CALCULATIONS!T165)</f>
        <v/>
      </c>
    </row>
    <row r="166" ht="12.75" customHeight="1">
      <c r="B166" s="44" t="s">
        <v>164</v>
      </c>
      <c r="C166" s="35">
        <f>IFERROR(1/CALCULATIONS!U166,0)</f>
        <v>1.111111111</v>
      </c>
      <c r="D166" s="36" t="str">
        <f>CONCATENATE(CALCULATIONS!T166,CALCULATIONS!X166)</f>
        <v>SQ.M.per hour</v>
      </c>
      <c r="E166" s="35">
        <f>IFERROR(1/CALCULATIONS!V166,0)</f>
        <v>2.222222222</v>
      </c>
      <c r="F166" s="37" t="str">
        <f>CONCATENATE(CALCULATIONS!T166,CALCULATIONS!X166)</f>
        <v>SQ.M.per hour</v>
      </c>
      <c r="G166" s="38">
        <f>IFERROR(1/CALCULATIONS!W166,0)</f>
        <v>2.777777778</v>
      </c>
      <c r="H166" s="36" t="str">
        <f>CONCATENATE(CALCULATIONS!T166,CALCULATIONS!X166)</f>
        <v>SQ.M.per hour</v>
      </c>
      <c r="I166" s="39">
        <f>CALCULATIONS!U166*$I$2</f>
        <v>52.8125</v>
      </c>
      <c r="J166" s="40" t="str">
        <f>CONCATENATE(CALCULATIONS!Y166,CALCULATIONS!T166)</f>
        <v>per SQ.M.</v>
      </c>
      <c r="K166" s="39">
        <f>CALCULATIONS!V166*$I$2</f>
        <v>26.40625</v>
      </c>
      <c r="L166" s="40" t="str">
        <f>CONCATENATE(CALCULATIONS!Y166,CALCULATIONS!T166)</f>
        <v>per SQ.M.</v>
      </c>
      <c r="M166" s="39">
        <f>CALCULATIONS!W166*$I$2</f>
        <v>21.125</v>
      </c>
      <c r="N166" s="41" t="str">
        <f>CONCATENATE(CALCULATIONS!Y166,CALCULATIONS!T166)</f>
        <v>per SQ.M.</v>
      </c>
    </row>
    <row r="167" ht="12.75" customHeight="1">
      <c r="B167" s="44" t="s">
        <v>167</v>
      </c>
      <c r="C167" s="35">
        <f>IFERROR(1/CALCULATIONS!U167,0)</f>
        <v>0.9090909091</v>
      </c>
      <c r="D167" s="36" t="str">
        <f>CONCATENATE(CALCULATIONS!T167,CALCULATIONS!X167)</f>
        <v>SQ.M.per hour</v>
      </c>
      <c r="E167" s="35">
        <f>IFERROR(1/CALCULATIONS!V167,0)</f>
        <v>1.818181818</v>
      </c>
      <c r="F167" s="37" t="str">
        <f>CONCATENATE(CALCULATIONS!T167,CALCULATIONS!X167)</f>
        <v>SQ.M.per hour</v>
      </c>
      <c r="G167" s="38">
        <f>IFERROR(1/CALCULATIONS!W167,0)</f>
        <v>2.272727273</v>
      </c>
      <c r="H167" s="36" t="str">
        <f>CONCATENATE(CALCULATIONS!T167,CALCULATIONS!X167)</f>
        <v>SQ.M.per hour</v>
      </c>
      <c r="I167" s="39">
        <f>CALCULATIONS!U167*$I$2</f>
        <v>64.54861111</v>
      </c>
      <c r="J167" s="40" t="str">
        <f>CONCATENATE(CALCULATIONS!Y167,CALCULATIONS!T167)</f>
        <v>per SQ.M.</v>
      </c>
      <c r="K167" s="39">
        <f>CALCULATIONS!V167*$I$2</f>
        <v>32.27430556</v>
      </c>
      <c r="L167" s="40" t="str">
        <f>CONCATENATE(CALCULATIONS!Y167,CALCULATIONS!T167)</f>
        <v>per SQ.M.</v>
      </c>
      <c r="M167" s="39">
        <f>CALCULATIONS!W167*$I$2</f>
        <v>25.81944444</v>
      </c>
      <c r="N167" s="41" t="str">
        <f>CONCATENATE(CALCULATIONS!Y167,CALCULATIONS!T167)</f>
        <v>per SQ.M.</v>
      </c>
    </row>
    <row r="168" ht="12.75" customHeight="1">
      <c r="B168" s="44" t="s">
        <v>168</v>
      </c>
      <c r="C168" s="35">
        <f>IFERROR(1/CALCULATIONS!U168,0)</f>
        <v>0.4166666667</v>
      </c>
      <c r="D168" s="36" t="str">
        <f>CONCATENATE(CALCULATIONS!T168,CALCULATIONS!X168)</f>
        <v>CU.M.per hour</v>
      </c>
      <c r="E168" s="35">
        <f>IFERROR(1/CALCULATIONS!V168,0)</f>
        <v>0.8333333333</v>
      </c>
      <c r="F168" s="37" t="str">
        <f>CONCATENATE(CALCULATIONS!T168,CALCULATIONS!X168)</f>
        <v>CU.M.per hour</v>
      </c>
      <c r="G168" s="38">
        <f>IFERROR(1/CALCULATIONS!W168,0)</f>
        <v>1.041666667</v>
      </c>
      <c r="H168" s="36" t="str">
        <f>CONCATENATE(CALCULATIONS!T168,CALCULATIONS!X168)</f>
        <v>CU.M.per hour</v>
      </c>
      <c r="I168" s="39">
        <f>CALCULATIONS!U168*$I$2</f>
        <v>140.8333333</v>
      </c>
      <c r="J168" s="40" t="str">
        <f>CONCATENATE(CALCULATIONS!Y168,CALCULATIONS!T168)</f>
        <v>per CU.M.</v>
      </c>
      <c r="K168" s="39">
        <f>CALCULATIONS!V168*$I$2</f>
        <v>70.41666667</v>
      </c>
      <c r="L168" s="40" t="str">
        <f>CONCATENATE(CALCULATIONS!Y168,CALCULATIONS!T168)</f>
        <v>per CU.M.</v>
      </c>
      <c r="M168" s="39">
        <f>CALCULATIONS!W168*$I$2</f>
        <v>56.33333333</v>
      </c>
      <c r="N168" s="41" t="str">
        <f>CONCATENATE(CALCULATIONS!Y168,CALCULATIONS!T168)</f>
        <v>per CU.M.</v>
      </c>
    </row>
    <row r="169" ht="12.75" customHeight="1">
      <c r="A169" s="45" t="s">
        <v>169</v>
      </c>
      <c r="B169" s="46" t="s">
        <v>170</v>
      </c>
      <c r="C169" s="35">
        <f>IFERROR(1/CALCULATIONS!U169,0)</f>
        <v>0</v>
      </c>
      <c r="D169" s="36" t="str">
        <f>CONCATENATE(CALCULATIONS!T169,CALCULATIONS!X169)</f>
        <v/>
      </c>
      <c r="E169" s="35">
        <f>IFERROR(1/CALCULATIONS!V169,0)</f>
        <v>0</v>
      </c>
      <c r="F169" s="37" t="str">
        <f>CONCATENATE(CALCULATIONS!T169,CALCULATIONS!X169)</f>
        <v/>
      </c>
      <c r="G169" s="38">
        <f>IFERROR(1/CALCULATIONS!W169,0)</f>
        <v>0</v>
      </c>
      <c r="H169" s="36" t="str">
        <f>CONCATENATE(CALCULATIONS!T169,CALCULATIONS!X169)</f>
        <v/>
      </c>
      <c r="I169" s="39">
        <f>CALCULATIONS!U169*$I$2</f>
        <v>0</v>
      </c>
      <c r="J169" s="40" t="str">
        <f>CONCATENATE(CALCULATIONS!Y169,CALCULATIONS!T169)</f>
        <v/>
      </c>
      <c r="K169" s="39">
        <f>CALCULATIONS!V169*$I$2</f>
        <v>0</v>
      </c>
      <c r="L169" s="40" t="str">
        <f>CONCATENATE(CALCULATIONS!Y169,CALCULATIONS!T169)</f>
        <v/>
      </c>
      <c r="M169" s="39">
        <f>CALCULATIONS!W169*$I$2</f>
        <v>0</v>
      </c>
      <c r="N169" s="41" t="str">
        <f>CONCATENATE(CALCULATIONS!Y169,CALCULATIONS!T169)</f>
        <v/>
      </c>
    </row>
    <row r="170" ht="12.75" customHeight="1">
      <c r="B170" s="48" t="s">
        <v>171</v>
      </c>
      <c r="C170" s="35">
        <f>IFERROR(1/CALCULATIONS!U170,0)</f>
        <v>4.166666667</v>
      </c>
      <c r="D170" s="36" t="str">
        <f>CONCATENATE(CALCULATIONS!T170,CALCULATIONS!X170)</f>
        <v>SQ.M.per hour</v>
      </c>
      <c r="E170" s="35">
        <f>IFERROR(1/CALCULATIONS!V170,0)</f>
        <v>8.333333333</v>
      </c>
      <c r="F170" s="37" t="str">
        <f>CONCATENATE(CALCULATIONS!T170,CALCULATIONS!X170)</f>
        <v>SQ.M.per hour</v>
      </c>
      <c r="G170" s="38">
        <f>IFERROR(1/CALCULATIONS!W170,0)</f>
        <v>10</v>
      </c>
      <c r="H170" s="36" t="str">
        <f>CONCATENATE(CALCULATIONS!T170,CALCULATIONS!X170)</f>
        <v>SQ.M.per hour</v>
      </c>
      <c r="I170" s="39">
        <f>CALCULATIONS!U170*$I$2</f>
        <v>14.08333333</v>
      </c>
      <c r="J170" s="40" t="str">
        <f>CONCATENATE(CALCULATIONS!Y170,CALCULATIONS!T170)</f>
        <v>per SQ.M.</v>
      </c>
      <c r="K170" s="39">
        <f>CALCULATIONS!V170*$I$2</f>
        <v>7.041666667</v>
      </c>
      <c r="L170" s="40" t="str">
        <f>CONCATENATE(CALCULATIONS!Y170,CALCULATIONS!T170)</f>
        <v>per SQ.M.</v>
      </c>
      <c r="M170" s="39">
        <f>CALCULATIONS!W170*$I$2</f>
        <v>5.868055556</v>
      </c>
      <c r="N170" s="41" t="str">
        <f>CONCATENATE(CALCULATIONS!Y170,CALCULATIONS!T170)</f>
        <v>per SQ.M.</v>
      </c>
    </row>
    <row r="171" ht="12.75" customHeight="1">
      <c r="B171" s="44" t="s">
        <v>172</v>
      </c>
      <c r="C171" s="35">
        <f>IFERROR(1/CALCULATIONS!U171,0)</f>
        <v>0.2777777778</v>
      </c>
      <c r="D171" s="36" t="str">
        <f>CONCATENATE(CALCULATIONS!T171,CALCULATIONS!X171)</f>
        <v>CU.M.per hour</v>
      </c>
      <c r="E171" s="35">
        <f>IFERROR(1/CALCULATIONS!V171,0)</f>
        <v>0.5555555556</v>
      </c>
      <c r="F171" s="37" t="str">
        <f>CONCATENATE(CALCULATIONS!T171,CALCULATIONS!X171)</f>
        <v>CU.M.per hour</v>
      </c>
      <c r="G171" s="38">
        <f>IFERROR(1/CALCULATIONS!W171,0)</f>
        <v>0.6944444444</v>
      </c>
      <c r="H171" s="36" t="str">
        <f>CONCATENATE(CALCULATIONS!T171,CALCULATIONS!X171)</f>
        <v>CU.M.per hour</v>
      </c>
      <c r="I171" s="39">
        <f>CALCULATIONS!U171*$I$2</f>
        <v>211.25</v>
      </c>
      <c r="J171" s="40" t="str">
        <f>CONCATENATE(CALCULATIONS!Y171,CALCULATIONS!T171)</f>
        <v>per CU.M.</v>
      </c>
      <c r="K171" s="39">
        <f>CALCULATIONS!V171*$I$2</f>
        <v>105.625</v>
      </c>
      <c r="L171" s="40" t="str">
        <f>CONCATENATE(CALCULATIONS!Y171,CALCULATIONS!T171)</f>
        <v>per CU.M.</v>
      </c>
      <c r="M171" s="39">
        <f>CALCULATIONS!W171*$I$2</f>
        <v>84.5</v>
      </c>
      <c r="N171" s="41" t="str">
        <f>CONCATENATE(CALCULATIONS!Y171,CALCULATIONS!T171)</f>
        <v>per CU.M.</v>
      </c>
    </row>
    <row r="172" ht="12.75" customHeight="1">
      <c r="B172" s="44" t="s">
        <v>173</v>
      </c>
      <c r="C172" s="35">
        <f>IFERROR(1/CALCULATIONS!U172,0)</f>
        <v>0.3846153846</v>
      </c>
      <c r="D172" s="36" t="str">
        <f>CONCATENATE(CALCULATIONS!T172,CALCULATIONS!X172)</f>
        <v>SQ.M.per hour</v>
      </c>
      <c r="E172" s="35">
        <f>IFERROR(1/CALCULATIONS!V172,0)</f>
        <v>0.7692307692</v>
      </c>
      <c r="F172" s="37" t="str">
        <f>CONCATENATE(CALCULATIONS!T172,CALCULATIONS!X172)</f>
        <v>SQ.M.per hour</v>
      </c>
      <c r="G172" s="38">
        <f>IFERROR(1/CALCULATIONS!W172,0)</f>
        <v>0.9615384615</v>
      </c>
      <c r="H172" s="36" t="str">
        <f>CONCATENATE(CALCULATIONS!T172,CALCULATIONS!X172)</f>
        <v>SQ.M.per hour</v>
      </c>
      <c r="I172" s="39">
        <f>CALCULATIONS!U172*$I$2</f>
        <v>152.5694444</v>
      </c>
      <c r="J172" s="40" t="str">
        <f>CONCATENATE(CALCULATIONS!Y172,CALCULATIONS!T172)</f>
        <v>per SQ.M.</v>
      </c>
      <c r="K172" s="39">
        <f>CALCULATIONS!V172*$I$2</f>
        <v>76.28472222</v>
      </c>
      <c r="L172" s="40" t="str">
        <f>CONCATENATE(CALCULATIONS!Y172,CALCULATIONS!T172)</f>
        <v>per SQ.M.</v>
      </c>
      <c r="M172" s="39">
        <f>CALCULATIONS!W172*$I$2</f>
        <v>61.02777778</v>
      </c>
      <c r="N172" s="41" t="str">
        <f>CONCATENATE(CALCULATIONS!Y172,CALCULATIONS!T172)</f>
        <v>per SQ.M.</v>
      </c>
    </row>
    <row r="173" ht="12.75" customHeight="1">
      <c r="B173" s="44" t="s">
        <v>174</v>
      </c>
      <c r="C173" s="35">
        <f>IFERROR(1/CALCULATIONS!U173,0)</f>
        <v>0.3571428571</v>
      </c>
      <c r="D173" s="36" t="str">
        <f>CONCATENATE(CALCULATIONS!T173,CALCULATIONS!X173)</f>
        <v>SQ.M.per hour</v>
      </c>
      <c r="E173" s="35">
        <f>IFERROR(1/CALCULATIONS!V173,0)</f>
        <v>0.7142857143</v>
      </c>
      <c r="F173" s="37" t="str">
        <f>CONCATENATE(CALCULATIONS!T173,CALCULATIONS!X173)</f>
        <v>SQ.M.per hour</v>
      </c>
      <c r="G173" s="38">
        <f>IFERROR(1/CALCULATIONS!W173,0)</f>
        <v>0.8928571429</v>
      </c>
      <c r="H173" s="36" t="str">
        <f>CONCATENATE(CALCULATIONS!T173,CALCULATIONS!X173)</f>
        <v>SQ.M.per hour</v>
      </c>
      <c r="I173" s="39">
        <f>CALCULATIONS!U173*$I$2</f>
        <v>164.3055556</v>
      </c>
      <c r="J173" s="40" t="str">
        <f>CONCATENATE(CALCULATIONS!Y173,CALCULATIONS!T173)</f>
        <v>per SQ.M.</v>
      </c>
      <c r="K173" s="39">
        <f>CALCULATIONS!V173*$I$2</f>
        <v>82.15277778</v>
      </c>
      <c r="L173" s="40" t="str">
        <f>CONCATENATE(CALCULATIONS!Y173,CALCULATIONS!T173)</f>
        <v>per SQ.M.</v>
      </c>
      <c r="M173" s="39">
        <f>CALCULATIONS!W173*$I$2</f>
        <v>65.72222222</v>
      </c>
      <c r="N173" s="41" t="str">
        <f>CONCATENATE(CALCULATIONS!Y173,CALCULATIONS!T173)</f>
        <v>per SQ.M.</v>
      </c>
    </row>
    <row r="174" ht="12.75" customHeight="1">
      <c r="B174" s="44" t="s">
        <v>175</v>
      </c>
      <c r="C174" s="35">
        <f>IFERROR(1/CALCULATIONS!U174,0)</f>
        <v>0.3333333333</v>
      </c>
      <c r="D174" s="36" t="str">
        <f>CONCATENATE(CALCULATIONS!T174,CALCULATIONS!X174)</f>
        <v>SQ.M.per hour</v>
      </c>
      <c r="E174" s="35">
        <f>IFERROR(1/CALCULATIONS!V174,0)</f>
        <v>0.6666666667</v>
      </c>
      <c r="F174" s="37" t="str">
        <f>CONCATENATE(CALCULATIONS!T174,CALCULATIONS!X174)</f>
        <v>SQ.M.per hour</v>
      </c>
      <c r="G174" s="38">
        <f>IFERROR(1/CALCULATIONS!W174,0)</f>
        <v>0.8333333333</v>
      </c>
      <c r="H174" s="36" t="str">
        <f>CONCATENATE(CALCULATIONS!T174,CALCULATIONS!X174)</f>
        <v>SQ.M.per hour</v>
      </c>
      <c r="I174" s="39">
        <f>CALCULATIONS!U174*$I$2</f>
        <v>176.0416667</v>
      </c>
      <c r="J174" s="40" t="str">
        <f>CONCATENATE(CALCULATIONS!Y174,CALCULATIONS!T174)</f>
        <v>per SQ.M.</v>
      </c>
      <c r="K174" s="39">
        <f>CALCULATIONS!V174*$I$2</f>
        <v>88.02083333</v>
      </c>
      <c r="L174" s="40" t="str">
        <f>CONCATENATE(CALCULATIONS!Y174,CALCULATIONS!T174)</f>
        <v>per SQ.M.</v>
      </c>
      <c r="M174" s="39">
        <f>CALCULATIONS!W174*$I$2</f>
        <v>70.41666667</v>
      </c>
      <c r="N174" s="41" t="str">
        <f>CONCATENATE(CALCULATIONS!Y174,CALCULATIONS!T174)</f>
        <v>per SQ.M.</v>
      </c>
    </row>
    <row r="175" ht="12.75" customHeight="1">
      <c r="B175" s="44" t="s">
        <v>176</v>
      </c>
      <c r="C175" s="35">
        <f>IFERROR(1/CALCULATIONS!U175,0)</f>
        <v>1.5625</v>
      </c>
      <c r="D175" s="36" t="str">
        <f>CONCATENATE(CALCULATIONS!T175,CALCULATIONS!X175)</f>
        <v>SQ.M.per hour</v>
      </c>
      <c r="E175" s="35">
        <f>IFERROR(1/CALCULATIONS!V175,0)</f>
        <v>3.125</v>
      </c>
      <c r="F175" s="37" t="str">
        <f>CONCATENATE(CALCULATIONS!T175,CALCULATIONS!X175)</f>
        <v>SQ.M.per hour</v>
      </c>
      <c r="G175" s="38">
        <f>IFERROR(1/CALCULATIONS!W175,0)</f>
        <v>3.846153846</v>
      </c>
      <c r="H175" s="36" t="str">
        <f>CONCATENATE(CALCULATIONS!T175,CALCULATIONS!X175)</f>
        <v>SQ.M.per hour</v>
      </c>
      <c r="I175" s="39">
        <f>CALCULATIONS!U175*$I$2</f>
        <v>37.55555556</v>
      </c>
      <c r="J175" s="40" t="str">
        <f>CONCATENATE(CALCULATIONS!Y175,CALCULATIONS!T175)</f>
        <v>per SQ.M.</v>
      </c>
      <c r="K175" s="39">
        <f>CALCULATIONS!V175*$I$2</f>
        <v>18.77777778</v>
      </c>
      <c r="L175" s="40" t="str">
        <f>CONCATENATE(CALCULATIONS!Y175,CALCULATIONS!T175)</f>
        <v>per SQ.M.</v>
      </c>
      <c r="M175" s="39">
        <f>CALCULATIONS!W175*$I$2</f>
        <v>15.25694444</v>
      </c>
      <c r="N175" s="41" t="str">
        <f>CONCATENATE(CALCULATIONS!Y175,CALCULATIONS!T175)</f>
        <v>per SQ.M.</v>
      </c>
    </row>
    <row r="176" ht="12.75" customHeight="1">
      <c r="B176" s="44" t="s">
        <v>177</v>
      </c>
      <c r="C176" s="35">
        <f>IFERROR(1/CALCULATIONS!U176,0)</f>
        <v>0.4166666667</v>
      </c>
      <c r="D176" s="36" t="str">
        <f>CONCATENATE(CALCULATIONS!T176,CALCULATIONS!X176)</f>
        <v>SQ.M.per hour</v>
      </c>
      <c r="E176" s="35">
        <f>IFERROR(1/CALCULATIONS!V176,0)</f>
        <v>0.8333333333</v>
      </c>
      <c r="F176" s="37" t="str">
        <f>CONCATENATE(CALCULATIONS!T176,CALCULATIONS!X176)</f>
        <v>SQ.M.per hour</v>
      </c>
      <c r="G176" s="38">
        <f>IFERROR(1/CALCULATIONS!W176,0)</f>
        <v>1.041666667</v>
      </c>
      <c r="H176" s="36" t="str">
        <f>CONCATENATE(CALCULATIONS!T176,CALCULATIONS!X176)</f>
        <v>SQ.M.per hour</v>
      </c>
      <c r="I176" s="39">
        <f>CALCULATIONS!U176*$I$2</f>
        <v>140.8333333</v>
      </c>
      <c r="J176" s="40" t="str">
        <f>CONCATENATE(CALCULATIONS!Y176,CALCULATIONS!T176)</f>
        <v>per SQ.M.</v>
      </c>
      <c r="K176" s="39">
        <f>CALCULATIONS!V176*$I$2</f>
        <v>70.41666667</v>
      </c>
      <c r="L176" s="40" t="str">
        <f>CONCATENATE(CALCULATIONS!Y176,CALCULATIONS!T176)</f>
        <v>per SQ.M.</v>
      </c>
      <c r="M176" s="39">
        <f>CALCULATIONS!W176*$I$2</f>
        <v>56.33333333</v>
      </c>
      <c r="N176" s="41" t="str">
        <f>CONCATENATE(CALCULATIONS!Y176,CALCULATIONS!T176)</f>
        <v>per SQ.M.</v>
      </c>
    </row>
    <row r="177" ht="12.75" customHeight="1">
      <c r="B177" s="44" t="s">
        <v>178</v>
      </c>
      <c r="C177" s="35">
        <f>IFERROR(1/CALCULATIONS!U177,0)</f>
        <v>1.5625</v>
      </c>
      <c r="D177" s="36" t="str">
        <f>CONCATENATE(CALCULATIONS!T177,CALCULATIONS!X177)</f>
        <v>SQ.M.per hour</v>
      </c>
      <c r="E177" s="35">
        <f>IFERROR(1/CALCULATIONS!V177,0)</f>
        <v>3.125</v>
      </c>
      <c r="F177" s="37" t="str">
        <f>CONCATENATE(CALCULATIONS!T177,CALCULATIONS!X177)</f>
        <v>SQ.M.per hour</v>
      </c>
      <c r="G177" s="38">
        <f>IFERROR(1/CALCULATIONS!W177,0)</f>
        <v>3.846153846</v>
      </c>
      <c r="H177" s="36" t="str">
        <f>CONCATENATE(CALCULATIONS!T177,CALCULATIONS!X177)</f>
        <v>SQ.M.per hour</v>
      </c>
      <c r="I177" s="39">
        <f>CALCULATIONS!U177*$I$2</f>
        <v>37.55555556</v>
      </c>
      <c r="J177" s="40" t="str">
        <f>CONCATENATE(CALCULATIONS!Y177,CALCULATIONS!T177)</f>
        <v>per SQ.M.</v>
      </c>
      <c r="K177" s="39">
        <f>CALCULATIONS!V177*$I$2</f>
        <v>18.77777778</v>
      </c>
      <c r="L177" s="40" t="str">
        <f>CONCATENATE(CALCULATIONS!Y177,CALCULATIONS!T177)</f>
        <v>per SQ.M.</v>
      </c>
      <c r="M177" s="39">
        <f>CALCULATIONS!W177*$I$2</f>
        <v>15.25694444</v>
      </c>
      <c r="N177" s="41" t="str">
        <f>CONCATENATE(CALCULATIONS!Y177,CALCULATIONS!T177)</f>
        <v>per SQ.M.</v>
      </c>
    </row>
    <row r="178" ht="12.75" customHeight="1">
      <c r="B178" s="44" t="s">
        <v>179</v>
      </c>
      <c r="C178" s="35">
        <f>IFERROR(1/CALCULATIONS!U178,0)</f>
        <v>1.19047619</v>
      </c>
      <c r="D178" s="36" t="str">
        <f>CONCATENATE(CALCULATIONS!T178,CALCULATIONS!X178)</f>
        <v>SQ.M.per hour</v>
      </c>
      <c r="E178" s="35">
        <f>IFERROR(1/CALCULATIONS!V178,0)</f>
        <v>2.380952381</v>
      </c>
      <c r="F178" s="37" t="str">
        <f>CONCATENATE(CALCULATIONS!T178,CALCULATIONS!X178)</f>
        <v>SQ.M.per hour</v>
      </c>
      <c r="G178" s="38">
        <f>IFERROR(1/CALCULATIONS!W178,0)</f>
        <v>2.941176471</v>
      </c>
      <c r="H178" s="36" t="str">
        <f>CONCATENATE(CALCULATIONS!T178,CALCULATIONS!X178)</f>
        <v>SQ.M.per hour</v>
      </c>
      <c r="I178" s="39">
        <f>CALCULATIONS!U178*$I$2</f>
        <v>49.29166667</v>
      </c>
      <c r="J178" s="40" t="str">
        <f>CONCATENATE(CALCULATIONS!Y178,CALCULATIONS!T178)</f>
        <v>per SQ.M.</v>
      </c>
      <c r="K178" s="39">
        <f>CALCULATIONS!V178*$I$2</f>
        <v>24.64583333</v>
      </c>
      <c r="L178" s="40" t="str">
        <f>CONCATENATE(CALCULATIONS!Y178,CALCULATIONS!T178)</f>
        <v>per SQ.M.</v>
      </c>
      <c r="M178" s="39">
        <f>CALCULATIONS!W178*$I$2</f>
        <v>19.95138889</v>
      </c>
      <c r="N178" s="41" t="str">
        <f>CONCATENATE(CALCULATIONS!Y178,CALCULATIONS!T178)</f>
        <v>per SQ.M.</v>
      </c>
    </row>
    <row r="179" ht="12.75" customHeight="1">
      <c r="B179" s="44" t="s">
        <v>180</v>
      </c>
      <c r="C179" s="35">
        <f>IFERROR(1/CALCULATIONS!U179,0)</f>
        <v>0.9615384615</v>
      </c>
      <c r="D179" s="36" t="str">
        <f>CONCATENATE(CALCULATIONS!T179,CALCULATIONS!X179)</f>
        <v>SQ.M.per hour</v>
      </c>
      <c r="E179" s="35">
        <f>IFERROR(1/CALCULATIONS!V179,0)</f>
        <v>1.923076923</v>
      </c>
      <c r="F179" s="37" t="str">
        <f>CONCATENATE(CALCULATIONS!T179,CALCULATIONS!X179)</f>
        <v>SQ.M.per hour</v>
      </c>
      <c r="G179" s="38">
        <f>IFERROR(1/CALCULATIONS!W179,0)</f>
        <v>2.380952381</v>
      </c>
      <c r="H179" s="36" t="str">
        <f>CONCATENATE(CALCULATIONS!T179,CALCULATIONS!X179)</f>
        <v>SQ.M.per hour</v>
      </c>
      <c r="I179" s="39">
        <f>CALCULATIONS!U179*$I$2</f>
        <v>61.02777778</v>
      </c>
      <c r="J179" s="40" t="str">
        <f>CONCATENATE(CALCULATIONS!Y179,CALCULATIONS!T179)</f>
        <v>per SQ.M.</v>
      </c>
      <c r="K179" s="39">
        <f>CALCULATIONS!V179*$I$2</f>
        <v>30.51388889</v>
      </c>
      <c r="L179" s="40" t="str">
        <f>CONCATENATE(CALCULATIONS!Y179,CALCULATIONS!T179)</f>
        <v>per SQ.M.</v>
      </c>
      <c r="M179" s="39">
        <f>CALCULATIONS!W179*$I$2</f>
        <v>24.64583333</v>
      </c>
      <c r="N179" s="41" t="str">
        <f>CONCATENATE(CALCULATIONS!Y179,CALCULATIONS!T179)</f>
        <v>per SQ.M.</v>
      </c>
    </row>
    <row r="180" ht="12.75" customHeight="1">
      <c r="B180" s="44" t="s">
        <v>181</v>
      </c>
      <c r="C180" s="35">
        <f>IFERROR(1/CALCULATIONS!U180,0)</f>
        <v>0.8333333333</v>
      </c>
      <c r="D180" s="36" t="str">
        <f>CONCATENATE(CALCULATIONS!T180,CALCULATIONS!X180)</f>
        <v>CU.M.per hour</v>
      </c>
      <c r="E180" s="35">
        <f>IFERROR(1/CALCULATIONS!V180,0)</f>
        <v>1.666666667</v>
      </c>
      <c r="F180" s="37" t="str">
        <f>CONCATENATE(CALCULATIONS!T180,CALCULATIONS!X180)</f>
        <v>CU.M.per hour</v>
      </c>
      <c r="G180" s="38">
        <f>IFERROR(1/CALCULATIONS!W180,0)</f>
        <v>2.083333333</v>
      </c>
      <c r="H180" s="36" t="str">
        <f>CONCATENATE(CALCULATIONS!T180,CALCULATIONS!X180)</f>
        <v>CU.M.per hour</v>
      </c>
      <c r="I180" s="39">
        <f>CALCULATIONS!U180*$I$2</f>
        <v>70.41666667</v>
      </c>
      <c r="J180" s="40" t="str">
        <f>CONCATENATE(CALCULATIONS!Y180,CALCULATIONS!T180)</f>
        <v>per CU.M.</v>
      </c>
      <c r="K180" s="39">
        <f>CALCULATIONS!V180*$I$2</f>
        <v>35.20833333</v>
      </c>
      <c r="L180" s="40" t="str">
        <f>CONCATENATE(CALCULATIONS!Y180,CALCULATIONS!T180)</f>
        <v>per CU.M.</v>
      </c>
      <c r="M180" s="39">
        <f>CALCULATIONS!W180*$I$2</f>
        <v>28.16666667</v>
      </c>
      <c r="N180" s="41" t="str">
        <f>CONCATENATE(CALCULATIONS!Y180,CALCULATIONS!T180)</f>
        <v>per CU.M.</v>
      </c>
    </row>
    <row r="181" ht="12.75" customHeight="1">
      <c r="B181" s="44" t="s">
        <v>182</v>
      </c>
      <c r="C181" s="35">
        <f>IFERROR(1/CALCULATIONS!U181,0)</f>
        <v>0</v>
      </c>
      <c r="D181" s="36" t="str">
        <f>CONCATENATE(CALCULATIONS!T181,CALCULATIONS!X181)</f>
        <v/>
      </c>
      <c r="E181" s="35">
        <f>IFERROR(1/CALCULATIONS!V181,0)</f>
        <v>0</v>
      </c>
      <c r="F181" s="37" t="str">
        <f>CONCATENATE(CALCULATIONS!T181,CALCULATIONS!X181)</f>
        <v/>
      </c>
      <c r="G181" s="38">
        <f>IFERROR(1/CALCULATIONS!W181,0)</f>
        <v>0</v>
      </c>
      <c r="H181" s="36" t="str">
        <f>CONCATENATE(CALCULATIONS!T181,CALCULATIONS!X181)</f>
        <v/>
      </c>
      <c r="I181" s="39">
        <f>CALCULATIONS!U181*$I$2</f>
        <v>0</v>
      </c>
      <c r="J181" s="40" t="str">
        <f>CONCATENATE(CALCULATIONS!Y181,CALCULATIONS!T181)</f>
        <v/>
      </c>
      <c r="K181" s="39">
        <f>CALCULATIONS!V181*$I$2</f>
        <v>0</v>
      </c>
      <c r="L181" s="40" t="str">
        <f>CONCATENATE(CALCULATIONS!Y181,CALCULATIONS!T181)</f>
        <v/>
      </c>
      <c r="M181" s="39">
        <f>CALCULATIONS!W181*$I$2</f>
        <v>0</v>
      </c>
      <c r="N181" s="41" t="str">
        <f>CONCATENATE(CALCULATIONS!Y181,CALCULATIONS!T181)</f>
        <v/>
      </c>
    </row>
    <row r="182" ht="12.75" customHeight="1">
      <c r="B182" s="44" t="s">
        <v>166</v>
      </c>
      <c r="C182" s="35">
        <f>IFERROR(1/CALCULATIONS!U182,0)</f>
        <v>1.19047619</v>
      </c>
      <c r="D182" s="36" t="str">
        <f>CONCATENATE(CALCULATIONS!T182,CALCULATIONS!X182)</f>
        <v>SQ.M.per hour</v>
      </c>
      <c r="E182" s="35">
        <f>IFERROR(1/CALCULATIONS!V182,0)</f>
        <v>2.380952381</v>
      </c>
      <c r="F182" s="37" t="str">
        <f>CONCATENATE(CALCULATIONS!T182,CALCULATIONS!X182)</f>
        <v>SQ.M.per hour</v>
      </c>
      <c r="G182" s="38">
        <f>IFERROR(1/CALCULATIONS!W182,0)</f>
        <v>2.941176471</v>
      </c>
      <c r="H182" s="36" t="str">
        <f>CONCATENATE(CALCULATIONS!T182,CALCULATIONS!X182)</f>
        <v>SQ.M.per hour</v>
      </c>
      <c r="I182" s="39">
        <f>CALCULATIONS!U182*$I$2</f>
        <v>49.29166667</v>
      </c>
      <c r="J182" s="40" t="str">
        <f>CONCATENATE(CALCULATIONS!Y182,CALCULATIONS!T182)</f>
        <v>per SQ.M.</v>
      </c>
      <c r="K182" s="39">
        <f>CALCULATIONS!V182*$I$2</f>
        <v>24.64583333</v>
      </c>
      <c r="L182" s="40" t="str">
        <f>CONCATENATE(CALCULATIONS!Y182,CALCULATIONS!T182)</f>
        <v>per SQ.M.</v>
      </c>
      <c r="M182" s="39">
        <f>CALCULATIONS!W182*$I$2</f>
        <v>19.95138889</v>
      </c>
      <c r="N182" s="41" t="str">
        <f>CONCATENATE(CALCULATIONS!Y182,CALCULATIONS!T182)</f>
        <v>per SQ.M.</v>
      </c>
    </row>
    <row r="183" ht="12.75" customHeight="1">
      <c r="B183" s="44" t="s">
        <v>183</v>
      </c>
      <c r="C183" s="35">
        <f>IFERROR(1/CALCULATIONS!U183,0)</f>
        <v>2.5</v>
      </c>
      <c r="D183" s="36" t="str">
        <f>CONCATENATE(CALCULATIONS!T183,CALCULATIONS!X183)</f>
        <v>SQ.M.per hour</v>
      </c>
      <c r="E183" s="35">
        <f>IFERROR(1/CALCULATIONS!V183,0)</f>
        <v>5</v>
      </c>
      <c r="F183" s="37" t="str">
        <f>CONCATENATE(CALCULATIONS!T183,CALCULATIONS!X183)</f>
        <v>SQ.M.per hour</v>
      </c>
      <c r="G183" s="38">
        <f>IFERROR(1/CALCULATIONS!W183,0)</f>
        <v>6.25</v>
      </c>
      <c r="H183" s="36" t="str">
        <f>CONCATENATE(CALCULATIONS!T183,CALCULATIONS!X183)</f>
        <v>SQ.M.per hour</v>
      </c>
      <c r="I183" s="39">
        <f>CALCULATIONS!U183*$I$2</f>
        <v>23.47222222</v>
      </c>
      <c r="J183" s="40" t="str">
        <f>CONCATENATE(CALCULATIONS!Y183,CALCULATIONS!T183)</f>
        <v>per SQ.M.</v>
      </c>
      <c r="K183" s="39">
        <f>CALCULATIONS!V183*$I$2</f>
        <v>11.73611111</v>
      </c>
      <c r="L183" s="40" t="str">
        <f>CONCATENATE(CALCULATIONS!Y183,CALCULATIONS!T183)</f>
        <v>per SQ.M.</v>
      </c>
      <c r="M183" s="39">
        <f>CALCULATIONS!W183*$I$2</f>
        <v>9.388888889</v>
      </c>
      <c r="N183" s="41" t="str">
        <f>CONCATENATE(CALCULATIONS!Y183,CALCULATIONS!T183)</f>
        <v>per SQ.M.</v>
      </c>
    </row>
    <row r="184" ht="12.75" customHeight="1">
      <c r="B184" s="44" t="s">
        <v>184</v>
      </c>
      <c r="C184" s="35">
        <f>IFERROR(1/CALCULATIONS!U184,0)</f>
        <v>2.5</v>
      </c>
      <c r="D184" s="36" t="str">
        <f>CONCATENATE(CALCULATIONS!T184,CALCULATIONS!X184)</f>
        <v>SQ.M.per hour</v>
      </c>
      <c r="E184" s="35">
        <f>IFERROR(1/CALCULATIONS!V184,0)</f>
        <v>5</v>
      </c>
      <c r="F184" s="37" t="str">
        <f>CONCATENATE(CALCULATIONS!T184,CALCULATIONS!X184)</f>
        <v>SQ.M.per hour</v>
      </c>
      <c r="G184" s="38">
        <f>IFERROR(1/CALCULATIONS!W184,0)</f>
        <v>6.25</v>
      </c>
      <c r="H184" s="36" t="str">
        <f>CONCATENATE(CALCULATIONS!T184,CALCULATIONS!X184)</f>
        <v>SQ.M.per hour</v>
      </c>
      <c r="I184" s="39">
        <f>CALCULATIONS!U184*$I$2</f>
        <v>23.47222222</v>
      </c>
      <c r="J184" s="40" t="str">
        <f>CONCATENATE(CALCULATIONS!Y184,CALCULATIONS!T184)</f>
        <v>per SQ.M.</v>
      </c>
      <c r="K184" s="39">
        <f>CALCULATIONS!V184*$I$2</f>
        <v>11.73611111</v>
      </c>
      <c r="L184" s="40" t="str">
        <f>CONCATENATE(CALCULATIONS!Y184,CALCULATIONS!T184)</f>
        <v>per SQ.M.</v>
      </c>
      <c r="M184" s="39">
        <f>CALCULATIONS!W184*$I$2</f>
        <v>9.388888889</v>
      </c>
      <c r="N184" s="41" t="str">
        <f>CONCATENATE(CALCULATIONS!Y184,CALCULATIONS!T184)</f>
        <v>per SQ.M.</v>
      </c>
    </row>
    <row r="185" ht="12.75" customHeight="1">
      <c r="B185" s="44" t="s">
        <v>185</v>
      </c>
      <c r="C185" s="35">
        <f>IFERROR(1/CALCULATIONS!U185,0)</f>
        <v>0</v>
      </c>
      <c r="D185" s="36" t="str">
        <f>CONCATENATE(CALCULATIONS!T185,CALCULATIONS!X185)</f>
        <v/>
      </c>
      <c r="E185" s="35">
        <f>IFERROR(1/CALCULATIONS!V185,0)</f>
        <v>0</v>
      </c>
      <c r="F185" s="37" t="str">
        <f>CONCATENATE(CALCULATIONS!T185,CALCULATIONS!X185)</f>
        <v/>
      </c>
      <c r="G185" s="38">
        <f>IFERROR(1/CALCULATIONS!W185,0)</f>
        <v>0</v>
      </c>
      <c r="H185" s="36" t="str">
        <f>CONCATENATE(CALCULATIONS!T185,CALCULATIONS!X185)</f>
        <v/>
      </c>
      <c r="I185" s="39">
        <f>CALCULATIONS!U185*$I$2</f>
        <v>0</v>
      </c>
      <c r="J185" s="40" t="str">
        <f>CONCATENATE(CALCULATIONS!Y185,CALCULATIONS!T185)</f>
        <v/>
      </c>
      <c r="K185" s="39">
        <f>CALCULATIONS!V185*$I$2</f>
        <v>0</v>
      </c>
      <c r="L185" s="40" t="str">
        <f>CONCATENATE(CALCULATIONS!Y185,CALCULATIONS!T185)</f>
        <v/>
      </c>
      <c r="M185" s="39">
        <f>CALCULATIONS!W185*$I$2</f>
        <v>0</v>
      </c>
      <c r="N185" s="41" t="str">
        <f>CONCATENATE(CALCULATIONS!Y185,CALCULATIONS!T185)</f>
        <v/>
      </c>
    </row>
    <row r="186" ht="12.75" customHeight="1">
      <c r="B186" s="44" t="s">
        <v>186</v>
      </c>
      <c r="C186" s="35">
        <f>IFERROR(1/CALCULATIONS!U186,0)</f>
        <v>1.19047619</v>
      </c>
      <c r="D186" s="36" t="str">
        <f>CONCATENATE(CALCULATIONS!T186,CALCULATIONS!X186)</f>
        <v>SQ.M.per hour</v>
      </c>
      <c r="E186" s="35">
        <f>IFERROR(1/CALCULATIONS!V186,0)</f>
        <v>2.380952381</v>
      </c>
      <c r="F186" s="37" t="str">
        <f>CONCATENATE(CALCULATIONS!T186,CALCULATIONS!X186)</f>
        <v>SQ.M.per hour</v>
      </c>
      <c r="G186" s="38">
        <f>IFERROR(1/CALCULATIONS!W186,0)</f>
        <v>2.941176471</v>
      </c>
      <c r="H186" s="36" t="str">
        <f>CONCATENATE(CALCULATIONS!T186,CALCULATIONS!X186)</f>
        <v>SQ.M.per hour</v>
      </c>
      <c r="I186" s="39">
        <f>CALCULATIONS!U186*$I$2</f>
        <v>49.29166667</v>
      </c>
      <c r="J186" s="40" t="str">
        <f>CONCATENATE(CALCULATIONS!Y186,CALCULATIONS!T186)</f>
        <v>per SQ.M.</v>
      </c>
      <c r="K186" s="39">
        <f>CALCULATIONS!V186*$I$2</f>
        <v>24.64583333</v>
      </c>
      <c r="L186" s="40" t="str">
        <f>CONCATENATE(CALCULATIONS!Y186,CALCULATIONS!T186)</f>
        <v>per SQ.M.</v>
      </c>
      <c r="M186" s="39">
        <f>CALCULATIONS!W186*$I$2</f>
        <v>19.95138889</v>
      </c>
      <c r="N186" s="41" t="str">
        <f>CONCATENATE(CALCULATIONS!Y186,CALCULATIONS!T186)</f>
        <v>per SQ.M.</v>
      </c>
    </row>
    <row r="187" ht="12.75" customHeight="1">
      <c r="B187" s="44" t="s">
        <v>187</v>
      </c>
      <c r="C187" s="35">
        <f>IFERROR(1/CALCULATIONS!U187,0)</f>
        <v>0.119047619</v>
      </c>
      <c r="D187" s="36" t="str">
        <f>CONCATENATE(CALCULATIONS!T187,CALCULATIONS!X187)</f>
        <v>SQ.M.per hour</v>
      </c>
      <c r="E187" s="35">
        <f>IFERROR(1/CALCULATIONS!V187,0)</f>
        <v>0.2380952381</v>
      </c>
      <c r="F187" s="37" t="str">
        <f>CONCATENATE(CALCULATIONS!T187,CALCULATIONS!X187)</f>
        <v>SQ.M.per hour</v>
      </c>
      <c r="G187" s="38">
        <f>IFERROR(1/CALCULATIONS!W187,0)</f>
        <v>0.2976190476</v>
      </c>
      <c r="H187" s="36" t="str">
        <f>CONCATENATE(CALCULATIONS!T187,CALCULATIONS!X187)</f>
        <v>SQ.M.per hour</v>
      </c>
      <c r="I187" s="39">
        <f>CALCULATIONS!U187*$I$2</f>
        <v>492.9166667</v>
      </c>
      <c r="J187" s="40" t="str">
        <f>CONCATENATE(CALCULATIONS!Y187,CALCULATIONS!T187)</f>
        <v>per SQ.M.</v>
      </c>
      <c r="K187" s="39">
        <f>CALCULATIONS!V187*$I$2</f>
        <v>246.4583333</v>
      </c>
      <c r="L187" s="40" t="str">
        <f>CONCATENATE(CALCULATIONS!Y187,CALCULATIONS!T187)</f>
        <v>per SQ.M.</v>
      </c>
      <c r="M187" s="39">
        <f>CALCULATIONS!W187*$I$2</f>
        <v>197.1666667</v>
      </c>
      <c r="N187" s="41" t="str">
        <f>CONCATENATE(CALCULATIONS!Y187,CALCULATIONS!T187)</f>
        <v>per SQ.M.</v>
      </c>
    </row>
    <row r="188" ht="12.75" customHeight="1">
      <c r="B188" s="44" t="s">
        <v>188</v>
      </c>
      <c r="C188" s="35">
        <f>IFERROR(1/CALCULATIONS!U188,0)</f>
        <v>0</v>
      </c>
      <c r="D188" s="36" t="str">
        <f>CONCATENATE(CALCULATIONS!T188,CALCULATIONS!X188)</f>
        <v/>
      </c>
      <c r="E188" s="35">
        <f>IFERROR(1/CALCULATIONS!V188,0)</f>
        <v>0</v>
      </c>
      <c r="F188" s="37" t="str">
        <f>CONCATENATE(CALCULATIONS!T188,CALCULATIONS!X188)</f>
        <v/>
      </c>
      <c r="G188" s="38">
        <f>IFERROR(1/CALCULATIONS!W188,0)</f>
        <v>0</v>
      </c>
      <c r="H188" s="36" t="str">
        <f>CONCATENATE(CALCULATIONS!T188,CALCULATIONS!X188)</f>
        <v/>
      </c>
      <c r="I188" s="39">
        <f>CALCULATIONS!U188*$I$2</f>
        <v>0</v>
      </c>
      <c r="J188" s="40" t="str">
        <f>CONCATENATE(CALCULATIONS!Y188,CALCULATIONS!T188)</f>
        <v/>
      </c>
      <c r="K188" s="39">
        <f>CALCULATIONS!V188*$I$2</f>
        <v>0</v>
      </c>
      <c r="L188" s="40" t="str">
        <f>CONCATENATE(CALCULATIONS!Y188,CALCULATIONS!T188)</f>
        <v/>
      </c>
      <c r="M188" s="39">
        <f>CALCULATIONS!W188*$I$2</f>
        <v>0</v>
      </c>
      <c r="N188" s="41" t="str">
        <f>CONCATENATE(CALCULATIONS!Y188,CALCULATIONS!T188)</f>
        <v/>
      </c>
    </row>
    <row r="189" ht="12.75" customHeight="1">
      <c r="B189" s="44" t="s">
        <v>189</v>
      </c>
      <c r="C189" s="35">
        <f>IFERROR(1/CALCULATIONS!U189,0)</f>
        <v>1.5625</v>
      </c>
      <c r="D189" s="36" t="str">
        <f>CONCATENATE(CALCULATIONS!T189,CALCULATIONS!X189)</f>
        <v>SQ.M.per hour</v>
      </c>
      <c r="E189" s="35">
        <f>IFERROR(1/CALCULATIONS!V189,0)</f>
        <v>3.125</v>
      </c>
      <c r="F189" s="37" t="str">
        <f>CONCATENATE(CALCULATIONS!T189,CALCULATIONS!X189)</f>
        <v>SQ.M.per hour</v>
      </c>
      <c r="G189" s="38">
        <f>IFERROR(1/CALCULATIONS!W189,0)</f>
        <v>3.846153846</v>
      </c>
      <c r="H189" s="36" t="str">
        <f>CONCATENATE(CALCULATIONS!T189,CALCULATIONS!X189)</f>
        <v>SQ.M.per hour</v>
      </c>
      <c r="I189" s="39">
        <f>CALCULATIONS!U189*$I$2</f>
        <v>37.55555556</v>
      </c>
      <c r="J189" s="40" t="str">
        <f>CONCATENATE(CALCULATIONS!Y189,CALCULATIONS!T189)</f>
        <v>per SQ.M.</v>
      </c>
      <c r="K189" s="39">
        <f>CALCULATIONS!V189*$I$2</f>
        <v>18.77777778</v>
      </c>
      <c r="L189" s="40" t="str">
        <f>CONCATENATE(CALCULATIONS!Y189,CALCULATIONS!T189)</f>
        <v>per SQ.M.</v>
      </c>
      <c r="M189" s="39">
        <f>CALCULATIONS!W189*$I$2</f>
        <v>15.25694444</v>
      </c>
      <c r="N189" s="41" t="str">
        <f>CONCATENATE(CALCULATIONS!Y189,CALCULATIONS!T189)</f>
        <v>per SQ.M.</v>
      </c>
    </row>
    <row r="190" ht="12.75" customHeight="1">
      <c r="B190" s="44" t="s">
        <v>190</v>
      </c>
      <c r="C190" s="35">
        <f>IFERROR(1/CALCULATIONS!U190,0)</f>
        <v>1.19047619</v>
      </c>
      <c r="D190" s="36" t="str">
        <f>CONCATENATE(CALCULATIONS!T190,CALCULATIONS!X190)</f>
        <v>SQ.M.per hour</v>
      </c>
      <c r="E190" s="35">
        <f>IFERROR(1/CALCULATIONS!V190,0)</f>
        <v>2.380952381</v>
      </c>
      <c r="F190" s="37" t="str">
        <f>CONCATENATE(CALCULATIONS!T190,CALCULATIONS!X190)</f>
        <v>SQ.M.per hour</v>
      </c>
      <c r="G190" s="38">
        <f>IFERROR(1/CALCULATIONS!W190,0)</f>
        <v>2.941176471</v>
      </c>
      <c r="H190" s="36" t="str">
        <f>CONCATENATE(CALCULATIONS!T190,CALCULATIONS!X190)</f>
        <v>SQ.M.per hour</v>
      </c>
      <c r="I190" s="39">
        <f>CALCULATIONS!U190*$I$2</f>
        <v>49.29166667</v>
      </c>
      <c r="J190" s="40" t="str">
        <f>CONCATENATE(CALCULATIONS!Y190,CALCULATIONS!T190)</f>
        <v>per SQ.M.</v>
      </c>
      <c r="K190" s="39">
        <f>CALCULATIONS!V190*$I$2</f>
        <v>24.64583333</v>
      </c>
      <c r="L190" s="40" t="str">
        <f>CONCATENATE(CALCULATIONS!Y190,CALCULATIONS!T190)</f>
        <v>per SQ.M.</v>
      </c>
      <c r="M190" s="39">
        <f>CALCULATIONS!W190*$I$2</f>
        <v>19.95138889</v>
      </c>
      <c r="N190" s="41" t="str">
        <f>CONCATENATE(CALCULATIONS!Y190,CALCULATIONS!T190)</f>
        <v>per SQ.M.</v>
      </c>
    </row>
    <row r="191" ht="12.75" customHeight="1">
      <c r="B191" s="44" t="s">
        <v>191</v>
      </c>
      <c r="C191" s="35">
        <f>IFERROR(1/CALCULATIONS!U191,0)</f>
        <v>0.9615384615</v>
      </c>
      <c r="D191" s="36" t="str">
        <f>CONCATENATE(CALCULATIONS!T191,CALCULATIONS!X191)</f>
        <v>SQ.M.per hour</v>
      </c>
      <c r="E191" s="35">
        <f>IFERROR(1/CALCULATIONS!V191,0)</f>
        <v>1.923076923</v>
      </c>
      <c r="F191" s="37" t="str">
        <f>CONCATENATE(CALCULATIONS!T191,CALCULATIONS!X191)</f>
        <v>SQ.M.per hour</v>
      </c>
      <c r="G191" s="38">
        <f>IFERROR(1/CALCULATIONS!W191,0)</f>
        <v>2.380952381</v>
      </c>
      <c r="H191" s="36" t="str">
        <f>CONCATENATE(CALCULATIONS!T191,CALCULATIONS!X191)</f>
        <v>SQ.M.per hour</v>
      </c>
      <c r="I191" s="39">
        <f>CALCULATIONS!U191*$I$2</f>
        <v>61.02777778</v>
      </c>
      <c r="J191" s="40" t="str">
        <f>CONCATENATE(CALCULATIONS!Y191,CALCULATIONS!T191)</f>
        <v>per SQ.M.</v>
      </c>
      <c r="K191" s="39">
        <f>CALCULATIONS!V191*$I$2</f>
        <v>30.51388889</v>
      </c>
      <c r="L191" s="40" t="str">
        <f>CONCATENATE(CALCULATIONS!Y191,CALCULATIONS!T191)</f>
        <v>per SQ.M.</v>
      </c>
      <c r="M191" s="39">
        <f>CALCULATIONS!W191*$I$2</f>
        <v>24.64583333</v>
      </c>
      <c r="N191" s="41" t="str">
        <f>CONCATENATE(CALCULATIONS!Y191,CALCULATIONS!T191)</f>
        <v>per SQ.M.</v>
      </c>
    </row>
    <row r="192" ht="12.75" customHeight="1">
      <c r="B192" s="44" t="s">
        <v>192</v>
      </c>
      <c r="C192" s="35">
        <f>IFERROR(1/CALCULATIONS!U192,0)</f>
        <v>0</v>
      </c>
      <c r="D192" s="36" t="str">
        <f>CONCATENATE(CALCULATIONS!T192,CALCULATIONS!X192)</f>
        <v/>
      </c>
      <c r="E192" s="35">
        <f>IFERROR(1/CALCULATIONS!V192,0)</f>
        <v>0</v>
      </c>
      <c r="F192" s="37" t="str">
        <f>CONCATENATE(CALCULATIONS!T192,CALCULATIONS!X192)</f>
        <v/>
      </c>
      <c r="G192" s="38">
        <f>IFERROR(1/CALCULATIONS!W192,0)</f>
        <v>0</v>
      </c>
      <c r="H192" s="36" t="str">
        <f>CONCATENATE(CALCULATIONS!T192,CALCULATIONS!X192)</f>
        <v/>
      </c>
      <c r="I192" s="39">
        <f>CALCULATIONS!U192*$I$2</f>
        <v>0</v>
      </c>
      <c r="J192" s="40" t="str">
        <f>CONCATENATE(CALCULATIONS!Y192,CALCULATIONS!T192)</f>
        <v/>
      </c>
      <c r="K192" s="39">
        <f>CALCULATIONS!V192*$I$2</f>
        <v>0</v>
      </c>
      <c r="L192" s="40" t="str">
        <f>CONCATENATE(CALCULATIONS!Y192,CALCULATIONS!T192)</f>
        <v/>
      </c>
      <c r="M192" s="39">
        <f>CALCULATIONS!W192*$I$2</f>
        <v>0</v>
      </c>
      <c r="N192" s="41" t="str">
        <f>CONCATENATE(CALCULATIONS!Y192,CALCULATIONS!T192)</f>
        <v/>
      </c>
    </row>
    <row r="193" ht="12.75" customHeight="1">
      <c r="B193" s="44" t="s">
        <v>193</v>
      </c>
      <c r="C193" s="35">
        <f>IFERROR(1/CALCULATIONS!U193,0)</f>
        <v>0.7142857143</v>
      </c>
      <c r="D193" s="36" t="str">
        <f>CONCATENATE(CALCULATIONS!T193,CALCULATIONS!X193)</f>
        <v>CU.M.per hour</v>
      </c>
      <c r="E193" s="35">
        <f>IFERROR(1/CALCULATIONS!V193,0)</f>
        <v>1.428571429</v>
      </c>
      <c r="F193" s="37" t="str">
        <f>CONCATENATE(CALCULATIONS!T193,CALCULATIONS!X193)</f>
        <v>CU.M.per hour</v>
      </c>
      <c r="G193" s="38">
        <f>IFERROR(1/CALCULATIONS!W193,0)</f>
        <v>1.785714286</v>
      </c>
      <c r="H193" s="36" t="str">
        <f>CONCATENATE(CALCULATIONS!T193,CALCULATIONS!X193)</f>
        <v>CU.M.per hour</v>
      </c>
      <c r="I193" s="39">
        <f>CALCULATIONS!U193*$I$2</f>
        <v>82.15277778</v>
      </c>
      <c r="J193" s="40" t="str">
        <f>CONCATENATE(CALCULATIONS!Y193,CALCULATIONS!T193)</f>
        <v>per CU.M.</v>
      </c>
      <c r="K193" s="39">
        <f>CALCULATIONS!V193*$I$2</f>
        <v>41.07638889</v>
      </c>
      <c r="L193" s="40" t="str">
        <f>CONCATENATE(CALCULATIONS!Y193,CALCULATIONS!T193)</f>
        <v>per CU.M.</v>
      </c>
      <c r="M193" s="39">
        <f>CALCULATIONS!W193*$I$2</f>
        <v>32.86111111</v>
      </c>
      <c r="N193" s="41" t="str">
        <f>CONCATENATE(CALCULATIONS!Y193,CALCULATIONS!T193)</f>
        <v>per CU.M.</v>
      </c>
    </row>
    <row r="194" ht="12.75" customHeight="1">
      <c r="B194" s="44" t="s">
        <v>194</v>
      </c>
      <c r="C194" s="35">
        <f>IFERROR(1/CALCULATIONS!U194,0)</f>
        <v>2.5</v>
      </c>
      <c r="D194" s="36" t="str">
        <f>CONCATENATE(CALCULATIONS!T194,CALCULATIONS!X194)</f>
        <v>SQ.M.per hour</v>
      </c>
      <c r="E194" s="35">
        <f>IFERROR(1/CALCULATIONS!V194,0)</f>
        <v>5</v>
      </c>
      <c r="F194" s="37" t="str">
        <f>CONCATENATE(CALCULATIONS!T194,CALCULATIONS!X194)</f>
        <v>SQ.M.per hour</v>
      </c>
      <c r="G194" s="38">
        <f>IFERROR(1/CALCULATIONS!W194,0)</f>
        <v>6.25</v>
      </c>
      <c r="H194" s="36" t="str">
        <f>CONCATENATE(CALCULATIONS!T194,CALCULATIONS!X194)</f>
        <v>SQ.M.per hour</v>
      </c>
      <c r="I194" s="39">
        <f>CALCULATIONS!U194*$I$2</f>
        <v>23.47222222</v>
      </c>
      <c r="J194" s="40" t="str">
        <f>CONCATENATE(CALCULATIONS!Y194,CALCULATIONS!T194)</f>
        <v>per SQ.M.</v>
      </c>
      <c r="K194" s="39">
        <f>CALCULATIONS!V194*$I$2</f>
        <v>11.73611111</v>
      </c>
      <c r="L194" s="40" t="str">
        <f>CONCATENATE(CALCULATIONS!Y194,CALCULATIONS!T194)</f>
        <v>per SQ.M.</v>
      </c>
      <c r="M194" s="39">
        <f>CALCULATIONS!W194*$I$2</f>
        <v>9.388888889</v>
      </c>
      <c r="N194" s="41" t="str">
        <f>CONCATENATE(CALCULATIONS!Y194,CALCULATIONS!T194)</f>
        <v>per SQ.M.</v>
      </c>
    </row>
    <row r="195" ht="12.75" customHeight="1">
      <c r="B195" s="44" t="s">
        <v>195</v>
      </c>
      <c r="C195" s="35">
        <f>IFERROR(1/CALCULATIONS!U195,0)</f>
        <v>0.25</v>
      </c>
      <c r="D195" s="36" t="str">
        <f>CONCATENATE(CALCULATIONS!T195,CALCULATIONS!X195)</f>
        <v>CU.M.per hour</v>
      </c>
      <c r="E195" s="35">
        <f>IFERROR(1/CALCULATIONS!V195,0)</f>
        <v>0.5</v>
      </c>
      <c r="F195" s="37" t="str">
        <f>CONCATENATE(CALCULATIONS!T195,CALCULATIONS!X195)</f>
        <v>CU.M.per hour</v>
      </c>
      <c r="G195" s="38">
        <f>IFERROR(1/CALCULATIONS!W195,0)</f>
        <v>0.625</v>
      </c>
      <c r="H195" s="36" t="str">
        <f>CONCATENATE(CALCULATIONS!T195,CALCULATIONS!X195)</f>
        <v>CU.M.per hour</v>
      </c>
      <c r="I195" s="39">
        <f>CALCULATIONS!U195*$I$2</f>
        <v>234.7222222</v>
      </c>
      <c r="J195" s="40" t="str">
        <f>CONCATENATE(CALCULATIONS!Y195,CALCULATIONS!T195)</f>
        <v>per CU.M.</v>
      </c>
      <c r="K195" s="39">
        <f>CALCULATIONS!V195*$I$2</f>
        <v>117.3611111</v>
      </c>
      <c r="L195" s="40" t="str">
        <f>CONCATENATE(CALCULATIONS!Y195,CALCULATIONS!T195)</f>
        <v>per CU.M.</v>
      </c>
      <c r="M195" s="39">
        <f>CALCULATIONS!W195*$I$2</f>
        <v>93.88888889</v>
      </c>
      <c r="N195" s="41" t="str">
        <f>CONCATENATE(CALCULATIONS!Y195,CALCULATIONS!T195)</f>
        <v>per CU.M.</v>
      </c>
    </row>
    <row r="196" ht="12.75" customHeight="1">
      <c r="B196" s="44" t="s">
        <v>196</v>
      </c>
      <c r="C196" s="35">
        <f>IFERROR(1/CALCULATIONS!U196,0)</f>
        <v>0</v>
      </c>
      <c r="D196" s="36" t="str">
        <f>CONCATENATE(CALCULATIONS!T196,CALCULATIONS!X196)</f>
        <v/>
      </c>
      <c r="E196" s="35">
        <f>IFERROR(1/CALCULATIONS!V196,0)</f>
        <v>0</v>
      </c>
      <c r="F196" s="37" t="str">
        <f>CONCATENATE(CALCULATIONS!T196,CALCULATIONS!X196)</f>
        <v/>
      </c>
      <c r="G196" s="38">
        <f>IFERROR(1/CALCULATIONS!W196,0)</f>
        <v>0</v>
      </c>
      <c r="H196" s="36" t="str">
        <f>CONCATENATE(CALCULATIONS!T196,CALCULATIONS!X196)</f>
        <v/>
      </c>
      <c r="I196" s="39">
        <f>CALCULATIONS!U196*$I$2</f>
        <v>0</v>
      </c>
      <c r="J196" s="40" t="str">
        <f>CONCATENATE(CALCULATIONS!Y196,CALCULATIONS!T196)</f>
        <v/>
      </c>
      <c r="K196" s="39">
        <f>CALCULATIONS!V196*$I$2</f>
        <v>0</v>
      </c>
      <c r="L196" s="40" t="str">
        <f>CONCATENATE(CALCULATIONS!Y196,CALCULATIONS!T196)</f>
        <v/>
      </c>
      <c r="M196" s="39">
        <f>CALCULATIONS!W196*$I$2</f>
        <v>0</v>
      </c>
      <c r="N196" s="41" t="str">
        <f>CONCATENATE(CALCULATIONS!Y196,CALCULATIONS!T196)</f>
        <v/>
      </c>
    </row>
    <row r="197" ht="12.75" customHeight="1">
      <c r="B197" s="44" t="s">
        <v>197</v>
      </c>
      <c r="C197" s="35">
        <f>IFERROR(1/CALCULATIONS!U197,0)</f>
        <v>0.0625</v>
      </c>
      <c r="D197" s="36" t="str">
        <f>CONCATENATE(CALCULATIONS!T197,CALCULATIONS!X197)</f>
        <v>CU.M.per hour</v>
      </c>
      <c r="E197" s="35">
        <f>IFERROR(1/CALCULATIONS!V197,0)</f>
        <v>0.125</v>
      </c>
      <c r="F197" s="37" t="str">
        <f>CONCATENATE(CALCULATIONS!T197,CALCULATIONS!X197)</f>
        <v>CU.M.per hour</v>
      </c>
      <c r="G197" s="38">
        <f>IFERROR(1/CALCULATIONS!W197,0)</f>
        <v>0.15625</v>
      </c>
      <c r="H197" s="36" t="str">
        <f>CONCATENATE(CALCULATIONS!T197,CALCULATIONS!X197)</f>
        <v>CU.M.per hour</v>
      </c>
      <c r="I197" s="39">
        <f>CALCULATIONS!U197*$I$2</f>
        <v>938.8888889</v>
      </c>
      <c r="J197" s="40" t="str">
        <f>CONCATENATE(CALCULATIONS!Y197,CALCULATIONS!T197)</f>
        <v>per CU.M.</v>
      </c>
      <c r="K197" s="39">
        <f>CALCULATIONS!V197*$I$2</f>
        <v>469.4444444</v>
      </c>
      <c r="L197" s="40" t="str">
        <f>CONCATENATE(CALCULATIONS!Y197,CALCULATIONS!T197)</f>
        <v>per CU.M.</v>
      </c>
      <c r="M197" s="39">
        <f>CALCULATIONS!W197*$I$2</f>
        <v>375.5555556</v>
      </c>
      <c r="N197" s="41" t="str">
        <f>CONCATENATE(CALCULATIONS!Y197,CALCULATIONS!T197)</f>
        <v>per CU.M.</v>
      </c>
    </row>
    <row r="198" ht="12.75" customHeight="1">
      <c r="B198" s="44" t="s">
        <v>198</v>
      </c>
      <c r="C198" s="35">
        <f>IFERROR(1/CALCULATIONS!U198,0)</f>
        <v>0.3816793893</v>
      </c>
      <c r="D198" s="36" t="str">
        <f>CONCATENATE(CALCULATIONS!T198,CALCULATIONS!X198)</f>
        <v>CU.M.per hour</v>
      </c>
      <c r="E198" s="35">
        <f>IFERROR(1/CALCULATIONS!V198,0)</f>
        <v>0.7633587786</v>
      </c>
      <c r="F198" s="37" t="str">
        <f>CONCATENATE(CALCULATIONS!T198,CALCULATIONS!X198)</f>
        <v>CU.M.per hour</v>
      </c>
      <c r="G198" s="38">
        <f>IFERROR(1/CALCULATIONS!W198,0)</f>
        <v>0.9523809524</v>
      </c>
      <c r="H198" s="36" t="str">
        <f>CONCATENATE(CALCULATIONS!T198,CALCULATIONS!X198)</f>
        <v>CU.M.per hour</v>
      </c>
      <c r="I198" s="39">
        <f>CALCULATIONS!U198*$I$2</f>
        <v>153.7430556</v>
      </c>
      <c r="J198" s="40" t="str">
        <f>CONCATENATE(CALCULATIONS!Y198,CALCULATIONS!T198)</f>
        <v>per CU.M.</v>
      </c>
      <c r="K198" s="39">
        <f>CALCULATIONS!V198*$I$2</f>
        <v>76.87152778</v>
      </c>
      <c r="L198" s="40" t="str">
        <f>CONCATENATE(CALCULATIONS!Y198,CALCULATIONS!T198)</f>
        <v>per CU.M.</v>
      </c>
      <c r="M198" s="39">
        <f>CALCULATIONS!W198*$I$2</f>
        <v>61.61458333</v>
      </c>
      <c r="N198" s="41" t="str">
        <f>CONCATENATE(CALCULATIONS!Y198,CALCULATIONS!T198)</f>
        <v>per CU.M.</v>
      </c>
    </row>
    <row r="199" ht="12.75" customHeight="1">
      <c r="B199" s="44" t="s">
        <v>199</v>
      </c>
      <c r="C199" s="35">
        <f>IFERROR(1/CALCULATIONS!U199,0)</f>
        <v>0.3048780488</v>
      </c>
      <c r="D199" s="36" t="str">
        <f>CONCATENATE(CALCULATIONS!T199,CALCULATIONS!X199)</f>
        <v>CU.M.per hour</v>
      </c>
      <c r="E199" s="35">
        <f>IFERROR(1/CALCULATIONS!V199,0)</f>
        <v>0.6097560976</v>
      </c>
      <c r="F199" s="37" t="str">
        <f>CONCATENATE(CALCULATIONS!T199,CALCULATIONS!X199)</f>
        <v>CU.M.per hour</v>
      </c>
      <c r="G199" s="38">
        <f>IFERROR(1/CALCULATIONS!W199,0)</f>
        <v>0.7633587786</v>
      </c>
      <c r="H199" s="36" t="str">
        <f>CONCATENATE(CALCULATIONS!T199,CALCULATIONS!X199)</f>
        <v>CU.M.per hour</v>
      </c>
      <c r="I199" s="39">
        <f>CALCULATIONS!U199*$I$2</f>
        <v>192.4722222</v>
      </c>
      <c r="J199" s="40" t="str">
        <f>CONCATENATE(CALCULATIONS!Y199,CALCULATIONS!T199)</f>
        <v>per CU.M.</v>
      </c>
      <c r="K199" s="39">
        <f>CALCULATIONS!V199*$I$2</f>
        <v>96.23611111</v>
      </c>
      <c r="L199" s="40" t="str">
        <f>CONCATENATE(CALCULATIONS!Y199,CALCULATIONS!T199)</f>
        <v>per CU.M.</v>
      </c>
      <c r="M199" s="39">
        <f>CALCULATIONS!W199*$I$2</f>
        <v>76.87152778</v>
      </c>
      <c r="N199" s="41" t="str">
        <f>CONCATENATE(CALCULATIONS!Y199,CALCULATIONS!T199)</f>
        <v>per CU.M.</v>
      </c>
    </row>
    <row r="200" ht="12.75" customHeight="1">
      <c r="B200" s="44" t="s">
        <v>200</v>
      </c>
      <c r="C200" s="35">
        <f>IFERROR(1/CALCULATIONS!U200,0)</f>
        <v>0.1901140684</v>
      </c>
      <c r="D200" s="36" t="str">
        <f>CONCATENATE(CALCULATIONS!T200,CALCULATIONS!X200)</f>
        <v>CU.M.per hour</v>
      </c>
      <c r="E200" s="35">
        <f>IFERROR(1/CALCULATIONS!V200,0)</f>
        <v>0.3802281369</v>
      </c>
      <c r="F200" s="37" t="str">
        <f>CONCATENATE(CALCULATIONS!T200,CALCULATIONS!X200)</f>
        <v>CU.M.per hour</v>
      </c>
      <c r="G200" s="38">
        <f>IFERROR(1/CALCULATIONS!W200,0)</f>
        <v>0.4761904762</v>
      </c>
      <c r="H200" s="36" t="str">
        <f>CONCATENATE(CALCULATIONS!T200,CALCULATIONS!X200)</f>
        <v>CU.M.per hour</v>
      </c>
      <c r="I200" s="39">
        <f>CALCULATIONS!U200*$I$2</f>
        <v>308.6597222</v>
      </c>
      <c r="J200" s="40" t="str">
        <f>CONCATENATE(CALCULATIONS!Y200,CALCULATIONS!T200)</f>
        <v>per CU.M.</v>
      </c>
      <c r="K200" s="39">
        <f>CALCULATIONS!V200*$I$2</f>
        <v>154.3298611</v>
      </c>
      <c r="L200" s="40" t="str">
        <f>CONCATENATE(CALCULATIONS!Y200,CALCULATIONS!T200)</f>
        <v>per CU.M.</v>
      </c>
      <c r="M200" s="39">
        <f>CALCULATIONS!W200*$I$2</f>
        <v>123.2291667</v>
      </c>
      <c r="N200" s="41" t="str">
        <f>CONCATENATE(CALCULATIONS!Y200,CALCULATIONS!T200)</f>
        <v>per CU.M.</v>
      </c>
    </row>
    <row r="201" ht="12.75" customHeight="1">
      <c r="B201" s="44" t="s">
        <v>201</v>
      </c>
      <c r="C201" s="35">
        <f>IFERROR(1/CALCULATIONS!U201,0)</f>
        <v>0</v>
      </c>
      <c r="D201" s="36" t="str">
        <f>CONCATENATE(CALCULATIONS!T201,CALCULATIONS!X201)</f>
        <v/>
      </c>
      <c r="E201" s="35">
        <f>IFERROR(1/CALCULATIONS!V201,0)</f>
        <v>0</v>
      </c>
      <c r="F201" s="37" t="str">
        <f>CONCATENATE(CALCULATIONS!T201,CALCULATIONS!X201)</f>
        <v/>
      </c>
      <c r="G201" s="38">
        <f>IFERROR(1/CALCULATIONS!W201,0)</f>
        <v>0</v>
      </c>
      <c r="H201" s="36" t="str">
        <f>CONCATENATE(CALCULATIONS!T201,CALCULATIONS!X201)</f>
        <v/>
      </c>
      <c r="I201" s="39">
        <f>CALCULATIONS!U201*$I$2</f>
        <v>0</v>
      </c>
      <c r="J201" s="40" t="str">
        <f>CONCATENATE(CALCULATIONS!Y201,CALCULATIONS!T201)</f>
        <v/>
      </c>
      <c r="K201" s="39">
        <f>CALCULATIONS!V201*$I$2</f>
        <v>0</v>
      </c>
      <c r="L201" s="40" t="str">
        <f>CONCATENATE(CALCULATIONS!Y201,CALCULATIONS!T201)</f>
        <v/>
      </c>
      <c r="M201" s="39">
        <f>CALCULATIONS!W201*$I$2</f>
        <v>0</v>
      </c>
      <c r="N201" s="41" t="str">
        <f>CONCATENATE(CALCULATIONS!Y201,CALCULATIONS!T201)</f>
        <v/>
      </c>
    </row>
    <row r="202" ht="12.75" customHeight="1">
      <c r="B202" s="44" t="s">
        <v>197</v>
      </c>
      <c r="C202" s="35">
        <f>IFERROR(1/CALCULATIONS!U202,0)</f>
        <v>0.07496251874</v>
      </c>
      <c r="D202" s="36" t="str">
        <f>CONCATENATE(CALCULATIONS!T202,CALCULATIONS!X202)</f>
        <v>CU.M.per hour</v>
      </c>
      <c r="E202" s="35">
        <f>IFERROR(1/CALCULATIONS!V202,0)</f>
        <v>0.1499250375</v>
      </c>
      <c r="F202" s="37" t="str">
        <f>CONCATENATE(CALCULATIONS!T202,CALCULATIONS!X202)</f>
        <v>CU.M.per hour</v>
      </c>
      <c r="G202" s="38">
        <f>IFERROR(1/CALCULATIONS!W202,0)</f>
        <v>0.1872659176</v>
      </c>
      <c r="H202" s="36" t="str">
        <f>CONCATENATE(CALCULATIONS!T202,CALCULATIONS!X202)</f>
        <v>CU.M.per hour</v>
      </c>
      <c r="I202" s="39">
        <f>CALCULATIONS!U202*$I$2</f>
        <v>782.7986111</v>
      </c>
      <c r="J202" s="40" t="str">
        <f>CONCATENATE(CALCULATIONS!Y202,CALCULATIONS!T202)</f>
        <v>per CU.M.</v>
      </c>
      <c r="K202" s="39">
        <f>CALCULATIONS!V202*$I$2</f>
        <v>391.3993056</v>
      </c>
      <c r="L202" s="40" t="str">
        <f>CONCATENATE(CALCULATIONS!Y202,CALCULATIONS!T202)</f>
        <v>per CU.M.</v>
      </c>
      <c r="M202" s="39">
        <f>CALCULATIONS!W202*$I$2</f>
        <v>313.3541667</v>
      </c>
      <c r="N202" s="41" t="str">
        <f>CONCATENATE(CALCULATIONS!Y202,CALCULATIONS!T202)</f>
        <v>per CU.M.</v>
      </c>
    </row>
    <row r="203" ht="12.75" customHeight="1">
      <c r="B203" s="44" t="s">
        <v>202</v>
      </c>
      <c r="C203" s="35">
        <f>IFERROR(1/CALCULATIONS!U203,0)</f>
        <v>0.0299940012</v>
      </c>
      <c r="D203" s="36" t="str">
        <f>CONCATENATE(CALCULATIONS!T203,CALCULATIONS!X203)</f>
        <v>CU.M.per hour</v>
      </c>
      <c r="E203" s="35">
        <f>IFERROR(1/CALCULATIONS!V203,0)</f>
        <v>0.0599880024</v>
      </c>
      <c r="F203" s="37" t="str">
        <f>CONCATENATE(CALCULATIONS!T203,CALCULATIONS!X203)</f>
        <v>CU.M.per hour</v>
      </c>
      <c r="G203" s="38">
        <f>IFERROR(1/CALCULATIONS!W203,0)</f>
        <v>0.07496251874</v>
      </c>
      <c r="H203" s="36" t="str">
        <f>CONCATENATE(CALCULATIONS!T203,CALCULATIONS!X203)</f>
        <v>CU.M.per hour</v>
      </c>
      <c r="I203" s="39">
        <f>CALCULATIONS!U203*$I$2</f>
        <v>1956.409722</v>
      </c>
      <c r="J203" s="40" t="str">
        <f>CONCATENATE(CALCULATIONS!Y203,CALCULATIONS!T203)</f>
        <v>per CU.M.</v>
      </c>
      <c r="K203" s="39">
        <f>CALCULATIONS!V203*$I$2</f>
        <v>978.2048611</v>
      </c>
      <c r="L203" s="40" t="str">
        <f>CONCATENATE(CALCULATIONS!Y203,CALCULATIONS!T203)</f>
        <v>per CU.M.</v>
      </c>
      <c r="M203" s="39">
        <f>CALCULATIONS!W203*$I$2</f>
        <v>782.7986111</v>
      </c>
      <c r="N203" s="41" t="str">
        <f>CONCATENATE(CALCULATIONS!Y203,CALCULATIONS!T203)</f>
        <v>per CU.M.</v>
      </c>
    </row>
    <row r="204" ht="12.75" customHeight="1">
      <c r="B204" s="44" t="s">
        <v>203</v>
      </c>
      <c r="C204" s="35">
        <f>IFERROR(1/CALCULATIONS!U204,0)</f>
        <v>0</v>
      </c>
      <c r="D204" s="36" t="str">
        <f>CONCATENATE(CALCULATIONS!T204,CALCULATIONS!X204)</f>
        <v/>
      </c>
      <c r="E204" s="35">
        <f>IFERROR(1/CALCULATIONS!V204,0)</f>
        <v>0</v>
      </c>
      <c r="F204" s="37" t="str">
        <f>CONCATENATE(CALCULATIONS!T204,CALCULATIONS!X204)</f>
        <v/>
      </c>
      <c r="G204" s="38">
        <f>IFERROR(1/CALCULATIONS!W204,0)</f>
        <v>0</v>
      </c>
      <c r="H204" s="36" t="str">
        <f>CONCATENATE(CALCULATIONS!T204,CALCULATIONS!X204)</f>
        <v/>
      </c>
      <c r="I204" s="39">
        <f>CALCULATIONS!U204*$I$2</f>
        <v>0</v>
      </c>
      <c r="J204" s="40" t="str">
        <f>CONCATENATE(CALCULATIONS!Y204,CALCULATIONS!T204)</f>
        <v/>
      </c>
      <c r="K204" s="39">
        <f>CALCULATIONS!V204*$I$2</f>
        <v>0</v>
      </c>
      <c r="L204" s="40" t="str">
        <f>CONCATENATE(CALCULATIONS!Y204,CALCULATIONS!T204)</f>
        <v/>
      </c>
      <c r="M204" s="39">
        <f>CALCULATIONS!W204*$I$2</f>
        <v>0</v>
      </c>
      <c r="N204" s="41" t="str">
        <f>CONCATENATE(CALCULATIONS!Y204,CALCULATIONS!T204)</f>
        <v/>
      </c>
    </row>
    <row r="205" ht="12.75" customHeight="1">
      <c r="B205" s="44" t="s">
        <v>204</v>
      </c>
      <c r="C205" s="35">
        <f>IFERROR(1/CALCULATIONS!U205,0)</f>
        <v>0.6097560976</v>
      </c>
      <c r="D205" s="36" t="str">
        <f>CONCATENATE(CALCULATIONS!T205,CALCULATIONS!X205)</f>
        <v>CU.M.per hour</v>
      </c>
      <c r="E205" s="35">
        <f>IFERROR(1/CALCULATIONS!V205,0)</f>
        <v>1.219512195</v>
      </c>
      <c r="F205" s="37" t="str">
        <f>CONCATENATE(CALCULATIONS!T205,CALCULATIONS!X205)</f>
        <v>CU.M.per hour</v>
      </c>
      <c r="G205" s="38">
        <f>IFERROR(1/CALCULATIONS!W205,0)</f>
        <v>1.515151515</v>
      </c>
      <c r="H205" s="36" t="str">
        <f>CONCATENATE(CALCULATIONS!T205,CALCULATIONS!X205)</f>
        <v>CU.M.per hour</v>
      </c>
      <c r="I205" s="39">
        <f>CALCULATIONS!U205*$I$2</f>
        <v>96.23611111</v>
      </c>
      <c r="J205" s="40" t="str">
        <f>CONCATENATE(CALCULATIONS!Y205,CALCULATIONS!T205)</f>
        <v>per CU.M.</v>
      </c>
      <c r="K205" s="39">
        <f>CALCULATIONS!V205*$I$2</f>
        <v>48.11805556</v>
      </c>
      <c r="L205" s="40" t="str">
        <f>CONCATENATE(CALCULATIONS!Y205,CALCULATIONS!T205)</f>
        <v>per CU.M.</v>
      </c>
      <c r="M205" s="39">
        <f>CALCULATIONS!W205*$I$2</f>
        <v>38.72916667</v>
      </c>
      <c r="N205" s="41" t="str">
        <f>CONCATENATE(CALCULATIONS!Y205,CALCULATIONS!T205)</f>
        <v>per CU.M.</v>
      </c>
    </row>
    <row r="206" ht="12.75" customHeight="1">
      <c r="B206" s="44" t="s">
        <v>205</v>
      </c>
      <c r="C206" s="35">
        <f>IFERROR(1/CALCULATIONS!U206,0)</f>
        <v>0.1</v>
      </c>
      <c r="D206" s="36" t="str">
        <f>CONCATENATE(CALCULATIONS!T206,CALCULATIONS!X206)</f>
        <v>CU.M.per hour</v>
      </c>
      <c r="E206" s="35">
        <f>IFERROR(1/CALCULATIONS!V206,0)</f>
        <v>0.2</v>
      </c>
      <c r="F206" s="37" t="str">
        <f>CONCATENATE(CALCULATIONS!T206,CALCULATIONS!X206)</f>
        <v>CU.M.per hour</v>
      </c>
      <c r="G206" s="38">
        <f>IFERROR(1/CALCULATIONS!W206,0)</f>
        <v>0.25</v>
      </c>
      <c r="H206" s="36" t="str">
        <f>CONCATENATE(CALCULATIONS!T206,CALCULATIONS!X206)</f>
        <v>CU.M.per hour</v>
      </c>
      <c r="I206" s="39">
        <f>CALCULATIONS!U206*$I$2</f>
        <v>586.8055556</v>
      </c>
      <c r="J206" s="40" t="str">
        <f>CONCATENATE(CALCULATIONS!Y206,CALCULATIONS!T206)</f>
        <v>per CU.M.</v>
      </c>
      <c r="K206" s="39">
        <f>CALCULATIONS!V206*$I$2</f>
        <v>293.4027778</v>
      </c>
      <c r="L206" s="40" t="str">
        <f>CONCATENATE(CALCULATIONS!Y206,CALCULATIONS!T206)</f>
        <v>per CU.M.</v>
      </c>
      <c r="M206" s="39">
        <f>CALCULATIONS!W206*$I$2</f>
        <v>234.7222222</v>
      </c>
      <c r="N206" s="41" t="str">
        <f>CONCATENATE(CALCULATIONS!Y206,CALCULATIONS!T206)</f>
        <v>per CU.M.</v>
      </c>
    </row>
    <row r="207" ht="12.75" customHeight="1">
      <c r="B207" s="44" t="s">
        <v>206</v>
      </c>
      <c r="C207" s="35">
        <f>IFERROR(1/CALCULATIONS!U207,0)</f>
        <v>0</v>
      </c>
      <c r="D207" s="36" t="str">
        <f>CONCATENATE(CALCULATIONS!T207,CALCULATIONS!X207)</f>
        <v/>
      </c>
      <c r="E207" s="35">
        <f>IFERROR(1/CALCULATIONS!V207,0)</f>
        <v>0</v>
      </c>
      <c r="F207" s="37" t="str">
        <f>CONCATENATE(CALCULATIONS!T207,CALCULATIONS!X207)</f>
        <v/>
      </c>
      <c r="G207" s="38">
        <f>IFERROR(1/CALCULATIONS!W207,0)</f>
        <v>0</v>
      </c>
      <c r="H207" s="36" t="str">
        <f>CONCATENATE(CALCULATIONS!T207,CALCULATIONS!X207)</f>
        <v/>
      </c>
      <c r="I207" s="39">
        <f>CALCULATIONS!U207*$I$2</f>
        <v>0</v>
      </c>
      <c r="J207" s="40" t="str">
        <f>CONCATENATE(CALCULATIONS!Y207,CALCULATIONS!T207)</f>
        <v/>
      </c>
      <c r="K207" s="39">
        <f>CALCULATIONS!V207*$I$2</f>
        <v>0</v>
      </c>
      <c r="L207" s="40" t="str">
        <f>CONCATENATE(CALCULATIONS!Y207,CALCULATIONS!T207)</f>
        <v/>
      </c>
      <c r="M207" s="39">
        <f>CALCULATIONS!W207*$I$2</f>
        <v>0</v>
      </c>
      <c r="N207" s="41" t="str">
        <f>CONCATENATE(CALCULATIONS!Y207,CALCULATIONS!T207)</f>
        <v/>
      </c>
    </row>
    <row r="208" ht="12.75" customHeight="1">
      <c r="B208" s="44" t="s">
        <v>207</v>
      </c>
      <c r="C208" s="35">
        <f>IFERROR(1/CALCULATIONS!U208,0)</f>
        <v>0</v>
      </c>
      <c r="D208" s="36" t="str">
        <f>CONCATENATE(CALCULATIONS!T208,CALCULATIONS!X208)</f>
        <v/>
      </c>
      <c r="E208" s="35">
        <f>IFERROR(1/CALCULATIONS!V208,0)</f>
        <v>0</v>
      </c>
      <c r="F208" s="37" t="str">
        <f>CONCATENATE(CALCULATIONS!T208,CALCULATIONS!X208)</f>
        <v/>
      </c>
      <c r="G208" s="38">
        <f>IFERROR(1/CALCULATIONS!W208,0)</f>
        <v>0</v>
      </c>
      <c r="H208" s="36" t="str">
        <f>CONCATENATE(CALCULATIONS!T208,CALCULATIONS!X208)</f>
        <v/>
      </c>
      <c r="I208" s="39">
        <f>CALCULATIONS!U208*$I$2</f>
        <v>0</v>
      </c>
      <c r="J208" s="40" t="str">
        <f>CONCATENATE(CALCULATIONS!Y208,CALCULATIONS!T208)</f>
        <v/>
      </c>
      <c r="K208" s="39">
        <f>CALCULATIONS!V208*$I$2</f>
        <v>0</v>
      </c>
      <c r="L208" s="40" t="str">
        <f>CONCATENATE(CALCULATIONS!Y208,CALCULATIONS!T208)</f>
        <v/>
      </c>
      <c r="M208" s="39">
        <f>CALCULATIONS!W208*$I$2</f>
        <v>0</v>
      </c>
      <c r="N208" s="41" t="str">
        <f>CONCATENATE(CALCULATIONS!Y208,CALCULATIONS!T208)</f>
        <v/>
      </c>
    </row>
    <row r="209" ht="12.75" customHeight="1">
      <c r="B209" s="44" t="s">
        <v>208</v>
      </c>
      <c r="C209" s="35">
        <f>IFERROR(1/CALCULATIONS!U209,0)</f>
        <v>0.4</v>
      </c>
      <c r="D209" s="36" t="str">
        <f>CONCATENATE(CALCULATIONS!T209,CALCULATIONS!X209)</f>
        <v>L.M.per hour</v>
      </c>
      <c r="E209" s="35">
        <f>IFERROR(1/CALCULATIONS!V209,0)</f>
        <v>0.8</v>
      </c>
      <c r="F209" s="37" t="str">
        <f>CONCATENATE(CALCULATIONS!T209,CALCULATIONS!X209)</f>
        <v>L.M.per hour</v>
      </c>
      <c r="G209" s="38">
        <f>IFERROR(1/CALCULATIONS!W209,0)</f>
        <v>1</v>
      </c>
      <c r="H209" s="36" t="str">
        <f>CONCATENATE(CALCULATIONS!T209,CALCULATIONS!X209)</f>
        <v>L.M.per hour</v>
      </c>
      <c r="I209" s="39">
        <f>CALCULATIONS!U209*$I$2</f>
        <v>146.7013889</v>
      </c>
      <c r="J209" s="40" t="str">
        <f>CONCATENATE(CALCULATIONS!Y209,CALCULATIONS!T209)</f>
        <v>per L.M.</v>
      </c>
      <c r="K209" s="39">
        <f>CALCULATIONS!V209*$I$2</f>
        <v>73.35069444</v>
      </c>
      <c r="L209" s="40" t="str">
        <f>CONCATENATE(CALCULATIONS!Y209,CALCULATIONS!T209)</f>
        <v>per L.M.</v>
      </c>
      <c r="M209" s="39">
        <f>CALCULATIONS!W209*$I$2</f>
        <v>58.68055556</v>
      </c>
      <c r="N209" s="41" t="str">
        <f>CONCATENATE(CALCULATIONS!Y209,CALCULATIONS!T209)</f>
        <v>per L.M.</v>
      </c>
    </row>
    <row r="210" ht="12.75" customHeight="1">
      <c r="B210" s="44" t="s">
        <v>209</v>
      </c>
      <c r="C210" s="35">
        <f>IFERROR(1/CALCULATIONS!U210,0)</f>
        <v>0.2994011976</v>
      </c>
      <c r="D210" s="36" t="str">
        <f>CONCATENATE(CALCULATIONS!T210,CALCULATIONS!X210)</f>
        <v>L.M.per hour</v>
      </c>
      <c r="E210" s="35">
        <f>IFERROR(1/CALCULATIONS!V210,0)</f>
        <v>0.5988023952</v>
      </c>
      <c r="F210" s="37" t="str">
        <f>CONCATENATE(CALCULATIONS!T210,CALCULATIONS!X210)</f>
        <v>L.M.per hour</v>
      </c>
      <c r="G210" s="38">
        <f>IFERROR(1/CALCULATIONS!W210,0)</f>
        <v>0.4273504274</v>
      </c>
      <c r="H210" s="36" t="str">
        <f>CONCATENATE(CALCULATIONS!T210,CALCULATIONS!X210)</f>
        <v>L.M.per hour</v>
      </c>
      <c r="I210" s="39">
        <f>CALCULATIONS!U210*$I$2</f>
        <v>195.9930556</v>
      </c>
      <c r="J210" s="40" t="str">
        <f>CONCATENATE(CALCULATIONS!Y210,CALCULATIONS!T210)</f>
        <v>per L.M.</v>
      </c>
      <c r="K210" s="39">
        <f>CALCULATIONS!V210*$I$2</f>
        <v>97.99652778</v>
      </c>
      <c r="L210" s="40" t="str">
        <f>CONCATENATE(CALCULATIONS!Y210,CALCULATIONS!T210)</f>
        <v>per L.M.</v>
      </c>
      <c r="M210" s="39">
        <f>CALCULATIONS!W210*$I$2</f>
        <v>137.3125</v>
      </c>
      <c r="N210" s="41" t="str">
        <f>CONCATENATE(CALCULATIONS!Y210,CALCULATIONS!T210)</f>
        <v>per L.M.</v>
      </c>
    </row>
    <row r="211" ht="12.75" customHeight="1">
      <c r="B211" s="44" t="s">
        <v>210</v>
      </c>
      <c r="C211" s="35">
        <f>IFERROR(1/CALCULATIONS!U211,0)</f>
        <v>0.2</v>
      </c>
      <c r="D211" s="36" t="str">
        <f>CONCATENATE(CALCULATIONS!T211,CALCULATIONS!X211)</f>
        <v>L.M.per hour</v>
      </c>
      <c r="E211" s="35">
        <f>IFERROR(1/CALCULATIONS!V211,0)</f>
        <v>0.4</v>
      </c>
      <c r="F211" s="37" t="str">
        <f>CONCATENATE(CALCULATIONS!T211,CALCULATIONS!X211)</f>
        <v>L.M.per hour</v>
      </c>
      <c r="G211" s="38">
        <f>IFERROR(1/CALCULATIONS!W211,0)</f>
        <v>0.5</v>
      </c>
      <c r="H211" s="36" t="str">
        <f>CONCATENATE(CALCULATIONS!T211,CALCULATIONS!X211)</f>
        <v>L.M.per hour</v>
      </c>
      <c r="I211" s="39">
        <f>CALCULATIONS!U211*$I$2</f>
        <v>293.4027778</v>
      </c>
      <c r="J211" s="40" t="str">
        <f>CONCATENATE(CALCULATIONS!Y211,CALCULATIONS!T211)</f>
        <v>per L.M.</v>
      </c>
      <c r="K211" s="39">
        <f>CALCULATIONS!V211*$I$2</f>
        <v>146.7013889</v>
      </c>
      <c r="L211" s="40" t="str">
        <f>CONCATENATE(CALCULATIONS!Y211,CALCULATIONS!T211)</f>
        <v>per L.M.</v>
      </c>
      <c r="M211" s="39">
        <f>CALCULATIONS!W211*$I$2</f>
        <v>117.3611111</v>
      </c>
      <c r="N211" s="41" t="str">
        <f>CONCATENATE(CALCULATIONS!Y211,CALCULATIONS!T211)</f>
        <v>per L.M.</v>
      </c>
    </row>
    <row r="212" ht="12.75" customHeight="1">
      <c r="B212" s="44" t="s">
        <v>211</v>
      </c>
      <c r="C212" s="35">
        <f>IFERROR(1/CALCULATIONS!U212,0)</f>
        <v>0.1501501502</v>
      </c>
      <c r="D212" s="36" t="str">
        <f>CONCATENATE(CALCULATIONS!T212,CALCULATIONS!X212)</f>
        <v>L.M.per hour</v>
      </c>
      <c r="E212" s="35">
        <f>IFERROR(1/CALCULATIONS!V212,0)</f>
        <v>0.3003003003</v>
      </c>
      <c r="F212" s="37" t="str">
        <f>CONCATENATE(CALCULATIONS!T212,CALCULATIONS!X212)</f>
        <v>L.M.per hour</v>
      </c>
      <c r="G212" s="38">
        <f>IFERROR(1/CALCULATIONS!W212,0)</f>
        <v>0.3759398496</v>
      </c>
      <c r="H212" s="36" t="str">
        <f>CONCATENATE(CALCULATIONS!T212,CALCULATIONS!X212)</f>
        <v>L.M.per hour</v>
      </c>
      <c r="I212" s="39">
        <f>CALCULATIONS!U212*$I$2</f>
        <v>390.8125</v>
      </c>
      <c r="J212" s="40" t="str">
        <f>CONCATENATE(CALCULATIONS!Y212,CALCULATIONS!T212)</f>
        <v>per L.M.</v>
      </c>
      <c r="K212" s="39">
        <f>CALCULATIONS!V212*$I$2</f>
        <v>195.40625</v>
      </c>
      <c r="L212" s="40" t="str">
        <f>CONCATENATE(CALCULATIONS!Y212,CALCULATIONS!T212)</f>
        <v>per L.M.</v>
      </c>
      <c r="M212" s="39">
        <f>CALCULATIONS!W212*$I$2</f>
        <v>156.0902778</v>
      </c>
      <c r="N212" s="41" t="str">
        <f>CONCATENATE(CALCULATIONS!Y212,CALCULATIONS!T212)</f>
        <v>per L.M.</v>
      </c>
    </row>
    <row r="213" ht="12.75" customHeight="1">
      <c r="B213" s="44" t="s">
        <v>212</v>
      </c>
      <c r="C213" s="35">
        <f>IFERROR(1/CALCULATIONS!U213,0)</f>
        <v>4.761904762</v>
      </c>
      <c r="D213" s="36" t="str">
        <f>CONCATENATE(CALCULATIONS!T213,CALCULATIONS!X213)</f>
        <v>CU.M.per hour</v>
      </c>
      <c r="E213" s="35">
        <f>IFERROR(1/CALCULATIONS!V213,0)</f>
        <v>9.090909091</v>
      </c>
      <c r="F213" s="37" t="str">
        <f>CONCATENATE(CALCULATIONS!T213,CALCULATIONS!X213)</f>
        <v>CU.M.per hour</v>
      </c>
      <c r="G213" s="38">
        <f>IFERROR(1/CALCULATIONS!W213,0)</f>
        <v>12.5</v>
      </c>
      <c r="H213" s="36" t="str">
        <f>CONCATENATE(CALCULATIONS!T213,CALCULATIONS!X213)</f>
        <v>CU.M.per hour</v>
      </c>
      <c r="I213" s="39">
        <f>CALCULATIONS!U213*$I$2</f>
        <v>12.32291667</v>
      </c>
      <c r="J213" s="40" t="str">
        <f>CONCATENATE(CALCULATIONS!Y213,CALCULATIONS!T213)</f>
        <v>per CU.M.</v>
      </c>
      <c r="K213" s="39">
        <f>CALCULATIONS!V213*$I$2</f>
        <v>6.454861111</v>
      </c>
      <c r="L213" s="40" t="str">
        <f>CONCATENATE(CALCULATIONS!Y213,CALCULATIONS!T213)</f>
        <v>per CU.M.</v>
      </c>
      <c r="M213" s="39">
        <f>CALCULATIONS!W213*$I$2</f>
        <v>4.694444444</v>
      </c>
      <c r="N213" s="41" t="str">
        <f>CONCATENATE(CALCULATIONS!Y213,CALCULATIONS!T213)</f>
        <v>per CU.M.</v>
      </c>
    </row>
    <row r="214" ht="12.75" customHeight="1">
      <c r="B214" s="44" t="s">
        <v>213</v>
      </c>
      <c r="C214" s="35">
        <f>IFERROR(1/CALCULATIONS!U214,0)</f>
        <v>2.380952381</v>
      </c>
      <c r="D214" s="36" t="str">
        <f>CONCATENATE(CALCULATIONS!T214,CALCULATIONS!X214)</f>
        <v>CU.M.per hour</v>
      </c>
      <c r="E214" s="35">
        <f>IFERROR(1/CALCULATIONS!V214,0)</f>
        <v>4.761904762</v>
      </c>
      <c r="F214" s="37" t="str">
        <f>CONCATENATE(CALCULATIONS!T214,CALCULATIONS!X214)</f>
        <v>CU.M.per hour</v>
      </c>
      <c r="G214" s="38">
        <f>IFERROR(1/CALCULATIONS!W214,0)</f>
        <v>5.882352941</v>
      </c>
      <c r="H214" s="36" t="str">
        <f>CONCATENATE(CALCULATIONS!T214,CALCULATIONS!X214)</f>
        <v>CU.M.per hour</v>
      </c>
      <c r="I214" s="39">
        <f>CALCULATIONS!U214*$I$2</f>
        <v>24.64583333</v>
      </c>
      <c r="J214" s="40" t="str">
        <f>CONCATENATE(CALCULATIONS!Y214,CALCULATIONS!T214)</f>
        <v>per CU.M.</v>
      </c>
      <c r="K214" s="39">
        <f>CALCULATIONS!V214*$I$2</f>
        <v>12.32291667</v>
      </c>
      <c r="L214" s="40" t="str">
        <f>CONCATENATE(CALCULATIONS!Y214,CALCULATIONS!T214)</f>
        <v>per CU.M.</v>
      </c>
      <c r="M214" s="39">
        <f>CALCULATIONS!W214*$I$2</f>
        <v>9.975694444</v>
      </c>
      <c r="N214" s="41" t="str">
        <f>CONCATENATE(CALCULATIONS!Y214,CALCULATIONS!T214)</f>
        <v>per CU.M.</v>
      </c>
    </row>
    <row r="215" ht="12.75" customHeight="1">
      <c r="B215" s="44" t="s">
        <v>214</v>
      </c>
      <c r="C215" s="35">
        <f>IFERROR(1/CALCULATIONS!U215,0)</f>
        <v>1.041666667</v>
      </c>
      <c r="D215" s="36" t="str">
        <f>CONCATENATE(CALCULATIONS!T215,CALCULATIONS!X215)</f>
        <v>SQ.M.per hour</v>
      </c>
      <c r="E215" s="35">
        <f>IFERROR(1/CALCULATIONS!V215,0)</f>
        <v>2.083333333</v>
      </c>
      <c r="F215" s="37" t="str">
        <f>CONCATENATE(CALCULATIONS!T215,CALCULATIONS!X215)</f>
        <v>SQ.M.per hour</v>
      </c>
      <c r="G215" s="38">
        <f>IFERROR(1/CALCULATIONS!W215,0)</f>
        <v>2.631578947</v>
      </c>
      <c r="H215" s="36" t="str">
        <f>CONCATENATE(CALCULATIONS!T215,CALCULATIONS!X215)</f>
        <v>SQ.M.per hour</v>
      </c>
      <c r="I215" s="39">
        <f>CALCULATIONS!U215*$I$2</f>
        <v>56.33333333</v>
      </c>
      <c r="J215" s="40" t="str">
        <f>CONCATENATE(CALCULATIONS!Y215,CALCULATIONS!T215)</f>
        <v>per SQ.M.</v>
      </c>
      <c r="K215" s="39">
        <f>CALCULATIONS!V215*$I$2</f>
        <v>28.16666667</v>
      </c>
      <c r="L215" s="40" t="str">
        <f>CONCATENATE(CALCULATIONS!Y215,CALCULATIONS!T215)</f>
        <v>per SQ.M.</v>
      </c>
      <c r="M215" s="39">
        <f>CALCULATIONS!W215*$I$2</f>
        <v>22.29861111</v>
      </c>
      <c r="N215" s="41" t="str">
        <f>CONCATENATE(CALCULATIONS!Y215,CALCULATIONS!T215)</f>
        <v>per SQ.M.</v>
      </c>
    </row>
    <row r="216" ht="12.75" customHeight="1">
      <c r="B216" s="44" t="s">
        <v>215</v>
      </c>
      <c r="C216" s="35">
        <f>IFERROR(1/CALCULATIONS!U216,0)</f>
        <v>9.090909091</v>
      </c>
      <c r="D216" s="36" t="str">
        <f>CONCATENATE(CALCULATIONS!T216,CALCULATIONS!X216)</f>
        <v>CU.M.per hour</v>
      </c>
      <c r="E216" s="35">
        <f>IFERROR(1/CALCULATIONS!V216,0)</f>
        <v>16.66666667</v>
      </c>
      <c r="F216" s="37" t="str">
        <f>CONCATENATE(CALCULATIONS!T216,CALCULATIONS!X216)</f>
        <v>CU.M.per hour</v>
      </c>
      <c r="G216" s="38">
        <f>IFERROR(1/CALCULATIONS!W216,0)</f>
        <v>25</v>
      </c>
      <c r="H216" s="36" t="str">
        <f>CONCATENATE(CALCULATIONS!T216,CALCULATIONS!X216)</f>
        <v>CU.M.per hour</v>
      </c>
      <c r="I216" s="39">
        <f>CALCULATIONS!U216*$I$2</f>
        <v>6.454861111</v>
      </c>
      <c r="J216" s="40" t="str">
        <f>CONCATENATE(CALCULATIONS!Y216,CALCULATIONS!T216)</f>
        <v>per CU.M.</v>
      </c>
      <c r="K216" s="39">
        <f>CALCULATIONS!V216*$I$2</f>
        <v>3.520833333</v>
      </c>
      <c r="L216" s="40" t="str">
        <f>CONCATENATE(CALCULATIONS!Y216,CALCULATIONS!T216)</f>
        <v>per CU.M.</v>
      </c>
      <c r="M216" s="39">
        <f>CALCULATIONS!W216*$I$2</f>
        <v>2.347222222</v>
      </c>
      <c r="N216" s="41" t="str">
        <f>CONCATENATE(CALCULATIONS!Y216,CALCULATIONS!T216)</f>
        <v>per CU.M.</v>
      </c>
    </row>
    <row r="217" ht="12.75" customHeight="1">
      <c r="B217" s="44" t="s">
        <v>216</v>
      </c>
      <c r="C217" s="35">
        <f>IFERROR(1/CALCULATIONS!U217,0)</f>
        <v>0</v>
      </c>
      <c r="D217" s="36" t="str">
        <f>CONCATENATE(CALCULATIONS!T217,CALCULATIONS!X217)</f>
        <v/>
      </c>
      <c r="E217" s="35">
        <f>IFERROR(1/CALCULATIONS!V217,0)</f>
        <v>0</v>
      </c>
      <c r="F217" s="37" t="str">
        <f>CONCATENATE(CALCULATIONS!T217,CALCULATIONS!X217)</f>
        <v/>
      </c>
      <c r="G217" s="38">
        <f>IFERROR(1/CALCULATIONS!W217,0)</f>
        <v>0</v>
      </c>
      <c r="H217" s="36" t="str">
        <f>CONCATENATE(CALCULATIONS!T217,CALCULATIONS!X217)</f>
        <v/>
      </c>
      <c r="I217" s="39">
        <f>CALCULATIONS!U217*$I$2</f>
        <v>0</v>
      </c>
      <c r="J217" s="40" t="str">
        <f>CONCATENATE(CALCULATIONS!Y217,CALCULATIONS!T217)</f>
        <v/>
      </c>
      <c r="K217" s="39">
        <f>CALCULATIONS!V217*$I$2</f>
        <v>0</v>
      </c>
      <c r="L217" s="40" t="str">
        <f>CONCATENATE(CALCULATIONS!Y217,CALCULATIONS!T217)</f>
        <v/>
      </c>
      <c r="M217" s="39">
        <f>CALCULATIONS!W217*$I$2</f>
        <v>0</v>
      </c>
      <c r="N217" s="41" t="str">
        <f>CONCATENATE(CALCULATIONS!Y217,CALCULATIONS!T217)</f>
        <v/>
      </c>
    </row>
    <row r="218" ht="12.75" customHeight="1">
      <c r="B218" s="44" t="s">
        <v>217</v>
      </c>
      <c r="C218" s="35">
        <f>IFERROR(1/CALCULATIONS!U218,0)</f>
        <v>10</v>
      </c>
      <c r="D218" s="36" t="str">
        <f>CONCATENATE(CALCULATIONS!T218,CALCULATIONS!X218)</f>
        <v>SQ.M.per hour</v>
      </c>
      <c r="E218" s="35">
        <f>IFERROR(1/CALCULATIONS!V218,0)</f>
        <v>20</v>
      </c>
      <c r="F218" s="37" t="str">
        <f>CONCATENATE(CALCULATIONS!T218,CALCULATIONS!X218)</f>
        <v>SQ.M.per hour</v>
      </c>
      <c r="G218" s="38">
        <f>IFERROR(1/CALCULATIONS!W218,0)</f>
        <v>25</v>
      </c>
      <c r="H218" s="36" t="str">
        <f>CONCATENATE(CALCULATIONS!T218,CALCULATIONS!X218)</f>
        <v>SQ.M.per hour</v>
      </c>
      <c r="I218" s="39">
        <f>CALCULATIONS!U218*$I$2</f>
        <v>5.868055556</v>
      </c>
      <c r="J218" s="40" t="str">
        <f>CONCATENATE(CALCULATIONS!Y218,CALCULATIONS!T218)</f>
        <v>per SQ.M.</v>
      </c>
      <c r="K218" s="39">
        <f>CALCULATIONS!V218*$I$2</f>
        <v>2.934027778</v>
      </c>
      <c r="L218" s="40" t="str">
        <f>CONCATENATE(CALCULATIONS!Y218,CALCULATIONS!T218)</f>
        <v>per SQ.M.</v>
      </c>
      <c r="M218" s="39">
        <f>CALCULATIONS!W218*$I$2</f>
        <v>2.347222222</v>
      </c>
      <c r="N218" s="41" t="str">
        <f>CONCATENATE(CALCULATIONS!Y218,CALCULATIONS!T218)</f>
        <v>per SQ.M.</v>
      </c>
    </row>
    <row r="219" ht="12.75" customHeight="1">
      <c r="B219" s="44" t="s">
        <v>218</v>
      </c>
      <c r="C219" s="35">
        <f>IFERROR(1/CALCULATIONS!U219,0)</f>
        <v>16.66666667</v>
      </c>
      <c r="D219" s="36" t="str">
        <f>CONCATENATE(CALCULATIONS!T219,CALCULATIONS!X219)</f>
        <v>SQ.M.per hour</v>
      </c>
      <c r="E219" s="35">
        <f>IFERROR(1/CALCULATIONS!V219,0)</f>
        <v>33.33333333</v>
      </c>
      <c r="F219" s="37" t="str">
        <f>CONCATENATE(CALCULATIONS!T219,CALCULATIONS!X219)</f>
        <v>SQ.M.per hour</v>
      </c>
      <c r="G219" s="38">
        <f>IFERROR(1/CALCULATIONS!W219,0)</f>
        <v>50</v>
      </c>
      <c r="H219" s="36" t="str">
        <f>CONCATENATE(CALCULATIONS!T219,CALCULATIONS!X219)</f>
        <v>SQ.M.per hour</v>
      </c>
      <c r="I219" s="39">
        <f>CALCULATIONS!U219*$I$2</f>
        <v>3.520833333</v>
      </c>
      <c r="J219" s="40" t="str">
        <f>CONCATENATE(CALCULATIONS!Y219,CALCULATIONS!T219)</f>
        <v>per SQ.M.</v>
      </c>
      <c r="K219" s="39">
        <f>CALCULATIONS!V219*$I$2</f>
        <v>1.760416667</v>
      </c>
      <c r="L219" s="40" t="str">
        <f>CONCATENATE(CALCULATIONS!Y219,CALCULATIONS!T219)</f>
        <v>per SQ.M.</v>
      </c>
      <c r="M219" s="39">
        <f>CALCULATIONS!W219*$I$2</f>
        <v>1.173611111</v>
      </c>
      <c r="N219" s="41" t="str">
        <f>CONCATENATE(CALCULATIONS!Y219,CALCULATIONS!T219)</f>
        <v>per SQ.M.</v>
      </c>
    </row>
    <row r="220" ht="12.75" customHeight="1">
      <c r="B220" s="44" t="s">
        <v>219</v>
      </c>
      <c r="C220" s="35">
        <f>IFERROR(1/CALCULATIONS!U220,0)</f>
        <v>0.2958579882</v>
      </c>
      <c r="D220" s="36" t="str">
        <f>CONCATENATE(CALCULATIONS!T220,CALCULATIONS!X220)</f>
        <v>CU.M.per hour</v>
      </c>
      <c r="E220" s="35">
        <f>IFERROR(1/CALCULATIONS!V220,0)</f>
        <v>0.5917159763</v>
      </c>
      <c r="F220" s="37" t="str">
        <f>CONCATENATE(CALCULATIONS!T220,CALCULATIONS!X220)</f>
        <v>CU.M.per hour</v>
      </c>
      <c r="G220" s="38">
        <f>IFERROR(1/CALCULATIONS!W220,0)</f>
        <v>0.7407407407</v>
      </c>
      <c r="H220" s="36" t="str">
        <f>CONCATENATE(CALCULATIONS!T220,CALCULATIONS!X220)</f>
        <v>CU.M.per hour</v>
      </c>
      <c r="I220" s="39">
        <f>CALCULATIONS!U220*$I$2</f>
        <v>198.3402778</v>
      </c>
      <c r="J220" s="40" t="str">
        <f>CONCATENATE(CALCULATIONS!Y220,CALCULATIONS!T220)</f>
        <v>per CU.M.</v>
      </c>
      <c r="K220" s="39">
        <f>CALCULATIONS!V220*$I$2</f>
        <v>99.17013889</v>
      </c>
      <c r="L220" s="40" t="str">
        <f>CONCATENATE(CALCULATIONS!Y220,CALCULATIONS!T220)</f>
        <v>per CU.M.</v>
      </c>
      <c r="M220" s="39">
        <f>CALCULATIONS!W220*$I$2</f>
        <v>79.21875</v>
      </c>
      <c r="N220" s="41" t="str">
        <f>CONCATENATE(CALCULATIONS!Y220,CALCULATIONS!T220)</f>
        <v>per CU.M.</v>
      </c>
    </row>
    <row r="221" ht="12.75" customHeight="1">
      <c r="B221" s="44" t="s">
        <v>220</v>
      </c>
      <c r="C221" s="35">
        <f>IFERROR(1/CALCULATIONS!U221,0)</f>
        <v>0.5</v>
      </c>
      <c r="D221" s="36" t="str">
        <f>CONCATENATE(CALCULATIONS!T221,CALCULATIONS!X221)</f>
        <v>CU.M.per hour</v>
      </c>
      <c r="E221" s="35">
        <f>IFERROR(1/CALCULATIONS!V221,0)</f>
        <v>1</v>
      </c>
      <c r="F221" s="37" t="str">
        <f>CONCATENATE(CALCULATIONS!T221,CALCULATIONS!X221)</f>
        <v>CU.M.per hour</v>
      </c>
      <c r="G221" s="38">
        <f>IFERROR(1/CALCULATIONS!W221,0)</f>
        <v>1.25</v>
      </c>
      <c r="H221" s="36" t="str">
        <f>CONCATENATE(CALCULATIONS!T221,CALCULATIONS!X221)</f>
        <v>CU.M.per hour</v>
      </c>
      <c r="I221" s="39">
        <f>CALCULATIONS!U221*$I$2</f>
        <v>117.3611111</v>
      </c>
      <c r="J221" s="40" t="str">
        <f>CONCATENATE(CALCULATIONS!Y221,CALCULATIONS!T221)</f>
        <v>per CU.M.</v>
      </c>
      <c r="K221" s="39">
        <f>CALCULATIONS!V221*$I$2</f>
        <v>58.68055556</v>
      </c>
      <c r="L221" s="40" t="str">
        <f>CONCATENATE(CALCULATIONS!Y221,CALCULATIONS!T221)</f>
        <v>per CU.M.</v>
      </c>
      <c r="M221" s="39">
        <f>CALCULATIONS!W221*$I$2</f>
        <v>46.94444444</v>
      </c>
      <c r="N221" s="41" t="str">
        <f>CONCATENATE(CALCULATIONS!Y221,CALCULATIONS!T221)</f>
        <v>per CU.M.</v>
      </c>
    </row>
    <row r="222" ht="12.75" customHeight="1">
      <c r="B222" s="44" t="s">
        <v>221</v>
      </c>
      <c r="C222" s="35">
        <f>IFERROR(1/CALCULATIONS!U222,0)</f>
        <v>0.2415458937</v>
      </c>
      <c r="D222" s="36" t="str">
        <f>CONCATENATE(CALCULATIONS!T222,CALCULATIONS!X222)</f>
        <v>CU.M.per hour</v>
      </c>
      <c r="E222" s="35">
        <f>IFERROR(1/CALCULATIONS!V222,0)</f>
        <v>0.4830917874</v>
      </c>
      <c r="F222" s="37" t="str">
        <f>CONCATENATE(CALCULATIONS!T222,CALCULATIONS!X222)</f>
        <v>CU.M.per hour</v>
      </c>
      <c r="G222" s="38">
        <f>IFERROR(1/CALCULATIONS!W222,0)</f>
        <v>0.6024096386</v>
      </c>
      <c r="H222" s="36" t="str">
        <f>CONCATENATE(CALCULATIONS!T222,CALCULATIONS!X222)</f>
        <v>CU.M.per hour</v>
      </c>
      <c r="I222" s="39">
        <f>CALCULATIONS!U222*$I$2</f>
        <v>242.9375</v>
      </c>
      <c r="J222" s="40" t="str">
        <f>CONCATENATE(CALCULATIONS!Y222,CALCULATIONS!T222)</f>
        <v>per CU.M.</v>
      </c>
      <c r="K222" s="39">
        <f>CALCULATIONS!V222*$I$2</f>
        <v>121.46875</v>
      </c>
      <c r="L222" s="40" t="str">
        <f>CONCATENATE(CALCULATIONS!Y222,CALCULATIONS!T222)</f>
        <v>per CU.M.</v>
      </c>
      <c r="M222" s="39">
        <f>CALCULATIONS!W222*$I$2</f>
        <v>97.40972222</v>
      </c>
      <c r="N222" s="41" t="str">
        <f>CONCATENATE(CALCULATIONS!Y222,CALCULATIONS!T222)</f>
        <v>per CU.M.</v>
      </c>
    </row>
    <row r="223" ht="12.75" customHeight="1">
      <c r="B223" s="44" t="s">
        <v>222</v>
      </c>
      <c r="C223" s="35">
        <f>IFERROR(1/CALCULATIONS!U223,0)</f>
        <v>0</v>
      </c>
      <c r="D223" s="36" t="str">
        <f>CONCATENATE(CALCULATIONS!T223,CALCULATIONS!X223)</f>
        <v/>
      </c>
      <c r="E223" s="35">
        <f>IFERROR(1/CALCULATIONS!V223,0)</f>
        <v>0</v>
      </c>
      <c r="F223" s="37" t="str">
        <f>CONCATENATE(CALCULATIONS!T223,CALCULATIONS!X223)</f>
        <v/>
      </c>
      <c r="G223" s="38">
        <f>IFERROR(1/CALCULATIONS!W223,0)</f>
        <v>0</v>
      </c>
      <c r="H223" s="36" t="str">
        <f>CONCATENATE(CALCULATIONS!T223,CALCULATIONS!X223)</f>
        <v/>
      </c>
      <c r="I223" s="39">
        <f>CALCULATIONS!U223*$I$2</f>
        <v>0</v>
      </c>
      <c r="J223" s="40" t="str">
        <f>CONCATENATE(CALCULATIONS!Y223,CALCULATIONS!T223)</f>
        <v/>
      </c>
      <c r="K223" s="39">
        <f>CALCULATIONS!V223*$I$2</f>
        <v>0</v>
      </c>
      <c r="L223" s="40" t="str">
        <f>CONCATENATE(CALCULATIONS!Y223,CALCULATIONS!T223)</f>
        <v/>
      </c>
      <c r="M223" s="39">
        <f>CALCULATIONS!W223*$I$2</f>
        <v>0</v>
      </c>
      <c r="N223" s="41" t="str">
        <f>CONCATENATE(CALCULATIONS!Y223,CALCULATIONS!T223)</f>
        <v/>
      </c>
    </row>
    <row r="224" ht="12.75" customHeight="1">
      <c r="A224" s="44" t="s">
        <v>223</v>
      </c>
      <c r="B224" s="44" t="s">
        <v>224</v>
      </c>
      <c r="C224" s="35">
        <f>IFERROR(1/CALCULATIONS!U224,0)</f>
        <v>0.4672897196</v>
      </c>
      <c r="D224" s="36" t="str">
        <f>CONCATENATE(CALCULATIONS!T224,CALCULATIONS!X224)</f>
        <v>CU.M.per hour</v>
      </c>
      <c r="E224" s="35">
        <f>IFERROR(1/CALCULATIONS!V224,0)</f>
        <v>0.9345794393</v>
      </c>
      <c r="F224" s="37" t="str">
        <f>CONCATENATE(CALCULATIONS!T224,CALCULATIONS!X224)</f>
        <v>CU.M.per hour</v>
      </c>
      <c r="G224" s="38">
        <f>IFERROR(1/CALCULATIONS!W224,0)</f>
        <v>1.162790698</v>
      </c>
      <c r="H224" s="36" t="str">
        <f>CONCATENATE(CALCULATIONS!T224,CALCULATIONS!X224)</f>
        <v>CU.M.per hour</v>
      </c>
      <c r="I224" s="39">
        <f>CALCULATIONS!U224*$I$2</f>
        <v>125.5763889</v>
      </c>
      <c r="J224" s="40" t="str">
        <f>CONCATENATE(CALCULATIONS!Y224,CALCULATIONS!T224)</f>
        <v>per CU.M.</v>
      </c>
      <c r="K224" s="39">
        <f>CALCULATIONS!V224*$I$2</f>
        <v>62.78819444</v>
      </c>
      <c r="L224" s="40" t="str">
        <f>CONCATENATE(CALCULATIONS!Y224,CALCULATIONS!T224)</f>
        <v>per CU.M.</v>
      </c>
      <c r="M224" s="39">
        <f>CALCULATIONS!W224*$I$2</f>
        <v>50.46527778</v>
      </c>
      <c r="N224" s="41" t="str">
        <f>CONCATENATE(CALCULATIONS!Y224,CALCULATIONS!T224)</f>
        <v>per CU.M.</v>
      </c>
    </row>
    <row r="225" ht="12.75" customHeight="1">
      <c r="C225" s="35">
        <f>IFERROR(1/CALCULATIONS!U225,0)</f>
        <v>0</v>
      </c>
      <c r="D225" s="36" t="str">
        <f>CONCATENATE(CALCULATIONS!T225,CALCULATIONS!X225)</f>
        <v/>
      </c>
      <c r="E225" s="35">
        <f>IFERROR(1/CALCULATIONS!V225,0)</f>
        <v>0</v>
      </c>
      <c r="F225" s="37" t="str">
        <f>CONCATENATE(CALCULATIONS!T225,CALCULATIONS!X225)</f>
        <v/>
      </c>
      <c r="G225" s="38">
        <f>IFERROR(1/CALCULATIONS!W225,0)</f>
        <v>0</v>
      </c>
      <c r="H225" s="36" t="str">
        <f>CONCATENATE(CALCULATIONS!T225,CALCULATIONS!X225)</f>
        <v/>
      </c>
      <c r="I225" s="39">
        <f>CALCULATIONS!U225*$I$2</f>
        <v>0</v>
      </c>
      <c r="J225" s="40" t="str">
        <f>CONCATENATE(CALCULATIONS!Y225,CALCULATIONS!T225)</f>
        <v/>
      </c>
      <c r="K225" s="39">
        <f>CALCULATIONS!V225*$I$2</f>
        <v>0</v>
      </c>
      <c r="L225" s="40" t="str">
        <f>CONCATENATE(CALCULATIONS!Y225,CALCULATIONS!T225)</f>
        <v/>
      </c>
      <c r="M225" s="39">
        <f>CALCULATIONS!W225*$I$2</f>
        <v>0</v>
      </c>
      <c r="N225" s="41" t="str">
        <f>CONCATENATE(CALCULATIONS!Y225,CALCULATIONS!T225)</f>
        <v/>
      </c>
    </row>
    <row r="226" ht="12.75" customHeight="1">
      <c r="A226" s="45" t="s">
        <v>225</v>
      </c>
      <c r="B226" s="46" t="s">
        <v>226</v>
      </c>
      <c r="C226" s="35">
        <f>IFERROR(1/CALCULATIONS!U226,0)</f>
        <v>0</v>
      </c>
      <c r="D226" s="36" t="str">
        <f>CONCATENATE(CALCULATIONS!T226,CALCULATIONS!X226)</f>
        <v/>
      </c>
      <c r="E226" s="35">
        <f>IFERROR(1/CALCULATIONS!V226,0)</f>
        <v>0</v>
      </c>
      <c r="F226" s="37" t="str">
        <f>CONCATENATE(CALCULATIONS!T226,CALCULATIONS!X226)</f>
        <v/>
      </c>
      <c r="G226" s="38">
        <f>IFERROR(1/CALCULATIONS!W226,0)</f>
        <v>0</v>
      </c>
      <c r="H226" s="36" t="str">
        <f>CONCATENATE(CALCULATIONS!T226,CALCULATIONS!X226)</f>
        <v/>
      </c>
      <c r="I226" s="39">
        <f>CALCULATIONS!U226*$I$2</f>
        <v>0</v>
      </c>
      <c r="J226" s="40" t="str">
        <f>CONCATENATE(CALCULATIONS!Y226,CALCULATIONS!T226)</f>
        <v/>
      </c>
      <c r="K226" s="39">
        <f>CALCULATIONS!V226*$I$2</f>
        <v>0</v>
      </c>
      <c r="L226" s="40" t="str">
        <f>CONCATENATE(CALCULATIONS!Y226,CALCULATIONS!T226)</f>
        <v/>
      </c>
      <c r="M226" s="39">
        <f>CALCULATIONS!W226*$I$2</f>
        <v>0</v>
      </c>
      <c r="N226" s="41" t="str">
        <f>CONCATENATE(CALCULATIONS!Y226,CALCULATIONS!T226)</f>
        <v/>
      </c>
    </row>
    <row r="227" ht="12.75" customHeight="1">
      <c r="A227" s="38">
        <v>1.0</v>
      </c>
      <c r="B227" s="44" t="s">
        <v>227</v>
      </c>
      <c r="C227" s="35">
        <f>IFERROR(1/CALCULATIONS!U227,0)</f>
        <v>0</v>
      </c>
      <c r="D227" s="36" t="str">
        <f>CONCATENATE(CALCULATIONS!T227,CALCULATIONS!X227)</f>
        <v/>
      </c>
      <c r="E227" s="35">
        <f>IFERROR(1/CALCULATIONS!V227,0)</f>
        <v>0</v>
      </c>
      <c r="F227" s="37" t="str">
        <f>CONCATENATE(CALCULATIONS!T227,CALCULATIONS!X227)</f>
        <v/>
      </c>
      <c r="G227" s="38">
        <f>IFERROR(1/CALCULATIONS!W227,0)</f>
        <v>0</v>
      </c>
      <c r="H227" s="36" t="str">
        <f>CONCATENATE(CALCULATIONS!T227,CALCULATIONS!X227)</f>
        <v/>
      </c>
      <c r="I227" s="39">
        <f>CALCULATIONS!U227*$I$2</f>
        <v>0</v>
      </c>
      <c r="J227" s="40" t="str">
        <f>CONCATENATE(CALCULATIONS!Y227,CALCULATIONS!T227)</f>
        <v/>
      </c>
      <c r="K227" s="39">
        <f>CALCULATIONS!V227*$I$2</f>
        <v>0</v>
      </c>
      <c r="L227" s="40" t="str">
        <f>CONCATENATE(CALCULATIONS!Y227,CALCULATIONS!T227)</f>
        <v/>
      </c>
      <c r="M227" s="39">
        <f>CALCULATIONS!W227*$I$2</f>
        <v>0</v>
      </c>
      <c r="N227" s="41" t="str">
        <f>CONCATENATE(CALCULATIONS!Y227,CALCULATIONS!T227)</f>
        <v/>
      </c>
    </row>
    <row r="228" ht="12.75" customHeight="1">
      <c r="B228" s="44" t="s">
        <v>228</v>
      </c>
      <c r="C228" s="35">
        <f>IFERROR(1/CALCULATIONS!U228,0)</f>
        <v>0.7575757576</v>
      </c>
      <c r="D228" s="36" t="str">
        <f>CONCATENATE(CALCULATIONS!T228,CALCULATIONS!X228)</f>
        <v>L.M.per hour</v>
      </c>
      <c r="E228" s="35">
        <f>IFERROR(1/CALCULATIONS!V228,0)</f>
        <v>1.515151515</v>
      </c>
      <c r="F228" s="37" t="str">
        <f>CONCATENATE(CALCULATIONS!T228,CALCULATIONS!X228)</f>
        <v>L.M.per hour</v>
      </c>
      <c r="G228" s="38">
        <f>IFERROR(1/CALCULATIONS!W228,0)</f>
        <v>1.886792453</v>
      </c>
      <c r="H228" s="36" t="str">
        <f>CONCATENATE(CALCULATIONS!T228,CALCULATIONS!X228)</f>
        <v>L.M.per hour</v>
      </c>
      <c r="I228" s="39">
        <f>CALCULATIONS!U228*$I$2</f>
        <v>77.45833333</v>
      </c>
      <c r="J228" s="40" t="str">
        <f>CONCATENATE(CALCULATIONS!Y228,CALCULATIONS!T228)</f>
        <v>per L.M.</v>
      </c>
      <c r="K228" s="39">
        <f>CALCULATIONS!V228*$I$2</f>
        <v>38.72916667</v>
      </c>
      <c r="L228" s="40" t="str">
        <f>CONCATENATE(CALCULATIONS!Y228,CALCULATIONS!T228)</f>
        <v>per L.M.</v>
      </c>
      <c r="M228" s="39">
        <f>CALCULATIONS!W228*$I$2</f>
        <v>31.10069444</v>
      </c>
      <c r="N228" s="41" t="str">
        <f>CONCATENATE(CALCULATIONS!Y228,CALCULATIONS!T228)</f>
        <v>per L.M.</v>
      </c>
    </row>
    <row r="229" ht="12.75" customHeight="1">
      <c r="B229" s="44" t="s">
        <v>229</v>
      </c>
      <c r="C229" s="35">
        <f>IFERROR(1/CALCULATIONS!U229,0)</f>
        <v>0.7575757576</v>
      </c>
      <c r="D229" s="36" t="str">
        <f>CONCATENATE(CALCULATIONS!T229,CALCULATIONS!X229)</f>
        <v>L.M.per hour</v>
      </c>
      <c r="E229" s="35">
        <f>IFERROR(1/CALCULATIONS!V229,0)</f>
        <v>1.515151515</v>
      </c>
      <c r="F229" s="37" t="str">
        <f>CONCATENATE(CALCULATIONS!T229,CALCULATIONS!X229)</f>
        <v>L.M.per hour</v>
      </c>
      <c r="G229" s="38">
        <f>IFERROR(1/CALCULATIONS!W229,0)</f>
        <v>1.886792453</v>
      </c>
      <c r="H229" s="36" t="str">
        <f>CONCATENATE(CALCULATIONS!T229,CALCULATIONS!X229)</f>
        <v>L.M.per hour</v>
      </c>
      <c r="I229" s="39">
        <f>CALCULATIONS!U229*$I$2</f>
        <v>77.45833333</v>
      </c>
      <c r="J229" s="40" t="str">
        <f>CONCATENATE(CALCULATIONS!Y229,CALCULATIONS!T229)</f>
        <v>per L.M.</v>
      </c>
      <c r="K229" s="39">
        <f>CALCULATIONS!V229*$I$2</f>
        <v>38.72916667</v>
      </c>
      <c r="L229" s="40" t="str">
        <f>CONCATENATE(CALCULATIONS!Y229,CALCULATIONS!T229)</f>
        <v>per L.M.</v>
      </c>
      <c r="M229" s="39">
        <f>CALCULATIONS!W229*$I$2</f>
        <v>31.10069444</v>
      </c>
      <c r="N229" s="41" t="str">
        <f>CONCATENATE(CALCULATIONS!Y229,CALCULATIONS!T229)</f>
        <v>per L.M.</v>
      </c>
    </row>
    <row r="230" ht="12.75" customHeight="1">
      <c r="B230" s="44" t="s">
        <v>230</v>
      </c>
      <c r="C230" s="35">
        <f>IFERROR(1/CALCULATIONS!U230,0)</f>
        <v>0.6756756757</v>
      </c>
      <c r="D230" s="36" t="str">
        <f>CONCATENATE(CALCULATIONS!T230,CALCULATIONS!X230)</f>
        <v>L.M.per hour</v>
      </c>
      <c r="E230" s="35">
        <f>IFERROR(1/CALCULATIONS!V230,0)</f>
        <v>1.351351351</v>
      </c>
      <c r="F230" s="37" t="str">
        <f>CONCATENATE(CALCULATIONS!T230,CALCULATIONS!X230)</f>
        <v>L.M.per hour</v>
      </c>
      <c r="G230" s="38">
        <f>IFERROR(1/CALCULATIONS!W230,0)</f>
        <v>1.694915254</v>
      </c>
      <c r="H230" s="36" t="str">
        <f>CONCATENATE(CALCULATIONS!T230,CALCULATIONS!X230)</f>
        <v>L.M.per hour</v>
      </c>
      <c r="I230" s="39">
        <f>CALCULATIONS!U230*$I$2</f>
        <v>86.84722222</v>
      </c>
      <c r="J230" s="40" t="str">
        <f>CONCATENATE(CALCULATIONS!Y230,CALCULATIONS!T230)</f>
        <v>per L.M.</v>
      </c>
      <c r="K230" s="39">
        <f>CALCULATIONS!V230*$I$2</f>
        <v>43.42361111</v>
      </c>
      <c r="L230" s="40" t="str">
        <f>CONCATENATE(CALCULATIONS!Y230,CALCULATIONS!T230)</f>
        <v>per L.M.</v>
      </c>
      <c r="M230" s="39">
        <f>CALCULATIONS!W230*$I$2</f>
        <v>34.62152778</v>
      </c>
      <c r="N230" s="41" t="str">
        <f>CONCATENATE(CALCULATIONS!Y230,CALCULATIONS!T230)</f>
        <v>per L.M.</v>
      </c>
    </row>
    <row r="231" ht="12.75" customHeight="1">
      <c r="B231" s="44" t="s">
        <v>231</v>
      </c>
      <c r="C231" s="35">
        <f>IFERROR(1/CALCULATIONS!U231,0)</f>
        <v>0.6097560976</v>
      </c>
      <c r="D231" s="36" t="str">
        <f>CONCATENATE(CALCULATIONS!T231,CALCULATIONS!X231)</f>
        <v>L.M.per hour</v>
      </c>
      <c r="E231" s="35">
        <f>IFERROR(1/CALCULATIONS!V231,0)</f>
        <v>1.219512195</v>
      </c>
      <c r="F231" s="37" t="str">
        <f>CONCATENATE(CALCULATIONS!T231,CALCULATIONS!X231)</f>
        <v>L.M.per hour</v>
      </c>
      <c r="G231" s="38">
        <f>IFERROR(1/CALCULATIONS!W231,0)</f>
        <v>1.515151515</v>
      </c>
      <c r="H231" s="36" t="str">
        <f>CONCATENATE(CALCULATIONS!T231,CALCULATIONS!X231)</f>
        <v>L.M.per hour</v>
      </c>
      <c r="I231" s="39">
        <f>CALCULATIONS!U231*$I$2</f>
        <v>96.23611111</v>
      </c>
      <c r="J231" s="40" t="str">
        <f>CONCATENATE(CALCULATIONS!Y231,CALCULATIONS!T231)</f>
        <v>per L.M.</v>
      </c>
      <c r="K231" s="39">
        <f>CALCULATIONS!V231*$I$2</f>
        <v>48.11805556</v>
      </c>
      <c r="L231" s="40" t="str">
        <f>CONCATENATE(CALCULATIONS!Y231,CALCULATIONS!T231)</f>
        <v>per L.M.</v>
      </c>
      <c r="M231" s="39">
        <f>CALCULATIONS!W231*$I$2</f>
        <v>38.72916667</v>
      </c>
      <c r="N231" s="41" t="str">
        <f>CONCATENATE(CALCULATIONS!Y231,CALCULATIONS!T231)</f>
        <v>per L.M.</v>
      </c>
    </row>
    <row r="232" ht="12.75" customHeight="1">
      <c r="B232" s="44" t="s">
        <v>232</v>
      </c>
      <c r="C232" s="35">
        <f>IFERROR(1/CALCULATIONS!U232,0)</f>
        <v>0.5076142132</v>
      </c>
      <c r="D232" s="36" t="str">
        <f>CONCATENATE(CALCULATIONS!T232,CALCULATIONS!X232)</f>
        <v>L.M.per hour</v>
      </c>
      <c r="E232" s="35">
        <f>IFERROR(1/CALCULATIONS!V232,0)</f>
        <v>1.020408163</v>
      </c>
      <c r="F232" s="37" t="str">
        <f>CONCATENATE(CALCULATIONS!T232,CALCULATIONS!X232)</f>
        <v>L.M.per hour</v>
      </c>
      <c r="G232" s="38">
        <f>IFERROR(1/CALCULATIONS!W232,0)</f>
        <v>1.428571429</v>
      </c>
      <c r="H232" s="36" t="str">
        <f>CONCATENATE(CALCULATIONS!T232,CALCULATIONS!X232)</f>
        <v>L.M.per hour</v>
      </c>
      <c r="I232" s="39">
        <f>CALCULATIONS!U232*$I$2</f>
        <v>115.6006944</v>
      </c>
      <c r="J232" s="40" t="str">
        <f>CONCATENATE(CALCULATIONS!Y232,CALCULATIONS!T232)</f>
        <v>per L.M.</v>
      </c>
      <c r="K232" s="39">
        <f>CALCULATIONS!V232*$I$2</f>
        <v>57.50694444</v>
      </c>
      <c r="L232" s="40" t="str">
        <f>CONCATENATE(CALCULATIONS!Y232,CALCULATIONS!T232)</f>
        <v>per L.M.</v>
      </c>
      <c r="M232" s="39">
        <f>CALCULATIONS!W232*$I$2</f>
        <v>41.07638889</v>
      </c>
      <c r="N232" s="41" t="str">
        <f>CONCATENATE(CALCULATIONS!Y232,CALCULATIONS!T232)</f>
        <v>per L.M.</v>
      </c>
    </row>
    <row r="233" ht="12.75" customHeight="1">
      <c r="B233" s="44" t="s">
        <v>233</v>
      </c>
      <c r="C233" s="35">
        <f>IFERROR(1/CALCULATIONS!U233,0)</f>
        <v>0.462962963</v>
      </c>
      <c r="D233" s="36" t="str">
        <f>CONCATENATE(CALCULATIONS!T233,CALCULATIONS!X233)</f>
        <v>L.M.per hour</v>
      </c>
      <c r="E233" s="35">
        <f>IFERROR(1/CALCULATIONS!V233,0)</f>
        <v>0.9259259259</v>
      </c>
      <c r="F233" s="37" t="str">
        <f>CONCATENATE(CALCULATIONS!T233,CALCULATIONS!X233)</f>
        <v>L.M.per hour</v>
      </c>
      <c r="G233" s="38">
        <f>IFERROR(1/CALCULATIONS!W233,0)</f>
        <v>1.162790698</v>
      </c>
      <c r="H233" s="36" t="str">
        <f>CONCATENATE(CALCULATIONS!T233,CALCULATIONS!X233)</f>
        <v>L.M.per hour</v>
      </c>
      <c r="I233" s="39">
        <f>CALCULATIONS!U233*$I$2</f>
        <v>126.75</v>
      </c>
      <c r="J233" s="40" t="str">
        <f>CONCATENATE(CALCULATIONS!Y233,CALCULATIONS!T233)</f>
        <v>per L.M.</v>
      </c>
      <c r="K233" s="39">
        <f>CALCULATIONS!V233*$I$2</f>
        <v>63.375</v>
      </c>
      <c r="L233" s="40" t="str">
        <f>CONCATENATE(CALCULATIONS!Y233,CALCULATIONS!T233)</f>
        <v>per L.M.</v>
      </c>
      <c r="M233" s="39">
        <f>CALCULATIONS!W233*$I$2</f>
        <v>50.46527778</v>
      </c>
      <c r="N233" s="41" t="str">
        <f>CONCATENATE(CALCULATIONS!Y233,CALCULATIONS!T233)</f>
        <v>per L.M.</v>
      </c>
    </row>
    <row r="234" ht="12.75" customHeight="1">
      <c r="B234" s="44" t="s">
        <v>234</v>
      </c>
      <c r="C234" s="35">
        <f>IFERROR(1/CALCULATIONS!U234,0)</f>
        <v>0.4347826087</v>
      </c>
      <c r="D234" s="36" t="str">
        <f>CONCATENATE(CALCULATIONS!T234,CALCULATIONS!X234)</f>
        <v>L.M.per hour</v>
      </c>
      <c r="E234" s="35">
        <f>IFERROR(1/CALCULATIONS!V234,0)</f>
        <v>0.8695652174</v>
      </c>
      <c r="F234" s="37" t="str">
        <f>CONCATENATE(CALCULATIONS!T234,CALCULATIONS!X234)</f>
        <v>L.M.per hour</v>
      </c>
      <c r="G234" s="38">
        <f>IFERROR(1/CALCULATIONS!W234,0)</f>
        <v>1.086956522</v>
      </c>
      <c r="H234" s="36" t="str">
        <f>CONCATENATE(CALCULATIONS!T234,CALCULATIONS!X234)</f>
        <v>L.M.per hour</v>
      </c>
      <c r="I234" s="39">
        <f>CALCULATIONS!U234*$I$2</f>
        <v>134.9652778</v>
      </c>
      <c r="J234" s="40" t="str">
        <f>CONCATENATE(CALCULATIONS!Y234,CALCULATIONS!T234)</f>
        <v>per L.M.</v>
      </c>
      <c r="K234" s="39">
        <f>CALCULATIONS!V234*$I$2</f>
        <v>67.48263889</v>
      </c>
      <c r="L234" s="40" t="str">
        <f>CONCATENATE(CALCULATIONS!Y234,CALCULATIONS!T234)</f>
        <v>per L.M.</v>
      </c>
      <c r="M234" s="39">
        <f>CALCULATIONS!W234*$I$2</f>
        <v>53.98611111</v>
      </c>
      <c r="N234" s="41" t="str">
        <f>CONCATENATE(CALCULATIONS!Y234,CALCULATIONS!T234)</f>
        <v>per L.M.</v>
      </c>
    </row>
    <row r="235" ht="12.75" customHeight="1">
      <c r="B235" s="44" t="s">
        <v>235</v>
      </c>
      <c r="C235" s="35">
        <f>IFERROR(1/CALCULATIONS!U235,0)</f>
        <v>0.3787878788</v>
      </c>
      <c r="D235" s="36" t="str">
        <f>CONCATENATE(CALCULATIONS!T235,CALCULATIONS!X235)</f>
        <v>L.M.per hour</v>
      </c>
      <c r="E235" s="35">
        <f>IFERROR(1/CALCULATIONS!V235,0)</f>
        <v>0.7575757576</v>
      </c>
      <c r="F235" s="37" t="str">
        <f>CONCATENATE(CALCULATIONS!T235,CALCULATIONS!X235)</f>
        <v>L.M.per hour</v>
      </c>
      <c r="G235" s="38">
        <f>IFERROR(1/CALCULATIONS!W235,0)</f>
        <v>0.9433962264</v>
      </c>
      <c r="H235" s="36" t="str">
        <f>CONCATENATE(CALCULATIONS!T235,CALCULATIONS!X235)</f>
        <v>L.M.per hour</v>
      </c>
      <c r="I235" s="39">
        <f>CALCULATIONS!U235*$I$2</f>
        <v>154.9166667</v>
      </c>
      <c r="J235" s="40" t="str">
        <f>CONCATENATE(CALCULATIONS!Y235,CALCULATIONS!T235)</f>
        <v>per L.M.</v>
      </c>
      <c r="K235" s="39">
        <f>CALCULATIONS!V235*$I$2</f>
        <v>77.45833333</v>
      </c>
      <c r="L235" s="40" t="str">
        <f>CONCATENATE(CALCULATIONS!Y235,CALCULATIONS!T235)</f>
        <v>per L.M.</v>
      </c>
      <c r="M235" s="39">
        <f>CALCULATIONS!W235*$I$2</f>
        <v>62.20138889</v>
      </c>
      <c r="N235" s="41" t="str">
        <f>CONCATENATE(CALCULATIONS!Y235,CALCULATIONS!T235)</f>
        <v>per L.M.</v>
      </c>
    </row>
    <row r="236" ht="12.75" customHeight="1">
      <c r="A236" s="38">
        <v>2.0</v>
      </c>
      <c r="B236" s="44" t="s">
        <v>236</v>
      </c>
      <c r="C236" s="35">
        <f>IFERROR(1/CALCULATIONS!U236,0)</f>
        <v>0</v>
      </c>
      <c r="D236" s="36" t="str">
        <f>CONCATENATE(CALCULATIONS!T236,CALCULATIONS!X236)</f>
        <v/>
      </c>
      <c r="E236" s="35">
        <f>IFERROR(1/CALCULATIONS!V236,0)</f>
        <v>0</v>
      </c>
      <c r="F236" s="37" t="str">
        <f>CONCATENATE(CALCULATIONS!T236,CALCULATIONS!X236)</f>
        <v/>
      </c>
      <c r="G236" s="38">
        <f>IFERROR(1/CALCULATIONS!W236,0)</f>
        <v>0</v>
      </c>
      <c r="H236" s="36" t="str">
        <f>CONCATENATE(CALCULATIONS!T236,CALCULATIONS!X236)</f>
        <v/>
      </c>
      <c r="I236" s="39">
        <f>CALCULATIONS!U236*$I$2</f>
        <v>0</v>
      </c>
      <c r="J236" s="40" t="str">
        <f>CONCATENATE(CALCULATIONS!Y236,CALCULATIONS!T236)</f>
        <v/>
      </c>
      <c r="K236" s="39">
        <f>CALCULATIONS!V236*$I$2</f>
        <v>0</v>
      </c>
      <c r="L236" s="40" t="str">
        <f>CONCATENATE(CALCULATIONS!Y236,CALCULATIONS!T236)</f>
        <v/>
      </c>
      <c r="M236" s="39">
        <f>CALCULATIONS!W236*$I$2</f>
        <v>0</v>
      </c>
      <c r="N236" s="41" t="str">
        <f>CONCATENATE(CALCULATIONS!Y236,CALCULATIONS!T236)</f>
        <v/>
      </c>
    </row>
    <row r="237" ht="12.75" customHeight="1">
      <c r="B237" s="49" t="s">
        <v>237</v>
      </c>
      <c r="C237" s="35">
        <f>IFERROR(1/CALCULATIONS!U237,0)</f>
        <v>0.2283105023</v>
      </c>
      <c r="D237" s="36" t="str">
        <f>CONCATENATE(CALCULATIONS!T237,CALCULATIONS!X237)</f>
        <v>L.M.per hour</v>
      </c>
      <c r="E237" s="35">
        <f>IFERROR(1/CALCULATIONS!V237,0)</f>
        <v>0.4566210046</v>
      </c>
      <c r="F237" s="37" t="str">
        <f>CONCATENATE(CALCULATIONS!T237,CALCULATIONS!X237)</f>
        <v>L.M.per hour</v>
      </c>
      <c r="G237" s="38">
        <f>IFERROR(1/CALCULATIONS!W237,0)</f>
        <v>0.5714285714</v>
      </c>
      <c r="H237" s="36" t="str">
        <f>CONCATENATE(CALCULATIONS!T237,CALCULATIONS!X237)</f>
        <v>L.M.per hour</v>
      </c>
      <c r="I237" s="39">
        <f>CALCULATIONS!U237*$I$2</f>
        <v>257.0208333</v>
      </c>
      <c r="J237" s="40" t="str">
        <f>CONCATENATE(CALCULATIONS!Y237,CALCULATIONS!T237)</f>
        <v>per L.M.</v>
      </c>
      <c r="K237" s="39">
        <f>CALCULATIONS!V237*$I$2</f>
        <v>128.5104167</v>
      </c>
      <c r="L237" s="40" t="str">
        <f>CONCATENATE(CALCULATIONS!Y237,CALCULATIONS!T237)</f>
        <v>per L.M.</v>
      </c>
      <c r="M237" s="39">
        <f>CALCULATIONS!W237*$I$2</f>
        <v>102.6909722</v>
      </c>
      <c r="N237" s="41" t="str">
        <f>CONCATENATE(CALCULATIONS!Y237,CALCULATIONS!T237)</f>
        <v>per L.M.</v>
      </c>
    </row>
    <row r="238" ht="12.75" customHeight="1">
      <c r="B238" s="49" t="s">
        <v>235</v>
      </c>
      <c r="C238" s="35">
        <f>IFERROR(1/CALCULATIONS!U238,0)</f>
        <v>0.1519756839</v>
      </c>
      <c r="D238" s="36" t="str">
        <f>CONCATENATE(CALCULATIONS!T238,CALCULATIONS!X238)</f>
        <v>L.M.per hour</v>
      </c>
      <c r="E238" s="35">
        <f>IFERROR(1/CALCULATIONS!V238,0)</f>
        <v>0.3039513678</v>
      </c>
      <c r="F238" s="37" t="str">
        <f>CONCATENATE(CALCULATIONS!T238,CALCULATIONS!X238)</f>
        <v>L.M.per hour</v>
      </c>
      <c r="G238" s="38">
        <f>IFERROR(1/CALCULATIONS!W238,0)</f>
        <v>0.3802281369</v>
      </c>
      <c r="H238" s="36" t="str">
        <f>CONCATENATE(CALCULATIONS!T238,CALCULATIONS!X238)</f>
        <v>L.M.per hour</v>
      </c>
      <c r="I238" s="39">
        <f>CALCULATIONS!U238*$I$2</f>
        <v>386.1180556</v>
      </c>
      <c r="J238" s="40" t="str">
        <f>CONCATENATE(CALCULATIONS!Y238,CALCULATIONS!T238)</f>
        <v>per L.M.</v>
      </c>
      <c r="K238" s="39">
        <f>CALCULATIONS!V238*$I$2</f>
        <v>193.0590278</v>
      </c>
      <c r="L238" s="40" t="str">
        <f>CONCATENATE(CALCULATIONS!Y238,CALCULATIONS!T238)</f>
        <v>per L.M.</v>
      </c>
      <c r="M238" s="39">
        <f>CALCULATIONS!W238*$I$2</f>
        <v>154.3298611</v>
      </c>
      <c r="N238" s="41" t="str">
        <f>CONCATENATE(CALCULATIONS!Y238,CALCULATIONS!T238)</f>
        <v>per L.M.</v>
      </c>
    </row>
    <row r="239" ht="12.75" customHeight="1">
      <c r="B239" s="49" t="s">
        <v>238</v>
      </c>
      <c r="C239" s="35">
        <f>IFERROR(1/CALCULATIONS!U239,0)</f>
        <v>0.1016260163</v>
      </c>
      <c r="D239" s="36" t="str">
        <f>CONCATENATE(CALCULATIONS!T239,CALCULATIONS!X239)</f>
        <v>L.M.per hour</v>
      </c>
      <c r="E239" s="35">
        <f>IFERROR(1/CALCULATIONS!V239,0)</f>
        <v>0.2032520325</v>
      </c>
      <c r="F239" s="37" t="str">
        <f>CONCATENATE(CALCULATIONS!T239,CALCULATIONS!X239)</f>
        <v>L.M.per hour</v>
      </c>
      <c r="G239" s="38">
        <f>IFERROR(1/CALCULATIONS!W239,0)</f>
        <v>0.2538071066</v>
      </c>
      <c r="H239" s="36" t="str">
        <f>CONCATENATE(CALCULATIONS!T239,CALCULATIONS!X239)</f>
        <v>L.M.per hour</v>
      </c>
      <c r="I239" s="39">
        <f>CALCULATIONS!U239*$I$2</f>
        <v>577.4166667</v>
      </c>
      <c r="J239" s="40" t="str">
        <f>CONCATENATE(CALCULATIONS!Y239,CALCULATIONS!T239)</f>
        <v>per L.M.</v>
      </c>
      <c r="K239" s="39">
        <f>CALCULATIONS!V239*$I$2</f>
        <v>288.7083333</v>
      </c>
      <c r="L239" s="40" t="str">
        <f>CONCATENATE(CALCULATIONS!Y239,CALCULATIONS!T239)</f>
        <v>per L.M.</v>
      </c>
      <c r="M239" s="39">
        <f>CALCULATIONS!W239*$I$2</f>
        <v>231.2013889</v>
      </c>
      <c r="N239" s="41" t="str">
        <f>CONCATENATE(CALCULATIONS!Y239,CALCULATIONS!T239)</f>
        <v>per L.M.</v>
      </c>
    </row>
    <row r="240" ht="12.75" customHeight="1">
      <c r="B240" s="49" t="s">
        <v>239</v>
      </c>
      <c r="C240" s="35">
        <f>IFERROR(1/CALCULATIONS!U240,0)</f>
        <v>0.07610350076</v>
      </c>
      <c r="D240" s="36" t="str">
        <f>CONCATENATE(CALCULATIONS!T240,CALCULATIONS!X240)</f>
        <v>L.M.per hour</v>
      </c>
      <c r="E240" s="35">
        <f>IFERROR(1/CALCULATIONS!V240,0)</f>
        <v>0.1522070015</v>
      </c>
      <c r="F240" s="37" t="str">
        <f>CONCATENATE(CALCULATIONS!T240,CALCULATIONS!X240)</f>
        <v>L.M.per hour</v>
      </c>
      <c r="G240" s="38">
        <f>IFERROR(1/CALCULATIONS!W240,0)</f>
        <v>0.1901140684</v>
      </c>
      <c r="H240" s="36" t="str">
        <f>CONCATENATE(CALCULATIONS!T240,CALCULATIONS!X240)</f>
        <v>L.M.per hour</v>
      </c>
      <c r="I240" s="39">
        <f>CALCULATIONS!U240*$I$2</f>
        <v>771.0625</v>
      </c>
      <c r="J240" s="40" t="str">
        <f>CONCATENATE(CALCULATIONS!Y240,CALCULATIONS!T240)</f>
        <v>per L.M.</v>
      </c>
      <c r="K240" s="39">
        <f>CALCULATIONS!V240*$I$2</f>
        <v>385.53125</v>
      </c>
      <c r="L240" s="40" t="str">
        <f>CONCATENATE(CALCULATIONS!Y240,CALCULATIONS!T240)</f>
        <v>per L.M.</v>
      </c>
      <c r="M240" s="39">
        <f>CALCULATIONS!W240*$I$2</f>
        <v>308.6597222</v>
      </c>
      <c r="N240" s="41" t="str">
        <f>CONCATENATE(CALCULATIONS!Y240,CALCULATIONS!T240)</f>
        <v>per L.M.</v>
      </c>
    </row>
    <row r="241" ht="12.75" customHeight="1">
      <c r="B241" s="49" t="s">
        <v>240</v>
      </c>
      <c r="C241" s="35">
        <f>IFERROR(1/CALCULATIONS!U241,0)</f>
        <v>0.05076142132</v>
      </c>
      <c r="D241" s="36" t="str">
        <f>CONCATENATE(CALCULATIONS!T241,CALCULATIONS!X241)</f>
        <v>L.M.per hour</v>
      </c>
      <c r="E241" s="35">
        <f>IFERROR(1/CALCULATIONS!V241,0)</f>
        <v>0.1015228426</v>
      </c>
      <c r="F241" s="37" t="str">
        <f>CONCATENATE(CALCULATIONS!T241,CALCULATIONS!X241)</f>
        <v>L.M.per hour</v>
      </c>
      <c r="G241" s="38">
        <f>IFERROR(1/CALCULATIONS!W241,0)</f>
        <v>0.1253132832</v>
      </c>
      <c r="H241" s="36" t="str">
        <f>CONCATENATE(CALCULATIONS!T241,CALCULATIONS!X241)</f>
        <v>L.M.per hour</v>
      </c>
      <c r="I241" s="39">
        <f>CALCULATIONS!U241*$I$2</f>
        <v>1156.006944</v>
      </c>
      <c r="J241" s="40" t="str">
        <f>CONCATENATE(CALCULATIONS!Y241,CALCULATIONS!T241)</f>
        <v>per L.M.</v>
      </c>
      <c r="K241" s="39">
        <f>CALCULATIONS!V241*$I$2</f>
        <v>578.0034722</v>
      </c>
      <c r="L241" s="40" t="str">
        <f>CONCATENATE(CALCULATIONS!Y241,CALCULATIONS!T241)</f>
        <v>per L.M.</v>
      </c>
      <c r="M241" s="39">
        <f>CALCULATIONS!W241*$I$2</f>
        <v>468.2708333</v>
      </c>
      <c r="N241" s="41" t="str">
        <f>CONCATENATE(CALCULATIONS!Y241,CALCULATIONS!T241)</f>
        <v>per L.M.</v>
      </c>
    </row>
    <row r="242" ht="12.75" customHeight="1">
      <c r="B242" s="49" t="s">
        <v>241</v>
      </c>
      <c r="C242" s="35">
        <f>IFERROR(1/CALCULATIONS!U242,0)</f>
        <v>0.04849660524</v>
      </c>
      <c r="D242" s="36" t="str">
        <f>CONCATENATE(CALCULATIONS!T242,CALCULATIONS!X242)</f>
        <v>L.M.per hour</v>
      </c>
      <c r="E242" s="35">
        <f>IFERROR(1/CALCULATIONS!V242,0)</f>
        <v>0.09699321048</v>
      </c>
      <c r="F242" s="37" t="str">
        <f>CONCATENATE(CALCULATIONS!T242,CALCULATIONS!X242)</f>
        <v>L.M.per hour</v>
      </c>
      <c r="G242" s="38">
        <f>IFERROR(1/CALCULATIONS!W242,0)</f>
        <v>0.1212121212</v>
      </c>
      <c r="H242" s="36" t="str">
        <f>CONCATENATE(CALCULATIONS!T242,CALCULATIONS!X242)</f>
        <v>L.M.per hour</v>
      </c>
      <c r="I242" s="39">
        <f>CALCULATIONS!U242*$I$2</f>
        <v>1209.993056</v>
      </c>
      <c r="J242" s="40" t="str">
        <f>CONCATENATE(CALCULATIONS!Y242,CALCULATIONS!T242)</f>
        <v>per L.M.</v>
      </c>
      <c r="K242" s="39">
        <f>CALCULATIONS!V242*$I$2</f>
        <v>604.9965278</v>
      </c>
      <c r="L242" s="40" t="str">
        <f>CONCATENATE(CALCULATIONS!Y242,CALCULATIONS!T242)</f>
        <v>per L.M.</v>
      </c>
      <c r="M242" s="39">
        <f>CALCULATIONS!W242*$I$2</f>
        <v>484.1145833</v>
      </c>
      <c r="N242" s="41" t="str">
        <f>CONCATENATE(CALCULATIONS!Y242,CALCULATIONS!T242)</f>
        <v>per L.M.</v>
      </c>
    </row>
    <row r="243" ht="12.75" customHeight="1">
      <c r="B243" s="49" t="s">
        <v>242</v>
      </c>
      <c r="C243" s="35">
        <f>IFERROR(1/CALCULATIONS!U243,0)</f>
        <v>0.04149377593</v>
      </c>
      <c r="D243" s="36" t="str">
        <f>CONCATENATE(CALCULATIONS!T243,CALCULATIONS!X243)</f>
        <v>L.M.per hour</v>
      </c>
      <c r="E243" s="35">
        <f>IFERROR(1/CALCULATIONS!V243,0)</f>
        <v>0.08298755187</v>
      </c>
      <c r="F243" s="37" t="str">
        <f>CONCATENATE(CALCULATIONS!T243,CALCULATIONS!X243)</f>
        <v>L.M.per hour</v>
      </c>
      <c r="G243" s="38">
        <f>IFERROR(1/CALCULATIONS!W243,0)</f>
        <v>0.1037344398</v>
      </c>
      <c r="H243" s="36" t="str">
        <f>CONCATENATE(CALCULATIONS!T243,CALCULATIONS!X243)</f>
        <v>L.M.per hour</v>
      </c>
      <c r="I243" s="39">
        <f>CALCULATIONS!U243*$I$2</f>
        <v>1414.201389</v>
      </c>
      <c r="J243" s="40" t="str">
        <f>CONCATENATE(CALCULATIONS!Y243,CALCULATIONS!T243)</f>
        <v>per L.M.</v>
      </c>
      <c r="K243" s="39">
        <f>CALCULATIONS!V243*$I$2</f>
        <v>707.1006944</v>
      </c>
      <c r="L243" s="40" t="str">
        <f>CONCATENATE(CALCULATIONS!Y243,CALCULATIONS!T243)</f>
        <v>per L.M.</v>
      </c>
      <c r="M243" s="39">
        <f>CALCULATIONS!W243*$I$2</f>
        <v>565.6805556</v>
      </c>
      <c r="N243" s="41" t="str">
        <f>CONCATENATE(CALCULATIONS!Y243,CALCULATIONS!T243)</f>
        <v>per L.M.</v>
      </c>
    </row>
    <row r="244" ht="12.75" customHeight="1">
      <c r="B244" s="49" t="s">
        <v>243</v>
      </c>
      <c r="C244" s="35">
        <f>IFERROR(1/CALCULATIONS!U244,0)</f>
        <v>0.0365230095</v>
      </c>
      <c r="D244" s="36" t="str">
        <f>CONCATENATE(CALCULATIONS!T244,CALCULATIONS!X244)</f>
        <v>L.M.per hour</v>
      </c>
      <c r="E244" s="35">
        <f>IFERROR(1/CALCULATIONS!V244,0)</f>
        <v>0.07304601899</v>
      </c>
      <c r="F244" s="37" t="str">
        <f>CONCATENATE(CALCULATIONS!T244,CALCULATIONS!X244)</f>
        <v>L.M.per hour</v>
      </c>
      <c r="G244" s="38">
        <f>IFERROR(1/CALCULATIONS!W244,0)</f>
        <v>0.09132420091</v>
      </c>
      <c r="H244" s="36" t="str">
        <f>CONCATENATE(CALCULATIONS!T244,CALCULATIONS!X244)</f>
        <v>L.M.per hour</v>
      </c>
      <c r="I244" s="39">
        <f>CALCULATIONS!U244*$I$2</f>
        <v>1606.673611</v>
      </c>
      <c r="J244" s="40" t="str">
        <f>CONCATENATE(CALCULATIONS!Y244,CALCULATIONS!T244)</f>
        <v>per L.M.</v>
      </c>
      <c r="K244" s="39">
        <f>CALCULATIONS!V244*$I$2</f>
        <v>803.3368056</v>
      </c>
      <c r="L244" s="40" t="str">
        <f>CONCATENATE(CALCULATIONS!Y244,CALCULATIONS!T244)</f>
        <v>per L.M.</v>
      </c>
      <c r="M244" s="39">
        <f>CALCULATIONS!W244*$I$2</f>
        <v>642.5520833</v>
      </c>
      <c r="N244" s="41" t="str">
        <f>CONCATENATE(CALCULATIONS!Y244,CALCULATIONS!T244)</f>
        <v>per L.M.</v>
      </c>
    </row>
    <row r="245" ht="12.75" customHeight="1">
      <c r="B245" s="49" t="s">
        <v>244</v>
      </c>
      <c r="C245" s="35">
        <f>IFERROR(1/CALCULATIONS!U245,0)</f>
        <v>0.03259452412</v>
      </c>
      <c r="D245" s="36" t="str">
        <f>CONCATENATE(CALCULATIONS!T245,CALCULATIONS!X245)</f>
        <v>L.M.per hour</v>
      </c>
      <c r="E245" s="35">
        <f>IFERROR(1/CALCULATIONS!V245,0)</f>
        <v>0.06518904824</v>
      </c>
      <c r="F245" s="37" t="str">
        <f>CONCATENATE(CALCULATIONS!T245,CALCULATIONS!X245)</f>
        <v>L.M.per hour</v>
      </c>
      <c r="G245" s="38">
        <f>IFERROR(1/CALCULATIONS!W245,0)</f>
        <v>0.0814995925</v>
      </c>
      <c r="H245" s="36" t="str">
        <f>CONCATENATE(CALCULATIONS!T245,CALCULATIONS!X245)</f>
        <v>L.M.per hour</v>
      </c>
      <c r="I245" s="39">
        <f>CALCULATIONS!U245*$I$2</f>
        <v>1800.319444</v>
      </c>
      <c r="J245" s="40" t="str">
        <f>CONCATENATE(CALCULATIONS!Y245,CALCULATIONS!T245)</f>
        <v>per L.M.</v>
      </c>
      <c r="K245" s="39">
        <f>CALCULATIONS!V245*$I$2</f>
        <v>900.1597222</v>
      </c>
      <c r="L245" s="40" t="str">
        <f>CONCATENATE(CALCULATIONS!Y245,CALCULATIONS!T245)</f>
        <v>per L.M.</v>
      </c>
      <c r="M245" s="39">
        <f>CALCULATIONS!W245*$I$2</f>
        <v>720.0104167</v>
      </c>
      <c r="N245" s="41" t="str">
        <f>CONCATENATE(CALCULATIONS!Y245,CALCULATIONS!T245)</f>
        <v>per L.M.</v>
      </c>
    </row>
    <row r="246" ht="12.75" customHeight="1">
      <c r="B246" s="49" t="s">
        <v>245</v>
      </c>
      <c r="C246" s="35">
        <f>IFERROR(1/CALCULATIONS!U246,0)</f>
        <v>0.03043213634</v>
      </c>
      <c r="D246" s="36" t="str">
        <f>CONCATENATE(CALCULATIONS!T246,CALCULATIONS!X246)</f>
        <v>L.M.per hour</v>
      </c>
      <c r="E246" s="35">
        <f>IFERROR(1/CALCULATIONS!V246,0)</f>
        <v>0.06086427267</v>
      </c>
      <c r="F246" s="37" t="str">
        <f>CONCATENATE(CALCULATIONS!T246,CALCULATIONS!X246)</f>
        <v>L.M.per hour</v>
      </c>
      <c r="G246" s="38">
        <f>IFERROR(1/CALCULATIONS!W246,0)</f>
        <v>0.07610350076</v>
      </c>
      <c r="H246" s="36" t="str">
        <f>CONCATENATE(CALCULATIONS!T246,CALCULATIONS!X246)</f>
        <v>L.M.per hour</v>
      </c>
      <c r="I246" s="39">
        <f>CALCULATIONS!U246*$I$2</f>
        <v>1928.243056</v>
      </c>
      <c r="J246" s="40" t="str">
        <f>CONCATENATE(CALCULATIONS!Y246,CALCULATIONS!T246)</f>
        <v>per L.M.</v>
      </c>
      <c r="K246" s="39">
        <f>CALCULATIONS!V246*$I$2</f>
        <v>964.1215278</v>
      </c>
      <c r="L246" s="40" t="str">
        <f>CONCATENATE(CALCULATIONS!Y246,CALCULATIONS!T246)</f>
        <v>per L.M.</v>
      </c>
      <c r="M246" s="39">
        <f>CALCULATIONS!W246*$I$2</f>
        <v>771.0625</v>
      </c>
      <c r="N246" s="41" t="str">
        <f>CONCATENATE(CALCULATIONS!Y246,CALCULATIONS!T246)</f>
        <v>per L.M.</v>
      </c>
    </row>
    <row r="247" ht="12.75" customHeight="1">
      <c r="B247" s="49" t="s">
        <v>246</v>
      </c>
      <c r="C247" s="35">
        <f>IFERROR(1/CALCULATIONS!U247,0)</f>
        <v>0.02767017156</v>
      </c>
      <c r="D247" s="36" t="str">
        <f>CONCATENATE(CALCULATIONS!T247,CALCULATIONS!X247)</f>
        <v>L.M.per hour</v>
      </c>
      <c r="E247" s="35">
        <f>IFERROR(1/CALCULATIONS!V247,0)</f>
        <v>0.05534034311</v>
      </c>
      <c r="F247" s="37" t="str">
        <f>CONCATENATE(CALCULATIONS!T247,CALCULATIONS!X247)</f>
        <v>L.M.per hour</v>
      </c>
      <c r="G247" s="38">
        <f>IFERROR(1/CALCULATIONS!W247,0)</f>
        <v>0.06915629322</v>
      </c>
      <c r="H247" s="36" t="str">
        <f>CONCATENATE(CALCULATIONS!T247,CALCULATIONS!X247)</f>
        <v>L.M.per hour</v>
      </c>
      <c r="I247" s="39">
        <f>CALCULATIONS!U247*$I$2</f>
        <v>2120.715278</v>
      </c>
      <c r="J247" s="40" t="str">
        <f>CONCATENATE(CALCULATIONS!Y247,CALCULATIONS!T247)</f>
        <v>per L.M.</v>
      </c>
      <c r="K247" s="39">
        <f>CALCULATIONS!V247*$I$2</f>
        <v>1060.357639</v>
      </c>
      <c r="L247" s="40" t="str">
        <f>CONCATENATE(CALCULATIONS!Y247,CALCULATIONS!T247)</f>
        <v>per L.M.</v>
      </c>
      <c r="M247" s="39">
        <f>CALCULATIONS!W247*$I$2</f>
        <v>848.5208333</v>
      </c>
      <c r="N247" s="41" t="str">
        <f>CONCATENATE(CALCULATIONS!Y247,CALCULATIONS!T247)</f>
        <v>per L.M.</v>
      </c>
    </row>
    <row r="248" ht="12.75" customHeight="1">
      <c r="B248" s="49" t="s">
        <v>247</v>
      </c>
      <c r="C248" s="35">
        <f>IFERROR(1/CALCULATIONS!U248,0)</f>
        <v>0.02434274586</v>
      </c>
      <c r="D248" s="36" t="str">
        <f>CONCATENATE(CALCULATIONS!T248,CALCULATIONS!X248)</f>
        <v>L.M.per hour</v>
      </c>
      <c r="E248" s="35">
        <f>IFERROR(1/CALCULATIONS!V248,0)</f>
        <v>0.04868549172</v>
      </c>
      <c r="F248" s="37" t="str">
        <f>CONCATENATE(CALCULATIONS!T248,CALCULATIONS!X248)</f>
        <v>L.M.per hour</v>
      </c>
      <c r="G248" s="38">
        <f>IFERROR(1/CALCULATIONS!W248,0)</f>
        <v>0.06086427267</v>
      </c>
      <c r="H248" s="36" t="str">
        <f>CONCATENATE(CALCULATIONS!T248,CALCULATIONS!X248)</f>
        <v>L.M.per hour</v>
      </c>
      <c r="I248" s="39">
        <f>CALCULATIONS!U248*$I$2</f>
        <v>2410.597222</v>
      </c>
      <c r="J248" s="40" t="str">
        <f>CONCATENATE(CALCULATIONS!Y248,CALCULATIONS!T248)</f>
        <v>per L.M.</v>
      </c>
      <c r="K248" s="39">
        <f>CALCULATIONS!V248*$I$2</f>
        <v>1205.298611</v>
      </c>
      <c r="L248" s="40" t="str">
        <f>CONCATENATE(CALCULATIONS!Y248,CALCULATIONS!T248)</f>
        <v>per L.M.</v>
      </c>
      <c r="M248" s="39">
        <f>CALCULATIONS!W248*$I$2</f>
        <v>964.1215278</v>
      </c>
      <c r="N248" s="41" t="str">
        <f>CONCATENATE(CALCULATIONS!Y248,CALCULATIONS!T248)</f>
        <v>per L.M.</v>
      </c>
    </row>
    <row r="249" ht="12.75" customHeight="1">
      <c r="A249" s="50">
        <v>3.0</v>
      </c>
      <c r="B249" s="44" t="s">
        <v>248</v>
      </c>
      <c r="C249" s="35">
        <f>IFERROR(1/CALCULATIONS!U249,0)</f>
        <v>0</v>
      </c>
      <c r="D249" s="36" t="str">
        <f>CONCATENATE(CALCULATIONS!T249,CALCULATIONS!X249)</f>
        <v/>
      </c>
      <c r="E249" s="35">
        <f>IFERROR(1/CALCULATIONS!V249,0)</f>
        <v>0</v>
      </c>
      <c r="F249" s="37" t="str">
        <f>CONCATENATE(CALCULATIONS!T249,CALCULATIONS!X249)</f>
        <v/>
      </c>
      <c r="G249" s="38">
        <f>IFERROR(1/CALCULATIONS!W249,0)</f>
        <v>0</v>
      </c>
      <c r="H249" s="36" t="str">
        <f>CONCATENATE(CALCULATIONS!T249,CALCULATIONS!X249)</f>
        <v/>
      </c>
      <c r="I249" s="39">
        <f>CALCULATIONS!U249*$I$2</f>
        <v>0</v>
      </c>
      <c r="J249" s="40" t="str">
        <f>CONCATENATE(CALCULATIONS!Y249,CALCULATIONS!T249)</f>
        <v/>
      </c>
      <c r="K249" s="39">
        <f>CALCULATIONS!V249*$I$2</f>
        <v>0</v>
      </c>
      <c r="L249" s="40" t="str">
        <f>CONCATENATE(CALCULATIONS!Y249,CALCULATIONS!T249)</f>
        <v/>
      </c>
      <c r="M249" s="39">
        <f>CALCULATIONS!W249*$I$2</f>
        <v>0</v>
      </c>
      <c r="N249" s="41" t="str">
        <f>CONCATENATE(CALCULATIONS!Y249,CALCULATIONS!T249)</f>
        <v/>
      </c>
    </row>
    <row r="250" ht="12.75" customHeight="1">
      <c r="B250" s="44" t="s">
        <v>249</v>
      </c>
      <c r="C250" s="35">
        <f>IFERROR(1/CALCULATIONS!U250,0)</f>
        <v>2.631578947</v>
      </c>
      <c r="D250" s="36" t="str">
        <f>CONCATENATE(CALCULATIONS!T250,CALCULATIONS!X250)</f>
        <v>L.M.per hour</v>
      </c>
      <c r="E250" s="35">
        <f>IFERROR(1/CALCULATIONS!V250,0)</f>
        <v>5.263157895</v>
      </c>
      <c r="F250" s="37" t="str">
        <f>CONCATENATE(CALCULATIONS!T250,CALCULATIONS!X250)</f>
        <v>L.M.per hour</v>
      </c>
      <c r="G250" s="38">
        <f>IFERROR(1/CALCULATIONS!W250,0)</f>
        <v>6.666666667</v>
      </c>
      <c r="H250" s="36" t="str">
        <f>CONCATENATE(CALCULATIONS!T250,CALCULATIONS!X250)</f>
        <v>L.M.per hour</v>
      </c>
      <c r="I250" s="39">
        <f>CALCULATIONS!U250*$I$2</f>
        <v>22.29861111</v>
      </c>
      <c r="J250" s="40" t="str">
        <f>CONCATENATE(CALCULATIONS!Y250,CALCULATIONS!T250)</f>
        <v>per L.M.</v>
      </c>
      <c r="K250" s="39">
        <f>CALCULATIONS!V250*$I$2</f>
        <v>11.14930556</v>
      </c>
      <c r="L250" s="40" t="str">
        <f>CONCATENATE(CALCULATIONS!Y250,CALCULATIONS!T250)</f>
        <v>per L.M.</v>
      </c>
      <c r="M250" s="39">
        <f>CALCULATIONS!W250*$I$2</f>
        <v>8.802083333</v>
      </c>
      <c r="N250" s="41" t="str">
        <f>CONCATENATE(CALCULATIONS!Y250,CALCULATIONS!T250)</f>
        <v>per L.M.</v>
      </c>
    </row>
    <row r="251" ht="12.75" customHeight="1">
      <c r="B251" s="44" t="s">
        <v>250</v>
      </c>
      <c r="C251" s="35">
        <f>IFERROR(1/CALCULATIONS!U251,0)</f>
        <v>0.6756756757</v>
      </c>
      <c r="D251" s="36" t="str">
        <f>CONCATENATE(CALCULATIONS!T251,CALCULATIONS!X251)</f>
        <v>L.M.per hour</v>
      </c>
      <c r="E251" s="35">
        <f>IFERROR(1/CALCULATIONS!V251,0)</f>
        <v>1.351351351</v>
      </c>
      <c r="F251" s="37" t="str">
        <f>CONCATENATE(CALCULATIONS!T251,CALCULATIONS!X251)</f>
        <v>L.M.per hour</v>
      </c>
      <c r="G251" s="38">
        <f>IFERROR(1/CALCULATIONS!W251,0)</f>
        <v>1.694915254</v>
      </c>
      <c r="H251" s="36" t="str">
        <f>CONCATENATE(CALCULATIONS!T251,CALCULATIONS!X251)</f>
        <v>L.M.per hour</v>
      </c>
      <c r="I251" s="39">
        <f>CALCULATIONS!U251*$I$2</f>
        <v>86.84722222</v>
      </c>
      <c r="J251" s="40" t="str">
        <f>CONCATENATE(CALCULATIONS!Y251,CALCULATIONS!T251)</f>
        <v>per L.M.</v>
      </c>
      <c r="K251" s="39">
        <f>CALCULATIONS!V251*$I$2</f>
        <v>43.42361111</v>
      </c>
      <c r="L251" s="40" t="str">
        <f>CONCATENATE(CALCULATIONS!Y251,CALCULATIONS!T251)</f>
        <v>per L.M.</v>
      </c>
      <c r="M251" s="39">
        <f>CALCULATIONS!W251*$I$2</f>
        <v>34.62152778</v>
      </c>
      <c r="N251" s="41" t="str">
        <f>CONCATENATE(CALCULATIONS!Y251,CALCULATIONS!T251)</f>
        <v>per L.M.</v>
      </c>
    </row>
    <row r="252" ht="12.75" customHeight="1">
      <c r="B252" s="44" t="s">
        <v>231</v>
      </c>
      <c r="C252" s="35">
        <f>IFERROR(1/CALCULATIONS!U252,0)</f>
        <v>0.6097560976</v>
      </c>
      <c r="D252" s="36" t="str">
        <f>CONCATENATE(CALCULATIONS!T252,CALCULATIONS!X252)</f>
        <v>L.M.per hour</v>
      </c>
      <c r="E252" s="35">
        <f>IFERROR(1/CALCULATIONS!V252,0)</f>
        <v>1.219512195</v>
      </c>
      <c r="F252" s="37" t="str">
        <f>CONCATENATE(CALCULATIONS!T252,CALCULATIONS!X252)</f>
        <v>L.M.per hour</v>
      </c>
      <c r="G252" s="38">
        <f>IFERROR(1/CALCULATIONS!W252,0)</f>
        <v>1.515151515</v>
      </c>
      <c r="H252" s="36" t="str">
        <f>CONCATENATE(CALCULATIONS!T252,CALCULATIONS!X252)</f>
        <v>L.M.per hour</v>
      </c>
      <c r="I252" s="39">
        <f>CALCULATIONS!U252*$I$2</f>
        <v>96.23611111</v>
      </c>
      <c r="J252" s="40" t="str">
        <f>CONCATENATE(CALCULATIONS!Y252,CALCULATIONS!T252)</f>
        <v>per L.M.</v>
      </c>
      <c r="K252" s="39">
        <f>CALCULATIONS!V252*$I$2</f>
        <v>48.11805556</v>
      </c>
      <c r="L252" s="40" t="str">
        <f>CONCATENATE(CALCULATIONS!Y252,CALCULATIONS!T252)</f>
        <v>per L.M.</v>
      </c>
      <c r="M252" s="39">
        <f>CALCULATIONS!W252*$I$2</f>
        <v>38.72916667</v>
      </c>
      <c r="N252" s="41" t="str">
        <f>CONCATENATE(CALCULATIONS!Y252,CALCULATIONS!T252)</f>
        <v>per L.M.</v>
      </c>
    </row>
    <row r="253" ht="12.75" customHeight="1">
      <c r="B253" s="44" t="s">
        <v>232</v>
      </c>
      <c r="C253" s="35">
        <f>IFERROR(1/CALCULATIONS!U253,0)</f>
        <v>0.5102040816</v>
      </c>
      <c r="D253" s="36" t="str">
        <f>CONCATENATE(CALCULATIONS!T253,CALCULATIONS!X253)</f>
        <v>L.M.per hour</v>
      </c>
      <c r="E253" s="35">
        <f>IFERROR(1/CALCULATIONS!V253,0)</f>
        <v>1.020408163</v>
      </c>
      <c r="F253" s="37" t="str">
        <f>CONCATENATE(CALCULATIONS!T253,CALCULATIONS!X253)</f>
        <v>L.M.per hour</v>
      </c>
      <c r="G253" s="38">
        <f>IFERROR(1/CALCULATIONS!W253,0)</f>
        <v>1.282051282</v>
      </c>
      <c r="H253" s="36" t="str">
        <f>CONCATENATE(CALCULATIONS!T253,CALCULATIONS!X253)</f>
        <v>L.M.per hour</v>
      </c>
      <c r="I253" s="39">
        <f>CALCULATIONS!U253*$I$2</f>
        <v>115.0138889</v>
      </c>
      <c r="J253" s="40" t="str">
        <f>CONCATENATE(CALCULATIONS!Y253,CALCULATIONS!T253)</f>
        <v>per L.M.</v>
      </c>
      <c r="K253" s="39">
        <f>CALCULATIONS!V253*$I$2</f>
        <v>57.50694444</v>
      </c>
      <c r="L253" s="40" t="str">
        <f>CONCATENATE(CALCULATIONS!Y253,CALCULATIONS!T253)</f>
        <v>per L.M.</v>
      </c>
      <c r="M253" s="39">
        <f>CALCULATIONS!W253*$I$2</f>
        <v>45.77083333</v>
      </c>
      <c r="N253" s="41" t="str">
        <f>CONCATENATE(CALCULATIONS!Y253,CALCULATIONS!T253)</f>
        <v>per L.M.</v>
      </c>
    </row>
    <row r="254" ht="12.75" customHeight="1">
      <c r="B254" s="44" t="s">
        <v>233</v>
      </c>
      <c r="C254" s="35">
        <f>IFERROR(1/CALCULATIONS!U254,0)</f>
        <v>0.462962963</v>
      </c>
      <c r="D254" s="36" t="str">
        <f>CONCATENATE(CALCULATIONS!T254,CALCULATIONS!X254)</f>
        <v>L.M.per hour</v>
      </c>
      <c r="E254" s="35">
        <f>IFERROR(1/CALCULATIONS!V254,0)</f>
        <v>0.9259259259</v>
      </c>
      <c r="F254" s="37" t="str">
        <f>CONCATENATE(CALCULATIONS!T254,CALCULATIONS!X254)</f>
        <v>L.M.per hour</v>
      </c>
      <c r="G254" s="38">
        <f>IFERROR(1/CALCULATIONS!W254,0)</f>
        <v>1.162790698</v>
      </c>
      <c r="H254" s="36" t="str">
        <f>CONCATENATE(CALCULATIONS!T254,CALCULATIONS!X254)</f>
        <v>L.M.per hour</v>
      </c>
      <c r="I254" s="39">
        <f>CALCULATIONS!U254*$I$2</f>
        <v>126.75</v>
      </c>
      <c r="J254" s="40" t="str">
        <f>CONCATENATE(CALCULATIONS!Y254,CALCULATIONS!T254)</f>
        <v>per L.M.</v>
      </c>
      <c r="K254" s="39">
        <f>CALCULATIONS!V254*$I$2</f>
        <v>63.375</v>
      </c>
      <c r="L254" s="40" t="str">
        <f>CONCATENATE(CALCULATIONS!Y254,CALCULATIONS!T254)</f>
        <v>per L.M.</v>
      </c>
      <c r="M254" s="39">
        <f>CALCULATIONS!W254*$I$2</f>
        <v>50.46527778</v>
      </c>
      <c r="N254" s="41" t="str">
        <f>CONCATENATE(CALCULATIONS!Y254,CALCULATIONS!T254)</f>
        <v>per L.M.</v>
      </c>
    </row>
    <row r="255" ht="12.75" customHeight="1">
      <c r="B255" s="44" t="s">
        <v>235</v>
      </c>
      <c r="C255" s="35">
        <f>IFERROR(1/CALCULATIONS!U255,0)</f>
        <v>0.3816793893</v>
      </c>
      <c r="D255" s="36" t="str">
        <f>CONCATENATE(CALCULATIONS!T255,CALCULATIONS!X255)</f>
        <v>L.M.per hour</v>
      </c>
      <c r="E255" s="35">
        <f>IFERROR(1/CALCULATIONS!V255,0)</f>
        <v>0.7633587786</v>
      </c>
      <c r="F255" s="37" t="str">
        <f>CONCATENATE(CALCULATIONS!T255,CALCULATIONS!X255)</f>
        <v>L.M.per hour</v>
      </c>
      <c r="G255" s="38">
        <f>IFERROR(1/CALCULATIONS!W255,0)</f>
        <v>0.9523809524</v>
      </c>
      <c r="H255" s="36" t="str">
        <f>CONCATENATE(CALCULATIONS!T255,CALCULATIONS!X255)</f>
        <v>L.M.per hour</v>
      </c>
      <c r="I255" s="39">
        <f>CALCULATIONS!U255*$I$2</f>
        <v>153.7430556</v>
      </c>
      <c r="J255" s="40" t="str">
        <f>CONCATENATE(CALCULATIONS!Y255,CALCULATIONS!T255)</f>
        <v>per L.M.</v>
      </c>
      <c r="K255" s="39">
        <f>CALCULATIONS!V255*$I$2</f>
        <v>76.87152778</v>
      </c>
      <c r="L255" s="40" t="str">
        <f>CONCATENATE(CALCULATIONS!Y255,CALCULATIONS!T255)</f>
        <v>per L.M.</v>
      </c>
      <c r="M255" s="39">
        <f>CALCULATIONS!W255*$I$2</f>
        <v>61.61458333</v>
      </c>
      <c r="N255" s="41" t="str">
        <f>CONCATENATE(CALCULATIONS!Y255,CALCULATIONS!T255)</f>
        <v>per L.M.</v>
      </c>
    </row>
    <row r="256" ht="12.75" customHeight="1">
      <c r="B256" s="44" t="s">
        <v>251</v>
      </c>
      <c r="C256" s="35">
        <f>IFERROR(1/CALCULATIONS!U256,0)</f>
        <v>0.3048780488</v>
      </c>
      <c r="D256" s="36" t="str">
        <f>CONCATENATE(CALCULATIONS!T256,CALCULATIONS!X256)</f>
        <v>L.M.per hour</v>
      </c>
      <c r="E256" s="35">
        <f>IFERROR(1/CALCULATIONS!V256,0)</f>
        <v>0.6097560976</v>
      </c>
      <c r="F256" s="37" t="str">
        <f>CONCATENATE(CALCULATIONS!T256,CALCULATIONS!X256)</f>
        <v>L.M.per hour</v>
      </c>
      <c r="G256" s="38">
        <f>IFERROR(1/CALCULATIONS!W256,0)</f>
        <v>0.7633587786</v>
      </c>
      <c r="H256" s="36" t="str">
        <f>CONCATENATE(CALCULATIONS!T256,CALCULATIONS!X256)</f>
        <v>L.M.per hour</v>
      </c>
      <c r="I256" s="39">
        <f>CALCULATIONS!U256*$I$2</f>
        <v>192.4722222</v>
      </c>
      <c r="J256" s="40" t="str">
        <f>CONCATENATE(CALCULATIONS!Y256,CALCULATIONS!T256)</f>
        <v>per L.M.</v>
      </c>
      <c r="K256" s="39">
        <f>CALCULATIONS!V256*$I$2</f>
        <v>96.23611111</v>
      </c>
      <c r="L256" s="40" t="str">
        <f>CONCATENATE(CALCULATIONS!Y256,CALCULATIONS!T256)</f>
        <v>per L.M.</v>
      </c>
      <c r="M256" s="39">
        <f>CALCULATIONS!W256*$I$2</f>
        <v>76.87152778</v>
      </c>
      <c r="N256" s="41" t="str">
        <f>CONCATENATE(CALCULATIONS!Y256,CALCULATIONS!T256)</f>
        <v>per L.M.</v>
      </c>
    </row>
    <row r="257" ht="12.75" customHeight="1">
      <c r="B257" s="44" t="s">
        <v>238</v>
      </c>
      <c r="C257" s="35">
        <f>IFERROR(1/CALCULATIONS!U257,0)</f>
        <v>0.2032520325</v>
      </c>
      <c r="D257" s="36" t="str">
        <f>CONCATENATE(CALCULATIONS!T257,CALCULATIONS!X257)</f>
        <v>L.M.per hour</v>
      </c>
      <c r="E257" s="35">
        <f>IFERROR(1/CALCULATIONS!V257,0)</f>
        <v>0.406504065</v>
      </c>
      <c r="F257" s="37" t="str">
        <f>CONCATENATE(CALCULATIONS!T257,CALCULATIONS!X257)</f>
        <v>L.M.per hour</v>
      </c>
      <c r="G257" s="38">
        <f>IFERROR(1/CALCULATIONS!W257,0)</f>
        <v>0.5076142132</v>
      </c>
      <c r="H257" s="36" t="str">
        <f>CONCATENATE(CALCULATIONS!T257,CALCULATIONS!X257)</f>
        <v>L.M.per hour</v>
      </c>
      <c r="I257" s="39">
        <f>CALCULATIONS!U257*$I$2</f>
        <v>288.7083333</v>
      </c>
      <c r="J257" s="40" t="str">
        <f>CONCATENATE(CALCULATIONS!Y257,CALCULATIONS!T257)</f>
        <v>per L.M.</v>
      </c>
      <c r="K257" s="39">
        <f>CALCULATIONS!V257*$I$2</f>
        <v>144.3541667</v>
      </c>
      <c r="L257" s="40" t="str">
        <f>CONCATENATE(CALCULATIONS!Y257,CALCULATIONS!T257)</f>
        <v>per L.M.</v>
      </c>
      <c r="M257" s="39">
        <f>CALCULATIONS!W257*$I$2</f>
        <v>115.6006944</v>
      </c>
      <c r="N257" s="41" t="str">
        <f>CONCATENATE(CALCULATIONS!Y257,CALCULATIONS!T257)</f>
        <v>per L.M.</v>
      </c>
    </row>
    <row r="258" ht="12.75" customHeight="1">
      <c r="A258" s="38">
        <v>4.0</v>
      </c>
      <c r="B258" s="44" t="s">
        <v>252</v>
      </c>
      <c r="C258" s="35">
        <f>IFERROR(1/CALCULATIONS!U258,0)</f>
        <v>0</v>
      </c>
      <c r="D258" s="36" t="str">
        <f>CONCATENATE(CALCULATIONS!T258,CALCULATIONS!X258)</f>
        <v/>
      </c>
      <c r="E258" s="35">
        <f>IFERROR(1/CALCULATIONS!V258,0)</f>
        <v>0</v>
      </c>
      <c r="F258" s="37" t="str">
        <f>CONCATENATE(CALCULATIONS!T258,CALCULATIONS!X258)</f>
        <v/>
      </c>
      <c r="G258" s="38">
        <f>IFERROR(1/CALCULATIONS!W258,0)</f>
        <v>0</v>
      </c>
      <c r="H258" s="36" t="str">
        <f>CONCATENATE(CALCULATIONS!T258,CALCULATIONS!X258)</f>
        <v/>
      </c>
      <c r="I258" s="39">
        <f>CALCULATIONS!U258*$I$2</f>
        <v>0</v>
      </c>
      <c r="J258" s="40" t="str">
        <f>CONCATENATE(CALCULATIONS!Y258,CALCULATIONS!T258)</f>
        <v/>
      </c>
      <c r="K258" s="39">
        <f>CALCULATIONS!V258*$I$2</f>
        <v>0</v>
      </c>
      <c r="L258" s="40" t="str">
        <f>CONCATENATE(CALCULATIONS!Y258,CALCULATIONS!T258)</f>
        <v/>
      </c>
      <c r="M258" s="39">
        <f>CALCULATIONS!W258*$I$2</f>
        <v>0</v>
      </c>
      <c r="N258" s="41" t="str">
        <f>CONCATENATE(CALCULATIONS!Y258,CALCULATIONS!T258)</f>
        <v/>
      </c>
    </row>
    <row r="259" ht="12.75" customHeight="1">
      <c r="B259" s="51" t="s">
        <v>253</v>
      </c>
      <c r="C259" s="35">
        <f>IFERROR(1/CALCULATIONS!U259,0)</f>
        <v>0.1111111111</v>
      </c>
      <c r="D259" s="36" t="str">
        <f>CONCATENATE(CALCULATIONS!T259,CALCULATIONS!X259)</f>
        <v>L.M.per hour</v>
      </c>
      <c r="E259" s="35">
        <f>IFERROR(1/CALCULATIONS!V259,0)</f>
        <v>0.25</v>
      </c>
      <c r="F259" s="37" t="str">
        <f>CONCATENATE(CALCULATIONS!T259,CALCULATIONS!X259)</f>
        <v>L.M.per hour</v>
      </c>
      <c r="G259" s="38">
        <f>IFERROR(1/CALCULATIONS!W259,0)</f>
        <v>0.3125</v>
      </c>
      <c r="H259" s="36" t="str">
        <f>CONCATENATE(CALCULATIONS!T259,CALCULATIONS!X259)</f>
        <v>L.M.per hour</v>
      </c>
      <c r="I259" s="39">
        <f>CALCULATIONS!U259*$I$2</f>
        <v>528.125</v>
      </c>
      <c r="J259" s="40" t="str">
        <f>CONCATENATE(CALCULATIONS!Y259,CALCULATIONS!T259)</f>
        <v>per L.M.</v>
      </c>
      <c r="K259" s="39">
        <f>CALCULATIONS!V259*$I$2</f>
        <v>234.7222222</v>
      </c>
      <c r="L259" s="40" t="str">
        <f>CONCATENATE(CALCULATIONS!Y259,CALCULATIONS!T259)</f>
        <v>per L.M.</v>
      </c>
      <c r="M259" s="39">
        <f>CALCULATIONS!W259*$I$2</f>
        <v>187.7777778</v>
      </c>
      <c r="N259" s="41" t="str">
        <f>CONCATENATE(CALCULATIONS!Y259,CALCULATIONS!T259)</f>
        <v>per L.M.</v>
      </c>
    </row>
    <row r="260" ht="12.75" customHeight="1">
      <c r="B260" s="51" t="s">
        <v>254</v>
      </c>
      <c r="C260" s="35">
        <f>IFERROR(1/CALCULATIONS!U260,0)</f>
        <v>0.078125</v>
      </c>
      <c r="D260" s="36" t="str">
        <f>CONCATENATE(CALCULATIONS!T260,CALCULATIONS!X260)</f>
        <v>L.M.per hour</v>
      </c>
      <c r="E260" s="35">
        <f>IFERROR(1/CALCULATIONS!V260,0)</f>
        <v>0.15625</v>
      </c>
      <c r="F260" s="37" t="str">
        <f>CONCATENATE(CALCULATIONS!T260,CALCULATIONS!X260)</f>
        <v>L.M.per hour</v>
      </c>
      <c r="G260" s="38">
        <f>IFERROR(1/CALCULATIONS!W260,0)</f>
        <v>0.1953125</v>
      </c>
      <c r="H260" s="36" t="str">
        <f>CONCATENATE(CALCULATIONS!T260,CALCULATIONS!X260)</f>
        <v>L.M.per hour</v>
      </c>
      <c r="I260" s="39">
        <f>CALCULATIONS!U260*$I$2</f>
        <v>751.1111111</v>
      </c>
      <c r="J260" s="40" t="str">
        <f>CONCATENATE(CALCULATIONS!Y260,CALCULATIONS!T260)</f>
        <v>per L.M.</v>
      </c>
      <c r="K260" s="39">
        <f>CALCULATIONS!V260*$I$2</f>
        <v>375.5555556</v>
      </c>
      <c r="L260" s="40" t="str">
        <f>CONCATENATE(CALCULATIONS!Y260,CALCULATIONS!T260)</f>
        <v>per L.M.</v>
      </c>
      <c r="M260" s="39">
        <f>CALCULATIONS!W260*$I$2</f>
        <v>300.4444444</v>
      </c>
      <c r="N260" s="41" t="str">
        <f>CONCATENATE(CALCULATIONS!Y260,CALCULATIONS!T260)</f>
        <v>per L.M.</v>
      </c>
    </row>
    <row r="261" ht="12.75" customHeight="1">
      <c r="B261" s="51" t="s">
        <v>255</v>
      </c>
      <c r="C261" s="35">
        <f>IFERROR(1/CALCULATIONS!U261,0)</f>
        <v>0.04686035614</v>
      </c>
      <c r="D261" s="36" t="str">
        <f>CONCATENATE(CALCULATIONS!T261,CALCULATIONS!X261)</f>
        <v>L.M.per hour</v>
      </c>
      <c r="E261" s="35">
        <f>IFERROR(1/CALCULATIONS!V261,0)</f>
        <v>0.09372071228</v>
      </c>
      <c r="F261" s="37" t="str">
        <f>CONCATENATE(CALCULATIONS!T261,CALCULATIONS!X261)</f>
        <v>L.M.per hour</v>
      </c>
      <c r="G261" s="38">
        <f>IFERROR(1/CALCULATIONS!W261,0)</f>
        <v>0.1170960187</v>
      </c>
      <c r="H261" s="36" t="str">
        <f>CONCATENATE(CALCULATIONS!T261,CALCULATIONS!X261)</f>
        <v>L.M.per hour</v>
      </c>
      <c r="I261" s="39">
        <f>CALCULATIONS!U261*$I$2</f>
        <v>1252.243056</v>
      </c>
      <c r="J261" s="40" t="str">
        <f>CONCATENATE(CALCULATIONS!Y261,CALCULATIONS!T261)</f>
        <v>per L.M.</v>
      </c>
      <c r="K261" s="39">
        <f>CALCULATIONS!V261*$I$2</f>
        <v>626.1215278</v>
      </c>
      <c r="L261" s="40" t="str">
        <f>CONCATENATE(CALCULATIONS!Y261,CALCULATIONS!T261)</f>
        <v>per L.M.</v>
      </c>
      <c r="M261" s="39">
        <f>CALCULATIONS!W261*$I$2</f>
        <v>501.1319444</v>
      </c>
      <c r="N261" s="41" t="str">
        <f>CONCATENATE(CALCULATIONS!Y261,CALCULATIONS!T261)</f>
        <v>per L.M.</v>
      </c>
    </row>
    <row r="262" ht="12.75" customHeight="1">
      <c r="B262" s="51" t="s">
        <v>256</v>
      </c>
      <c r="C262" s="35">
        <f>IFERROR(1/CALCULATIONS!U262,0)</f>
        <v>0.3759398496</v>
      </c>
      <c r="D262" s="36" t="str">
        <f>CONCATENATE(CALCULATIONS!T262,CALCULATIONS!X262)</f>
        <v>L.M.per hour</v>
      </c>
      <c r="E262" s="35">
        <f>IFERROR(1/CALCULATIONS!V262,0)</f>
        <v>0.7518796992</v>
      </c>
      <c r="F262" s="37" t="str">
        <f>CONCATENATE(CALCULATIONS!T262,CALCULATIONS!X262)</f>
        <v>L.M.per hour</v>
      </c>
      <c r="G262" s="38">
        <f>IFERROR(1/CALCULATIONS!W262,0)</f>
        <v>0.9433962264</v>
      </c>
      <c r="H262" s="36" t="str">
        <f>CONCATENATE(CALCULATIONS!T262,CALCULATIONS!X262)</f>
        <v>L.M.per hour</v>
      </c>
      <c r="I262" s="39">
        <f>CALCULATIONS!U262*$I$2</f>
        <v>156.0902778</v>
      </c>
      <c r="J262" s="40" t="str">
        <f>CONCATENATE(CALCULATIONS!Y262,CALCULATIONS!T262)</f>
        <v>per L.M.</v>
      </c>
      <c r="K262" s="39">
        <f>CALCULATIONS!V262*$I$2</f>
        <v>78.04513889</v>
      </c>
      <c r="L262" s="40" t="str">
        <f>CONCATENATE(CALCULATIONS!Y262,CALCULATIONS!T262)</f>
        <v>per L.M.</v>
      </c>
      <c r="M262" s="39">
        <f>CALCULATIONS!W262*$I$2</f>
        <v>62.20138889</v>
      </c>
      <c r="N262" s="41" t="str">
        <f>CONCATENATE(CALCULATIONS!Y262,CALCULATIONS!T262)</f>
        <v>per L.M.</v>
      </c>
    </row>
    <row r="263" ht="12.75" customHeight="1">
      <c r="C263" s="35">
        <f>IFERROR(1/CALCULATIONS!U263,0)</f>
        <v>0</v>
      </c>
      <c r="D263" s="36" t="str">
        <f>CONCATENATE(CALCULATIONS!T263,CALCULATIONS!X263)</f>
        <v/>
      </c>
      <c r="E263" s="35">
        <f>IFERROR(1/CALCULATIONS!V263,0)</f>
        <v>0</v>
      </c>
      <c r="F263" s="37" t="str">
        <f>CONCATENATE(CALCULATIONS!T263,CALCULATIONS!X263)</f>
        <v/>
      </c>
      <c r="G263" s="38">
        <f>IFERROR(1/CALCULATIONS!W263,0)</f>
        <v>0</v>
      </c>
      <c r="H263" s="36" t="str">
        <f>CONCATENATE(CALCULATIONS!T263,CALCULATIONS!X263)</f>
        <v/>
      </c>
      <c r="I263" s="39">
        <f>CALCULATIONS!U263*$I$2</f>
        <v>0</v>
      </c>
      <c r="J263" s="40" t="str">
        <f>CONCATENATE(CALCULATIONS!Y263,CALCULATIONS!T263)</f>
        <v/>
      </c>
      <c r="K263" s="39">
        <f>CALCULATIONS!V263*$I$2</f>
        <v>0</v>
      </c>
      <c r="L263" s="40" t="str">
        <f>CONCATENATE(CALCULATIONS!Y263,CALCULATIONS!T263)</f>
        <v/>
      </c>
      <c r="M263" s="39">
        <f>CALCULATIONS!W263*$I$2</f>
        <v>0</v>
      </c>
      <c r="N263" s="41" t="str">
        <f>CONCATENATE(CALCULATIONS!Y263,CALCULATIONS!T263)</f>
        <v/>
      </c>
    </row>
    <row r="264" ht="12.75" customHeight="1">
      <c r="B264" s="44" t="s">
        <v>257</v>
      </c>
      <c r="C264" s="35">
        <f>IFERROR(1/CALCULATIONS!U264,0)</f>
        <v>0.0625</v>
      </c>
      <c r="D264" s="36" t="str">
        <f>CONCATENATE(CALCULATIONS!T264,CALCULATIONS!X264)</f>
        <v>EACHper hour</v>
      </c>
      <c r="E264" s="35">
        <f>IFERROR(1/CALCULATIONS!V264,0)</f>
        <v>0.125</v>
      </c>
      <c r="F264" s="37" t="str">
        <f>CONCATENATE(CALCULATIONS!T264,CALCULATIONS!X264)</f>
        <v>EACHper hour</v>
      </c>
      <c r="G264" s="38">
        <f>IFERROR(1/CALCULATIONS!W264,0)</f>
        <v>0.15625</v>
      </c>
      <c r="H264" s="36" t="str">
        <f>CONCATENATE(CALCULATIONS!T264,CALCULATIONS!X264)</f>
        <v>EACHper hour</v>
      </c>
      <c r="I264" s="39">
        <f>CALCULATIONS!U264*$I$2</f>
        <v>938.8888889</v>
      </c>
      <c r="J264" s="40" t="str">
        <f>CONCATENATE(CALCULATIONS!Y264,CALCULATIONS!T264)</f>
        <v>per EACH</v>
      </c>
      <c r="K264" s="39">
        <f>CALCULATIONS!V264*$I$2</f>
        <v>469.4444444</v>
      </c>
      <c r="L264" s="40" t="str">
        <f>CONCATENATE(CALCULATIONS!Y264,CALCULATIONS!T264)</f>
        <v>per EACH</v>
      </c>
      <c r="M264" s="39">
        <f>CALCULATIONS!W264*$I$2</f>
        <v>375.5555556</v>
      </c>
      <c r="N264" s="41" t="str">
        <f>CONCATENATE(CALCULATIONS!Y264,CALCULATIONS!T264)</f>
        <v>per EACH</v>
      </c>
    </row>
    <row r="265" ht="12.75" customHeight="1">
      <c r="B265" s="44" t="s">
        <v>258</v>
      </c>
      <c r="C265" s="35">
        <f>IFERROR(1/CALCULATIONS!U265,0)</f>
        <v>0.04166666667</v>
      </c>
      <c r="D265" s="36" t="str">
        <f>CONCATENATE(CALCULATIONS!T265,CALCULATIONS!X265)</f>
        <v>EACHper hour</v>
      </c>
      <c r="E265" s="35">
        <f>IFERROR(1/CALCULATIONS!V265,0)</f>
        <v>0.08333333333</v>
      </c>
      <c r="F265" s="37" t="str">
        <f>CONCATENATE(CALCULATIONS!T265,CALCULATIONS!X265)</f>
        <v>EACHper hour</v>
      </c>
      <c r="G265" s="38">
        <f>IFERROR(1/CALCULATIONS!W265,0)</f>
        <v>0.1041666667</v>
      </c>
      <c r="H265" s="36" t="str">
        <f>CONCATENATE(CALCULATIONS!T265,CALCULATIONS!X265)</f>
        <v>EACHper hour</v>
      </c>
      <c r="I265" s="39">
        <f>CALCULATIONS!U265*$I$2</f>
        <v>1408.333333</v>
      </c>
      <c r="J265" s="40" t="str">
        <f>CONCATENATE(CALCULATIONS!Y265,CALCULATIONS!T265)</f>
        <v>per EACH</v>
      </c>
      <c r="K265" s="39">
        <f>CALCULATIONS!V265*$I$2</f>
        <v>704.1666667</v>
      </c>
      <c r="L265" s="40" t="str">
        <f>CONCATENATE(CALCULATIONS!Y265,CALCULATIONS!T265)</f>
        <v>per EACH</v>
      </c>
      <c r="M265" s="39">
        <f>CALCULATIONS!W265*$I$2</f>
        <v>563.3333333</v>
      </c>
      <c r="N265" s="41" t="str">
        <f>CONCATENATE(CALCULATIONS!Y265,CALCULATIONS!T265)</f>
        <v>per EACH</v>
      </c>
    </row>
    <row r="266" ht="12.75" customHeight="1">
      <c r="B266" s="44" t="s">
        <v>259</v>
      </c>
      <c r="C266" s="35">
        <f>IFERROR(1/CALCULATIONS!U266,0)</f>
        <v>0.02083333333</v>
      </c>
      <c r="D266" s="36" t="str">
        <f>CONCATENATE(CALCULATIONS!T266,CALCULATIONS!X266)</f>
        <v>EACHper hour</v>
      </c>
      <c r="E266" s="35">
        <f>IFERROR(1/CALCULATIONS!V266,0)</f>
        <v>0.04166666667</v>
      </c>
      <c r="F266" s="37" t="str">
        <f>CONCATENATE(CALCULATIONS!T266,CALCULATIONS!X266)</f>
        <v>EACHper hour</v>
      </c>
      <c r="G266" s="38">
        <f>IFERROR(1/CALCULATIONS!W266,0)</f>
        <v>0.05208333333</v>
      </c>
      <c r="H266" s="36" t="str">
        <f>CONCATENATE(CALCULATIONS!T266,CALCULATIONS!X266)</f>
        <v>EACHper hour</v>
      </c>
      <c r="I266" s="39">
        <f>CALCULATIONS!U266*$I$2</f>
        <v>2816.666667</v>
      </c>
      <c r="J266" s="40" t="str">
        <f>CONCATENATE(CALCULATIONS!Y266,CALCULATIONS!T266)</f>
        <v>per EACH</v>
      </c>
      <c r="K266" s="39">
        <f>CALCULATIONS!V266*$I$2</f>
        <v>1408.333333</v>
      </c>
      <c r="L266" s="40" t="str">
        <f>CONCATENATE(CALCULATIONS!Y266,CALCULATIONS!T266)</f>
        <v>per EACH</v>
      </c>
      <c r="M266" s="39">
        <f>CALCULATIONS!W266*$I$2</f>
        <v>1126.666667</v>
      </c>
      <c r="N266" s="41" t="str">
        <f>CONCATENATE(CALCULATIONS!Y266,CALCULATIONS!T266)</f>
        <v>per EACH</v>
      </c>
    </row>
    <row r="267" ht="12.75" customHeight="1">
      <c r="B267" s="44" t="s">
        <v>260</v>
      </c>
      <c r="C267" s="35">
        <f>IFERROR(1/CALCULATIONS!U267,0)</f>
        <v>0.03125</v>
      </c>
      <c r="D267" s="36" t="str">
        <f>CONCATENATE(CALCULATIONS!T267,CALCULATIONS!X267)</f>
        <v>EACHper hour</v>
      </c>
      <c r="E267" s="35">
        <f>IFERROR(1/CALCULATIONS!V267,0)</f>
        <v>0.0625</v>
      </c>
      <c r="F267" s="37" t="str">
        <f>CONCATENATE(CALCULATIONS!T267,CALCULATIONS!X267)</f>
        <v>EACHper hour</v>
      </c>
      <c r="G267" s="38">
        <f>IFERROR(1/CALCULATIONS!W267,0)</f>
        <v>0.078125</v>
      </c>
      <c r="H267" s="36" t="str">
        <f>CONCATENATE(CALCULATIONS!T267,CALCULATIONS!X267)</f>
        <v>EACHper hour</v>
      </c>
      <c r="I267" s="39">
        <f>CALCULATIONS!U267*$I$2</f>
        <v>1877.777778</v>
      </c>
      <c r="J267" s="40" t="str">
        <f>CONCATENATE(CALCULATIONS!Y267,CALCULATIONS!T267)</f>
        <v>per EACH</v>
      </c>
      <c r="K267" s="39">
        <f>CALCULATIONS!V267*$I$2</f>
        <v>938.8888889</v>
      </c>
      <c r="L267" s="40" t="str">
        <f>CONCATENATE(CALCULATIONS!Y267,CALCULATIONS!T267)</f>
        <v>per EACH</v>
      </c>
      <c r="M267" s="39">
        <f>CALCULATIONS!W267*$I$2</f>
        <v>751.1111111</v>
      </c>
      <c r="N267" s="41" t="str">
        <f>CONCATENATE(CALCULATIONS!Y267,CALCULATIONS!T267)</f>
        <v>per EACH</v>
      </c>
    </row>
    <row r="268" ht="12.75" customHeight="1">
      <c r="B268" s="44" t="s">
        <v>261</v>
      </c>
      <c r="C268" s="35">
        <f>IFERROR(1/CALCULATIONS!U268,0)</f>
        <v>0.05</v>
      </c>
      <c r="D268" s="36" t="str">
        <f>CONCATENATE(CALCULATIONS!T268,CALCULATIONS!X268)</f>
        <v>EACHper hour</v>
      </c>
      <c r="E268" s="35">
        <f>IFERROR(1/CALCULATIONS!V268,0)</f>
        <v>0.1</v>
      </c>
      <c r="F268" s="37" t="str">
        <f>CONCATENATE(CALCULATIONS!T268,CALCULATIONS!X268)</f>
        <v>EACHper hour</v>
      </c>
      <c r="G268" s="38">
        <f>IFERROR(1/CALCULATIONS!W268,0)</f>
        <v>0.125</v>
      </c>
      <c r="H268" s="36" t="str">
        <f>CONCATENATE(CALCULATIONS!T268,CALCULATIONS!X268)</f>
        <v>EACHper hour</v>
      </c>
      <c r="I268" s="39">
        <f>CALCULATIONS!U268*$I$2</f>
        <v>1173.611111</v>
      </c>
      <c r="J268" s="40" t="str">
        <f>CONCATENATE(CALCULATIONS!Y268,CALCULATIONS!T268)</f>
        <v>per EACH</v>
      </c>
      <c r="K268" s="39">
        <f>CALCULATIONS!V268*$I$2</f>
        <v>586.8055556</v>
      </c>
      <c r="L268" s="40" t="str">
        <f>CONCATENATE(CALCULATIONS!Y268,CALCULATIONS!T268)</f>
        <v>per EACH</v>
      </c>
      <c r="M268" s="39">
        <f>CALCULATIONS!W268*$I$2</f>
        <v>469.4444444</v>
      </c>
      <c r="N268" s="41" t="str">
        <f>CONCATENATE(CALCULATIONS!Y268,CALCULATIONS!T268)</f>
        <v>per EACH</v>
      </c>
    </row>
    <row r="269" ht="12.75" customHeight="1">
      <c r="B269" s="44" t="s">
        <v>262</v>
      </c>
      <c r="C269" s="35">
        <f>IFERROR(1/CALCULATIONS!U269,0)</f>
        <v>0.01388888889</v>
      </c>
      <c r="D269" s="36" t="str">
        <f>CONCATENATE(CALCULATIONS!T269,CALCULATIONS!X269)</f>
        <v>EACHper hour</v>
      </c>
      <c r="E269" s="35">
        <f>IFERROR(1/CALCULATIONS!V269,0)</f>
        <v>0.02777777778</v>
      </c>
      <c r="F269" s="37" t="str">
        <f>CONCATENATE(CALCULATIONS!T269,CALCULATIONS!X269)</f>
        <v>EACHper hour</v>
      </c>
      <c r="G269" s="38">
        <f>IFERROR(1/CALCULATIONS!W269,0)</f>
        <v>0.03472222222</v>
      </c>
      <c r="H269" s="36" t="str">
        <f>CONCATENATE(CALCULATIONS!T269,CALCULATIONS!X269)</f>
        <v>EACHper hour</v>
      </c>
      <c r="I269" s="39">
        <f>CALCULATIONS!U269*$I$2</f>
        <v>4225</v>
      </c>
      <c r="J269" s="40" t="str">
        <f>CONCATENATE(CALCULATIONS!Y269,CALCULATIONS!T269)</f>
        <v>per EACH</v>
      </c>
      <c r="K269" s="39">
        <f>CALCULATIONS!V269*$I$2</f>
        <v>2112.5</v>
      </c>
      <c r="L269" s="40" t="str">
        <f>CONCATENATE(CALCULATIONS!Y269,CALCULATIONS!T269)</f>
        <v>per EACH</v>
      </c>
      <c r="M269" s="39">
        <f>CALCULATIONS!W269*$I$2</f>
        <v>1690</v>
      </c>
      <c r="N269" s="41" t="str">
        <f>CONCATENATE(CALCULATIONS!Y269,CALCULATIONS!T269)</f>
        <v>per EACH</v>
      </c>
    </row>
    <row r="270" ht="12.75" customHeight="1">
      <c r="B270" s="44" t="s">
        <v>263</v>
      </c>
      <c r="C270" s="35">
        <f>IFERROR(1/CALCULATIONS!U270,0)</f>
        <v>0.02083333333</v>
      </c>
      <c r="D270" s="36" t="str">
        <f>CONCATENATE(CALCULATIONS!T270,CALCULATIONS!X270)</f>
        <v>EACHper hour</v>
      </c>
      <c r="E270" s="35">
        <f>IFERROR(1/CALCULATIONS!V270,0)</f>
        <v>0.04166666667</v>
      </c>
      <c r="F270" s="37" t="str">
        <f>CONCATENATE(CALCULATIONS!T270,CALCULATIONS!X270)</f>
        <v>EACHper hour</v>
      </c>
      <c r="G270" s="38">
        <f>IFERROR(1/CALCULATIONS!W270,0)</f>
        <v>0.05208333333</v>
      </c>
      <c r="H270" s="36" t="str">
        <f>CONCATENATE(CALCULATIONS!T270,CALCULATIONS!X270)</f>
        <v>EACHper hour</v>
      </c>
      <c r="I270" s="39">
        <f>CALCULATIONS!U270*$I$2</f>
        <v>2816.666667</v>
      </c>
      <c r="J270" s="40" t="str">
        <f>CONCATENATE(CALCULATIONS!Y270,CALCULATIONS!T270)</f>
        <v>per EACH</v>
      </c>
      <c r="K270" s="39">
        <f>CALCULATIONS!V270*$I$2</f>
        <v>1408.333333</v>
      </c>
      <c r="L270" s="40" t="str">
        <f>CONCATENATE(CALCULATIONS!Y270,CALCULATIONS!T270)</f>
        <v>per EACH</v>
      </c>
      <c r="M270" s="39">
        <f>CALCULATIONS!W270*$I$2</f>
        <v>1126.666667</v>
      </c>
      <c r="N270" s="41" t="str">
        <f>CONCATENATE(CALCULATIONS!Y270,CALCULATIONS!T270)</f>
        <v>per EACH</v>
      </c>
    </row>
    <row r="271" ht="12.75" customHeight="1">
      <c r="B271" s="44" t="s">
        <v>264</v>
      </c>
      <c r="C271" s="35">
        <f>IFERROR(1/CALCULATIONS!U271,0)</f>
        <v>0.03571428571</v>
      </c>
      <c r="D271" s="36" t="str">
        <f>CONCATENATE(CALCULATIONS!T271,CALCULATIONS!X271)</f>
        <v>EACHper hour</v>
      </c>
      <c r="E271" s="35">
        <f>IFERROR(1/CALCULATIONS!V271,0)</f>
        <v>0.07142857143</v>
      </c>
      <c r="F271" s="37" t="str">
        <f>CONCATENATE(CALCULATIONS!T271,CALCULATIONS!X271)</f>
        <v>EACHper hour</v>
      </c>
      <c r="G271" s="38">
        <f>IFERROR(1/CALCULATIONS!W271,0)</f>
        <v>0.08928571429</v>
      </c>
      <c r="H271" s="36" t="str">
        <f>CONCATENATE(CALCULATIONS!T271,CALCULATIONS!X271)</f>
        <v>EACHper hour</v>
      </c>
      <c r="I271" s="39">
        <f>CALCULATIONS!U271*$I$2</f>
        <v>1643.055556</v>
      </c>
      <c r="J271" s="40" t="str">
        <f>CONCATENATE(CALCULATIONS!Y271,CALCULATIONS!T271)</f>
        <v>per EACH</v>
      </c>
      <c r="K271" s="39">
        <f>CALCULATIONS!V271*$I$2</f>
        <v>821.5277778</v>
      </c>
      <c r="L271" s="40" t="str">
        <f>CONCATENATE(CALCULATIONS!Y271,CALCULATIONS!T271)</f>
        <v>per EACH</v>
      </c>
      <c r="M271" s="39">
        <f>CALCULATIONS!W271*$I$2</f>
        <v>657.2222222</v>
      </c>
      <c r="N271" s="41" t="str">
        <f>CONCATENATE(CALCULATIONS!Y271,CALCULATIONS!T271)</f>
        <v>per EACH</v>
      </c>
    </row>
    <row r="272" ht="12.75" customHeight="1">
      <c r="B272" s="44" t="s">
        <v>265</v>
      </c>
      <c r="C272" s="35">
        <f>IFERROR(1/CALCULATIONS!U272,0)</f>
        <v>0.03571428571</v>
      </c>
      <c r="D272" s="36" t="str">
        <f>CONCATENATE(CALCULATIONS!T272,CALCULATIONS!X272)</f>
        <v>EACHper hour</v>
      </c>
      <c r="E272" s="35">
        <f>IFERROR(1/CALCULATIONS!V272,0)</f>
        <v>0.07142857143</v>
      </c>
      <c r="F272" s="37" t="str">
        <f>CONCATENATE(CALCULATIONS!T272,CALCULATIONS!X272)</f>
        <v>EACHper hour</v>
      </c>
      <c r="G272" s="38">
        <f>IFERROR(1/CALCULATIONS!W272,0)</f>
        <v>0.08928571429</v>
      </c>
      <c r="H272" s="36" t="str">
        <f>CONCATENATE(CALCULATIONS!T272,CALCULATIONS!X272)</f>
        <v>EACHper hour</v>
      </c>
      <c r="I272" s="39">
        <f>CALCULATIONS!U272*$I$2</f>
        <v>1643.055556</v>
      </c>
      <c r="J272" s="40" t="str">
        <f>CONCATENATE(CALCULATIONS!Y272,CALCULATIONS!T272)</f>
        <v>per EACH</v>
      </c>
      <c r="K272" s="39">
        <f>CALCULATIONS!V272*$I$2</f>
        <v>821.5277778</v>
      </c>
      <c r="L272" s="40" t="str">
        <f>CONCATENATE(CALCULATIONS!Y272,CALCULATIONS!T272)</f>
        <v>per EACH</v>
      </c>
      <c r="M272" s="39">
        <f>CALCULATIONS!W272*$I$2</f>
        <v>657.2222222</v>
      </c>
      <c r="N272" s="41" t="str">
        <f>CONCATENATE(CALCULATIONS!Y272,CALCULATIONS!T272)</f>
        <v>per EACH</v>
      </c>
    </row>
    <row r="273" ht="12.75" customHeight="1">
      <c r="B273" s="44" t="s">
        <v>266</v>
      </c>
      <c r="C273" s="35">
        <f>IFERROR(1/CALCULATIONS!U273,0)</f>
        <v>0.01923076923</v>
      </c>
      <c r="D273" s="36" t="str">
        <f>CONCATENATE(CALCULATIONS!T273,CALCULATIONS!X273)</f>
        <v>EACHper hour</v>
      </c>
      <c r="E273" s="35">
        <f>IFERROR(1/CALCULATIONS!V273,0)</f>
        <v>0.03846153846</v>
      </c>
      <c r="F273" s="37" t="str">
        <f>CONCATENATE(CALCULATIONS!T273,CALCULATIONS!X273)</f>
        <v>EACHper hour</v>
      </c>
      <c r="G273" s="38">
        <f>IFERROR(1/CALCULATIONS!W273,0)</f>
        <v>0.04807692308</v>
      </c>
      <c r="H273" s="36" t="str">
        <f>CONCATENATE(CALCULATIONS!T273,CALCULATIONS!X273)</f>
        <v>EACHper hour</v>
      </c>
      <c r="I273" s="39">
        <f>CALCULATIONS!U273*$I$2</f>
        <v>3051.388889</v>
      </c>
      <c r="J273" s="40" t="str">
        <f>CONCATENATE(CALCULATIONS!Y273,CALCULATIONS!T273)</f>
        <v>per EACH</v>
      </c>
      <c r="K273" s="39">
        <f>CALCULATIONS!V273*$I$2</f>
        <v>1525.694444</v>
      </c>
      <c r="L273" s="40" t="str">
        <f>CONCATENATE(CALCULATIONS!Y273,CALCULATIONS!T273)</f>
        <v>per EACH</v>
      </c>
      <c r="M273" s="39">
        <f>CALCULATIONS!W273*$I$2</f>
        <v>1220.555556</v>
      </c>
      <c r="N273" s="41" t="str">
        <f>CONCATENATE(CALCULATIONS!Y273,CALCULATIONS!T273)</f>
        <v>per EACH</v>
      </c>
    </row>
    <row r="274" ht="12.75" customHeight="1">
      <c r="B274" s="44" t="s">
        <v>267</v>
      </c>
      <c r="C274" s="35">
        <f>IFERROR(1/CALCULATIONS!U274,0)</f>
        <v>0.03846153846</v>
      </c>
      <c r="D274" s="36" t="str">
        <f>CONCATENATE(CALCULATIONS!T274,CALCULATIONS!X274)</f>
        <v>EACHper hour</v>
      </c>
      <c r="E274" s="35">
        <f>IFERROR(1/CALCULATIONS!V274,0)</f>
        <v>0.07692307692</v>
      </c>
      <c r="F274" s="37" t="str">
        <f>CONCATENATE(CALCULATIONS!T274,CALCULATIONS!X274)</f>
        <v>EACHper hour</v>
      </c>
      <c r="G274" s="38">
        <f>IFERROR(1/CALCULATIONS!W274,0)</f>
        <v>0.09615384615</v>
      </c>
      <c r="H274" s="36" t="str">
        <f>CONCATENATE(CALCULATIONS!T274,CALCULATIONS!X274)</f>
        <v>EACHper hour</v>
      </c>
      <c r="I274" s="39">
        <f>CALCULATIONS!U274*$I$2</f>
        <v>1525.694444</v>
      </c>
      <c r="J274" s="40" t="str">
        <f>CONCATENATE(CALCULATIONS!Y274,CALCULATIONS!T274)</f>
        <v>per EACH</v>
      </c>
      <c r="K274" s="39">
        <f>CALCULATIONS!V274*$I$2</f>
        <v>762.8472222</v>
      </c>
      <c r="L274" s="40" t="str">
        <f>CONCATENATE(CALCULATIONS!Y274,CALCULATIONS!T274)</f>
        <v>per EACH</v>
      </c>
      <c r="M274" s="39">
        <f>CALCULATIONS!W274*$I$2</f>
        <v>610.2777778</v>
      </c>
      <c r="N274" s="41" t="str">
        <f>CONCATENATE(CALCULATIONS!Y274,CALCULATIONS!T274)</f>
        <v>per EACH</v>
      </c>
    </row>
    <row r="275" ht="12.75" customHeight="1">
      <c r="B275" s="44" t="s">
        <v>268</v>
      </c>
      <c r="C275" s="35">
        <f>IFERROR(1/CALCULATIONS!U275,0)</f>
        <v>0.0625</v>
      </c>
      <c r="D275" s="36" t="str">
        <f>CONCATENATE(CALCULATIONS!T275,CALCULATIONS!X275)</f>
        <v>EACHper hour</v>
      </c>
      <c r="E275" s="35">
        <f>IFERROR(1/CALCULATIONS!V275,0)</f>
        <v>0.1111111111</v>
      </c>
      <c r="F275" s="37" t="str">
        <f>CONCATENATE(CALCULATIONS!T275,CALCULATIONS!X275)</f>
        <v>EACHper hour</v>
      </c>
      <c r="G275" s="38">
        <f>IFERROR(1/CALCULATIONS!W275,0)</f>
        <v>0.15625</v>
      </c>
      <c r="H275" s="36" t="str">
        <f>CONCATENATE(CALCULATIONS!T275,CALCULATIONS!X275)</f>
        <v>EACHper hour</v>
      </c>
      <c r="I275" s="39">
        <f>CALCULATIONS!U275*$I$2</f>
        <v>938.8888889</v>
      </c>
      <c r="J275" s="40" t="str">
        <f>CONCATENATE(CALCULATIONS!Y275,CALCULATIONS!T275)</f>
        <v>per EACH</v>
      </c>
      <c r="K275" s="39">
        <f>CALCULATIONS!V275*$I$2</f>
        <v>528.125</v>
      </c>
      <c r="L275" s="40" t="str">
        <f>CONCATENATE(CALCULATIONS!Y275,CALCULATIONS!T275)</f>
        <v>per EACH</v>
      </c>
      <c r="M275" s="39">
        <f>CALCULATIONS!W275*$I$2</f>
        <v>375.5555556</v>
      </c>
      <c r="N275" s="41" t="str">
        <f>CONCATENATE(CALCULATIONS!Y275,CALCULATIONS!T275)</f>
        <v>per EACH</v>
      </c>
    </row>
    <row r="276" ht="12.75" customHeight="1">
      <c r="B276" s="44" t="s">
        <v>269</v>
      </c>
      <c r="C276" s="35">
        <f>IFERROR(1/CALCULATIONS!U276,0)</f>
        <v>0.25</v>
      </c>
      <c r="D276" s="36" t="str">
        <f>CONCATENATE(CALCULATIONS!T276,CALCULATIONS!X276)</f>
        <v>EACHper hour</v>
      </c>
      <c r="E276" s="35">
        <f>IFERROR(1/CALCULATIONS!V276,0)</f>
        <v>0.5</v>
      </c>
      <c r="F276" s="37" t="str">
        <f>CONCATENATE(CALCULATIONS!T276,CALCULATIONS!X276)</f>
        <v>EACHper hour</v>
      </c>
      <c r="G276" s="38">
        <f>IFERROR(1/CALCULATIONS!W276,0)</f>
        <v>0.625</v>
      </c>
      <c r="H276" s="36" t="str">
        <f>CONCATENATE(CALCULATIONS!T276,CALCULATIONS!X276)</f>
        <v>EACHper hour</v>
      </c>
      <c r="I276" s="39">
        <f>CALCULATIONS!U276*$I$2</f>
        <v>234.7222222</v>
      </c>
      <c r="J276" s="40" t="str">
        <f>CONCATENATE(CALCULATIONS!Y276,CALCULATIONS!T276)</f>
        <v>per EACH</v>
      </c>
      <c r="K276" s="39">
        <f>CALCULATIONS!V276*$I$2</f>
        <v>117.3611111</v>
      </c>
      <c r="L276" s="40" t="str">
        <f>CONCATENATE(CALCULATIONS!Y276,CALCULATIONS!T276)</f>
        <v>per EACH</v>
      </c>
      <c r="M276" s="39">
        <f>CALCULATIONS!W276*$I$2</f>
        <v>93.88888889</v>
      </c>
      <c r="N276" s="41" t="str">
        <f>CONCATENATE(CALCULATIONS!Y276,CALCULATIONS!T276)</f>
        <v>per EACH</v>
      </c>
    </row>
    <row r="277" ht="12.75" customHeight="1">
      <c r="B277" s="44" t="s">
        <v>270</v>
      </c>
      <c r="C277" s="35">
        <f>IFERROR(1/CALCULATIONS!U277,0)</f>
        <v>0.0625</v>
      </c>
      <c r="D277" s="36" t="str">
        <f>CONCATENATE(CALCULATIONS!T277,CALCULATIONS!X277)</f>
        <v>EACHper hour</v>
      </c>
      <c r="E277" s="35">
        <f>IFERROR(1/CALCULATIONS!V277,0)</f>
        <v>0.125</v>
      </c>
      <c r="F277" s="37" t="str">
        <f>CONCATENATE(CALCULATIONS!T277,CALCULATIONS!X277)</f>
        <v>EACHper hour</v>
      </c>
      <c r="G277" s="38">
        <f>IFERROR(1/CALCULATIONS!W277,0)</f>
        <v>0.15625</v>
      </c>
      <c r="H277" s="36" t="str">
        <f>CONCATENATE(CALCULATIONS!T277,CALCULATIONS!X277)</f>
        <v>EACHper hour</v>
      </c>
      <c r="I277" s="39">
        <f>CALCULATIONS!U277*$I$2</f>
        <v>938.8888889</v>
      </c>
      <c r="J277" s="40" t="str">
        <f>CONCATENATE(CALCULATIONS!Y277,CALCULATIONS!T277)</f>
        <v>per EACH</v>
      </c>
      <c r="K277" s="39">
        <f>CALCULATIONS!V277*$I$2</f>
        <v>469.4444444</v>
      </c>
      <c r="L277" s="40" t="str">
        <f>CONCATENATE(CALCULATIONS!Y277,CALCULATIONS!T277)</f>
        <v>per EACH</v>
      </c>
      <c r="M277" s="39">
        <f>CALCULATIONS!W277*$I$2</f>
        <v>375.5555556</v>
      </c>
      <c r="N277" s="41" t="str">
        <f>CONCATENATE(CALCULATIONS!Y277,CALCULATIONS!T277)</f>
        <v>per EACH</v>
      </c>
    </row>
    <row r="278" ht="12.75" customHeight="1">
      <c r="B278" s="44" t="s">
        <v>271</v>
      </c>
      <c r="C278" s="35">
        <f>IFERROR(1/CALCULATIONS!U278,0)</f>
        <v>0.125</v>
      </c>
      <c r="D278" s="36" t="str">
        <f>CONCATENATE(CALCULATIONS!T278,CALCULATIONS!X278)</f>
        <v>PIPEper hour</v>
      </c>
      <c r="E278" s="35">
        <f>IFERROR(1/CALCULATIONS!V278,0)</f>
        <v>0.25</v>
      </c>
      <c r="F278" s="37" t="str">
        <f>CONCATENATE(CALCULATIONS!T278,CALCULATIONS!X278)</f>
        <v>PIPEper hour</v>
      </c>
      <c r="G278" s="38">
        <f>IFERROR(1/CALCULATIONS!W278,0)</f>
        <v>0.3125</v>
      </c>
      <c r="H278" s="36" t="str">
        <f>CONCATENATE(CALCULATIONS!T278,CALCULATIONS!X278)</f>
        <v>PIPEper hour</v>
      </c>
      <c r="I278" s="39">
        <f>CALCULATIONS!U278*$I$2</f>
        <v>469.4444444</v>
      </c>
      <c r="J278" s="40" t="str">
        <f>CONCATENATE(CALCULATIONS!Y278,CALCULATIONS!T278)</f>
        <v>per PIPE</v>
      </c>
      <c r="K278" s="39">
        <f>CALCULATIONS!V278*$I$2</f>
        <v>234.7222222</v>
      </c>
      <c r="L278" s="40" t="str">
        <f>CONCATENATE(CALCULATIONS!Y278,CALCULATIONS!T278)</f>
        <v>per PIPE</v>
      </c>
      <c r="M278" s="39">
        <f>CALCULATIONS!W278*$I$2</f>
        <v>187.7777778</v>
      </c>
      <c r="N278" s="41" t="str">
        <f>CONCATENATE(CALCULATIONS!Y278,CALCULATIONS!T278)</f>
        <v>per PIPE</v>
      </c>
    </row>
    <row r="279" ht="12.75" customHeight="1">
      <c r="B279" s="44" t="s">
        <v>272</v>
      </c>
      <c r="C279" s="35">
        <f>IFERROR(1/CALCULATIONS!U279,0)</f>
        <v>0.078125</v>
      </c>
      <c r="D279" s="36" t="str">
        <f>CONCATENATE(CALCULATIONS!T279,CALCULATIONS!X279)</f>
        <v>PIPEper hour</v>
      </c>
      <c r="E279" s="35">
        <f>IFERROR(1/CALCULATIONS!V279,0)</f>
        <v>0.15625</v>
      </c>
      <c r="F279" s="37" t="str">
        <f>CONCATENATE(CALCULATIONS!T279,CALCULATIONS!X279)</f>
        <v>PIPEper hour</v>
      </c>
      <c r="G279" s="38">
        <f>IFERROR(1/CALCULATIONS!W279,0)</f>
        <v>0.1953125</v>
      </c>
      <c r="H279" s="36" t="str">
        <f>CONCATENATE(CALCULATIONS!T279,CALCULATIONS!X279)</f>
        <v>PIPEper hour</v>
      </c>
      <c r="I279" s="39">
        <f>CALCULATIONS!U279*$I$2</f>
        <v>751.1111111</v>
      </c>
      <c r="J279" s="40" t="str">
        <f>CONCATENATE(CALCULATIONS!Y279,CALCULATIONS!T279)</f>
        <v>per PIPE</v>
      </c>
      <c r="K279" s="39">
        <f>CALCULATIONS!V279*$I$2</f>
        <v>375.5555556</v>
      </c>
      <c r="L279" s="40" t="str">
        <f>CONCATENATE(CALCULATIONS!Y279,CALCULATIONS!T279)</f>
        <v>per PIPE</v>
      </c>
      <c r="M279" s="39">
        <f>CALCULATIONS!W279*$I$2</f>
        <v>300.4444444</v>
      </c>
      <c r="N279" s="41" t="str">
        <f>CONCATENATE(CALCULATIONS!Y279,CALCULATIONS!T279)</f>
        <v>per PIPE</v>
      </c>
    </row>
    <row r="280" ht="12.75" customHeight="1">
      <c r="B280" s="44" t="s">
        <v>273</v>
      </c>
      <c r="C280" s="35">
        <f>IFERROR(1/CALCULATIONS!U280,0)</f>
        <v>0.0469043152</v>
      </c>
      <c r="D280" s="36" t="str">
        <f>CONCATENATE(CALCULATIONS!T280,CALCULATIONS!X280)</f>
        <v>PIPEper hour</v>
      </c>
      <c r="E280" s="35">
        <f>IFERROR(1/CALCULATIONS!V280,0)</f>
        <v>0.09380863039</v>
      </c>
      <c r="F280" s="37" t="str">
        <f>CONCATENATE(CALCULATIONS!T280,CALCULATIONS!X280)</f>
        <v>PIPEper hour</v>
      </c>
      <c r="G280" s="38">
        <f>IFERROR(1/CALCULATIONS!W280,0)</f>
        <v>0.1172332943</v>
      </c>
      <c r="H280" s="36" t="str">
        <f>CONCATENATE(CALCULATIONS!T280,CALCULATIONS!X280)</f>
        <v>PIPEper hour</v>
      </c>
      <c r="I280" s="39">
        <f>CALCULATIONS!U280*$I$2</f>
        <v>1251.069444</v>
      </c>
      <c r="J280" s="40" t="str">
        <f>CONCATENATE(CALCULATIONS!Y280,CALCULATIONS!T280)</f>
        <v>per PIPE</v>
      </c>
      <c r="K280" s="39">
        <f>CALCULATIONS!V280*$I$2</f>
        <v>625.5347222</v>
      </c>
      <c r="L280" s="40" t="str">
        <f>CONCATENATE(CALCULATIONS!Y280,CALCULATIONS!T280)</f>
        <v>per PIPE</v>
      </c>
      <c r="M280" s="39">
        <f>CALCULATIONS!W280*$I$2</f>
        <v>500.5451389</v>
      </c>
      <c r="N280" s="41" t="str">
        <f>CONCATENATE(CALCULATIONS!Y280,CALCULATIONS!T280)</f>
        <v>per PIPE</v>
      </c>
    </row>
    <row r="281" ht="12.75" customHeight="1">
      <c r="C281" s="35">
        <f>IFERROR(1/CALCULATIONS!U281,0)</f>
        <v>0</v>
      </c>
      <c r="D281" s="36" t="str">
        <f>CONCATENATE(CALCULATIONS!T281,CALCULATIONS!X281)</f>
        <v/>
      </c>
      <c r="E281" s="35">
        <f>IFERROR(1/CALCULATIONS!V281,0)</f>
        <v>0</v>
      </c>
      <c r="F281" s="37" t="str">
        <f>CONCATENATE(CALCULATIONS!T281,CALCULATIONS!X281)</f>
        <v/>
      </c>
      <c r="G281" s="38">
        <f>IFERROR(1/CALCULATIONS!W281,0)</f>
        <v>0</v>
      </c>
      <c r="H281" s="36" t="str">
        <f>CONCATENATE(CALCULATIONS!T281,CALCULATIONS!X281)</f>
        <v/>
      </c>
      <c r="I281" s="39">
        <f>CALCULATIONS!U281*$I$2</f>
        <v>0</v>
      </c>
      <c r="J281" s="40" t="str">
        <f>CONCATENATE(CALCULATIONS!Y281,CALCULATIONS!T281)</f>
        <v/>
      </c>
      <c r="K281" s="39">
        <f>CALCULATIONS!V281*$I$2</f>
        <v>0</v>
      </c>
      <c r="L281" s="40" t="str">
        <f>CONCATENATE(CALCULATIONS!Y281,CALCULATIONS!T281)</f>
        <v/>
      </c>
      <c r="M281" s="39">
        <f>CALCULATIONS!W281*$I$2</f>
        <v>0</v>
      </c>
      <c r="N281" s="41" t="str">
        <f>CONCATENATE(CALCULATIONS!Y281,CALCULATIONS!T281)</f>
        <v/>
      </c>
    </row>
    <row r="282" ht="12.75" customHeight="1">
      <c r="A282" s="45" t="s">
        <v>274</v>
      </c>
      <c r="B282" s="52" t="s">
        <v>275</v>
      </c>
      <c r="C282" s="35">
        <f>IFERROR(1/CALCULATIONS!U282,0)</f>
        <v>0</v>
      </c>
      <c r="D282" s="36" t="str">
        <f>CONCATENATE(CALCULATIONS!T282,CALCULATIONS!X282)</f>
        <v/>
      </c>
      <c r="E282" s="35">
        <f>IFERROR(1/CALCULATIONS!V282,0)</f>
        <v>0</v>
      </c>
      <c r="F282" s="37" t="str">
        <f>CONCATENATE(CALCULATIONS!T282,CALCULATIONS!X282)</f>
        <v/>
      </c>
      <c r="G282" s="38">
        <f>IFERROR(1/CALCULATIONS!W282,0)</f>
        <v>0</v>
      </c>
      <c r="H282" s="36" t="str">
        <f>CONCATENATE(CALCULATIONS!T282,CALCULATIONS!X282)</f>
        <v/>
      </c>
      <c r="I282" s="39">
        <f>CALCULATIONS!U282*$I$2</f>
        <v>0</v>
      </c>
      <c r="J282" s="40" t="str">
        <f>CONCATENATE(CALCULATIONS!Y282,CALCULATIONS!T282)</f>
        <v/>
      </c>
      <c r="K282" s="39">
        <f>CALCULATIONS!V282*$I$2</f>
        <v>0</v>
      </c>
      <c r="L282" s="40" t="str">
        <f>CONCATENATE(CALCULATIONS!Y282,CALCULATIONS!T282)</f>
        <v/>
      </c>
      <c r="M282" s="39">
        <f>CALCULATIONS!W282*$I$2</f>
        <v>0</v>
      </c>
      <c r="N282" s="41" t="str">
        <f>CONCATENATE(CALCULATIONS!Y282,CALCULATIONS!T282)</f>
        <v/>
      </c>
    </row>
    <row r="283" ht="12.75" customHeight="1">
      <c r="B283" s="51" t="s">
        <v>276</v>
      </c>
      <c r="C283" s="35">
        <f>IFERROR(1/CALCULATIONS!U283,0)</f>
        <v>0</v>
      </c>
      <c r="D283" s="36" t="str">
        <f>CONCATENATE(CALCULATIONS!T283,CALCULATIONS!X283)</f>
        <v/>
      </c>
      <c r="E283" s="35">
        <f>IFERROR(1/CALCULATIONS!V283,0)</f>
        <v>0</v>
      </c>
      <c r="F283" s="37" t="str">
        <f>CONCATENATE(CALCULATIONS!T283,CALCULATIONS!X283)</f>
        <v/>
      </c>
      <c r="G283" s="38">
        <f>IFERROR(1/CALCULATIONS!W283,0)</f>
        <v>0</v>
      </c>
      <c r="H283" s="36" t="str">
        <f>CONCATENATE(CALCULATIONS!T283,CALCULATIONS!X283)</f>
        <v/>
      </c>
      <c r="I283" s="39">
        <f>CALCULATIONS!U283*$I$2</f>
        <v>0</v>
      </c>
      <c r="J283" s="40" t="str">
        <f>CONCATENATE(CALCULATIONS!Y283,CALCULATIONS!T283)</f>
        <v/>
      </c>
      <c r="K283" s="39">
        <f>CALCULATIONS!V283*$I$2</f>
        <v>0</v>
      </c>
      <c r="L283" s="40" t="str">
        <f>CONCATENATE(CALCULATIONS!Y283,CALCULATIONS!T283)</f>
        <v/>
      </c>
      <c r="M283" s="39">
        <f>CALCULATIONS!W283*$I$2</f>
        <v>0</v>
      </c>
      <c r="N283" s="41" t="str">
        <f>CONCATENATE(CALCULATIONS!Y283,CALCULATIONS!T283)</f>
        <v/>
      </c>
    </row>
    <row r="284" ht="12.75" customHeight="1">
      <c r="B284" s="53" t="s">
        <v>277</v>
      </c>
      <c r="C284" s="35">
        <f>IFERROR(1/CALCULATIONS!U284,0)</f>
        <v>0</v>
      </c>
      <c r="D284" s="36" t="str">
        <f>CONCATENATE(CALCULATIONS!T284,CALCULATIONS!X284)</f>
        <v/>
      </c>
      <c r="E284" s="35">
        <f>IFERROR(1/CALCULATIONS!V284,0)</f>
        <v>0</v>
      </c>
      <c r="F284" s="37" t="str">
        <f>CONCATENATE(CALCULATIONS!T284,CALCULATIONS!X284)</f>
        <v/>
      </c>
      <c r="G284" s="38">
        <f>IFERROR(1/CALCULATIONS!W284,0)</f>
        <v>0</v>
      </c>
      <c r="H284" s="36" t="str">
        <f>CONCATENATE(CALCULATIONS!T284,CALCULATIONS!X284)</f>
        <v/>
      </c>
      <c r="I284" s="39">
        <f>CALCULATIONS!U284*$I$2</f>
        <v>0</v>
      </c>
      <c r="J284" s="40" t="str">
        <f>CONCATENATE(CALCULATIONS!Y284,CALCULATIONS!T284)</f>
        <v/>
      </c>
      <c r="K284" s="39">
        <f>CALCULATIONS!V284*$I$2</f>
        <v>0</v>
      </c>
      <c r="L284" s="40" t="str">
        <f>CONCATENATE(CALCULATIONS!Y284,CALCULATIONS!T284)</f>
        <v/>
      </c>
      <c r="M284" s="39">
        <f>CALCULATIONS!W284*$I$2</f>
        <v>0</v>
      </c>
      <c r="N284" s="41" t="str">
        <f>CONCATENATE(CALCULATIONS!Y284,CALCULATIONS!T284)</f>
        <v/>
      </c>
    </row>
    <row r="285" ht="12.75" customHeight="1">
      <c r="B285" s="44" t="s">
        <v>278</v>
      </c>
      <c r="C285" s="35">
        <f>IFERROR(1/CALCULATIONS!U285,0)</f>
        <v>0.2</v>
      </c>
      <c r="D285" s="36" t="str">
        <f>CONCATENATE(CALCULATIONS!T285,CALCULATIONS!X285)</f>
        <v>S.M.per hour</v>
      </c>
      <c r="E285" s="35">
        <f>IFERROR(1/CALCULATIONS!V285,0)</f>
        <v>0.4</v>
      </c>
      <c r="F285" s="37" t="str">
        <f>CONCATENATE(CALCULATIONS!T285,CALCULATIONS!X285)</f>
        <v>S.M.per hour</v>
      </c>
      <c r="G285" s="38">
        <f>IFERROR(1/CALCULATIONS!W285,0)</f>
        <v>0.5</v>
      </c>
      <c r="H285" s="36" t="str">
        <f>CONCATENATE(CALCULATIONS!T285,CALCULATIONS!X285)</f>
        <v>S.M.per hour</v>
      </c>
      <c r="I285" s="39">
        <f>CALCULATIONS!U285*$I$2</f>
        <v>293.4027778</v>
      </c>
      <c r="J285" s="40" t="str">
        <f>CONCATENATE(CALCULATIONS!Y285,CALCULATIONS!T285)</f>
        <v>per S.M.</v>
      </c>
      <c r="K285" s="39">
        <f>CALCULATIONS!V285*$I$2</f>
        <v>146.7013889</v>
      </c>
      <c r="L285" s="40" t="str">
        <f>CONCATENATE(CALCULATIONS!Y285,CALCULATIONS!T285)</f>
        <v>per S.M.</v>
      </c>
      <c r="M285" s="39">
        <f>CALCULATIONS!W285*$I$2</f>
        <v>117.3611111</v>
      </c>
      <c r="N285" s="41" t="str">
        <f>CONCATENATE(CALCULATIONS!Y285,CALCULATIONS!T285)</f>
        <v>per S.M.</v>
      </c>
    </row>
    <row r="286" ht="12.75" customHeight="1">
      <c r="B286" s="44" t="s">
        <v>279</v>
      </c>
      <c r="C286" s="35">
        <f>IFERROR(1/CALCULATIONS!U286,0)</f>
        <v>0.04166666667</v>
      </c>
      <c r="D286" s="36" t="str">
        <f>CONCATENATE(CALCULATIONS!T286,CALCULATIONS!X286)</f>
        <v>S.M.per hour</v>
      </c>
      <c r="E286" s="35">
        <f>IFERROR(1/CALCULATIONS!V286,0)</f>
        <v>0.08333333333</v>
      </c>
      <c r="F286" s="37" t="str">
        <f>CONCATENATE(CALCULATIONS!T286,CALCULATIONS!X286)</f>
        <v>S.M.per hour</v>
      </c>
      <c r="G286" s="38">
        <f>IFERROR(1/CALCULATIONS!W286,0)</f>
        <v>0.1041666667</v>
      </c>
      <c r="H286" s="36" t="str">
        <f>CONCATENATE(CALCULATIONS!T286,CALCULATIONS!X286)</f>
        <v>S.M.per hour</v>
      </c>
      <c r="I286" s="39">
        <f>CALCULATIONS!U286*$I$2</f>
        <v>1408.333333</v>
      </c>
      <c r="J286" s="40" t="str">
        <f>CONCATENATE(CALCULATIONS!Y286,CALCULATIONS!T286)</f>
        <v>per S.M.</v>
      </c>
      <c r="K286" s="39">
        <f>CALCULATIONS!V286*$I$2</f>
        <v>704.1666667</v>
      </c>
      <c r="L286" s="40" t="str">
        <f>CONCATENATE(CALCULATIONS!Y286,CALCULATIONS!T286)</f>
        <v>per S.M.</v>
      </c>
      <c r="M286" s="39">
        <f>CALCULATIONS!W286*$I$2</f>
        <v>563.3333333</v>
      </c>
      <c r="N286" s="41" t="str">
        <f>CONCATENATE(CALCULATIONS!Y286,CALCULATIONS!T286)</f>
        <v>per S.M.</v>
      </c>
    </row>
    <row r="287" ht="12.75" customHeight="1">
      <c r="B287" s="44" t="s">
        <v>280</v>
      </c>
      <c r="C287" s="35">
        <f>IFERROR(1/CALCULATIONS!U287,0)</f>
        <v>0.1</v>
      </c>
      <c r="D287" s="36" t="str">
        <f>CONCATENATE(CALCULATIONS!T287,CALCULATIONS!X287)</f>
        <v>S.M.per hour</v>
      </c>
      <c r="E287" s="35">
        <f>IFERROR(1/CALCULATIONS!V287,0)</f>
        <v>0.2</v>
      </c>
      <c r="F287" s="37" t="str">
        <f>CONCATENATE(CALCULATIONS!T287,CALCULATIONS!X287)</f>
        <v>S.M.per hour</v>
      </c>
      <c r="G287" s="38">
        <f>IFERROR(1/CALCULATIONS!W287,0)</f>
        <v>0.25</v>
      </c>
      <c r="H287" s="36" t="str">
        <f>CONCATENATE(CALCULATIONS!T287,CALCULATIONS!X287)</f>
        <v>S.M.per hour</v>
      </c>
      <c r="I287" s="39">
        <f>CALCULATIONS!U287*$I$2</f>
        <v>586.8055556</v>
      </c>
      <c r="J287" s="40" t="str">
        <f>CONCATENATE(CALCULATIONS!Y287,CALCULATIONS!T287)</f>
        <v>per S.M.</v>
      </c>
      <c r="K287" s="39">
        <f>CALCULATIONS!V287*$I$2</f>
        <v>293.4027778</v>
      </c>
      <c r="L287" s="40" t="str">
        <f>CONCATENATE(CALCULATIONS!Y287,CALCULATIONS!T287)</f>
        <v>per S.M.</v>
      </c>
      <c r="M287" s="39">
        <f>CALCULATIONS!W287*$I$2</f>
        <v>234.7222222</v>
      </c>
      <c r="N287" s="41" t="str">
        <f>CONCATENATE(CALCULATIONS!Y287,CALCULATIONS!T287)</f>
        <v>per S.M.</v>
      </c>
    </row>
    <row r="288" ht="12.75" customHeight="1">
      <c r="B288" s="44" t="s">
        <v>281</v>
      </c>
      <c r="C288" s="35">
        <f>IFERROR(1/CALCULATIONS!U288,0)</f>
        <v>0.1</v>
      </c>
      <c r="D288" s="36" t="str">
        <f>CONCATENATE(CALCULATIONS!T288,CALCULATIONS!X288)</f>
        <v>S.M.per hour</v>
      </c>
      <c r="E288" s="35">
        <f>IFERROR(1/CALCULATIONS!V288,0)</f>
        <v>0.2</v>
      </c>
      <c r="F288" s="37" t="str">
        <f>CONCATENATE(CALCULATIONS!T288,CALCULATIONS!X288)</f>
        <v>S.M.per hour</v>
      </c>
      <c r="G288" s="38">
        <f>IFERROR(1/CALCULATIONS!W288,0)</f>
        <v>0.25</v>
      </c>
      <c r="H288" s="36" t="str">
        <f>CONCATENATE(CALCULATIONS!T288,CALCULATIONS!X288)</f>
        <v>S.M.per hour</v>
      </c>
      <c r="I288" s="39">
        <f>CALCULATIONS!U288*$I$2</f>
        <v>586.8055556</v>
      </c>
      <c r="J288" s="40" t="str">
        <f>CONCATENATE(CALCULATIONS!Y288,CALCULATIONS!T288)</f>
        <v>per S.M.</v>
      </c>
      <c r="K288" s="39">
        <f>CALCULATIONS!V288*$I$2</f>
        <v>293.4027778</v>
      </c>
      <c r="L288" s="40" t="str">
        <f>CONCATENATE(CALCULATIONS!Y288,CALCULATIONS!T288)</f>
        <v>per S.M.</v>
      </c>
      <c r="M288" s="39">
        <f>CALCULATIONS!W288*$I$2</f>
        <v>234.7222222</v>
      </c>
      <c r="N288" s="41" t="str">
        <f>CONCATENATE(CALCULATIONS!Y288,CALCULATIONS!T288)</f>
        <v>per S.M.</v>
      </c>
    </row>
    <row r="289" ht="12.75" customHeight="1">
      <c r="B289" s="44" t="s">
        <v>282</v>
      </c>
      <c r="C289" s="35">
        <f>IFERROR(1/CALCULATIONS!U289,0)</f>
        <v>0</v>
      </c>
      <c r="D289" s="36" t="str">
        <f>CONCATENATE(CALCULATIONS!T289,CALCULATIONS!X289)</f>
        <v/>
      </c>
      <c r="E289" s="35">
        <f>IFERROR(1/CALCULATIONS!V289,0)</f>
        <v>0</v>
      </c>
      <c r="F289" s="37" t="str">
        <f>CONCATENATE(CALCULATIONS!T289,CALCULATIONS!X289)</f>
        <v/>
      </c>
      <c r="G289" s="38">
        <f>IFERROR(1/CALCULATIONS!W289,0)</f>
        <v>0</v>
      </c>
      <c r="H289" s="36" t="str">
        <f>CONCATENATE(CALCULATIONS!T289,CALCULATIONS!X289)</f>
        <v/>
      </c>
      <c r="I289" s="39">
        <f>CALCULATIONS!U289*$I$2</f>
        <v>0</v>
      </c>
      <c r="J289" s="40" t="str">
        <f>CONCATENATE(CALCULATIONS!Y289,CALCULATIONS!T289)</f>
        <v/>
      </c>
      <c r="K289" s="39">
        <f>CALCULATIONS!V289*$I$2</f>
        <v>0</v>
      </c>
      <c r="L289" s="40" t="str">
        <f>CONCATENATE(CALCULATIONS!Y289,CALCULATIONS!T289)</f>
        <v/>
      </c>
      <c r="M289" s="39">
        <f>CALCULATIONS!W289*$I$2</f>
        <v>0</v>
      </c>
      <c r="N289" s="41" t="str">
        <f>CONCATENATE(CALCULATIONS!Y289,CALCULATIONS!T289)</f>
        <v/>
      </c>
    </row>
    <row r="290" ht="12.75" customHeight="1">
      <c r="B290" s="44" t="s">
        <v>283</v>
      </c>
      <c r="C290" s="35">
        <f>IFERROR(1/CALCULATIONS!U290,0)</f>
        <v>0.02941176471</v>
      </c>
      <c r="D290" s="36" t="str">
        <f>CONCATENATE(CALCULATIONS!T290,CALCULATIONS!X290)</f>
        <v>S.M.per hour</v>
      </c>
      <c r="E290" s="35">
        <f>IFERROR(1/CALCULATIONS!V290,0)</f>
        <v>0.05882352941</v>
      </c>
      <c r="F290" s="37" t="str">
        <f>CONCATENATE(CALCULATIONS!T290,CALCULATIONS!X290)</f>
        <v>S.M.per hour</v>
      </c>
      <c r="G290" s="38">
        <f>IFERROR(1/CALCULATIONS!W290,0)</f>
        <v>0.07352941176</v>
      </c>
      <c r="H290" s="36" t="str">
        <f>CONCATENATE(CALCULATIONS!T290,CALCULATIONS!X290)</f>
        <v>S.M.per hour</v>
      </c>
      <c r="I290" s="39">
        <f>CALCULATIONS!U290*$I$2</f>
        <v>1995.138889</v>
      </c>
      <c r="J290" s="40" t="str">
        <f>CONCATENATE(CALCULATIONS!Y290,CALCULATIONS!T290)</f>
        <v>per S.M.</v>
      </c>
      <c r="K290" s="39">
        <f>CALCULATIONS!V290*$I$2</f>
        <v>997.5694444</v>
      </c>
      <c r="L290" s="40" t="str">
        <f>CONCATENATE(CALCULATIONS!Y290,CALCULATIONS!T290)</f>
        <v>per S.M.</v>
      </c>
      <c r="M290" s="39">
        <f>CALCULATIONS!W290*$I$2</f>
        <v>798.0555556</v>
      </c>
      <c r="N290" s="41" t="str">
        <f>CONCATENATE(CALCULATIONS!Y290,CALCULATIONS!T290)</f>
        <v>per S.M.</v>
      </c>
    </row>
    <row r="291" ht="12.75" customHeight="1">
      <c r="B291" s="44" t="s">
        <v>284</v>
      </c>
      <c r="C291" s="35">
        <f>IFERROR(1/CALCULATIONS!U291,0)</f>
        <v>0.01666666667</v>
      </c>
      <c r="D291" s="36" t="str">
        <f>CONCATENATE(CALCULATIONS!T291,CALCULATIONS!X291)</f>
        <v>S.M.per hour</v>
      </c>
      <c r="E291" s="35">
        <f>IFERROR(1/CALCULATIONS!V291,0)</f>
        <v>0.03333333333</v>
      </c>
      <c r="F291" s="37" t="str">
        <f>CONCATENATE(CALCULATIONS!T291,CALCULATIONS!X291)</f>
        <v>S.M.per hour</v>
      </c>
      <c r="G291" s="38">
        <f>IFERROR(1/CALCULATIONS!W291,0)</f>
        <v>0.04166666667</v>
      </c>
      <c r="H291" s="36" t="str">
        <f>CONCATENATE(CALCULATIONS!T291,CALCULATIONS!X291)</f>
        <v>S.M.per hour</v>
      </c>
      <c r="I291" s="39">
        <f>CALCULATIONS!U291*$I$2</f>
        <v>3520.833333</v>
      </c>
      <c r="J291" s="40" t="str">
        <f>CONCATENATE(CALCULATIONS!Y291,CALCULATIONS!T291)</f>
        <v>per S.M.</v>
      </c>
      <c r="K291" s="39">
        <f>CALCULATIONS!V291*$I$2</f>
        <v>1760.416667</v>
      </c>
      <c r="L291" s="40" t="str">
        <f>CONCATENATE(CALCULATIONS!Y291,CALCULATIONS!T291)</f>
        <v>per S.M.</v>
      </c>
      <c r="M291" s="39">
        <f>CALCULATIONS!W291*$I$2</f>
        <v>1408.333333</v>
      </c>
      <c r="N291" s="41" t="str">
        <f>CONCATENATE(CALCULATIONS!Y291,CALCULATIONS!T291)</f>
        <v>per S.M.</v>
      </c>
    </row>
    <row r="292" ht="12.75" customHeight="1">
      <c r="B292" s="44" t="s">
        <v>285</v>
      </c>
      <c r="C292" s="35">
        <f>IFERROR(1/CALCULATIONS!U292,0)</f>
        <v>0</v>
      </c>
      <c r="D292" s="36" t="str">
        <f>CONCATENATE(CALCULATIONS!T292,CALCULATIONS!X292)</f>
        <v/>
      </c>
      <c r="E292" s="35">
        <f>IFERROR(1/CALCULATIONS!V292,0)</f>
        <v>0</v>
      </c>
      <c r="F292" s="37" t="str">
        <f>CONCATENATE(CALCULATIONS!T292,CALCULATIONS!X292)</f>
        <v/>
      </c>
      <c r="G292" s="38">
        <f>IFERROR(1/CALCULATIONS!W292,0)</f>
        <v>0</v>
      </c>
      <c r="H292" s="36" t="str">
        <f>CONCATENATE(CALCULATIONS!T292,CALCULATIONS!X292)</f>
        <v/>
      </c>
      <c r="I292" s="39">
        <f>CALCULATIONS!U292*$I$2</f>
        <v>0</v>
      </c>
      <c r="J292" s="40" t="str">
        <f>CONCATENATE(CALCULATIONS!Y292,CALCULATIONS!T292)</f>
        <v/>
      </c>
      <c r="K292" s="39">
        <f>CALCULATIONS!V292*$I$2</f>
        <v>0</v>
      </c>
      <c r="L292" s="40" t="str">
        <f>CONCATENATE(CALCULATIONS!Y292,CALCULATIONS!T292)</f>
        <v/>
      </c>
      <c r="M292" s="39">
        <f>CALCULATIONS!W292*$I$2</f>
        <v>0</v>
      </c>
      <c r="N292" s="41" t="str">
        <f>CONCATENATE(CALCULATIONS!Y292,CALCULATIONS!T292)</f>
        <v/>
      </c>
    </row>
    <row r="293" ht="12.75" customHeight="1">
      <c r="B293" s="44" t="s">
        <v>286</v>
      </c>
      <c r="C293" s="35">
        <f>IFERROR(1/CALCULATIONS!U293,0)</f>
        <v>0.125</v>
      </c>
      <c r="D293" s="36" t="str">
        <f>CONCATENATE(CALCULATIONS!T293,CALCULATIONS!X293)</f>
        <v>FLG.per hour</v>
      </c>
      <c r="E293" s="35">
        <f>IFERROR(1/CALCULATIONS!V293,0)</f>
        <v>0.25</v>
      </c>
      <c r="F293" s="37" t="str">
        <f>CONCATENATE(CALCULATIONS!T293,CALCULATIONS!X293)</f>
        <v>FLG.per hour</v>
      </c>
      <c r="G293" s="38">
        <f>IFERROR(1/CALCULATIONS!W293,0)</f>
        <v>0.3125</v>
      </c>
      <c r="H293" s="36" t="str">
        <f>CONCATENATE(CALCULATIONS!T293,CALCULATIONS!X293)</f>
        <v>FLG.per hour</v>
      </c>
      <c r="I293" s="39">
        <f>CALCULATIONS!U293*$I$2</f>
        <v>469.4444444</v>
      </c>
      <c r="J293" s="40" t="str">
        <f>CONCATENATE(CALCULATIONS!Y293,CALCULATIONS!T293)</f>
        <v>per FLG.</v>
      </c>
      <c r="K293" s="39">
        <f>CALCULATIONS!V293*$I$2</f>
        <v>234.7222222</v>
      </c>
      <c r="L293" s="40" t="str">
        <f>CONCATENATE(CALCULATIONS!Y293,CALCULATIONS!T293)</f>
        <v>per FLG.</v>
      </c>
      <c r="M293" s="39">
        <f>CALCULATIONS!W293*$I$2</f>
        <v>187.7777778</v>
      </c>
      <c r="N293" s="41" t="str">
        <f>CONCATENATE(CALCULATIONS!Y293,CALCULATIONS!T293)</f>
        <v>per FLG.</v>
      </c>
    </row>
    <row r="294" ht="12.75" customHeight="1">
      <c r="B294" s="44" t="s">
        <v>287</v>
      </c>
      <c r="C294" s="35">
        <f>IFERROR(1/CALCULATIONS!U294,0)</f>
        <v>0.625</v>
      </c>
      <c r="D294" s="36" t="str">
        <f>CONCATENATE(CALCULATIONS!T294,CALCULATIONS!X294)</f>
        <v>S.M.per hour</v>
      </c>
      <c r="E294" s="35">
        <f>IFERROR(1/CALCULATIONS!V294,0)</f>
        <v>1.25</v>
      </c>
      <c r="F294" s="37" t="str">
        <f>CONCATENATE(CALCULATIONS!T294,CALCULATIONS!X294)</f>
        <v>S.M.per hour</v>
      </c>
      <c r="G294" s="38">
        <f>IFERROR(1/CALCULATIONS!W294,0)</f>
        <v>1.5625</v>
      </c>
      <c r="H294" s="36" t="str">
        <f>CONCATENATE(CALCULATIONS!T294,CALCULATIONS!X294)</f>
        <v>S.M.per hour</v>
      </c>
      <c r="I294" s="39">
        <f>CALCULATIONS!U294*$I$2</f>
        <v>93.88888889</v>
      </c>
      <c r="J294" s="40" t="str">
        <f>CONCATENATE(CALCULATIONS!Y294,CALCULATIONS!T294)</f>
        <v>per S.M.</v>
      </c>
      <c r="K294" s="39">
        <f>CALCULATIONS!V294*$I$2</f>
        <v>46.94444444</v>
      </c>
      <c r="L294" s="40" t="str">
        <f>CONCATENATE(CALCULATIONS!Y294,CALCULATIONS!T294)</f>
        <v>per S.M.</v>
      </c>
      <c r="M294" s="39">
        <f>CALCULATIONS!W294*$I$2</f>
        <v>37.55555556</v>
      </c>
      <c r="N294" s="41" t="str">
        <f>CONCATENATE(CALCULATIONS!Y294,CALCULATIONS!T294)</f>
        <v>per S.M.</v>
      </c>
    </row>
    <row r="295" ht="12.75" customHeight="1">
      <c r="B295" s="44" t="s">
        <v>280</v>
      </c>
      <c r="C295" s="35">
        <f>IFERROR(1/CALCULATIONS!U295,0)</f>
        <v>0.1851851852</v>
      </c>
      <c r="D295" s="36" t="str">
        <f>CONCATENATE(CALCULATIONS!T295,CALCULATIONS!X295)</f>
        <v>L.M.per hour</v>
      </c>
      <c r="E295" s="35">
        <f>IFERROR(1/CALCULATIONS!V295,0)</f>
        <v>0.3703703704</v>
      </c>
      <c r="F295" s="37" t="str">
        <f>CONCATENATE(CALCULATIONS!T295,CALCULATIONS!X295)</f>
        <v>L.M.per hour</v>
      </c>
      <c r="G295" s="38">
        <f>IFERROR(1/CALCULATIONS!W295,0)</f>
        <v>0.462962963</v>
      </c>
      <c r="H295" s="36" t="str">
        <f>CONCATENATE(CALCULATIONS!T295,CALCULATIONS!X295)</f>
        <v>L.M.per hour</v>
      </c>
      <c r="I295" s="39">
        <f>CALCULATIONS!U295*$I$2</f>
        <v>316.875</v>
      </c>
      <c r="J295" s="40" t="str">
        <f>CONCATENATE(CALCULATIONS!Y295,CALCULATIONS!T295)</f>
        <v>per L.M.</v>
      </c>
      <c r="K295" s="39">
        <f>CALCULATIONS!V295*$I$2</f>
        <v>158.4375</v>
      </c>
      <c r="L295" s="40" t="str">
        <f>CONCATENATE(CALCULATIONS!Y295,CALCULATIONS!T295)</f>
        <v>per L.M.</v>
      </c>
      <c r="M295" s="39">
        <f>CALCULATIONS!W295*$I$2</f>
        <v>126.75</v>
      </c>
      <c r="N295" s="41" t="str">
        <f>CONCATENATE(CALCULATIONS!Y295,CALCULATIONS!T295)</f>
        <v>per L.M.</v>
      </c>
    </row>
    <row r="296" ht="12.75" customHeight="1">
      <c r="B296" s="44" t="s">
        <v>288</v>
      </c>
      <c r="C296" s="35">
        <f>IFERROR(1/CALCULATIONS!U296,0)</f>
        <v>0.3333333333</v>
      </c>
      <c r="D296" s="36" t="str">
        <f>CONCATENATE(CALCULATIONS!T296,CALCULATIONS!X296)</f>
        <v>EACHper hour</v>
      </c>
      <c r="E296" s="35">
        <f>IFERROR(1/CALCULATIONS!V296,0)</f>
        <v>0.6666666667</v>
      </c>
      <c r="F296" s="37" t="str">
        <f>CONCATENATE(CALCULATIONS!T296,CALCULATIONS!X296)</f>
        <v>EACHper hour</v>
      </c>
      <c r="G296" s="38">
        <f>IFERROR(1/CALCULATIONS!W296,0)</f>
        <v>0.8333333333</v>
      </c>
      <c r="H296" s="36" t="str">
        <f>CONCATENATE(CALCULATIONS!T296,CALCULATIONS!X296)</f>
        <v>EACHper hour</v>
      </c>
      <c r="I296" s="39">
        <f>CALCULATIONS!U296*$I$2</f>
        <v>176.0416667</v>
      </c>
      <c r="J296" s="40" t="str">
        <f>CONCATENATE(CALCULATIONS!Y296,CALCULATIONS!T296)</f>
        <v>per EACH</v>
      </c>
      <c r="K296" s="39">
        <f>CALCULATIONS!V296*$I$2</f>
        <v>88.02083333</v>
      </c>
      <c r="L296" s="40" t="str">
        <f>CONCATENATE(CALCULATIONS!Y296,CALCULATIONS!T296)</f>
        <v>per EACH</v>
      </c>
      <c r="M296" s="39">
        <f>CALCULATIONS!W296*$I$2</f>
        <v>70.41666667</v>
      </c>
      <c r="N296" s="41" t="str">
        <f>CONCATENATE(CALCULATIONS!Y296,CALCULATIONS!T296)</f>
        <v>per EACH</v>
      </c>
    </row>
    <row r="297" ht="12.75" customHeight="1">
      <c r="B297" s="44" t="s">
        <v>289</v>
      </c>
      <c r="C297" s="35">
        <f>IFERROR(1/CALCULATIONS!U297,0)</f>
        <v>0.0625</v>
      </c>
      <c r="D297" s="36" t="str">
        <f>CONCATENATE(CALCULATIONS!T297,CALCULATIONS!X297)</f>
        <v>EACHper hour</v>
      </c>
      <c r="E297" s="35">
        <f>IFERROR(1/CALCULATIONS!V297,0)</f>
        <v>0.125</v>
      </c>
      <c r="F297" s="37" t="str">
        <f>CONCATENATE(CALCULATIONS!T297,CALCULATIONS!X297)</f>
        <v>EACHper hour</v>
      </c>
      <c r="G297" s="38">
        <f>IFERROR(1/CALCULATIONS!W297,0)</f>
        <v>0.15625</v>
      </c>
      <c r="H297" s="36" t="str">
        <f>CONCATENATE(CALCULATIONS!T297,CALCULATIONS!X297)</f>
        <v>EACHper hour</v>
      </c>
      <c r="I297" s="39">
        <f>CALCULATIONS!U297*$I$2</f>
        <v>938.8888889</v>
      </c>
      <c r="J297" s="40" t="str">
        <f>CONCATENATE(CALCULATIONS!Y297,CALCULATIONS!T297)</f>
        <v>per EACH</v>
      </c>
      <c r="K297" s="39">
        <f>CALCULATIONS!V297*$I$2</f>
        <v>469.4444444</v>
      </c>
      <c r="L297" s="40" t="str">
        <f>CONCATENATE(CALCULATIONS!Y297,CALCULATIONS!T297)</f>
        <v>per EACH</v>
      </c>
      <c r="M297" s="39">
        <f>CALCULATIONS!W297*$I$2</f>
        <v>375.5555556</v>
      </c>
      <c r="N297" s="41" t="str">
        <f>CONCATENATE(CALCULATIONS!Y297,CALCULATIONS!T297)</f>
        <v>per EACH</v>
      </c>
    </row>
    <row r="298" ht="12.75" customHeight="1">
      <c r="B298" s="44" t="s">
        <v>290</v>
      </c>
      <c r="C298" s="35">
        <f>IFERROR(1/CALCULATIONS!U298,0)</f>
        <v>0.08333333333</v>
      </c>
      <c r="D298" s="36" t="str">
        <f>CONCATENATE(CALCULATIONS!T298,CALCULATIONS!X298)</f>
        <v>EACHper hour</v>
      </c>
      <c r="E298" s="35">
        <f>IFERROR(1/CALCULATIONS!V298,0)</f>
        <v>0.1666666667</v>
      </c>
      <c r="F298" s="37" t="str">
        <f>CONCATENATE(CALCULATIONS!T298,CALCULATIONS!X298)</f>
        <v>EACHper hour</v>
      </c>
      <c r="G298" s="38">
        <f>IFERROR(1/CALCULATIONS!W298,0)</f>
        <v>0.2083333333</v>
      </c>
      <c r="H298" s="36" t="str">
        <f>CONCATENATE(CALCULATIONS!T298,CALCULATIONS!X298)</f>
        <v>EACHper hour</v>
      </c>
      <c r="I298" s="39">
        <f>CALCULATIONS!U298*$I$2</f>
        <v>704.1666667</v>
      </c>
      <c r="J298" s="40" t="str">
        <f>CONCATENATE(CALCULATIONS!Y298,CALCULATIONS!T298)</f>
        <v>per EACH</v>
      </c>
      <c r="K298" s="39">
        <f>CALCULATIONS!V298*$I$2</f>
        <v>352.0833333</v>
      </c>
      <c r="L298" s="40" t="str">
        <f>CONCATENATE(CALCULATIONS!Y298,CALCULATIONS!T298)</f>
        <v>per EACH</v>
      </c>
      <c r="M298" s="39">
        <f>CALCULATIONS!W298*$I$2</f>
        <v>281.6666667</v>
      </c>
      <c r="N298" s="41" t="str">
        <f>CONCATENATE(CALCULATIONS!Y298,CALCULATIONS!T298)</f>
        <v>per EACH</v>
      </c>
    </row>
    <row r="299" ht="12.75" customHeight="1">
      <c r="B299" s="44" t="s">
        <v>291</v>
      </c>
      <c r="C299" s="35">
        <f>IFERROR(1/CALCULATIONS!U299,0)</f>
        <v>0.125</v>
      </c>
      <c r="D299" s="36" t="str">
        <f>CONCATENATE(CALCULATIONS!T299,CALCULATIONS!X299)</f>
        <v>EACHper hour</v>
      </c>
      <c r="E299" s="35">
        <f>IFERROR(1/CALCULATIONS!V299,0)</f>
        <v>0.25</v>
      </c>
      <c r="F299" s="37" t="str">
        <f>CONCATENATE(CALCULATIONS!T299,CALCULATIONS!X299)</f>
        <v>EACHper hour</v>
      </c>
      <c r="G299" s="38">
        <f>IFERROR(1/CALCULATIONS!W299,0)</f>
        <v>0.3125</v>
      </c>
      <c r="H299" s="36" t="str">
        <f>CONCATENATE(CALCULATIONS!T299,CALCULATIONS!X299)</f>
        <v>EACHper hour</v>
      </c>
      <c r="I299" s="39">
        <f>CALCULATIONS!U299*$I$2</f>
        <v>469.4444444</v>
      </c>
      <c r="J299" s="40" t="str">
        <f>CONCATENATE(CALCULATIONS!Y299,CALCULATIONS!T299)</f>
        <v>per EACH</v>
      </c>
      <c r="K299" s="39">
        <f>CALCULATIONS!V299*$I$2</f>
        <v>234.7222222</v>
      </c>
      <c r="L299" s="40" t="str">
        <f>CONCATENATE(CALCULATIONS!Y299,CALCULATIONS!T299)</f>
        <v>per EACH</v>
      </c>
      <c r="M299" s="39">
        <f>CALCULATIONS!W299*$I$2</f>
        <v>187.7777778</v>
      </c>
      <c r="N299" s="41" t="str">
        <f>CONCATENATE(CALCULATIONS!Y299,CALCULATIONS!T299)</f>
        <v>per EACH</v>
      </c>
    </row>
    <row r="300" ht="12.75" customHeight="1">
      <c r="B300" s="44" t="s">
        <v>292</v>
      </c>
      <c r="C300" s="35">
        <f>IFERROR(1/CALCULATIONS!U300,0)</f>
        <v>0.1351351351</v>
      </c>
      <c r="D300" s="36" t="str">
        <f>CONCATENATE(CALCULATIONS!T300,CALCULATIONS!X300)</f>
        <v>L.M.per hour</v>
      </c>
      <c r="E300" s="35">
        <f>IFERROR(1/CALCULATIONS!V300,0)</f>
        <v>0.2702702703</v>
      </c>
      <c r="F300" s="37" t="str">
        <f>CONCATENATE(CALCULATIONS!T300,CALCULATIONS!X300)</f>
        <v>L.M.per hour</v>
      </c>
      <c r="G300" s="38">
        <f>IFERROR(1/CALCULATIONS!W300,0)</f>
        <v>0.3378378378</v>
      </c>
      <c r="H300" s="36" t="str">
        <f>CONCATENATE(CALCULATIONS!T300,CALCULATIONS!X300)</f>
        <v>L.M.per hour</v>
      </c>
      <c r="I300" s="39">
        <f>CALCULATIONS!U300*$I$2</f>
        <v>434.2361111</v>
      </c>
      <c r="J300" s="40" t="str">
        <f>CONCATENATE(CALCULATIONS!Y300,CALCULATIONS!T300)</f>
        <v>per L.M.</v>
      </c>
      <c r="K300" s="39">
        <f>CALCULATIONS!V300*$I$2</f>
        <v>217.1180556</v>
      </c>
      <c r="L300" s="40" t="str">
        <f>CONCATENATE(CALCULATIONS!Y300,CALCULATIONS!T300)</f>
        <v>per L.M.</v>
      </c>
      <c r="M300" s="39">
        <f>CALCULATIONS!W300*$I$2</f>
        <v>173.6944444</v>
      </c>
      <c r="N300" s="41" t="str">
        <f>CONCATENATE(CALCULATIONS!Y300,CALCULATIONS!T300)</f>
        <v>per L.M.</v>
      </c>
    </row>
    <row r="301" ht="12.75" customHeight="1">
      <c r="B301" s="44" t="s">
        <v>293</v>
      </c>
      <c r="C301" s="35">
        <f>IFERROR(1/CALCULATIONS!U301,0)</f>
        <v>0.3333333333</v>
      </c>
      <c r="D301" s="36" t="str">
        <f>CONCATENATE(CALCULATIONS!T301,CALCULATIONS!X301)</f>
        <v>L.M.per hour</v>
      </c>
      <c r="E301" s="35">
        <f>IFERROR(1/CALCULATIONS!V301,0)</f>
        <v>0.6666666667</v>
      </c>
      <c r="F301" s="37" t="str">
        <f>CONCATENATE(CALCULATIONS!T301,CALCULATIONS!X301)</f>
        <v>L.M.per hour</v>
      </c>
      <c r="G301" s="38">
        <f>IFERROR(1/CALCULATIONS!W301,0)</f>
        <v>0.8333333333</v>
      </c>
      <c r="H301" s="36" t="str">
        <f>CONCATENATE(CALCULATIONS!T301,CALCULATIONS!X301)</f>
        <v>L.M.per hour</v>
      </c>
      <c r="I301" s="39">
        <f>CALCULATIONS!U301*$I$2</f>
        <v>176.0416667</v>
      </c>
      <c r="J301" s="40" t="str">
        <f>CONCATENATE(CALCULATIONS!Y301,CALCULATIONS!T301)</f>
        <v>per L.M.</v>
      </c>
      <c r="K301" s="39">
        <f>CALCULATIONS!V301*$I$2</f>
        <v>88.02083333</v>
      </c>
      <c r="L301" s="40" t="str">
        <f>CONCATENATE(CALCULATIONS!Y301,CALCULATIONS!T301)</f>
        <v>per L.M.</v>
      </c>
      <c r="M301" s="39">
        <f>CALCULATIONS!W301*$I$2</f>
        <v>70.41666667</v>
      </c>
      <c r="N301" s="41" t="str">
        <f>CONCATENATE(CALCULATIONS!Y301,CALCULATIONS!T301)</f>
        <v>per L.M.</v>
      </c>
    </row>
    <row r="302" ht="12.75" customHeight="1">
      <c r="C302" s="35">
        <f>IFERROR(1/CALCULATIONS!U302,0)</f>
        <v>0</v>
      </c>
      <c r="D302" s="36" t="str">
        <f>CONCATENATE(CALCULATIONS!T302,CALCULATIONS!X302)</f>
        <v/>
      </c>
      <c r="E302" s="35">
        <f>IFERROR(1/CALCULATIONS!V302,0)</f>
        <v>0</v>
      </c>
      <c r="F302" s="37" t="str">
        <f>CONCATENATE(CALCULATIONS!T302,CALCULATIONS!X302)</f>
        <v/>
      </c>
      <c r="G302" s="38">
        <f>IFERROR(1/CALCULATIONS!W302,0)</f>
        <v>0</v>
      </c>
      <c r="H302" s="36" t="str">
        <f>CONCATENATE(CALCULATIONS!T302,CALCULATIONS!X302)</f>
        <v/>
      </c>
      <c r="I302" s="39">
        <f>CALCULATIONS!U302*$I$2</f>
        <v>0</v>
      </c>
      <c r="J302" s="40" t="str">
        <f>CONCATENATE(CALCULATIONS!Y302,CALCULATIONS!T302)</f>
        <v/>
      </c>
      <c r="K302" s="39">
        <f>CALCULATIONS!V302*$I$2</f>
        <v>0</v>
      </c>
      <c r="L302" s="40" t="str">
        <f>CONCATENATE(CALCULATIONS!Y302,CALCULATIONS!T302)</f>
        <v/>
      </c>
      <c r="M302" s="39">
        <f>CALCULATIONS!W302*$I$2</f>
        <v>0</v>
      </c>
      <c r="N302" s="41" t="str">
        <f>CONCATENATE(CALCULATIONS!Y302,CALCULATIONS!T302)</f>
        <v/>
      </c>
    </row>
    <row r="303" ht="12.75" customHeight="1">
      <c r="A303" s="45" t="s">
        <v>294</v>
      </c>
      <c r="B303" s="52" t="s">
        <v>295</v>
      </c>
      <c r="C303" s="35">
        <f>IFERROR(1/CALCULATIONS!U303,0)</f>
        <v>0</v>
      </c>
      <c r="D303" s="36" t="str">
        <f>CONCATENATE(CALCULATIONS!T303,CALCULATIONS!X303)</f>
        <v/>
      </c>
      <c r="E303" s="35">
        <f>IFERROR(1/CALCULATIONS!V303,0)</f>
        <v>0</v>
      </c>
      <c r="F303" s="37" t="str">
        <f>CONCATENATE(CALCULATIONS!T303,CALCULATIONS!X303)</f>
        <v/>
      </c>
      <c r="G303" s="38">
        <f>IFERROR(1/CALCULATIONS!W303,0)</f>
        <v>0</v>
      </c>
      <c r="H303" s="36" t="str">
        <f>CONCATENATE(CALCULATIONS!T303,CALCULATIONS!X303)</f>
        <v/>
      </c>
      <c r="I303" s="39">
        <f>CALCULATIONS!U303*$I$2</f>
        <v>0</v>
      </c>
      <c r="J303" s="40" t="str">
        <f>CONCATENATE(CALCULATIONS!Y303,CALCULATIONS!T303)</f>
        <v/>
      </c>
      <c r="K303" s="39">
        <f>CALCULATIONS!V303*$I$2</f>
        <v>0</v>
      </c>
      <c r="L303" s="40" t="str">
        <f>CONCATENATE(CALCULATIONS!Y303,CALCULATIONS!T303)</f>
        <v/>
      </c>
      <c r="M303" s="39">
        <f>CALCULATIONS!W303*$I$2</f>
        <v>0</v>
      </c>
      <c r="N303" s="41" t="str">
        <f>CONCATENATE(CALCULATIONS!Y303,CALCULATIONS!T303)</f>
        <v/>
      </c>
    </row>
    <row r="304" ht="12.75" customHeight="1">
      <c r="B304" s="44" t="s">
        <v>296</v>
      </c>
      <c r="C304" s="35">
        <f>IFERROR(1/CALCULATIONS!U304,0)</f>
        <v>1</v>
      </c>
      <c r="D304" s="36" t="str">
        <f>CONCATENATE(CALCULATIONS!T304,CALCULATIONS!X304)</f>
        <v>EACHper hour</v>
      </c>
      <c r="E304" s="35">
        <f>IFERROR(1/CALCULATIONS!V304,0)</f>
        <v>2</v>
      </c>
      <c r="F304" s="37" t="str">
        <f>CONCATENATE(CALCULATIONS!T304,CALCULATIONS!X304)</f>
        <v>EACHper hour</v>
      </c>
      <c r="G304" s="38">
        <f>IFERROR(1/CALCULATIONS!W304,0)</f>
        <v>2.5</v>
      </c>
      <c r="H304" s="36" t="str">
        <f>CONCATENATE(CALCULATIONS!T304,CALCULATIONS!X304)</f>
        <v>EACHper hour</v>
      </c>
      <c r="I304" s="39">
        <f>CALCULATIONS!U304*$I$2</f>
        <v>58.68055556</v>
      </c>
      <c r="J304" s="40" t="str">
        <f>CONCATENATE(CALCULATIONS!Y304,CALCULATIONS!T304)</f>
        <v>per EACH</v>
      </c>
      <c r="K304" s="39">
        <f>CALCULATIONS!V304*$I$2</f>
        <v>29.34027778</v>
      </c>
      <c r="L304" s="40" t="str">
        <f>CONCATENATE(CALCULATIONS!Y304,CALCULATIONS!T304)</f>
        <v>per EACH</v>
      </c>
      <c r="M304" s="39">
        <f>CALCULATIONS!W304*$I$2</f>
        <v>23.47222222</v>
      </c>
      <c r="N304" s="41" t="str">
        <f>CONCATENATE(CALCULATIONS!Y304,CALCULATIONS!T304)</f>
        <v>per EACH</v>
      </c>
    </row>
    <row r="305" ht="12.75" customHeight="1">
      <c r="B305" s="44" t="s">
        <v>297</v>
      </c>
      <c r="C305" s="35">
        <f>IFERROR(1/CALCULATIONS!U305,0)</f>
        <v>0.4166666667</v>
      </c>
      <c r="D305" s="36" t="str">
        <f>CONCATENATE(CALCULATIONS!T305,CALCULATIONS!X305)</f>
        <v>S.M.per hour</v>
      </c>
      <c r="E305" s="35">
        <f>IFERROR(1/CALCULATIONS!V305,0)</f>
        <v>0.8333333333</v>
      </c>
      <c r="F305" s="37" t="str">
        <f>CONCATENATE(CALCULATIONS!T305,CALCULATIONS!X305)</f>
        <v>S.M.per hour</v>
      </c>
      <c r="G305" s="38">
        <f>IFERROR(1/CALCULATIONS!W305,0)</f>
        <v>1.041666667</v>
      </c>
      <c r="H305" s="36" t="str">
        <f>CONCATENATE(CALCULATIONS!T305,CALCULATIONS!X305)</f>
        <v>S.M.per hour</v>
      </c>
      <c r="I305" s="39">
        <f>CALCULATIONS!U305*$I$2</f>
        <v>140.8333333</v>
      </c>
      <c r="J305" s="40" t="str">
        <f>CONCATENATE(CALCULATIONS!Y305,CALCULATIONS!T305)</f>
        <v>per S.M.</v>
      </c>
      <c r="K305" s="39">
        <f>CALCULATIONS!V305*$I$2</f>
        <v>70.41666667</v>
      </c>
      <c r="L305" s="40" t="str">
        <f>CONCATENATE(CALCULATIONS!Y305,CALCULATIONS!T305)</f>
        <v>per S.M.</v>
      </c>
      <c r="M305" s="39">
        <f>CALCULATIONS!W305*$I$2</f>
        <v>56.33333333</v>
      </c>
      <c r="N305" s="41" t="str">
        <f>CONCATENATE(CALCULATIONS!Y305,CALCULATIONS!T305)</f>
        <v>per S.M.</v>
      </c>
    </row>
    <row r="306" ht="12.75" customHeight="1">
      <c r="B306" s="44" t="s">
        <v>298</v>
      </c>
      <c r="C306" s="35">
        <f>IFERROR(1/CALCULATIONS!U306,0)</f>
        <v>0</v>
      </c>
      <c r="D306" s="36" t="str">
        <f>CONCATENATE(CALCULATIONS!T306,CALCULATIONS!X306)</f>
        <v/>
      </c>
      <c r="E306" s="35">
        <f>IFERROR(1/CALCULATIONS!V306,0)</f>
        <v>0</v>
      </c>
      <c r="F306" s="37" t="str">
        <f>CONCATENATE(CALCULATIONS!T306,CALCULATIONS!X306)</f>
        <v/>
      </c>
      <c r="G306" s="38">
        <f>IFERROR(1/CALCULATIONS!W306,0)</f>
        <v>0</v>
      </c>
      <c r="H306" s="36" t="str">
        <f>CONCATENATE(CALCULATIONS!T306,CALCULATIONS!X306)</f>
        <v/>
      </c>
      <c r="I306" s="39">
        <f>CALCULATIONS!U306*$I$2</f>
        <v>0</v>
      </c>
      <c r="J306" s="40" t="str">
        <f>CONCATENATE(CALCULATIONS!Y306,CALCULATIONS!T306)</f>
        <v/>
      </c>
      <c r="K306" s="39">
        <f>CALCULATIONS!V306*$I$2</f>
        <v>0</v>
      </c>
      <c r="L306" s="40" t="str">
        <f>CONCATENATE(CALCULATIONS!Y306,CALCULATIONS!T306)</f>
        <v/>
      </c>
      <c r="M306" s="39">
        <f>CALCULATIONS!W306*$I$2</f>
        <v>0</v>
      </c>
      <c r="N306" s="41" t="str">
        <f>CONCATENATE(CALCULATIONS!Y306,CALCULATIONS!T306)</f>
        <v/>
      </c>
    </row>
    <row r="307" ht="12.75" customHeight="1">
      <c r="B307" s="44" t="s">
        <v>299</v>
      </c>
      <c r="C307" s="35">
        <f>IFERROR(1/CALCULATIONS!U307,0)</f>
        <v>0.03571428571</v>
      </c>
      <c r="D307" s="36" t="str">
        <f>CONCATENATE(CALCULATIONS!T307,CALCULATIONS!X307)</f>
        <v>S.M.per hour</v>
      </c>
      <c r="E307" s="35">
        <f>IFERROR(1/CALCULATIONS!V307,0)</f>
        <v>0.07142857143</v>
      </c>
      <c r="F307" s="37" t="str">
        <f>CONCATENATE(CALCULATIONS!T307,CALCULATIONS!X307)</f>
        <v>S.M.per hour</v>
      </c>
      <c r="G307" s="38">
        <f>IFERROR(1/CALCULATIONS!W307,0)</f>
        <v>0.08928571429</v>
      </c>
      <c r="H307" s="36" t="str">
        <f>CONCATENATE(CALCULATIONS!T307,CALCULATIONS!X307)</f>
        <v>S.M.per hour</v>
      </c>
      <c r="I307" s="39">
        <f>CALCULATIONS!U307*$I$2</f>
        <v>1643.055556</v>
      </c>
      <c r="J307" s="40" t="str">
        <f>CONCATENATE(CALCULATIONS!Y307,CALCULATIONS!T307)</f>
        <v>per S.M.</v>
      </c>
      <c r="K307" s="39">
        <f>CALCULATIONS!V307*$I$2</f>
        <v>821.5277778</v>
      </c>
      <c r="L307" s="40" t="str">
        <f>CONCATENATE(CALCULATIONS!Y307,CALCULATIONS!T307)</f>
        <v>per S.M.</v>
      </c>
      <c r="M307" s="39">
        <f>CALCULATIONS!W307*$I$2</f>
        <v>657.2222222</v>
      </c>
      <c r="N307" s="41" t="str">
        <f>CONCATENATE(CALCULATIONS!Y307,CALCULATIONS!T307)</f>
        <v>per S.M.</v>
      </c>
    </row>
    <row r="308" ht="12.75" customHeight="1">
      <c r="B308" s="44" t="s">
        <v>300</v>
      </c>
      <c r="C308" s="35">
        <f>IFERROR(1/CALCULATIONS!U308,0)</f>
        <v>0.08333333333</v>
      </c>
      <c r="D308" s="36" t="str">
        <f>CONCATENATE(CALCULATIONS!T308,CALCULATIONS!X308)</f>
        <v>S.M.per hour</v>
      </c>
      <c r="E308" s="35">
        <f>IFERROR(1/CALCULATIONS!V308,0)</f>
        <v>0.1666666667</v>
      </c>
      <c r="F308" s="37" t="str">
        <f>CONCATENATE(CALCULATIONS!T308,CALCULATIONS!X308)</f>
        <v>S.M.per hour</v>
      </c>
      <c r="G308" s="38">
        <f>IFERROR(1/CALCULATIONS!W308,0)</f>
        <v>0.2083333333</v>
      </c>
      <c r="H308" s="36" t="str">
        <f>CONCATENATE(CALCULATIONS!T308,CALCULATIONS!X308)</f>
        <v>S.M.per hour</v>
      </c>
      <c r="I308" s="39">
        <f>CALCULATIONS!U308*$I$2</f>
        <v>704.1666667</v>
      </c>
      <c r="J308" s="40" t="str">
        <f>CONCATENATE(CALCULATIONS!Y308,CALCULATIONS!T308)</f>
        <v>per S.M.</v>
      </c>
      <c r="K308" s="39">
        <f>CALCULATIONS!V308*$I$2</f>
        <v>352.0833333</v>
      </c>
      <c r="L308" s="40" t="str">
        <f>CONCATENATE(CALCULATIONS!Y308,CALCULATIONS!T308)</f>
        <v>per S.M.</v>
      </c>
      <c r="M308" s="39">
        <f>CALCULATIONS!W308*$I$2</f>
        <v>281.6666667</v>
      </c>
      <c r="N308" s="41" t="str">
        <f>CONCATENATE(CALCULATIONS!Y308,CALCULATIONS!T308)</f>
        <v>per S.M.</v>
      </c>
    </row>
    <row r="309" ht="12.75" customHeight="1">
      <c r="B309" s="44" t="s">
        <v>301</v>
      </c>
      <c r="C309" s="35">
        <f>IFERROR(1/CALCULATIONS!U309,0)</f>
        <v>0.007142857143</v>
      </c>
      <c r="D309" s="36" t="str">
        <f>CONCATENATE(CALCULATIONS!T309,CALCULATIONS!X309)</f>
        <v>S.M.per hour</v>
      </c>
      <c r="E309" s="35">
        <f>IFERROR(1/CALCULATIONS!V309,0)</f>
        <v>0.01428571429</v>
      </c>
      <c r="F309" s="37" t="str">
        <f>CONCATENATE(CALCULATIONS!T309,CALCULATIONS!X309)</f>
        <v>S.M.per hour</v>
      </c>
      <c r="G309" s="38">
        <f>IFERROR(1/CALCULATIONS!W309,0)</f>
        <v>0.01785714286</v>
      </c>
      <c r="H309" s="36" t="str">
        <f>CONCATENATE(CALCULATIONS!T309,CALCULATIONS!X309)</f>
        <v>S.M.per hour</v>
      </c>
      <c r="I309" s="39">
        <f>CALCULATIONS!U309*$I$2</f>
        <v>8215.277778</v>
      </c>
      <c r="J309" s="40" t="str">
        <f>CONCATENATE(CALCULATIONS!Y309,CALCULATIONS!T309)</f>
        <v>per S.M.</v>
      </c>
      <c r="K309" s="39">
        <f>CALCULATIONS!V309*$I$2</f>
        <v>4107.638889</v>
      </c>
      <c r="L309" s="40" t="str">
        <f>CONCATENATE(CALCULATIONS!Y309,CALCULATIONS!T309)</f>
        <v>per S.M.</v>
      </c>
      <c r="M309" s="39">
        <f>CALCULATIONS!W309*$I$2</f>
        <v>3286.111111</v>
      </c>
      <c r="N309" s="41" t="str">
        <f>CONCATENATE(CALCULATIONS!Y309,CALCULATIONS!T309)</f>
        <v>per S.M.</v>
      </c>
    </row>
    <row r="310" ht="12.75" customHeight="1">
      <c r="B310" s="44" t="s">
        <v>302</v>
      </c>
      <c r="C310" s="35">
        <f>IFERROR(1/CALCULATIONS!U310,0)</f>
        <v>0.8333333333</v>
      </c>
      <c r="D310" s="36" t="str">
        <f>CONCATENATE(CALCULATIONS!T310,CALCULATIONS!X310)</f>
        <v>S.M.per hour</v>
      </c>
      <c r="E310" s="35">
        <f>IFERROR(1/CALCULATIONS!V310,0)</f>
        <v>1.666666667</v>
      </c>
      <c r="F310" s="37" t="str">
        <f>CONCATENATE(CALCULATIONS!T310,CALCULATIONS!X310)</f>
        <v>S.M.per hour</v>
      </c>
      <c r="G310" s="38">
        <f>IFERROR(1/CALCULATIONS!W310,0)</f>
        <v>2.083333333</v>
      </c>
      <c r="H310" s="36" t="str">
        <f>CONCATENATE(CALCULATIONS!T310,CALCULATIONS!X310)</f>
        <v>S.M.per hour</v>
      </c>
      <c r="I310" s="39">
        <f>CALCULATIONS!U310*$I$2</f>
        <v>70.41666667</v>
      </c>
      <c r="J310" s="40" t="str">
        <f>CONCATENATE(CALCULATIONS!Y310,CALCULATIONS!T310)</f>
        <v>per S.M.</v>
      </c>
      <c r="K310" s="39">
        <f>CALCULATIONS!V310*$I$2</f>
        <v>35.20833333</v>
      </c>
      <c r="L310" s="40" t="str">
        <f>CONCATENATE(CALCULATIONS!Y310,CALCULATIONS!T310)</f>
        <v>per S.M.</v>
      </c>
      <c r="M310" s="39">
        <f>CALCULATIONS!W310*$I$2</f>
        <v>28.16666667</v>
      </c>
      <c r="N310" s="41" t="str">
        <f>CONCATENATE(CALCULATIONS!Y310,CALCULATIONS!T310)</f>
        <v>per S.M.</v>
      </c>
    </row>
    <row r="311" ht="12.75" customHeight="1">
      <c r="B311" s="44" t="s">
        <v>144</v>
      </c>
      <c r="C311" s="35">
        <f>IFERROR(1/CALCULATIONS!U311,0)</f>
        <v>0.7142857143</v>
      </c>
      <c r="D311" s="36" t="str">
        <f>CONCATENATE(CALCULATIONS!T311,CALCULATIONS!X311)</f>
        <v>S.M.per hour</v>
      </c>
      <c r="E311" s="35">
        <f>IFERROR(1/CALCULATIONS!V311,0)</f>
        <v>1.428571429</v>
      </c>
      <c r="F311" s="37" t="str">
        <f>CONCATENATE(CALCULATIONS!T311,CALCULATIONS!X311)</f>
        <v>S.M.per hour</v>
      </c>
      <c r="G311" s="38">
        <f>IFERROR(1/CALCULATIONS!W311,0)</f>
        <v>1.785714286</v>
      </c>
      <c r="H311" s="36" t="str">
        <f>CONCATENATE(CALCULATIONS!T311,CALCULATIONS!X311)</f>
        <v>S.M.per hour</v>
      </c>
      <c r="I311" s="39">
        <f>CALCULATIONS!U311*$I$2</f>
        <v>82.15277778</v>
      </c>
      <c r="J311" s="40" t="str">
        <f>CONCATENATE(CALCULATIONS!Y311,CALCULATIONS!T311)</f>
        <v>per S.M.</v>
      </c>
      <c r="K311" s="39">
        <f>CALCULATIONS!V311*$I$2</f>
        <v>41.07638889</v>
      </c>
      <c r="L311" s="40" t="str">
        <f>CONCATENATE(CALCULATIONS!Y311,CALCULATIONS!T311)</f>
        <v>per S.M.</v>
      </c>
      <c r="M311" s="39">
        <f>CALCULATIONS!W311*$I$2</f>
        <v>32.86111111</v>
      </c>
      <c r="N311" s="41" t="str">
        <f>CONCATENATE(CALCULATIONS!Y311,CALCULATIONS!T311)</f>
        <v>per S.M.</v>
      </c>
    </row>
    <row r="312" ht="12.75" customHeight="1">
      <c r="B312" s="44" t="s">
        <v>303</v>
      </c>
      <c r="C312" s="35">
        <f>IFERROR(1/CALCULATIONS!U312,0)</f>
        <v>0.1851851852</v>
      </c>
      <c r="D312" s="36" t="str">
        <f>CONCATENATE(CALCULATIONS!T312,CALCULATIONS!X312)</f>
        <v>S.M.per hour</v>
      </c>
      <c r="E312" s="35">
        <f>IFERROR(1/CALCULATIONS!V312,0)</f>
        <v>0.3703703704</v>
      </c>
      <c r="F312" s="37" t="str">
        <f>CONCATENATE(CALCULATIONS!T312,CALCULATIONS!X312)</f>
        <v>S.M.per hour</v>
      </c>
      <c r="G312" s="38">
        <f>IFERROR(1/CALCULATIONS!W312,0)</f>
        <v>0.462962963</v>
      </c>
      <c r="H312" s="36" t="str">
        <f>CONCATENATE(CALCULATIONS!T312,CALCULATIONS!X312)</f>
        <v>S.M.per hour</v>
      </c>
      <c r="I312" s="39">
        <f>CALCULATIONS!U312*$I$2</f>
        <v>316.875</v>
      </c>
      <c r="J312" s="40" t="str">
        <f>CONCATENATE(CALCULATIONS!Y312,CALCULATIONS!T312)</f>
        <v>per S.M.</v>
      </c>
      <c r="K312" s="39">
        <f>CALCULATIONS!V312*$I$2</f>
        <v>158.4375</v>
      </c>
      <c r="L312" s="40" t="str">
        <f>CONCATENATE(CALCULATIONS!Y312,CALCULATIONS!T312)</f>
        <v>per S.M.</v>
      </c>
      <c r="M312" s="39">
        <f>CALCULATIONS!W312*$I$2</f>
        <v>126.75</v>
      </c>
      <c r="N312" s="41" t="str">
        <f>CONCATENATE(CALCULATIONS!Y312,CALCULATIONS!T312)</f>
        <v>per S.M.</v>
      </c>
    </row>
    <row r="313" ht="12.75" customHeight="1">
      <c r="B313" s="44" t="s">
        <v>304</v>
      </c>
      <c r="C313" s="35">
        <f>IFERROR(1/CALCULATIONS!U313,0)</f>
        <v>0</v>
      </c>
      <c r="D313" s="36" t="str">
        <f>CONCATENATE(CALCULATIONS!T313,CALCULATIONS!X313)</f>
        <v/>
      </c>
      <c r="E313" s="35">
        <f>IFERROR(1/CALCULATIONS!V313,0)</f>
        <v>0</v>
      </c>
      <c r="F313" s="37" t="str">
        <f>CONCATENATE(CALCULATIONS!T313,CALCULATIONS!X313)</f>
        <v/>
      </c>
      <c r="G313" s="38">
        <f>IFERROR(1/CALCULATIONS!W313,0)</f>
        <v>0</v>
      </c>
      <c r="H313" s="36" t="str">
        <f>CONCATENATE(CALCULATIONS!T313,CALCULATIONS!X313)</f>
        <v/>
      </c>
      <c r="I313" s="39">
        <f>CALCULATIONS!U313*$I$2</f>
        <v>0</v>
      </c>
      <c r="J313" s="40" t="str">
        <f>CONCATENATE(CALCULATIONS!Y313,CALCULATIONS!T313)</f>
        <v/>
      </c>
      <c r="K313" s="39">
        <f>CALCULATIONS!V313*$I$2</f>
        <v>0</v>
      </c>
      <c r="L313" s="40" t="str">
        <f>CONCATENATE(CALCULATIONS!Y313,CALCULATIONS!T313)</f>
        <v/>
      </c>
      <c r="M313" s="39">
        <f>CALCULATIONS!W313*$I$2</f>
        <v>0</v>
      </c>
      <c r="N313" s="41" t="str">
        <f>CONCATENATE(CALCULATIONS!Y313,CALCULATIONS!T313)</f>
        <v/>
      </c>
    </row>
    <row r="314" ht="12.75" customHeight="1">
      <c r="B314" s="44" t="s">
        <v>305</v>
      </c>
      <c r="C314" s="35">
        <f>IFERROR(1/CALCULATIONS!U314,0)</f>
        <v>0.4166666667</v>
      </c>
      <c r="D314" s="36" t="str">
        <f>CONCATENATE(CALCULATIONS!T314,CALCULATIONS!X314)</f>
        <v>S.M.per hour</v>
      </c>
      <c r="E314" s="35">
        <f>IFERROR(1/CALCULATIONS!V314,0)</f>
        <v>0.8333333333</v>
      </c>
      <c r="F314" s="37" t="str">
        <f>CONCATENATE(CALCULATIONS!T314,CALCULATIONS!X314)</f>
        <v>S.M.per hour</v>
      </c>
      <c r="G314" s="38">
        <f>IFERROR(1/CALCULATIONS!W314,0)</f>
        <v>1.041666667</v>
      </c>
      <c r="H314" s="36" t="str">
        <f>CONCATENATE(CALCULATIONS!T314,CALCULATIONS!X314)</f>
        <v>S.M.per hour</v>
      </c>
      <c r="I314" s="39">
        <f>CALCULATIONS!U314*$I$2</f>
        <v>140.8333333</v>
      </c>
      <c r="J314" s="40" t="str">
        <f>CONCATENATE(CALCULATIONS!Y314,CALCULATIONS!T314)</f>
        <v>per S.M.</v>
      </c>
      <c r="K314" s="39">
        <f>CALCULATIONS!V314*$I$2</f>
        <v>70.41666667</v>
      </c>
      <c r="L314" s="40" t="str">
        <f>CONCATENATE(CALCULATIONS!Y314,CALCULATIONS!T314)</f>
        <v>per S.M.</v>
      </c>
      <c r="M314" s="39">
        <f>CALCULATIONS!W314*$I$2</f>
        <v>56.33333333</v>
      </c>
      <c r="N314" s="41" t="str">
        <f>CONCATENATE(CALCULATIONS!Y314,CALCULATIONS!T314)</f>
        <v>per S.M.</v>
      </c>
    </row>
    <row r="315" ht="12.75" customHeight="1">
      <c r="B315" s="44" t="s">
        <v>306</v>
      </c>
      <c r="C315" s="35">
        <f>IFERROR(1/CALCULATIONS!U315,0)</f>
        <v>0.625</v>
      </c>
      <c r="D315" s="36" t="str">
        <f>CONCATENATE(CALCULATIONS!T315,CALCULATIONS!X315)</f>
        <v>PC.per hour</v>
      </c>
      <c r="E315" s="35">
        <f>IFERROR(1/CALCULATIONS!V315,0)</f>
        <v>1.25</v>
      </c>
      <c r="F315" s="37" t="str">
        <f>CONCATENATE(CALCULATIONS!T315,CALCULATIONS!X315)</f>
        <v>PC.per hour</v>
      </c>
      <c r="G315" s="38">
        <f>IFERROR(1/CALCULATIONS!W315,0)</f>
        <v>1.5625</v>
      </c>
      <c r="H315" s="36" t="str">
        <f>CONCATENATE(CALCULATIONS!T315,CALCULATIONS!X315)</f>
        <v>PC.per hour</v>
      </c>
      <c r="I315" s="39">
        <f>CALCULATIONS!U315*$I$2</f>
        <v>93.88888889</v>
      </c>
      <c r="J315" s="40" t="str">
        <f>CONCATENATE(CALCULATIONS!Y315,CALCULATIONS!T315)</f>
        <v>per PC.</v>
      </c>
      <c r="K315" s="39">
        <f>CALCULATIONS!V315*$I$2</f>
        <v>46.94444444</v>
      </c>
      <c r="L315" s="40" t="str">
        <f>CONCATENATE(CALCULATIONS!Y315,CALCULATIONS!T315)</f>
        <v>per PC.</v>
      </c>
      <c r="M315" s="39">
        <f>CALCULATIONS!W315*$I$2</f>
        <v>37.55555556</v>
      </c>
      <c r="N315" s="41" t="str">
        <f>CONCATENATE(CALCULATIONS!Y315,CALCULATIONS!T315)</f>
        <v>per PC.</v>
      </c>
    </row>
    <row r="316" ht="12.75" customHeight="1">
      <c r="B316" s="44" t="s">
        <v>307</v>
      </c>
      <c r="C316" s="35">
        <f>IFERROR(1/CALCULATIONS!U316,0)</f>
        <v>0.2</v>
      </c>
      <c r="D316" s="36" t="str">
        <f>CONCATENATE(CALCULATIONS!T316,CALCULATIONS!X316)</f>
        <v>S.M.per hour</v>
      </c>
      <c r="E316" s="35">
        <f>IFERROR(1/CALCULATIONS!V316,0)</f>
        <v>0.4</v>
      </c>
      <c r="F316" s="37" t="str">
        <f>CONCATENATE(CALCULATIONS!T316,CALCULATIONS!X316)</f>
        <v>S.M.per hour</v>
      </c>
      <c r="G316" s="38">
        <f>IFERROR(1/CALCULATIONS!W316,0)</f>
        <v>0.5</v>
      </c>
      <c r="H316" s="36" t="str">
        <f>CONCATENATE(CALCULATIONS!T316,CALCULATIONS!X316)</f>
        <v>S.M.per hour</v>
      </c>
      <c r="I316" s="39">
        <f>CALCULATIONS!U316*$I$2</f>
        <v>293.4027778</v>
      </c>
      <c r="J316" s="40" t="str">
        <f>CONCATENATE(CALCULATIONS!Y316,CALCULATIONS!T316)</f>
        <v>per S.M.</v>
      </c>
      <c r="K316" s="39">
        <f>CALCULATIONS!V316*$I$2</f>
        <v>146.7013889</v>
      </c>
      <c r="L316" s="40" t="str">
        <f>CONCATENATE(CALCULATIONS!Y316,CALCULATIONS!T316)</f>
        <v>per S.M.</v>
      </c>
      <c r="M316" s="39">
        <f>CALCULATIONS!W316*$I$2</f>
        <v>117.3611111</v>
      </c>
      <c r="N316" s="41" t="str">
        <f>CONCATENATE(CALCULATIONS!Y316,CALCULATIONS!T316)</f>
        <v>per S.M.</v>
      </c>
    </row>
    <row r="317" ht="12.75" customHeight="1">
      <c r="B317" s="44" t="s">
        <v>308</v>
      </c>
      <c r="C317" s="35">
        <f>IFERROR(1/CALCULATIONS!U317,0)</f>
        <v>0.1666666667</v>
      </c>
      <c r="D317" s="36" t="str">
        <f>CONCATENATE(CALCULATIONS!T317,CALCULATIONS!X317)</f>
        <v>S.M.per hour</v>
      </c>
      <c r="E317" s="35">
        <f>IFERROR(1/CALCULATIONS!V317,0)</f>
        <v>0.3333333333</v>
      </c>
      <c r="F317" s="37" t="str">
        <f>CONCATENATE(CALCULATIONS!T317,CALCULATIONS!X317)</f>
        <v>S.M.per hour</v>
      </c>
      <c r="G317" s="38">
        <f>IFERROR(1/CALCULATIONS!W317,0)</f>
        <v>0.4166666667</v>
      </c>
      <c r="H317" s="36" t="str">
        <f>CONCATENATE(CALCULATIONS!T317,CALCULATIONS!X317)</f>
        <v>S.M.per hour</v>
      </c>
      <c r="I317" s="39">
        <f>CALCULATIONS!U317*$I$2</f>
        <v>352.0833333</v>
      </c>
      <c r="J317" s="40" t="str">
        <f>CONCATENATE(CALCULATIONS!Y317,CALCULATIONS!T317)</f>
        <v>per S.M.</v>
      </c>
      <c r="K317" s="39">
        <f>CALCULATIONS!V317*$I$2</f>
        <v>176.0416667</v>
      </c>
      <c r="L317" s="40" t="str">
        <f>CONCATENATE(CALCULATIONS!Y317,CALCULATIONS!T317)</f>
        <v>per S.M.</v>
      </c>
      <c r="M317" s="39">
        <f>CALCULATIONS!W317*$I$2</f>
        <v>140.8333333</v>
      </c>
      <c r="N317" s="41" t="str">
        <f>CONCATENATE(CALCULATIONS!Y317,CALCULATIONS!T317)</f>
        <v>per S.M.</v>
      </c>
    </row>
    <row r="318" ht="12.75" customHeight="1">
      <c r="B318" s="44" t="s">
        <v>309</v>
      </c>
      <c r="C318" s="35">
        <f>IFERROR(1/CALCULATIONS!U318,0)</f>
        <v>0</v>
      </c>
      <c r="D318" s="36" t="str">
        <f>CONCATENATE(CALCULATIONS!T318,CALCULATIONS!X318)</f>
        <v/>
      </c>
      <c r="E318" s="35">
        <f>IFERROR(1/CALCULATIONS!V318,0)</f>
        <v>0</v>
      </c>
      <c r="F318" s="37" t="str">
        <f>CONCATENATE(CALCULATIONS!T318,CALCULATIONS!X318)</f>
        <v/>
      </c>
      <c r="G318" s="38">
        <f>IFERROR(1/CALCULATIONS!W318,0)</f>
        <v>0</v>
      </c>
      <c r="H318" s="36" t="str">
        <f>CONCATENATE(CALCULATIONS!T318,CALCULATIONS!X318)</f>
        <v/>
      </c>
      <c r="I318" s="39">
        <f>CALCULATIONS!U318*$I$2</f>
        <v>0</v>
      </c>
      <c r="J318" s="40" t="str">
        <f>CONCATENATE(CALCULATIONS!Y318,CALCULATIONS!T318)</f>
        <v/>
      </c>
      <c r="K318" s="39">
        <f>CALCULATIONS!V318*$I$2</f>
        <v>0</v>
      </c>
      <c r="L318" s="40" t="str">
        <f>CONCATENATE(CALCULATIONS!Y318,CALCULATIONS!T318)</f>
        <v/>
      </c>
      <c r="M318" s="39">
        <f>CALCULATIONS!W318*$I$2</f>
        <v>0</v>
      </c>
      <c r="N318" s="41" t="str">
        <f>CONCATENATE(CALCULATIONS!Y318,CALCULATIONS!T318)</f>
        <v/>
      </c>
    </row>
    <row r="319" ht="12.75" customHeight="1">
      <c r="B319" s="44" t="s">
        <v>310</v>
      </c>
      <c r="C319" s="35">
        <f>IFERROR(1/CALCULATIONS!U319,0)</f>
        <v>0</v>
      </c>
      <c r="D319" s="36" t="str">
        <f>CONCATENATE(CALCULATIONS!T319,CALCULATIONS!X319)</f>
        <v/>
      </c>
      <c r="E319" s="35">
        <f>IFERROR(1/CALCULATIONS!V319,0)</f>
        <v>0</v>
      </c>
      <c r="F319" s="37" t="str">
        <f>CONCATENATE(CALCULATIONS!T319,CALCULATIONS!X319)</f>
        <v/>
      </c>
      <c r="G319" s="38">
        <f>IFERROR(1/CALCULATIONS!W319,0)</f>
        <v>0</v>
      </c>
      <c r="H319" s="36" t="str">
        <f>CONCATENATE(CALCULATIONS!T319,CALCULATIONS!X319)</f>
        <v/>
      </c>
      <c r="I319" s="39">
        <f>CALCULATIONS!U319*$I$2</f>
        <v>0</v>
      </c>
      <c r="J319" s="40" t="str">
        <f>CONCATENATE(CALCULATIONS!Y319,CALCULATIONS!T319)</f>
        <v/>
      </c>
      <c r="K319" s="39">
        <f>CALCULATIONS!V319*$I$2</f>
        <v>0</v>
      </c>
      <c r="L319" s="40" t="str">
        <f>CONCATENATE(CALCULATIONS!Y319,CALCULATIONS!T319)</f>
        <v/>
      </c>
      <c r="M319" s="39">
        <f>CALCULATIONS!W319*$I$2</f>
        <v>0</v>
      </c>
      <c r="N319" s="41" t="str">
        <f>CONCATENATE(CALCULATIONS!Y319,CALCULATIONS!T319)</f>
        <v/>
      </c>
    </row>
    <row r="320" ht="12.75" customHeight="1">
      <c r="B320" s="44" t="s">
        <v>311</v>
      </c>
      <c r="C320" s="35">
        <f>IFERROR(1/CALCULATIONS!U320,0)</f>
        <v>0.1</v>
      </c>
      <c r="D320" s="36" t="str">
        <f>CONCATENATE(CALCULATIONS!T320,CALCULATIONS!X320)</f>
        <v>EACHper hour</v>
      </c>
      <c r="E320" s="35">
        <f>IFERROR(1/CALCULATIONS!V320,0)</f>
        <v>0.2</v>
      </c>
      <c r="F320" s="37" t="str">
        <f>CONCATENATE(CALCULATIONS!T320,CALCULATIONS!X320)</f>
        <v>EACHper hour</v>
      </c>
      <c r="G320" s="38">
        <f>IFERROR(1/CALCULATIONS!W320,0)</f>
        <v>0.25</v>
      </c>
      <c r="H320" s="36" t="str">
        <f>CONCATENATE(CALCULATIONS!T320,CALCULATIONS!X320)</f>
        <v>EACHper hour</v>
      </c>
      <c r="I320" s="39">
        <f>CALCULATIONS!U320*$I$2</f>
        <v>586.8055556</v>
      </c>
      <c r="J320" s="40" t="str">
        <f>CONCATENATE(CALCULATIONS!Y320,CALCULATIONS!T320)</f>
        <v>per EACH</v>
      </c>
      <c r="K320" s="39">
        <f>CALCULATIONS!V320*$I$2</f>
        <v>293.4027778</v>
      </c>
      <c r="L320" s="40" t="str">
        <f>CONCATENATE(CALCULATIONS!Y320,CALCULATIONS!T320)</f>
        <v>per EACH</v>
      </c>
      <c r="M320" s="39">
        <f>CALCULATIONS!W320*$I$2</f>
        <v>234.7222222</v>
      </c>
      <c r="N320" s="41" t="str">
        <f>CONCATENATE(CALCULATIONS!Y320,CALCULATIONS!T320)</f>
        <v>per EACH</v>
      </c>
    </row>
    <row r="321" ht="12.75" customHeight="1">
      <c r="B321" s="44" t="s">
        <v>312</v>
      </c>
      <c r="C321" s="35">
        <f>IFERROR(1/CALCULATIONS!U321,0)</f>
        <v>0.03333333333</v>
      </c>
      <c r="D321" s="36" t="str">
        <f>CONCATENATE(CALCULATIONS!T321,CALCULATIONS!X321)</f>
        <v>EACHper hour</v>
      </c>
      <c r="E321" s="35">
        <f>IFERROR(1/CALCULATIONS!V321,0)</f>
        <v>0.06666666667</v>
      </c>
      <c r="F321" s="37" t="str">
        <f>CONCATENATE(CALCULATIONS!T321,CALCULATIONS!X321)</f>
        <v>EACHper hour</v>
      </c>
      <c r="G321" s="38">
        <f>IFERROR(1/CALCULATIONS!W321,0)</f>
        <v>0.08333333333</v>
      </c>
      <c r="H321" s="36" t="str">
        <f>CONCATENATE(CALCULATIONS!T321,CALCULATIONS!X321)</f>
        <v>EACHper hour</v>
      </c>
      <c r="I321" s="39">
        <f>CALCULATIONS!U321*$I$2</f>
        <v>1760.416667</v>
      </c>
      <c r="J321" s="40" t="str">
        <f>CONCATENATE(CALCULATIONS!Y321,CALCULATIONS!T321)</f>
        <v>per EACH</v>
      </c>
      <c r="K321" s="39">
        <f>CALCULATIONS!V321*$I$2</f>
        <v>880.2083333</v>
      </c>
      <c r="L321" s="40" t="str">
        <f>CONCATENATE(CALCULATIONS!Y321,CALCULATIONS!T321)</f>
        <v>per EACH</v>
      </c>
      <c r="M321" s="39">
        <f>CALCULATIONS!W321*$I$2</f>
        <v>704.1666667</v>
      </c>
      <c r="N321" s="41" t="str">
        <f>CONCATENATE(CALCULATIONS!Y321,CALCULATIONS!T321)</f>
        <v>per EACH</v>
      </c>
    </row>
    <row r="322" ht="12.75" customHeight="1">
      <c r="B322" s="44" t="s">
        <v>313</v>
      </c>
      <c r="C322" s="35">
        <f>IFERROR(1/CALCULATIONS!U322,0)</f>
        <v>0.1</v>
      </c>
      <c r="D322" s="36" t="str">
        <f>CONCATENATE(CALCULATIONS!T322,CALCULATIONS!X322)</f>
        <v>EACHper hour</v>
      </c>
      <c r="E322" s="35">
        <f>IFERROR(1/CALCULATIONS!V322,0)</f>
        <v>0.2</v>
      </c>
      <c r="F322" s="37" t="str">
        <f>CONCATENATE(CALCULATIONS!T322,CALCULATIONS!X322)</f>
        <v>EACHper hour</v>
      </c>
      <c r="G322" s="38">
        <f>IFERROR(1/CALCULATIONS!W322,0)</f>
        <v>0.25</v>
      </c>
      <c r="H322" s="36" t="str">
        <f>CONCATENATE(CALCULATIONS!T322,CALCULATIONS!X322)</f>
        <v>EACHper hour</v>
      </c>
      <c r="I322" s="39">
        <f>CALCULATIONS!U322*$I$2</f>
        <v>586.8055556</v>
      </c>
      <c r="J322" s="40" t="str">
        <f>CONCATENATE(CALCULATIONS!Y322,CALCULATIONS!T322)</f>
        <v>per EACH</v>
      </c>
      <c r="K322" s="39">
        <f>CALCULATIONS!V322*$I$2</f>
        <v>293.4027778</v>
      </c>
      <c r="L322" s="40" t="str">
        <f>CONCATENATE(CALCULATIONS!Y322,CALCULATIONS!T322)</f>
        <v>per EACH</v>
      </c>
      <c r="M322" s="39">
        <f>CALCULATIONS!W322*$I$2</f>
        <v>234.7222222</v>
      </c>
      <c r="N322" s="41" t="str">
        <f>CONCATENATE(CALCULATIONS!Y322,CALCULATIONS!T322)</f>
        <v>per EACH</v>
      </c>
    </row>
    <row r="323" ht="12.75" customHeight="1">
      <c r="B323" s="44" t="s">
        <v>314</v>
      </c>
      <c r="C323" s="35">
        <f>IFERROR(1/CALCULATIONS!U323,0)</f>
        <v>0</v>
      </c>
      <c r="D323" s="36" t="str">
        <f>CONCATENATE(CALCULATIONS!T323,CALCULATIONS!X323)</f>
        <v/>
      </c>
      <c r="E323" s="35">
        <f>IFERROR(1/CALCULATIONS!V323,0)</f>
        <v>0</v>
      </c>
      <c r="F323" s="37" t="str">
        <f>CONCATENATE(CALCULATIONS!T323,CALCULATIONS!X323)</f>
        <v/>
      </c>
      <c r="G323" s="38">
        <f>IFERROR(1/CALCULATIONS!W323,0)</f>
        <v>0</v>
      </c>
      <c r="H323" s="36" t="str">
        <f>CONCATENATE(CALCULATIONS!T323,CALCULATIONS!X323)</f>
        <v/>
      </c>
      <c r="I323" s="39">
        <f>CALCULATIONS!U323*$I$2</f>
        <v>0</v>
      </c>
      <c r="J323" s="40" t="str">
        <f>CONCATENATE(CALCULATIONS!Y323,CALCULATIONS!T323)</f>
        <v/>
      </c>
      <c r="K323" s="39">
        <f>CALCULATIONS!V323*$I$2</f>
        <v>0</v>
      </c>
      <c r="L323" s="40" t="str">
        <f>CONCATENATE(CALCULATIONS!Y323,CALCULATIONS!T323)</f>
        <v/>
      </c>
      <c r="M323" s="39">
        <f>CALCULATIONS!W323*$I$2</f>
        <v>0</v>
      </c>
      <c r="N323" s="41" t="str">
        <f>CONCATENATE(CALCULATIONS!Y323,CALCULATIONS!T323)</f>
        <v/>
      </c>
    </row>
    <row r="324" ht="12.75" customHeight="1">
      <c r="B324" s="44" t="s">
        <v>268</v>
      </c>
      <c r="C324" s="35">
        <f>IFERROR(1/CALCULATIONS!U324,0)</f>
        <v>0.05</v>
      </c>
      <c r="D324" s="36" t="str">
        <f>CONCATENATE(CALCULATIONS!T324,CALCULATIONS!X324)</f>
        <v>EACHper hour</v>
      </c>
      <c r="E324" s="35">
        <f>IFERROR(1/CALCULATIONS!V324,0)</f>
        <v>0.1</v>
      </c>
      <c r="F324" s="37" t="str">
        <f>CONCATENATE(CALCULATIONS!T324,CALCULATIONS!X324)</f>
        <v>EACHper hour</v>
      </c>
      <c r="G324" s="38">
        <f>IFERROR(1/CALCULATIONS!W324,0)</f>
        <v>0.125</v>
      </c>
      <c r="H324" s="36" t="str">
        <f>CONCATENATE(CALCULATIONS!T324,CALCULATIONS!X324)</f>
        <v>EACHper hour</v>
      </c>
      <c r="I324" s="39">
        <f>CALCULATIONS!U324*$I$2</f>
        <v>1173.611111</v>
      </c>
      <c r="J324" s="40" t="str">
        <f>CONCATENATE(CALCULATIONS!Y324,CALCULATIONS!T324)</f>
        <v>per EACH</v>
      </c>
      <c r="K324" s="39">
        <f>CALCULATIONS!V324*$I$2</f>
        <v>586.8055556</v>
      </c>
      <c r="L324" s="40" t="str">
        <f>CONCATENATE(CALCULATIONS!Y324,CALCULATIONS!T324)</f>
        <v>per EACH</v>
      </c>
      <c r="M324" s="39">
        <f>CALCULATIONS!W324*$I$2</f>
        <v>469.4444444</v>
      </c>
      <c r="N324" s="41" t="str">
        <f>CONCATENATE(CALCULATIONS!Y324,CALCULATIONS!T324)</f>
        <v>per EACH</v>
      </c>
    </row>
    <row r="325" ht="12.75" customHeight="1">
      <c r="B325" s="44" t="s">
        <v>315</v>
      </c>
      <c r="C325" s="35">
        <f>IFERROR(1/CALCULATIONS!U325,0)</f>
        <v>0.05</v>
      </c>
      <c r="D325" s="36" t="str">
        <f>CONCATENATE(CALCULATIONS!T325,CALCULATIONS!X325)</f>
        <v>EACHper hour</v>
      </c>
      <c r="E325" s="35">
        <f>IFERROR(1/CALCULATIONS!V325,0)</f>
        <v>0.1</v>
      </c>
      <c r="F325" s="37" t="str">
        <f>CONCATENATE(CALCULATIONS!T325,CALCULATIONS!X325)</f>
        <v>EACHper hour</v>
      </c>
      <c r="G325" s="38">
        <f>IFERROR(1/CALCULATIONS!W325,0)</f>
        <v>0.125</v>
      </c>
      <c r="H325" s="36" t="str">
        <f>CONCATENATE(CALCULATIONS!T325,CALCULATIONS!X325)</f>
        <v>EACHper hour</v>
      </c>
      <c r="I325" s="39">
        <f>CALCULATIONS!U325*$I$2</f>
        <v>1173.611111</v>
      </c>
      <c r="J325" s="40" t="str">
        <f>CONCATENATE(CALCULATIONS!Y325,CALCULATIONS!T325)</f>
        <v>per EACH</v>
      </c>
      <c r="K325" s="39">
        <f>CALCULATIONS!V325*$I$2</f>
        <v>586.8055556</v>
      </c>
      <c r="L325" s="40" t="str">
        <f>CONCATENATE(CALCULATIONS!Y325,CALCULATIONS!T325)</f>
        <v>per EACH</v>
      </c>
      <c r="M325" s="39">
        <f>CALCULATIONS!W325*$I$2</f>
        <v>469.4444444</v>
      </c>
      <c r="N325" s="41" t="str">
        <f>CONCATENATE(CALCULATIONS!Y325,CALCULATIONS!T325)</f>
        <v>per EACH</v>
      </c>
    </row>
    <row r="326" ht="12.75" customHeight="1">
      <c r="B326" s="44" t="s">
        <v>316</v>
      </c>
      <c r="C326" s="35">
        <f>IFERROR(1/CALCULATIONS!U326,0)</f>
        <v>0.1</v>
      </c>
      <c r="D326" s="36" t="str">
        <f>CONCATENATE(CALCULATIONS!T326,CALCULATIONS!X326)</f>
        <v>EACHper hour</v>
      </c>
      <c r="E326" s="35">
        <f>IFERROR(1/CALCULATIONS!V326,0)</f>
        <v>0.2</v>
      </c>
      <c r="F326" s="37" t="str">
        <f>CONCATENATE(CALCULATIONS!T326,CALCULATIONS!X326)</f>
        <v>EACHper hour</v>
      </c>
      <c r="G326" s="38">
        <f>IFERROR(1/CALCULATIONS!W326,0)</f>
        <v>0.25</v>
      </c>
      <c r="H326" s="36" t="str">
        <f>CONCATENATE(CALCULATIONS!T326,CALCULATIONS!X326)</f>
        <v>EACHper hour</v>
      </c>
      <c r="I326" s="39">
        <f>CALCULATIONS!U326*$I$2</f>
        <v>586.8055556</v>
      </c>
      <c r="J326" s="40" t="str">
        <f>CONCATENATE(CALCULATIONS!Y326,CALCULATIONS!T326)</f>
        <v>per EACH</v>
      </c>
      <c r="K326" s="39">
        <f>CALCULATIONS!V326*$I$2</f>
        <v>293.4027778</v>
      </c>
      <c r="L326" s="40" t="str">
        <f>CONCATENATE(CALCULATIONS!Y326,CALCULATIONS!T326)</f>
        <v>per EACH</v>
      </c>
      <c r="M326" s="39">
        <f>CALCULATIONS!W326*$I$2</f>
        <v>234.7222222</v>
      </c>
      <c r="N326" s="41" t="str">
        <f>CONCATENATE(CALCULATIONS!Y326,CALCULATIONS!T326)</f>
        <v>per EACH</v>
      </c>
    </row>
    <row r="327" ht="12.75" customHeight="1">
      <c r="B327" s="44" t="s">
        <v>317</v>
      </c>
      <c r="C327" s="35">
        <f>IFERROR(1/CALCULATIONS!U327,0)</f>
        <v>0</v>
      </c>
      <c r="D327" s="36" t="str">
        <f>CONCATENATE(CALCULATIONS!T327,CALCULATIONS!X327)</f>
        <v/>
      </c>
      <c r="E327" s="35">
        <f>IFERROR(1/CALCULATIONS!V327,0)</f>
        <v>0</v>
      </c>
      <c r="F327" s="37" t="str">
        <f>CONCATENATE(CALCULATIONS!T327,CALCULATIONS!X327)</f>
        <v/>
      </c>
      <c r="G327" s="38">
        <f>IFERROR(1/CALCULATIONS!W327,0)</f>
        <v>0</v>
      </c>
      <c r="H327" s="36" t="str">
        <f>CONCATENATE(CALCULATIONS!T327,CALCULATIONS!X327)</f>
        <v/>
      </c>
      <c r="I327" s="39">
        <f>CALCULATIONS!U327*$I$2</f>
        <v>0</v>
      </c>
      <c r="J327" s="40" t="str">
        <f>CONCATENATE(CALCULATIONS!Y327,CALCULATIONS!T327)</f>
        <v/>
      </c>
      <c r="K327" s="39">
        <f>CALCULATIONS!V327*$I$2</f>
        <v>0</v>
      </c>
      <c r="L327" s="40" t="str">
        <f>CONCATENATE(CALCULATIONS!Y327,CALCULATIONS!T327)</f>
        <v/>
      </c>
      <c r="M327" s="39">
        <f>CALCULATIONS!W327*$I$2</f>
        <v>0</v>
      </c>
      <c r="N327" s="41" t="str">
        <f>CONCATENATE(CALCULATIONS!Y327,CALCULATIONS!T327)</f>
        <v/>
      </c>
    </row>
    <row r="328" ht="12.75" customHeight="1">
      <c r="B328" s="44" t="s">
        <v>318</v>
      </c>
      <c r="C328" s="35">
        <f>IFERROR(1/CALCULATIONS!U328,0)</f>
        <v>0.5</v>
      </c>
      <c r="D328" s="36" t="str">
        <f>CONCATENATE(CALCULATIONS!T328,CALCULATIONS!X328)</f>
        <v>EACHper hour</v>
      </c>
      <c r="E328" s="35">
        <f>IFERROR(1/CALCULATIONS!V328,0)</f>
        <v>1</v>
      </c>
      <c r="F328" s="37" t="str">
        <f>CONCATENATE(CALCULATIONS!T328,CALCULATIONS!X328)</f>
        <v>EACHper hour</v>
      </c>
      <c r="G328" s="38">
        <f>IFERROR(1/CALCULATIONS!W328,0)</f>
        <v>0.0125</v>
      </c>
      <c r="H328" s="36" t="str">
        <f>CONCATENATE(CALCULATIONS!T328,CALCULATIONS!X328)</f>
        <v>EACHper hour</v>
      </c>
      <c r="I328" s="39">
        <f>CALCULATIONS!U328*$I$2</f>
        <v>117.3611111</v>
      </c>
      <c r="J328" s="40" t="str">
        <f>CONCATENATE(CALCULATIONS!Y328,CALCULATIONS!T328)</f>
        <v>per EACH</v>
      </c>
      <c r="K328" s="39">
        <f>CALCULATIONS!V328*$I$2</f>
        <v>58.68055556</v>
      </c>
      <c r="L328" s="40" t="str">
        <f>CONCATENATE(CALCULATIONS!Y328,CALCULATIONS!T328)</f>
        <v>per EACH</v>
      </c>
      <c r="M328" s="39">
        <f>CALCULATIONS!W328*$I$2</f>
        <v>4694.444444</v>
      </c>
      <c r="N328" s="41" t="str">
        <f>CONCATENATE(CALCULATIONS!Y328,CALCULATIONS!T328)</f>
        <v>per EACH</v>
      </c>
    </row>
    <row r="329" ht="12.75" customHeight="1">
      <c r="B329" s="44" t="s">
        <v>319</v>
      </c>
      <c r="C329" s="35">
        <f>IFERROR(1/CALCULATIONS!U329,0)</f>
        <v>0.1</v>
      </c>
      <c r="D329" s="36" t="str">
        <f>CONCATENATE(CALCULATIONS!T329,CALCULATIONS!X329)</f>
        <v>EACHper hour</v>
      </c>
      <c r="E329" s="35">
        <f>IFERROR(1/CALCULATIONS!V329,0)</f>
        <v>0.2</v>
      </c>
      <c r="F329" s="37" t="str">
        <f>CONCATENATE(CALCULATIONS!T329,CALCULATIONS!X329)</f>
        <v>EACHper hour</v>
      </c>
      <c r="G329" s="38">
        <f>IFERROR(1/CALCULATIONS!W329,0)</f>
        <v>0.25</v>
      </c>
      <c r="H329" s="36" t="str">
        <f>CONCATENATE(CALCULATIONS!T329,CALCULATIONS!X329)</f>
        <v>EACHper hour</v>
      </c>
      <c r="I329" s="39">
        <f>CALCULATIONS!U329*$I$2</f>
        <v>586.8055556</v>
      </c>
      <c r="J329" s="40" t="str">
        <f>CONCATENATE(CALCULATIONS!Y329,CALCULATIONS!T329)</f>
        <v>per EACH</v>
      </c>
      <c r="K329" s="39">
        <f>CALCULATIONS!V329*$I$2</f>
        <v>293.4027778</v>
      </c>
      <c r="L329" s="40" t="str">
        <f>CONCATENATE(CALCULATIONS!Y329,CALCULATIONS!T329)</f>
        <v>per EACH</v>
      </c>
      <c r="M329" s="39">
        <f>CALCULATIONS!W329*$I$2</f>
        <v>234.7222222</v>
      </c>
      <c r="N329" s="41" t="str">
        <f>CONCATENATE(CALCULATIONS!Y329,CALCULATIONS!T329)</f>
        <v>per EACH</v>
      </c>
    </row>
    <row r="330" ht="12.75" customHeight="1">
      <c r="C330" s="35">
        <f>IFERROR(1/CALCULATIONS!U330,0)</f>
        <v>0</v>
      </c>
      <c r="D330" s="36" t="str">
        <f>CONCATENATE(CALCULATIONS!T330,CALCULATIONS!X330)</f>
        <v/>
      </c>
      <c r="E330" s="35">
        <f>IFERROR(1/CALCULATIONS!V330,0)</f>
        <v>0</v>
      </c>
      <c r="F330" s="37" t="str">
        <f>CONCATENATE(CALCULATIONS!T330,CALCULATIONS!X330)</f>
        <v/>
      </c>
      <c r="G330" s="38">
        <f>IFERROR(1/CALCULATIONS!W330,0)</f>
        <v>0</v>
      </c>
      <c r="H330" s="36" t="str">
        <f>CONCATENATE(CALCULATIONS!T330,CALCULATIONS!X330)</f>
        <v/>
      </c>
      <c r="I330" s="39">
        <f>CALCULATIONS!U330*$I$2</f>
        <v>0</v>
      </c>
      <c r="J330" s="40" t="str">
        <f>CONCATENATE(CALCULATIONS!Y330,CALCULATIONS!T330)</f>
        <v/>
      </c>
      <c r="K330" s="39">
        <f>CALCULATIONS!V330*$I$2</f>
        <v>0</v>
      </c>
      <c r="L330" s="40" t="str">
        <f>CONCATENATE(CALCULATIONS!Y330,CALCULATIONS!T330)</f>
        <v/>
      </c>
      <c r="M330" s="39">
        <f>CALCULATIONS!W330*$I$2</f>
        <v>0</v>
      </c>
      <c r="N330" s="41" t="str">
        <f>CONCATENATE(CALCULATIONS!Y330,CALCULATIONS!T330)</f>
        <v/>
      </c>
    </row>
    <row r="331" ht="12.75" customHeight="1">
      <c r="A331" s="45" t="s">
        <v>320</v>
      </c>
      <c r="B331" s="52" t="s">
        <v>321</v>
      </c>
      <c r="C331" s="35">
        <f>IFERROR(1/CALCULATIONS!U331,0)</f>
        <v>0</v>
      </c>
      <c r="D331" s="36" t="str">
        <f>CONCATENATE(CALCULATIONS!T331,CALCULATIONS!X331)</f>
        <v/>
      </c>
      <c r="E331" s="35">
        <f>IFERROR(1/CALCULATIONS!V331,0)</f>
        <v>0</v>
      </c>
      <c r="F331" s="37" t="str">
        <f>CONCATENATE(CALCULATIONS!T331,CALCULATIONS!X331)</f>
        <v/>
      </c>
      <c r="G331" s="38">
        <f>IFERROR(1/CALCULATIONS!W331,0)</f>
        <v>0</v>
      </c>
      <c r="H331" s="36" t="str">
        <f>CONCATENATE(CALCULATIONS!T331,CALCULATIONS!X331)</f>
        <v/>
      </c>
      <c r="I331" s="39">
        <f>CALCULATIONS!U331*$I$2</f>
        <v>0</v>
      </c>
      <c r="J331" s="40" t="str">
        <f>CONCATENATE(CALCULATIONS!Y331,CALCULATIONS!T331)</f>
        <v/>
      </c>
      <c r="K331" s="39">
        <f>CALCULATIONS!V331*$I$2</f>
        <v>0</v>
      </c>
      <c r="L331" s="40" t="str">
        <f>CONCATENATE(CALCULATIONS!Y331,CALCULATIONS!T331)</f>
        <v/>
      </c>
      <c r="M331" s="39">
        <f>CALCULATIONS!W331*$I$2</f>
        <v>0</v>
      </c>
      <c r="N331" s="41" t="str">
        <f>CONCATENATE(CALCULATIONS!Y331,CALCULATIONS!T331)</f>
        <v/>
      </c>
    </row>
    <row r="332" ht="12.75" customHeight="1">
      <c r="B332" s="44" t="s">
        <v>322</v>
      </c>
      <c r="C332" s="35">
        <f>IFERROR(1/CALCULATIONS!U332,0)</f>
        <v>0.4166666667</v>
      </c>
      <c r="D332" s="36" t="str">
        <f>CONCATENATE(CALCULATIONS!T332,CALCULATIONS!X332)</f>
        <v>L.M.per hour</v>
      </c>
      <c r="E332" s="35">
        <f>IFERROR(1/CALCULATIONS!V332,0)</f>
        <v>0.8333333333</v>
      </c>
      <c r="F332" s="37" t="str">
        <f>CONCATENATE(CALCULATIONS!T332,CALCULATIONS!X332)</f>
        <v>L.M.per hour</v>
      </c>
      <c r="G332" s="38">
        <f>IFERROR(1/CALCULATIONS!W332,0)</f>
        <v>1.041666667</v>
      </c>
      <c r="H332" s="36" t="str">
        <f>CONCATENATE(CALCULATIONS!T332,CALCULATIONS!X332)</f>
        <v>L.M.per hour</v>
      </c>
      <c r="I332" s="39">
        <f>CALCULATIONS!U332*$I$2</f>
        <v>140.8333333</v>
      </c>
      <c r="J332" s="40" t="str">
        <f>CONCATENATE(CALCULATIONS!Y332,CALCULATIONS!T332)</f>
        <v>per L.M.</v>
      </c>
      <c r="K332" s="39">
        <f>CALCULATIONS!V332*$I$2</f>
        <v>70.41666667</v>
      </c>
      <c r="L332" s="40" t="str">
        <f>CONCATENATE(CALCULATIONS!Y332,CALCULATIONS!T332)</f>
        <v>per L.M.</v>
      </c>
      <c r="M332" s="39">
        <f>CALCULATIONS!W332*$I$2</f>
        <v>56.33333333</v>
      </c>
      <c r="N332" s="41" t="str">
        <f>CONCATENATE(CALCULATIONS!Y332,CALCULATIONS!T332)</f>
        <v>per L.M.</v>
      </c>
    </row>
    <row r="333" ht="12.75" customHeight="1">
      <c r="B333" s="44" t="s">
        <v>323</v>
      </c>
      <c r="C333" s="35">
        <f>IFERROR(1/CALCULATIONS!U333,0)</f>
        <v>0.1666666667</v>
      </c>
      <c r="D333" s="36" t="str">
        <f>CONCATENATE(CALCULATIONS!T333,CALCULATIONS!X333)</f>
        <v>L.M.per hour</v>
      </c>
      <c r="E333" s="35">
        <f>IFERROR(1/CALCULATIONS!V333,0)</f>
        <v>0.3333333333</v>
      </c>
      <c r="F333" s="37" t="str">
        <f>CONCATENATE(CALCULATIONS!T333,CALCULATIONS!X333)</f>
        <v>L.M.per hour</v>
      </c>
      <c r="G333" s="38">
        <f>IFERROR(1/CALCULATIONS!W333,0)</f>
        <v>0.4166666667</v>
      </c>
      <c r="H333" s="36" t="str">
        <f>CONCATENATE(CALCULATIONS!T333,CALCULATIONS!X333)</f>
        <v>L.M.per hour</v>
      </c>
      <c r="I333" s="39">
        <f>CALCULATIONS!U333*$I$2</f>
        <v>352.0833333</v>
      </c>
      <c r="J333" s="40" t="str">
        <f>CONCATENATE(CALCULATIONS!Y333,CALCULATIONS!T333)</f>
        <v>per L.M.</v>
      </c>
      <c r="K333" s="39">
        <f>CALCULATIONS!V333*$I$2</f>
        <v>176.0416667</v>
      </c>
      <c r="L333" s="40" t="str">
        <f>CONCATENATE(CALCULATIONS!Y333,CALCULATIONS!T333)</f>
        <v>per L.M.</v>
      </c>
      <c r="M333" s="39">
        <f>CALCULATIONS!W333*$I$2</f>
        <v>140.8333333</v>
      </c>
      <c r="N333" s="41" t="str">
        <f>CONCATENATE(CALCULATIONS!Y333,CALCULATIONS!T333)</f>
        <v>per L.M.</v>
      </c>
    </row>
    <row r="334" ht="12.75" customHeight="1">
      <c r="B334" s="44" t="s">
        <v>324</v>
      </c>
      <c r="C334" s="35">
        <f>IFERROR(1/CALCULATIONS!U334,0)</f>
        <v>1.666666667</v>
      </c>
      <c r="D334" s="36" t="str">
        <f>CONCATENATE(CALCULATIONS!T334,CALCULATIONS!X334)</f>
        <v>L.M.per hour</v>
      </c>
      <c r="E334" s="35">
        <f>IFERROR(1/CALCULATIONS!V334,0)</f>
        <v>3.333333333</v>
      </c>
      <c r="F334" s="37" t="str">
        <f>CONCATENATE(CALCULATIONS!T334,CALCULATIONS!X334)</f>
        <v>L.M.per hour</v>
      </c>
      <c r="G334" s="38">
        <f>IFERROR(1/CALCULATIONS!W334,0)</f>
        <v>4.166666667</v>
      </c>
      <c r="H334" s="36" t="str">
        <f>CONCATENATE(CALCULATIONS!T334,CALCULATIONS!X334)</f>
        <v>L.M.per hour</v>
      </c>
      <c r="I334" s="39">
        <f>CALCULATIONS!U334*$I$2</f>
        <v>35.20833333</v>
      </c>
      <c r="J334" s="40" t="str">
        <f>CONCATENATE(CALCULATIONS!Y334,CALCULATIONS!T334)</f>
        <v>per L.M.</v>
      </c>
      <c r="K334" s="39">
        <f>CALCULATIONS!V334*$I$2</f>
        <v>17.60416667</v>
      </c>
      <c r="L334" s="40" t="str">
        <f>CONCATENATE(CALCULATIONS!Y334,CALCULATIONS!T334)</f>
        <v>per L.M.</v>
      </c>
      <c r="M334" s="39">
        <f>CALCULATIONS!W334*$I$2</f>
        <v>14.08333333</v>
      </c>
      <c r="N334" s="41" t="str">
        <f>CONCATENATE(CALCULATIONS!Y334,CALCULATIONS!T334)</f>
        <v>per L.M.</v>
      </c>
    </row>
    <row r="335" ht="12.75" customHeight="1">
      <c r="B335" s="44" t="s">
        <v>325</v>
      </c>
      <c r="C335" s="35">
        <f>IFERROR(1/CALCULATIONS!U335,0)</f>
        <v>1.666666667</v>
      </c>
      <c r="D335" s="36" t="str">
        <f>CONCATENATE(CALCULATIONS!T335,CALCULATIONS!X335)</f>
        <v>L.M.per hour</v>
      </c>
      <c r="E335" s="35">
        <f>IFERROR(1/CALCULATIONS!V335,0)</f>
        <v>3.333333333</v>
      </c>
      <c r="F335" s="37" t="str">
        <f>CONCATENATE(CALCULATIONS!T335,CALCULATIONS!X335)</f>
        <v>L.M.per hour</v>
      </c>
      <c r="G335" s="38">
        <f>IFERROR(1/CALCULATIONS!W335,0)</f>
        <v>4.166666667</v>
      </c>
      <c r="H335" s="36" t="str">
        <f>CONCATENATE(CALCULATIONS!T335,CALCULATIONS!X335)</f>
        <v>L.M.per hour</v>
      </c>
      <c r="I335" s="39">
        <f>CALCULATIONS!U335*$I$2</f>
        <v>35.20833333</v>
      </c>
      <c r="J335" s="40" t="str">
        <f>CONCATENATE(CALCULATIONS!Y335,CALCULATIONS!T335)</f>
        <v>per L.M.</v>
      </c>
      <c r="K335" s="39">
        <f>CALCULATIONS!V335*$I$2</f>
        <v>17.60416667</v>
      </c>
      <c r="L335" s="40" t="str">
        <f>CONCATENATE(CALCULATIONS!Y335,CALCULATIONS!T335)</f>
        <v>per L.M.</v>
      </c>
      <c r="M335" s="39">
        <f>CALCULATIONS!W335*$I$2</f>
        <v>14.08333333</v>
      </c>
      <c r="N335" s="41" t="str">
        <f>CONCATENATE(CALCULATIONS!Y335,CALCULATIONS!T335)</f>
        <v>per L.M.</v>
      </c>
    </row>
    <row r="336" ht="12.75" customHeight="1">
      <c r="C336" s="35">
        <f>IFERROR(1/CALCULATIONS!U336,0)</f>
        <v>0</v>
      </c>
      <c r="D336" s="36" t="str">
        <f>CONCATENATE(CALCULATIONS!T336,CALCULATIONS!X336)</f>
        <v/>
      </c>
      <c r="E336" s="35">
        <f>IFERROR(1/CALCULATIONS!V336,0)</f>
        <v>0</v>
      </c>
      <c r="F336" s="37" t="str">
        <f>CONCATENATE(CALCULATIONS!T336,CALCULATIONS!X336)</f>
        <v/>
      </c>
      <c r="G336" s="38">
        <f>IFERROR(1/CALCULATIONS!W336,0)</f>
        <v>0</v>
      </c>
      <c r="H336" s="36" t="str">
        <f>CONCATENATE(CALCULATIONS!T336,CALCULATIONS!X336)</f>
        <v/>
      </c>
      <c r="I336" s="39">
        <f>CALCULATIONS!U336*$I$2</f>
        <v>0</v>
      </c>
      <c r="J336" s="40" t="str">
        <f>CONCATENATE(CALCULATIONS!Y336,CALCULATIONS!T336)</f>
        <v/>
      </c>
      <c r="K336" s="39">
        <f>CALCULATIONS!V336*$I$2</f>
        <v>0</v>
      </c>
      <c r="L336" s="40" t="str">
        <f>CONCATENATE(CALCULATIONS!Y336,CALCULATIONS!T336)</f>
        <v/>
      </c>
      <c r="M336" s="39">
        <f>CALCULATIONS!W336*$I$2</f>
        <v>0</v>
      </c>
      <c r="N336" s="41" t="str">
        <f>CONCATENATE(CALCULATIONS!Y336,CALCULATIONS!T336)</f>
        <v/>
      </c>
    </row>
    <row r="337" ht="12.75" customHeight="1">
      <c r="A337" s="45" t="s">
        <v>326</v>
      </c>
      <c r="B337" s="52" t="s">
        <v>327</v>
      </c>
      <c r="C337" s="35">
        <f>IFERROR(1/CALCULATIONS!U337,0)</f>
        <v>0</v>
      </c>
      <c r="D337" s="36" t="str">
        <f>CONCATENATE(CALCULATIONS!T337,CALCULATIONS!X337)</f>
        <v/>
      </c>
      <c r="E337" s="35">
        <f>IFERROR(1/CALCULATIONS!V337,0)</f>
        <v>0</v>
      </c>
      <c r="F337" s="37" t="str">
        <f>CONCATENATE(CALCULATIONS!T337,CALCULATIONS!X337)</f>
        <v/>
      </c>
      <c r="G337" s="38">
        <f>IFERROR(1/CALCULATIONS!W337,0)</f>
        <v>0</v>
      </c>
      <c r="H337" s="36" t="str">
        <f>CONCATENATE(CALCULATIONS!T337,CALCULATIONS!X337)</f>
        <v/>
      </c>
      <c r="I337" s="39">
        <f>CALCULATIONS!U337*$I$2</f>
        <v>0</v>
      </c>
      <c r="J337" s="40" t="str">
        <f>CONCATENATE(CALCULATIONS!Y337,CALCULATIONS!T337)</f>
        <v/>
      </c>
      <c r="K337" s="39">
        <f>CALCULATIONS!V337*$I$2</f>
        <v>0</v>
      </c>
      <c r="L337" s="40" t="str">
        <f>CONCATENATE(CALCULATIONS!Y337,CALCULATIONS!T337)</f>
        <v/>
      </c>
      <c r="M337" s="39">
        <f>CALCULATIONS!W337*$I$2</f>
        <v>0</v>
      </c>
      <c r="N337" s="41" t="str">
        <f>CONCATENATE(CALCULATIONS!Y337,CALCULATIONS!T337)</f>
        <v/>
      </c>
    </row>
    <row r="338" ht="12.75" customHeight="1">
      <c r="B338" s="44" t="s">
        <v>328</v>
      </c>
      <c r="C338" s="35">
        <f>IFERROR(1/CALCULATIONS!U338,0)</f>
        <v>0.05</v>
      </c>
      <c r="D338" s="36" t="str">
        <f>CONCATENATE(CALCULATIONS!T338,CALCULATIONS!X338)</f>
        <v>TONper hour</v>
      </c>
      <c r="E338" s="35">
        <f>IFERROR(1/CALCULATIONS!V338,0)</f>
        <v>1</v>
      </c>
      <c r="F338" s="37" t="str">
        <f>CONCATENATE(CALCULATIONS!T338,CALCULATIONS!X338)</f>
        <v>TONper hour</v>
      </c>
      <c r="G338" s="38">
        <f>IFERROR(1/CALCULATIONS!W338,0)</f>
        <v>0.1111111111</v>
      </c>
      <c r="H338" s="36" t="str">
        <f>CONCATENATE(CALCULATIONS!T338,CALCULATIONS!X338)</f>
        <v>TONper hour</v>
      </c>
      <c r="I338" s="39">
        <f>CALCULATIONS!U338*$I$2</f>
        <v>1173.611111</v>
      </c>
      <c r="J338" s="40" t="str">
        <f>CONCATENATE(CALCULATIONS!Y338,CALCULATIONS!T338)</f>
        <v>per TON</v>
      </c>
      <c r="K338" s="39">
        <f>CALCULATIONS!V338*$I$2</f>
        <v>58.68055556</v>
      </c>
      <c r="L338" s="40" t="str">
        <f>CONCATENATE(CALCULATIONS!Y338,CALCULATIONS!T338)</f>
        <v>per TON</v>
      </c>
      <c r="M338" s="39">
        <f>CALCULATIONS!W338*$I$2</f>
        <v>528.125</v>
      </c>
      <c r="N338" s="41" t="str">
        <f>CONCATENATE(CALCULATIONS!Y338,CALCULATIONS!T338)</f>
        <v>per TON</v>
      </c>
    </row>
    <row r="339" ht="12.75" customHeight="1">
      <c r="B339" s="44" t="s">
        <v>329</v>
      </c>
      <c r="C339" s="35">
        <f>IFERROR(1/CALCULATIONS!U339,0)</f>
        <v>0.9090909091</v>
      </c>
      <c r="D339" s="36" t="str">
        <f>CONCATENATE(CALCULATIONS!T339,CALCULATIONS!X339)</f>
        <v>S.M.per hour</v>
      </c>
      <c r="E339" s="35">
        <f>IFERROR(1/CALCULATIONS!V339,0)</f>
        <v>1.818181818</v>
      </c>
      <c r="F339" s="37" t="str">
        <f>CONCATENATE(CALCULATIONS!T339,CALCULATIONS!X339)</f>
        <v>S.M.per hour</v>
      </c>
      <c r="G339" s="38">
        <f>IFERROR(1/CALCULATIONS!W339,0)</f>
        <v>0.02272727273</v>
      </c>
      <c r="H339" s="36" t="str">
        <f>CONCATENATE(CALCULATIONS!T339,CALCULATIONS!X339)</f>
        <v>S.M.per hour</v>
      </c>
      <c r="I339" s="39">
        <f>CALCULATIONS!U339*$I$2</f>
        <v>64.54861111</v>
      </c>
      <c r="J339" s="40" t="str">
        <f>CONCATENATE(CALCULATIONS!Y339,CALCULATIONS!T339)</f>
        <v>per S.M.</v>
      </c>
      <c r="K339" s="39">
        <f>CALCULATIONS!V339*$I$2</f>
        <v>32.27430556</v>
      </c>
      <c r="L339" s="40" t="str">
        <f>CONCATENATE(CALCULATIONS!Y339,CALCULATIONS!T339)</f>
        <v>per S.M.</v>
      </c>
      <c r="M339" s="39">
        <f>CALCULATIONS!W339*$I$2</f>
        <v>2581.944444</v>
      </c>
      <c r="N339" s="41" t="str">
        <f>CONCATENATE(CALCULATIONS!Y339,CALCULATIONS!T339)</f>
        <v>per S.M.</v>
      </c>
    </row>
    <row r="340" ht="12.75" customHeight="1">
      <c r="B340" s="44" t="s">
        <v>330</v>
      </c>
      <c r="C340" s="35">
        <f>IFERROR(1/CALCULATIONS!U340,0)</f>
        <v>1.5625</v>
      </c>
      <c r="D340" s="36" t="str">
        <f>CONCATENATE(CALCULATIONS!T340,CALCULATIONS!X340)</f>
        <v>S.M.per hour</v>
      </c>
      <c r="E340" s="35">
        <f>IFERROR(1/CALCULATIONS!V340,0)</f>
        <v>3.125</v>
      </c>
      <c r="F340" s="37" t="str">
        <f>CONCATENATE(CALCULATIONS!T340,CALCULATIONS!X340)</f>
        <v>S.M.per hour</v>
      </c>
      <c r="G340" s="38">
        <f>IFERROR(1/CALCULATIONS!W340,0)</f>
        <v>0.03846153846</v>
      </c>
      <c r="H340" s="36" t="str">
        <f>CONCATENATE(CALCULATIONS!T340,CALCULATIONS!X340)</f>
        <v>S.M.per hour</v>
      </c>
      <c r="I340" s="39">
        <f>CALCULATIONS!U340*$I$2</f>
        <v>37.55555556</v>
      </c>
      <c r="J340" s="40" t="str">
        <f>CONCATENATE(CALCULATIONS!Y340,CALCULATIONS!T340)</f>
        <v>per S.M.</v>
      </c>
      <c r="K340" s="39">
        <f>CALCULATIONS!V340*$I$2</f>
        <v>18.77777778</v>
      </c>
      <c r="L340" s="40" t="str">
        <f>CONCATENATE(CALCULATIONS!Y340,CALCULATIONS!T340)</f>
        <v>per S.M.</v>
      </c>
      <c r="M340" s="39">
        <f>CALCULATIONS!W340*$I$2</f>
        <v>1525.694444</v>
      </c>
      <c r="N340" s="41" t="str">
        <f>CONCATENATE(CALCULATIONS!Y340,CALCULATIONS!T340)</f>
        <v>per S.M.</v>
      </c>
    </row>
    <row r="341" ht="12.75" customHeight="1">
      <c r="B341" s="44" t="s">
        <v>331</v>
      </c>
      <c r="C341" s="35">
        <f>IFERROR(1/CALCULATIONS!U341,0)</f>
        <v>0</v>
      </c>
      <c r="D341" s="36" t="str">
        <f>CONCATENATE(CALCULATIONS!T341,CALCULATIONS!X341)</f>
        <v/>
      </c>
      <c r="E341" s="35">
        <f>IFERROR(1/CALCULATIONS!V341,0)</f>
        <v>0</v>
      </c>
      <c r="F341" s="37" t="str">
        <f>CONCATENATE(CALCULATIONS!T341,CALCULATIONS!X341)</f>
        <v/>
      </c>
      <c r="G341" s="38">
        <f>IFERROR(1/CALCULATIONS!W341,0)</f>
        <v>0</v>
      </c>
      <c r="H341" s="36" t="str">
        <f>CONCATENATE(CALCULATIONS!T341,CALCULATIONS!X341)</f>
        <v/>
      </c>
      <c r="I341" s="39">
        <f>CALCULATIONS!U341*$I$2</f>
        <v>0</v>
      </c>
      <c r="J341" s="40" t="str">
        <f>CONCATENATE(CALCULATIONS!Y341,CALCULATIONS!T341)</f>
        <v/>
      </c>
      <c r="K341" s="39">
        <f>CALCULATIONS!V341*$I$2</f>
        <v>0</v>
      </c>
      <c r="L341" s="40" t="str">
        <f>CONCATENATE(CALCULATIONS!Y341,CALCULATIONS!T341)</f>
        <v/>
      </c>
      <c r="M341" s="39">
        <f>CALCULATIONS!W341*$I$2</f>
        <v>0</v>
      </c>
      <c r="N341" s="41" t="str">
        <f>CONCATENATE(CALCULATIONS!Y341,CALCULATIONS!T341)</f>
        <v/>
      </c>
    </row>
    <row r="342" ht="12.75" customHeight="1">
      <c r="B342" s="44" t="s">
        <v>332</v>
      </c>
      <c r="C342" s="35">
        <f>IFERROR(1/CALCULATIONS!U342,0)</f>
        <v>0.0625</v>
      </c>
      <c r="D342" s="36" t="str">
        <f>CONCATENATE(CALCULATIONS!T342,CALCULATIONS!X342)</f>
        <v>TONper hour</v>
      </c>
      <c r="E342" s="35">
        <f>IFERROR(1/CALCULATIONS!V342,0)</f>
        <v>0.125</v>
      </c>
      <c r="F342" s="37" t="str">
        <f>CONCATENATE(CALCULATIONS!T342,CALCULATIONS!X342)</f>
        <v>TONper hour</v>
      </c>
      <c r="G342" s="38">
        <f>IFERROR(1/CALCULATIONS!W342,0)</f>
        <v>0.15625</v>
      </c>
      <c r="H342" s="36" t="str">
        <f>CONCATENATE(CALCULATIONS!T342,CALCULATIONS!X342)</f>
        <v>TONper hour</v>
      </c>
      <c r="I342" s="39">
        <f>CALCULATIONS!U342*$I$2</f>
        <v>938.8888889</v>
      </c>
      <c r="J342" s="40" t="str">
        <f>CONCATENATE(CALCULATIONS!Y342,CALCULATIONS!T342)</f>
        <v>per TON</v>
      </c>
      <c r="K342" s="39">
        <f>CALCULATIONS!V342*$I$2</f>
        <v>469.4444444</v>
      </c>
      <c r="L342" s="40" t="str">
        <f>CONCATENATE(CALCULATIONS!Y342,CALCULATIONS!T342)</f>
        <v>per TON</v>
      </c>
      <c r="M342" s="39">
        <f>CALCULATIONS!W342*$I$2</f>
        <v>375.5555556</v>
      </c>
      <c r="N342" s="41" t="str">
        <f>CONCATENATE(CALCULATIONS!Y342,CALCULATIONS!T342)</f>
        <v>per TON</v>
      </c>
    </row>
    <row r="343" ht="12.75" customHeight="1">
      <c r="B343" s="44" t="s">
        <v>333</v>
      </c>
      <c r="C343" s="35">
        <f>IFERROR(1/CALCULATIONS!U343,0)</f>
        <v>1.162790698</v>
      </c>
      <c r="D343" s="36" t="str">
        <f>CONCATENATE(CALCULATIONS!T343,CALCULATIONS!X343)</f>
        <v>S.M.per hour</v>
      </c>
      <c r="E343" s="35">
        <f>IFERROR(1/CALCULATIONS!V343,0)</f>
        <v>0.03333333333</v>
      </c>
      <c r="F343" s="37" t="str">
        <f>CONCATENATE(CALCULATIONS!T343,CALCULATIONS!X343)</f>
        <v>S.M.per hour</v>
      </c>
      <c r="G343" s="38">
        <f>IFERROR(1/CALCULATIONS!W343,0)</f>
        <v>2.941176471</v>
      </c>
      <c r="H343" s="36" t="str">
        <f>CONCATENATE(CALCULATIONS!T343,CALCULATIONS!X343)</f>
        <v>S.M.per hour</v>
      </c>
      <c r="I343" s="39">
        <f>CALCULATIONS!U343*$I$2</f>
        <v>50.46527778</v>
      </c>
      <c r="J343" s="40" t="str">
        <f>CONCATENATE(CALCULATIONS!Y343,CALCULATIONS!T343)</f>
        <v>per S.M.</v>
      </c>
      <c r="K343" s="39">
        <f>CALCULATIONS!V343*$I$2</f>
        <v>1760.416667</v>
      </c>
      <c r="L343" s="40" t="str">
        <f>CONCATENATE(CALCULATIONS!Y343,CALCULATIONS!T343)</f>
        <v>per S.M.</v>
      </c>
      <c r="M343" s="39">
        <f>CALCULATIONS!W343*$I$2</f>
        <v>19.95138889</v>
      </c>
      <c r="N343" s="41" t="str">
        <f>CONCATENATE(CALCULATIONS!Y343,CALCULATIONS!T343)</f>
        <v>per S.M.</v>
      </c>
    </row>
    <row r="344" ht="12.75" customHeight="1">
      <c r="B344" s="44" t="s">
        <v>334</v>
      </c>
      <c r="C344" s="35">
        <f>IFERROR(1/CALCULATIONS!U344,0)</f>
        <v>0.01666666667</v>
      </c>
      <c r="D344" s="36" t="str">
        <f>CONCATENATE(CALCULATIONS!T344,CALCULATIONS!X344)</f>
        <v>TONper hour</v>
      </c>
      <c r="E344" s="35">
        <f>IFERROR(1/CALCULATIONS!V344,0)</f>
        <v>0</v>
      </c>
      <c r="F344" s="37" t="str">
        <f>CONCATENATE(CALCULATIONS!T344,CALCULATIONS!X344)</f>
        <v>TONper hour</v>
      </c>
      <c r="G344" s="38">
        <f>IFERROR(1/CALCULATIONS!W344,0)</f>
        <v>0.04166666667</v>
      </c>
      <c r="H344" s="36" t="str">
        <f>CONCATENATE(CALCULATIONS!T344,CALCULATIONS!X344)</f>
        <v>TONper hour</v>
      </c>
      <c r="I344" s="39">
        <f>CALCULATIONS!U344*$I$2</f>
        <v>3520.833333</v>
      </c>
      <c r="J344" s="40" t="str">
        <f>CONCATENATE(CALCULATIONS!Y344,CALCULATIONS!T344)</f>
        <v>per TON</v>
      </c>
      <c r="K344" s="39">
        <f>CALCULATIONS!V344*$I$2</f>
        <v>0</v>
      </c>
      <c r="L344" s="40" t="str">
        <f>CONCATENATE(CALCULATIONS!Y344,CALCULATIONS!T344)</f>
        <v>per TON</v>
      </c>
      <c r="M344" s="39">
        <f>CALCULATIONS!W344*$I$2</f>
        <v>1408.333333</v>
      </c>
      <c r="N344" s="41" t="str">
        <f>CONCATENATE(CALCULATIONS!Y344,CALCULATIONS!T344)</f>
        <v>per TON</v>
      </c>
    </row>
    <row r="345" ht="12.75" customHeight="1">
      <c r="C345" s="35">
        <f>IFERROR(1/CALCULATIONS!U345,0)</f>
        <v>0</v>
      </c>
      <c r="D345" s="36" t="str">
        <f>CONCATENATE(CALCULATIONS!T345,CALCULATIONS!X345)</f>
        <v/>
      </c>
      <c r="E345" s="35">
        <f>IFERROR(1/CALCULATIONS!V345,0)</f>
        <v>0</v>
      </c>
      <c r="F345" s="37" t="str">
        <f>CONCATENATE(CALCULATIONS!T345,CALCULATIONS!X345)</f>
        <v/>
      </c>
      <c r="G345" s="38">
        <f>IFERROR(1/CALCULATIONS!W345,0)</f>
        <v>0</v>
      </c>
      <c r="H345" s="36" t="str">
        <f>CONCATENATE(CALCULATIONS!T345,CALCULATIONS!X345)</f>
        <v/>
      </c>
      <c r="I345" s="39">
        <f>CALCULATIONS!U345*$I$2</f>
        <v>0</v>
      </c>
      <c r="J345" s="40" t="str">
        <f>CONCATENATE(CALCULATIONS!Y345,CALCULATIONS!T345)</f>
        <v/>
      </c>
      <c r="K345" s="39">
        <f>CALCULATIONS!V345*$I$2</f>
        <v>0</v>
      </c>
      <c r="L345" s="40" t="str">
        <f>CONCATENATE(CALCULATIONS!Y345,CALCULATIONS!T345)</f>
        <v/>
      </c>
      <c r="M345" s="39">
        <f>CALCULATIONS!W345*$I$2</f>
        <v>0</v>
      </c>
      <c r="N345" s="41" t="str">
        <f>CONCATENATE(CALCULATIONS!Y345,CALCULATIONS!T345)</f>
        <v/>
      </c>
    </row>
    <row r="346" ht="12.75" customHeight="1">
      <c r="A346" s="45" t="s">
        <v>335</v>
      </c>
      <c r="B346" s="52" t="s">
        <v>336</v>
      </c>
      <c r="C346" s="35">
        <f>IFERROR(1/CALCULATIONS!U346,0)</f>
        <v>0</v>
      </c>
      <c r="D346" s="36" t="str">
        <f>CONCATENATE(CALCULATIONS!T346,CALCULATIONS!X346)</f>
        <v/>
      </c>
      <c r="E346" s="35">
        <f>IFERROR(1/CALCULATIONS!V346,0)</f>
        <v>0</v>
      </c>
      <c r="F346" s="37" t="str">
        <f>CONCATENATE(CALCULATIONS!T346,CALCULATIONS!X346)</f>
        <v/>
      </c>
      <c r="G346" s="38">
        <f>IFERROR(1/CALCULATIONS!W346,0)</f>
        <v>0</v>
      </c>
      <c r="H346" s="36" t="str">
        <f>CONCATENATE(CALCULATIONS!T346,CALCULATIONS!X346)</f>
        <v/>
      </c>
      <c r="I346" s="39">
        <f>CALCULATIONS!U346*$I$2</f>
        <v>0</v>
      </c>
      <c r="J346" s="40" t="str">
        <f>CONCATENATE(CALCULATIONS!Y346,CALCULATIONS!T346)</f>
        <v/>
      </c>
      <c r="K346" s="39">
        <f>CALCULATIONS!V346*$I$2</f>
        <v>0</v>
      </c>
      <c r="L346" s="40" t="str">
        <f>CONCATENATE(CALCULATIONS!Y346,CALCULATIONS!T346)</f>
        <v/>
      </c>
      <c r="M346" s="39">
        <f>CALCULATIONS!W346*$I$2</f>
        <v>0</v>
      </c>
      <c r="N346" s="41" t="str">
        <f>CONCATENATE(CALCULATIONS!Y346,CALCULATIONS!T346)</f>
        <v/>
      </c>
    </row>
    <row r="347" ht="12.75" customHeight="1">
      <c r="B347" s="44" t="s">
        <v>337</v>
      </c>
      <c r="C347" s="35">
        <f>IFERROR(1/CALCULATIONS!U347,0)</f>
        <v>0.1428571429</v>
      </c>
      <c r="D347" s="36" t="str">
        <f>CONCATENATE(CALCULATIONS!T347,CALCULATIONS!X347)</f>
        <v>L.M.per hour</v>
      </c>
      <c r="E347" s="35">
        <f>IFERROR(1/CALCULATIONS!V347,0)</f>
        <v>0.2857142857</v>
      </c>
      <c r="F347" s="37" t="str">
        <f>CONCATENATE(CALCULATIONS!T347,CALCULATIONS!X347)</f>
        <v>L.M.per hour</v>
      </c>
      <c r="G347" s="38">
        <f>IFERROR(1/CALCULATIONS!W347,0)</f>
        <v>0.3571428571</v>
      </c>
      <c r="H347" s="36" t="str">
        <f>CONCATENATE(CALCULATIONS!T347,CALCULATIONS!X347)</f>
        <v>L.M.per hour</v>
      </c>
      <c r="I347" s="39">
        <f>CALCULATIONS!U347*$I$2</f>
        <v>410.7638889</v>
      </c>
      <c r="J347" s="40" t="str">
        <f>CONCATENATE(CALCULATIONS!Y347,CALCULATIONS!T347)</f>
        <v>per L.M.</v>
      </c>
      <c r="K347" s="39">
        <f>CALCULATIONS!V347*$I$2</f>
        <v>205.3819444</v>
      </c>
      <c r="L347" s="40" t="str">
        <f>CONCATENATE(CALCULATIONS!Y347,CALCULATIONS!T347)</f>
        <v>per L.M.</v>
      </c>
      <c r="M347" s="39">
        <f>CALCULATIONS!W347*$I$2</f>
        <v>164.3055556</v>
      </c>
      <c r="N347" s="41" t="str">
        <f>CONCATENATE(CALCULATIONS!Y347,CALCULATIONS!T347)</f>
        <v>per L.M.</v>
      </c>
    </row>
    <row r="348" ht="12.75" customHeight="1">
      <c r="B348" s="44" t="s">
        <v>338</v>
      </c>
      <c r="C348" s="35">
        <f>IFERROR(1/CALCULATIONS!U348,0)</f>
        <v>0.08333333333</v>
      </c>
      <c r="D348" s="36" t="str">
        <f>CONCATENATE(CALCULATIONS!T348,CALCULATIONS!X348)</f>
        <v>S.M.per hour</v>
      </c>
      <c r="E348" s="35">
        <f>IFERROR(1/CALCULATIONS!V348,0)</f>
        <v>0.1666666667</v>
      </c>
      <c r="F348" s="37" t="str">
        <f>CONCATENATE(CALCULATIONS!T348,CALCULATIONS!X348)</f>
        <v>S.M.per hour</v>
      </c>
      <c r="G348" s="38">
        <f>IFERROR(1/CALCULATIONS!W348,0)</f>
        <v>0.2083333333</v>
      </c>
      <c r="H348" s="36" t="str">
        <f>CONCATENATE(CALCULATIONS!T348,CALCULATIONS!X348)</f>
        <v>S.M.per hour</v>
      </c>
      <c r="I348" s="39">
        <f>CALCULATIONS!U348*$I$2</f>
        <v>704.1666667</v>
      </c>
      <c r="J348" s="40" t="str">
        <f>CONCATENATE(CALCULATIONS!Y348,CALCULATIONS!T348)</f>
        <v>per S.M.</v>
      </c>
      <c r="K348" s="39">
        <f>CALCULATIONS!V348*$I$2</f>
        <v>352.0833333</v>
      </c>
      <c r="L348" s="40" t="str">
        <f>CONCATENATE(CALCULATIONS!Y348,CALCULATIONS!T348)</f>
        <v>per S.M.</v>
      </c>
      <c r="M348" s="39">
        <f>CALCULATIONS!W348*$I$2</f>
        <v>281.6666667</v>
      </c>
      <c r="N348" s="41" t="str">
        <f>CONCATENATE(CALCULATIONS!Y348,CALCULATIONS!T348)</f>
        <v>per S.M.</v>
      </c>
    </row>
    <row r="349" ht="12.75" customHeight="1">
      <c r="B349" s="44" t="s">
        <v>339</v>
      </c>
      <c r="C349" s="35">
        <f>IFERROR(1/CALCULATIONS!U349,0)</f>
        <v>0.02777777778</v>
      </c>
      <c r="D349" s="36" t="str">
        <f>CONCATENATE(CALCULATIONS!T349,CALCULATIONS!X349)</f>
        <v>S.M.per hour</v>
      </c>
      <c r="E349" s="35">
        <f>IFERROR(1/CALCULATIONS!V349,0)</f>
        <v>0.05555555556</v>
      </c>
      <c r="F349" s="37" t="str">
        <f>CONCATENATE(CALCULATIONS!T349,CALCULATIONS!X349)</f>
        <v>S.M.per hour</v>
      </c>
      <c r="G349" s="38">
        <f>IFERROR(1/CALCULATIONS!W349,0)</f>
        <v>0.06944444444</v>
      </c>
      <c r="H349" s="36" t="str">
        <f>CONCATENATE(CALCULATIONS!T349,CALCULATIONS!X349)</f>
        <v>S.M.per hour</v>
      </c>
      <c r="I349" s="39">
        <f>CALCULATIONS!U349*$I$2</f>
        <v>2112.5</v>
      </c>
      <c r="J349" s="40" t="str">
        <f>CONCATENATE(CALCULATIONS!Y349,CALCULATIONS!T349)</f>
        <v>per S.M.</v>
      </c>
      <c r="K349" s="39">
        <f>CALCULATIONS!V349*$I$2</f>
        <v>1056.25</v>
      </c>
      <c r="L349" s="40" t="str">
        <f>CONCATENATE(CALCULATIONS!Y349,CALCULATIONS!T349)</f>
        <v>per S.M.</v>
      </c>
      <c r="M349" s="39">
        <f>CALCULATIONS!W349*$I$2</f>
        <v>845</v>
      </c>
      <c r="N349" s="41" t="str">
        <f>CONCATENATE(CALCULATIONS!Y349,CALCULATIONS!T349)</f>
        <v>per S.M.</v>
      </c>
    </row>
    <row r="350" ht="12.75" customHeight="1">
      <c r="B350" s="44" t="s">
        <v>340</v>
      </c>
      <c r="C350" s="35">
        <f>IFERROR(1/CALCULATIONS!U350,0)</f>
        <v>0.02083333333</v>
      </c>
      <c r="D350" s="36" t="str">
        <f>CONCATENATE(CALCULATIONS!T350,CALCULATIONS!X350)</f>
        <v>EACHper hour</v>
      </c>
      <c r="E350" s="35">
        <f>IFERROR(1/CALCULATIONS!V350,0)</f>
        <v>0.04166666667</v>
      </c>
      <c r="F350" s="37" t="str">
        <f>CONCATENATE(CALCULATIONS!T350,CALCULATIONS!X350)</f>
        <v>EACHper hour</v>
      </c>
      <c r="G350" s="38">
        <f>IFERROR(1/CALCULATIONS!W350,0)</f>
        <v>0.05208333333</v>
      </c>
      <c r="H350" s="36" t="str">
        <f>CONCATENATE(CALCULATIONS!T350,CALCULATIONS!X350)</f>
        <v>EACHper hour</v>
      </c>
      <c r="I350" s="39">
        <f>CALCULATIONS!U350*$I$2</f>
        <v>2816.666667</v>
      </c>
      <c r="J350" s="40" t="str">
        <f>CONCATENATE(CALCULATIONS!Y350,CALCULATIONS!T350)</f>
        <v>per EACH</v>
      </c>
      <c r="K350" s="39">
        <f>CALCULATIONS!V350*$I$2</f>
        <v>1408.333333</v>
      </c>
      <c r="L350" s="40" t="str">
        <f>CONCATENATE(CALCULATIONS!Y350,CALCULATIONS!T350)</f>
        <v>per EACH</v>
      </c>
      <c r="M350" s="39">
        <f>CALCULATIONS!W350*$I$2</f>
        <v>1126.666667</v>
      </c>
      <c r="N350" s="41" t="str">
        <f>CONCATENATE(CALCULATIONS!Y350,CALCULATIONS!T350)</f>
        <v>per EACH</v>
      </c>
    </row>
    <row r="351" ht="12.75" customHeight="1">
      <c r="B351" s="44" t="s">
        <v>341</v>
      </c>
      <c r="C351" s="35">
        <f>IFERROR(1/CALCULATIONS!U351,0)</f>
        <v>0.04166666667</v>
      </c>
      <c r="D351" s="36" t="str">
        <f>CONCATENATE(CALCULATIONS!T351,CALCULATIONS!X351)</f>
        <v>EACHper hour</v>
      </c>
      <c r="E351" s="35">
        <f>IFERROR(1/CALCULATIONS!V351,0)</f>
        <v>0.08333333333</v>
      </c>
      <c r="F351" s="37" t="str">
        <f>CONCATENATE(CALCULATIONS!T351,CALCULATIONS!X351)</f>
        <v>EACHper hour</v>
      </c>
      <c r="G351" s="38">
        <f>IFERROR(1/CALCULATIONS!W351,0)</f>
        <v>0.1041666667</v>
      </c>
      <c r="H351" s="36" t="str">
        <f>CONCATENATE(CALCULATIONS!T351,CALCULATIONS!X351)</f>
        <v>EACHper hour</v>
      </c>
      <c r="I351" s="39">
        <f>CALCULATIONS!U351*$I$2</f>
        <v>1408.333333</v>
      </c>
      <c r="J351" s="40" t="str">
        <f>CONCATENATE(CALCULATIONS!Y351,CALCULATIONS!T351)</f>
        <v>per EACH</v>
      </c>
      <c r="K351" s="39">
        <f>CALCULATIONS!V351*$I$2</f>
        <v>704.1666667</v>
      </c>
      <c r="L351" s="40" t="str">
        <f>CONCATENATE(CALCULATIONS!Y351,CALCULATIONS!T351)</f>
        <v>per EACH</v>
      </c>
      <c r="M351" s="39">
        <f>CALCULATIONS!W351*$I$2</f>
        <v>563.3333333</v>
      </c>
      <c r="N351" s="41" t="str">
        <f>CONCATENATE(CALCULATIONS!Y351,CALCULATIONS!T351)</f>
        <v>per EACH</v>
      </c>
    </row>
    <row r="352" ht="12.75" customHeight="1">
      <c r="B352" s="44" t="s">
        <v>342</v>
      </c>
      <c r="C352" s="35">
        <f>IFERROR(1/CALCULATIONS!U352,0)</f>
        <v>0.1</v>
      </c>
      <c r="D352" s="36" t="str">
        <f>CONCATENATE(CALCULATIONS!T352,CALCULATIONS!X352)</f>
        <v>EACHper hour</v>
      </c>
      <c r="E352" s="35">
        <f>IFERROR(1/CALCULATIONS!V352,0)</f>
        <v>0.2</v>
      </c>
      <c r="F352" s="37" t="str">
        <f>CONCATENATE(CALCULATIONS!T352,CALCULATIONS!X352)</f>
        <v>EACHper hour</v>
      </c>
      <c r="G352" s="38">
        <f>IFERROR(1/CALCULATIONS!W352,0)</f>
        <v>0.25</v>
      </c>
      <c r="H352" s="36" t="str">
        <f>CONCATENATE(CALCULATIONS!T352,CALCULATIONS!X352)</f>
        <v>EACHper hour</v>
      </c>
      <c r="I352" s="39">
        <f>CALCULATIONS!U352*$I$2</f>
        <v>586.8055556</v>
      </c>
      <c r="J352" s="40" t="str">
        <f>CONCATENATE(CALCULATIONS!Y352,CALCULATIONS!T352)</f>
        <v>per EACH</v>
      </c>
      <c r="K352" s="39">
        <f>CALCULATIONS!V352*$I$2</f>
        <v>293.4027778</v>
      </c>
      <c r="L352" s="40" t="str">
        <f>CONCATENATE(CALCULATIONS!Y352,CALCULATIONS!T352)</f>
        <v>per EACH</v>
      </c>
      <c r="M352" s="39">
        <f>CALCULATIONS!W352*$I$2</f>
        <v>234.7222222</v>
      </c>
      <c r="N352" s="41" t="str">
        <f>CONCATENATE(CALCULATIONS!Y352,CALCULATIONS!T352)</f>
        <v>per EACH</v>
      </c>
    </row>
    <row r="353" ht="12.75" customHeight="1">
      <c r="B353" s="44" t="s">
        <v>343</v>
      </c>
      <c r="C353" s="35">
        <f>IFERROR(1/CALCULATIONS!U353,0)</f>
        <v>0.0625</v>
      </c>
      <c r="D353" s="36" t="str">
        <f>CONCATENATE(CALCULATIONS!T353,CALCULATIONS!X353)</f>
        <v>EACHper hour</v>
      </c>
      <c r="E353" s="35">
        <f>IFERROR(1/CALCULATIONS!V353,0)</f>
        <v>0.125</v>
      </c>
      <c r="F353" s="37" t="str">
        <f>CONCATENATE(CALCULATIONS!T353,CALCULATIONS!X353)</f>
        <v>EACHper hour</v>
      </c>
      <c r="G353" s="38">
        <f>IFERROR(1/CALCULATIONS!W353,0)</f>
        <v>0.15625</v>
      </c>
      <c r="H353" s="36" t="str">
        <f>CONCATENATE(CALCULATIONS!T353,CALCULATIONS!X353)</f>
        <v>EACHper hour</v>
      </c>
      <c r="I353" s="39">
        <f>CALCULATIONS!U353*$I$2</f>
        <v>938.8888889</v>
      </c>
      <c r="J353" s="40" t="str">
        <f>CONCATENATE(CALCULATIONS!Y353,CALCULATIONS!T353)</f>
        <v>per EACH</v>
      </c>
      <c r="K353" s="39">
        <f>CALCULATIONS!V353*$I$2</f>
        <v>469.4444444</v>
      </c>
      <c r="L353" s="40" t="str">
        <f>CONCATENATE(CALCULATIONS!Y353,CALCULATIONS!T353)</f>
        <v>per EACH</v>
      </c>
      <c r="M353" s="39">
        <f>CALCULATIONS!W353*$I$2</f>
        <v>375.5555556</v>
      </c>
      <c r="N353" s="41" t="str">
        <f>CONCATENATE(CALCULATIONS!Y353,CALCULATIONS!T353)</f>
        <v>per EACH</v>
      </c>
    </row>
    <row r="354" ht="12.75" customHeight="1">
      <c r="B354" s="44" t="s">
        <v>344</v>
      </c>
      <c r="C354" s="35">
        <f>IFERROR(1/CALCULATIONS!U354,0)</f>
        <v>0.07142857143</v>
      </c>
      <c r="D354" s="36" t="str">
        <f>CONCATENATE(CALCULATIONS!T354,CALCULATIONS!X354)</f>
        <v>L.M.per hour</v>
      </c>
      <c r="E354" s="35">
        <f>IFERROR(1/CALCULATIONS!V354,0)</f>
        <v>0.1369863014</v>
      </c>
      <c r="F354" s="37" t="str">
        <f>CONCATENATE(CALCULATIONS!T354,CALCULATIONS!X354)</f>
        <v>L.M.per hour</v>
      </c>
      <c r="G354" s="38">
        <f>IFERROR(1/CALCULATIONS!W354,0)</f>
        <v>0.1712328767</v>
      </c>
      <c r="H354" s="36" t="str">
        <f>CONCATENATE(CALCULATIONS!T354,CALCULATIONS!X354)</f>
        <v>L.M.per hour</v>
      </c>
      <c r="I354" s="39">
        <f>CALCULATIONS!U354*$I$2</f>
        <v>821.5277778</v>
      </c>
      <c r="J354" s="40" t="str">
        <f>CONCATENATE(CALCULATIONS!Y354,CALCULATIONS!T354)</f>
        <v>per L.M.</v>
      </c>
      <c r="K354" s="39">
        <f>CALCULATIONS!V354*$I$2</f>
        <v>428.3680556</v>
      </c>
      <c r="L354" s="40" t="str">
        <f>CONCATENATE(CALCULATIONS!Y354,CALCULATIONS!T354)</f>
        <v>per L.M.</v>
      </c>
      <c r="M354" s="39">
        <f>CALCULATIONS!W354*$I$2</f>
        <v>342.6944444</v>
      </c>
      <c r="N354" s="41" t="str">
        <f>CONCATENATE(CALCULATIONS!Y354,CALCULATIONS!T354)</f>
        <v>per L.M.</v>
      </c>
    </row>
    <row r="355" ht="12.75" customHeight="1">
      <c r="B355" s="44" t="s">
        <v>345</v>
      </c>
      <c r="C355" s="35">
        <f>IFERROR(1/CALCULATIONS!U355,0)</f>
        <v>0.02083333333</v>
      </c>
      <c r="D355" s="36" t="str">
        <f>CONCATENATE(CALCULATIONS!T355,CALCULATIONS!X355)</f>
        <v>EACHper hour</v>
      </c>
      <c r="E355" s="35">
        <f>IFERROR(1/CALCULATIONS!V355,0)</f>
        <v>0.04166666667</v>
      </c>
      <c r="F355" s="37" t="str">
        <f>CONCATENATE(CALCULATIONS!T355,CALCULATIONS!X355)</f>
        <v>EACHper hour</v>
      </c>
      <c r="G355" s="38">
        <f>IFERROR(1/CALCULATIONS!W355,0)</f>
        <v>0.05208333333</v>
      </c>
      <c r="H355" s="36" t="str">
        <f>CONCATENATE(CALCULATIONS!T355,CALCULATIONS!X355)</f>
        <v>EACHper hour</v>
      </c>
      <c r="I355" s="39">
        <f>CALCULATIONS!U355*$I$2</f>
        <v>2816.666667</v>
      </c>
      <c r="J355" s="40" t="str">
        <f>CONCATENATE(CALCULATIONS!Y355,CALCULATIONS!T355)</f>
        <v>per EACH</v>
      </c>
      <c r="K355" s="39">
        <f>CALCULATIONS!V355*$I$2</f>
        <v>1408.333333</v>
      </c>
      <c r="L355" s="40" t="str">
        <f>CONCATENATE(CALCULATIONS!Y355,CALCULATIONS!T355)</f>
        <v>per EACH</v>
      </c>
      <c r="M355" s="39">
        <f>CALCULATIONS!W355*$I$2</f>
        <v>1126.666667</v>
      </c>
      <c r="N355" s="41" t="str">
        <f>CONCATENATE(CALCULATIONS!Y355,CALCULATIONS!T355)</f>
        <v>per EACH</v>
      </c>
    </row>
    <row r="356" ht="12.75" customHeight="1">
      <c r="B356" s="44" t="s">
        <v>346</v>
      </c>
      <c r="C356" s="35">
        <f>IFERROR(1/CALCULATIONS!U356,0)</f>
        <v>0.0625</v>
      </c>
      <c r="D356" s="36" t="str">
        <f>CONCATENATE(CALCULATIONS!T356,CALCULATIONS!X356)</f>
        <v>EACHper hour</v>
      </c>
      <c r="E356" s="35">
        <f>IFERROR(1/CALCULATIONS!V356,0)</f>
        <v>0.125</v>
      </c>
      <c r="F356" s="37" t="str">
        <f>CONCATENATE(CALCULATIONS!T356,CALCULATIONS!X356)</f>
        <v>EACHper hour</v>
      </c>
      <c r="G356" s="38">
        <f>IFERROR(1/CALCULATIONS!W356,0)</f>
        <v>0.15625</v>
      </c>
      <c r="H356" s="36" t="str">
        <f>CONCATENATE(CALCULATIONS!T356,CALCULATIONS!X356)</f>
        <v>EACHper hour</v>
      </c>
      <c r="I356" s="39">
        <f>CALCULATIONS!U356*$I$2</f>
        <v>938.8888889</v>
      </c>
      <c r="J356" s="40" t="str">
        <f>CONCATENATE(CALCULATIONS!Y356,CALCULATIONS!T356)</f>
        <v>per EACH</v>
      </c>
      <c r="K356" s="39">
        <f>CALCULATIONS!V356*$I$2</f>
        <v>469.4444444</v>
      </c>
      <c r="L356" s="40" t="str">
        <f>CONCATENATE(CALCULATIONS!Y356,CALCULATIONS!T356)</f>
        <v>per EACH</v>
      </c>
      <c r="M356" s="39">
        <f>CALCULATIONS!W356*$I$2</f>
        <v>375.5555556</v>
      </c>
      <c r="N356" s="41" t="str">
        <f>CONCATENATE(CALCULATIONS!Y356,CALCULATIONS!T356)</f>
        <v>per EACH</v>
      </c>
    </row>
    <row r="357" ht="12.75" customHeight="1">
      <c r="B357" s="44" t="s">
        <v>347</v>
      </c>
      <c r="C357" s="35">
        <f>IFERROR(1/CALCULATIONS!U357,0)</f>
        <v>0.1428571429</v>
      </c>
      <c r="D357" s="36" t="str">
        <f>CONCATENATE(CALCULATIONS!T357,CALCULATIONS!X357)</f>
        <v>L.M.per hour</v>
      </c>
      <c r="E357" s="35">
        <f>IFERROR(1/CALCULATIONS!V357,0)</f>
        <v>0.2857142857</v>
      </c>
      <c r="F357" s="37" t="str">
        <f>CONCATENATE(CALCULATIONS!T357,CALCULATIONS!X357)</f>
        <v>L.M.per hour</v>
      </c>
      <c r="G357" s="38">
        <f>IFERROR(1/CALCULATIONS!W357,0)</f>
        <v>0.3571428571</v>
      </c>
      <c r="H357" s="36" t="str">
        <f>CONCATENATE(CALCULATIONS!T357,CALCULATIONS!X357)</f>
        <v>L.M.per hour</v>
      </c>
      <c r="I357" s="39">
        <f>CALCULATIONS!U357*$I$2</f>
        <v>410.7638889</v>
      </c>
      <c r="J357" s="40" t="str">
        <f>CONCATENATE(CALCULATIONS!Y357,CALCULATIONS!T357)</f>
        <v>per L.M.</v>
      </c>
      <c r="K357" s="39">
        <f>CALCULATIONS!V357*$I$2</f>
        <v>205.3819444</v>
      </c>
      <c r="L357" s="40" t="str">
        <f>CONCATENATE(CALCULATIONS!Y357,CALCULATIONS!T357)</f>
        <v>per L.M.</v>
      </c>
      <c r="M357" s="39">
        <f>CALCULATIONS!W357*$I$2</f>
        <v>164.3055556</v>
      </c>
      <c r="N357" s="41" t="str">
        <f>CONCATENATE(CALCULATIONS!Y357,CALCULATIONS!T357)</f>
        <v>per L.M.</v>
      </c>
    </row>
    <row r="358" ht="12.75" customHeight="1">
      <c r="C358" s="35">
        <f>IFERROR(1/CALCULATIONS!U358,0)</f>
        <v>0</v>
      </c>
      <c r="D358" s="36" t="str">
        <f>CONCATENATE(CALCULATIONS!T358,CALCULATIONS!X358)</f>
        <v/>
      </c>
      <c r="E358" s="35">
        <f>IFERROR(1/CALCULATIONS!V358,0)</f>
        <v>0</v>
      </c>
      <c r="F358" s="37" t="str">
        <f>CONCATENATE(CALCULATIONS!T358,CALCULATIONS!X358)</f>
        <v/>
      </c>
      <c r="G358" s="38">
        <f>IFERROR(1/CALCULATIONS!W358,0)</f>
        <v>0</v>
      </c>
      <c r="H358" s="36" t="str">
        <f>CONCATENATE(CALCULATIONS!T358,CALCULATIONS!X358)</f>
        <v/>
      </c>
      <c r="I358" s="39">
        <f>CALCULATIONS!U358*$I$2</f>
        <v>0</v>
      </c>
      <c r="J358" s="40" t="str">
        <f>CONCATENATE(CALCULATIONS!Y358,CALCULATIONS!T358)</f>
        <v/>
      </c>
      <c r="K358" s="39">
        <f>CALCULATIONS!V358*$I$2</f>
        <v>0</v>
      </c>
      <c r="L358" s="40" t="str">
        <f>CONCATENATE(CALCULATIONS!Y358,CALCULATIONS!T358)</f>
        <v/>
      </c>
      <c r="M358" s="39">
        <f>CALCULATIONS!W358*$I$2</f>
        <v>0</v>
      </c>
      <c r="N358" s="41" t="str">
        <f>CONCATENATE(CALCULATIONS!Y358,CALCULATIONS!T358)</f>
        <v/>
      </c>
    </row>
    <row r="359" ht="12.75" customHeight="1">
      <c r="A359" s="45" t="s">
        <v>348</v>
      </c>
      <c r="B359" s="52" t="s">
        <v>349</v>
      </c>
      <c r="C359" s="35">
        <f>IFERROR(1/CALCULATIONS!U359,0)</f>
        <v>0</v>
      </c>
      <c r="D359" s="36" t="str">
        <f>CONCATENATE(CALCULATIONS!T359,CALCULATIONS!X359)</f>
        <v/>
      </c>
      <c r="E359" s="35">
        <f>IFERROR(1/CALCULATIONS!V359,0)</f>
        <v>0</v>
      </c>
      <c r="F359" s="37" t="str">
        <f>CONCATENATE(CALCULATIONS!T359,CALCULATIONS!X359)</f>
        <v/>
      </c>
      <c r="G359" s="38">
        <f>IFERROR(1/CALCULATIONS!W359,0)</f>
        <v>0</v>
      </c>
      <c r="H359" s="36" t="str">
        <f>CONCATENATE(CALCULATIONS!T359,CALCULATIONS!X359)</f>
        <v/>
      </c>
      <c r="I359" s="39">
        <f>CALCULATIONS!U359*$I$2</f>
        <v>0</v>
      </c>
      <c r="J359" s="40" t="str">
        <f>CONCATENATE(CALCULATIONS!Y359,CALCULATIONS!T359)</f>
        <v/>
      </c>
      <c r="K359" s="39">
        <f>CALCULATIONS!V359*$I$2</f>
        <v>0</v>
      </c>
      <c r="L359" s="40" t="str">
        <f>CONCATENATE(CALCULATIONS!Y359,CALCULATIONS!T359)</f>
        <v/>
      </c>
      <c r="M359" s="39">
        <f>CALCULATIONS!W359*$I$2</f>
        <v>0</v>
      </c>
      <c r="N359" s="41" t="str">
        <f>CONCATENATE(CALCULATIONS!Y359,CALCULATIONS!T359)</f>
        <v/>
      </c>
    </row>
    <row r="360" ht="12.75" customHeight="1">
      <c r="B360" s="44" t="s">
        <v>350</v>
      </c>
      <c r="C360" s="35">
        <f>IFERROR(1/CALCULATIONS!U360,0)</f>
        <v>0.7462686567</v>
      </c>
      <c r="D360" s="36" t="str">
        <f>CONCATENATE(CALCULATIONS!T360,CALCULATIONS!X360)</f>
        <v>L.M.per hour</v>
      </c>
      <c r="E360" s="35">
        <f>IFERROR(1/CALCULATIONS!V360,0)</f>
        <v>1.492537313</v>
      </c>
      <c r="F360" s="37" t="str">
        <f>CONCATENATE(CALCULATIONS!T360,CALCULATIONS!X360)</f>
        <v>L.M.per hour</v>
      </c>
      <c r="G360" s="38">
        <f>IFERROR(1/CALCULATIONS!W360,0)</f>
        <v>1.851851852</v>
      </c>
      <c r="H360" s="36" t="str">
        <f>CONCATENATE(CALCULATIONS!T360,CALCULATIONS!X360)</f>
        <v>L.M.per hour</v>
      </c>
      <c r="I360" s="39">
        <f>CALCULATIONS!U360*$I$2</f>
        <v>78.63194444</v>
      </c>
      <c r="J360" s="40" t="str">
        <f>CONCATENATE(CALCULATIONS!Y360,CALCULATIONS!T360)</f>
        <v>per L.M.</v>
      </c>
      <c r="K360" s="39">
        <f>CALCULATIONS!V360*$I$2</f>
        <v>39.31597222</v>
      </c>
      <c r="L360" s="40" t="str">
        <f>CONCATENATE(CALCULATIONS!Y360,CALCULATIONS!T360)</f>
        <v>per L.M.</v>
      </c>
      <c r="M360" s="39">
        <f>CALCULATIONS!W360*$I$2</f>
        <v>31.6875</v>
      </c>
      <c r="N360" s="41" t="str">
        <f>CONCATENATE(CALCULATIONS!Y360,CALCULATIONS!T360)</f>
        <v>per L.M.</v>
      </c>
    </row>
    <row r="361" ht="12.75" customHeight="1">
      <c r="B361" s="44" t="s">
        <v>351</v>
      </c>
      <c r="C361" s="35">
        <f>IFERROR(1/CALCULATIONS!U361,0)</f>
        <v>2.5</v>
      </c>
      <c r="D361" s="36" t="str">
        <f>CONCATENATE(CALCULATIONS!T361,CALCULATIONS!X361)</f>
        <v>L.M.per hour</v>
      </c>
      <c r="E361" s="35">
        <f>IFERROR(1/CALCULATIONS!V361,0)</f>
        <v>5</v>
      </c>
      <c r="F361" s="37" t="str">
        <f>CONCATENATE(CALCULATIONS!T361,CALCULATIONS!X361)</f>
        <v>L.M.per hour</v>
      </c>
      <c r="G361" s="38">
        <f>IFERROR(1/CALCULATIONS!W361,0)</f>
        <v>6.25</v>
      </c>
      <c r="H361" s="36" t="str">
        <f>CONCATENATE(CALCULATIONS!T361,CALCULATIONS!X361)</f>
        <v>L.M.per hour</v>
      </c>
      <c r="I361" s="39">
        <f>CALCULATIONS!U361*$I$2</f>
        <v>23.47222222</v>
      </c>
      <c r="J361" s="40" t="str">
        <f>CONCATENATE(CALCULATIONS!Y361,CALCULATIONS!T361)</f>
        <v>per L.M.</v>
      </c>
      <c r="K361" s="39">
        <f>CALCULATIONS!V361*$I$2</f>
        <v>11.73611111</v>
      </c>
      <c r="L361" s="40" t="str">
        <f>CONCATENATE(CALCULATIONS!Y361,CALCULATIONS!T361)</f>
        <v>per L.M.</v>
      </c>
      <c r="M361" s="39">
        <f>CALCULATIONS!W361*$I$2</f>
        <v>9.388888889</v>
      </c>
      <c r="N361" s="41" t="str">
        <f>CONCATENATE(CALCULATIONS!Y361,CALCULATIONS!T361)</f>
        <v>per L.M.</v>
      </c>
    </row>
    <row r="362" ht="12.75" customHeight="1">
      <c r="B362" s="44" t="s">
        <v>352</v>
      </c>
      <c r="C362" s="35">
        <f>IFERROR(1/CALCULATIONS!U362,0)</f>
        <v>0.625</v>
      </c>
      <c r="D362" s="36" t="str">
        <f>CONCATENATE(CALCULATIONS!T362,CALCULATIONS!X362)</f>
        <v>S.M.per hour</v>
      </c>
      <c r="E362" s="35">
        <f>IFERROR(1/CALCULATIONS!V362,0)</f>
        <v>1.25</v>
      </c>
      <c r="F362" s="37" t="str">
        <f>CONCATENATE(CALCULATIONS!T362,CALCULATIONS!X362)</f>
        <v>S.M.per hour</v>
      </c>
      <c r="G362" s="38">
        <f>IFERROR(1/CALCULATIONS!W362,0)</f>
        <v>1.5625</v>
      </c>
      <c r="H362" s="36" t="str">
        <f>CONCATENATE(CALCULATIONS!T362,CALCULATIONS!X362)</f>
        <v>S.M.per hour</v>
      </c>
      <c r="I362" s="39">
        <f>CALCULATIONS!U362*$I$2</f>
        <v>93.88888889</v>
      </c>
      <c r="J362" s="40" t="str">
        <f>CONCATENATE(CALCULATIONS!Y362,CALCULATIONS!T362)</f>
        <v>per S.M.</v>
      </c>
      <c r="K362" s="39">
        <f>CALCULATIONS!V362*$I$2</f>
        <v>46.94444444</v>
      </c>
      <c r="L362" s="40" t="str">
        <f>CONCATENATE(CALCULATIONS!Y362,CALCULATIONS!T362)</f>
        <v>per S.M.</v>
      </c>
      <c r="M362" s="39">
        <f>CALCULATIONS!W362*$I$2</f>
        <v>37.55555556</v>
      </c>
      <c r="N362" s="41" t="str">
        <f>CONCATENATE(CALCULATIONS!Y362,CALCULATIONS!T362)</f>
        <v>per S.M.</v>
      </c>
    </row>
    <row r="363" ht="12.75" customHeight="1">
      <c r="B363" s="44" t="s">
        <v>353</v>
      </c>
      <c r="C363" s="35">
        <f>IFERROR(1/CALCULATIONS!U363,0)</f>
        <v>0.2994011976</v>
      </c>
      <c r="D363" s="36" t="str">
        <f>CONCATENATE(CALCULATIONS!T363,CALCULATIONS!X363)</f>
        <v>S.M.per hour</v>
      </c>
      <c r="E363" s="35">
        <f>IFERROR(1/CALCULATIONS!V363,0)</f>
        <v>0.5988023952</v>
      </c>
      <c r="F363" s="37" t="str">
        <f>CONCATENATE(CALCULATIONS!T363,CALCULATIONS!X363)</f>
        <v>S.M.per hour</v>
      </c>
      <c r="G363" s="38">
        <f>IFERROR(1/CALCULATIONS!W363,0)</f>
        <v>1.19047619</v>
      </c>
      <c r="H363" s="36" t="str">
        <f>CONCATENATE(CALCULATIONS!T363,CALCULATIONS!X363)</f>
        <v>S.M.per hour</v>
      </c>
      <c r="I363" s="39">
        <f>CALCULATIONS!U363*$I$2</f>
        <v>195.9930556</v>
      </c>
      <c r="J363" s="40" t="str">
        <f>CONCATENATE(CALCULATIONS!Y363,CALCULATIONS!T363)</f>
        <v>per S.M.</v>
      </c>
      <c r="K363" s="39">
        <f>CALCULATIONS!V363*$I$2</f>
        <v>97.99652778</v>
      </c>
      <c r="L363" s="40" t="str">
        <f>CONCATENATE(CALCULATIONS!Y363,CALCULATIONS!T363)</f>
        <v>per S.M.</v>
      </c>
      <c r="M363" s="39">
        <f>CALCULATIONS!W363*$I$2</f>
        <v>49.29166667</v>
      </c>
      <c r="N363" s="41" t="str">
        <f>CONCATENATE(CALCULATIONS!Y363,CALCULATIONS!T363)</f>
        <v>per S.M.</v>
      </c>
    </row>
    <row r="364" ht="12.75" customHeight="1">
      <c r="B364" s="44" t="s">
        <v>354</v>
      </c>
      <c r="C364" s="35">
        <f>IFERROR(1/CALCULATIONS!U364,0)</f>
        <v>0.9090909091</v>
      </c>
      <c r="D364" s="36" t="str">
        <f>CONCATENATE(CALCULATIONS!T364,CALCULATIONS!X364)</f>
        <v>S.M.per hour</v>
      </c>
      <c r="E364" s="35">
        <f>IFERROR(1/CALCULATIONS!V364,0)</f>
        <v>1.818181818</v>
      </c>
      <c r="F364" s="37" t="str">
        <f>CONCATENATE(CALCULATIONS!T364,CALCULATIONS!X364)</f>
        <v>S.M.per hour</v>
      </c>
      <c r="G364" s="38">
        <f>IFERROR(1/CALCULATIONS!W364,0)</f>
        <v>3.571428571</v>
      </c>
      <c r="H364" s="36" t="str">
        <f>CONCATENATE(CALCULATIONS!T364,CALCULATIONS!X364)</f>
        <v>S.M.per hour</v>
      </c>
      <c r="I364" s="39">
        <f>CALCULATIONS!U364*$I$2</f>
        <v>64.54861111</v>
      </c>
      <c r="J364" s="40" t="str">
        <f>CONCATENATE(CALCULATIONS!Y364,CALCULATIONS!T364)</f>
        <v>per S.M.</v>
      </c>
      <c r="K364" s="39">
        <f>CALCULATIONS!V364*$I$2</f>
        <v>32.27430556</v>
      </c>
      <c r="L364" s="40" t="str">
        <f>CONCATENATE(CALCULATIONS!Y364,CALCULATIONS!T364)</f>
        <v>per S.M.</v>
      </c>
      <c r="M364" s="39">
        <f>CALCULATIONS!W364*$I$2</f>
        <v>16.43055556</v>
      </c>
      <c r="N364" s="41" t="str">
        <f>CONCATENATE(CALCULATIONS!Y364,CALCULATIONS!T364)</f>
        <v>per S.M.</v>
      </c>
    </row>
    <row r="365" ht="12.75" customHeight="1">
      <c r="B365" s="44" t="s">
        <v>112</v>
      </c>
      <c r="C365" s="35">
        <f>IFERROR(1/CALCULATIONS!U365,0)</f>
        <v>1</v>
      </c>
      <c r="D365" s="36" t="str">
        <f>CONCATENATE(CALCULATIONS!T365,CALCULATIONS!X365)</f>
        <v>L.M.per hour</v>
      </c>
      <c r="E365" s="35">
        <f>IFERROR(1/CALCULATIONS!V365,0)</f>
        <v>2</v>
      </c>
      <c r="F365" s="37" t="str">
        <f>CONCATENATE(CALCULATIONS!T365,CALCULATIONS!X365)</f>
        <v>L.M.per hour</v>
      </c>
      <c r="G365" s="38">
        <f>IFERROR(1/CALCULATIONS!W365,0)</f>
        <v>4</v>
      </c>
      <c r="H365" s="36" t="str">
        <f>CONCATENATE(CALCULATIONS!T365,CALCULATIONS!X365)</f>
        <v>L.M.per hour</v>
      </c>
      <c r="I365" s="39">
        <f>CALCULATIONS!U365*$I$2</f>
        <v>58.68055556</v>
      </c>
      <c r="J365" s="40" t="str">
        <f>CONCATENATE(CALCULATIONS!Y365,CALCULATIONS!T365)</f>
        <v>per L.M.</v>
      </c>
      <c r="K365" s="39">
        <f>CALCULATIONS!V365*$I$2</f>
        <v>29.34027778</v>
      </c>
      <c r="L365" s="40" t="str">
        <f>CONCATENATE(CALCULATIONS!Y365,CALCULATIONS!T365)</f>
        <v>per L.M.</v>
      </c>
      <c r="M365" s="39">
        <f>CALCULATIONS!W365*$I$2</f>
        <v>14.67013889</v>
      </c>
      <c r="N365" s="41" t="str">
        <f>CONCATENATE(CALCULATIONS!Y365,CALCULATIONS!T365)</f>
        <v>per L.M.</v>
      </c>
    </row>
    <row r="366" ht="12.75" customHeight="1">
      <c r="B366" s="44" t="s">
        <v>355</v>
      </c>
      <c r="C366" s="35">
        <f>IFERROR(1/CALCULATIONS!U366,0)</f>
        <v>1.851851852</v>
      </c>
      <c r="D366" s="36" t="str">
        <f>CONCATENATE(CALCULATIONS!T366,CALCULATIONS!X366)</f>
        <v>S.M.per hour</v>
      </c>
      <c r="E366" s="35">
        <f>IFERROR(1/CALCULATIONS!V366,0)</f>
        <v>3.703703704</v>
      </c>
      <c r="F366" s="37" t="str">
        <f>CONCATENATE(CALCULATIONS!T366,CALCULATIONS!X366)</f>
        <v>S.M.per hour</v>
      </c>
      <c r="G366" s="38">
        <f>IFERROR(1/CALCULATIONS!W366,0)</f>
        <v>7.142857143</v>
      </c>
      <c r="H366" s="36" t="str">
        <f>CONCATENATE(CALCULATIONS!T366,CALCULATIONS!X366)</f>
        <v>S.M.per hour</v>
      </c>
      <c r="I366" s="39">
        <f>CALCULATIONS!U366*$I$2</f>
        <v>31.6875</v>
      </c>
      <c r="J366" s="40" t="str">
        <f>CONCATENATE(CALCULATIONS!Y366,CALCULATIONS!T366)</f>
        <v>per S.M.</v>
      </c>
      <c r="K366" s="39">
        <f>CALCULATIONS!V366*$I$2</f>
        <v>15.84375</v>
      </c>
      <c r="L366" s="40" t="str">
        <f>CONCATENATE(CALCULATIONS!Y366,CALCULATIONS!T366)</f>
        <v>per S.M.</v>
      </c>
      <c r="M366" s="39">
        <f>CALCULATIONS!W366*$I$2</f>
        <v>8.215277778</v>
      </c>
      <c r="N366" s="41" t="str">
        <f>CONCATENATE(CALCULATIONS!Y366,CALCULATIONS!T366)</f>
        <v>per S.M.</v>
      </c>
    </row>
    <row r="367" ht="12.75" customHeight="1">
      <c r="B367" s="44" t="s">
        <v>356</v>
      </c>
      <c r="C367" s="35">
        <f>IFERROR(1/CALCULATIONS!U367,0)</f>
        <v>0.3125</v>
      </c>
      <c r="D367" s="36" t="str">
        <f>CONCATENATE(CALCULATIONS!T367,CALCULATIONS!X367)</f>
        <v>CU.M.per hour</v>
      </c>
      <c r="E367" s="35">
        <f>IFERROR(1/CALCULATIONS!V367,0)</f>
        <v>0.625</v>
      </c>
      <c r="F367" s="37" t="str">
        <f>CONCATENATE(CALCULATIONS!T367,CALCULATIONS!X367)</f>
        <v>CU.M.per hour</v>
      </c>
      <c r="G367" s="38">
        <f>IFERROR(1/CALCULATIONS!W367,0)</f>
        <v>1.25</v>
      </c>
      <c r="H367" s="36" t="str">
        <f>CONCATENATE(CALCULATIONS!T367,CALCULATIONS!X367)</f>
        <v>CU.M.per hour</v>
      </c>
      <c r="I367" s="39">
        <f>CALCULATIONS!U367*$I$2</f>
        <v>187.7777778</v>
      </c>
      <c r="J367" s="40" t="str">
        <f>CONCATENATE(CALCULATIONS!Y367,CALCULATIONS!T367)</f>
        <v>per CU.M.</v>
      </c>
      <c r="K367" s="39">
        <f>CALCULATIONS!V367*$I$2</f>
        <v>93.88888889</v>
      </c>
      <c r="L367" s="40" t="str">
        <f>CONCATENATE(CALCULATIONS!Y367,CALCULATIONS!T367)</f>
        <v>per CU.M.</v>
      </c>
      <c r="M367" s="39">
        <f>CALCULATIONS!W367*$I$2</f>
        <v>46.94444444</v>
      </c>
      <c r="N367" s="41" t="str">
        <f>CONCATENATE(CALCULATIONS!Y367,CALCULATIONS!T367)</f>
        <v>per CU.M.</v>
      </c>
    </row>
    <row r="368" ht="12.75" customHeight="1">
      <c r="B368" s="44" t="s">
        <v>357</v>
      </c>
      <c r="C368" s="35">
        <f>IFERROR(1/CALCULATIONS!U368,0)</f>
        <v>1.470588235</v>
      </c>
      <c r="D368" s="36" t="str">
        <f>CONCATENATE(CALCULATIONS!T368,CALCULATIONS!X368)</f>
        <v>S.M.per hour</v>
      </c>
      <c r="E368" s="35">
        <f>IFERROR(1/CALCULATIONS!V368,0)</f>
        <v>2.941176471</v>
      </c>
      <c r="F368" s="37" t="str">
        <f>CONCATENATE(CALCULATIONS!T368,CALCULATIONS!X368)</f>
        <v>S.M.per hour</v>
      </c>
      <c r="G368" s="38">
        <f>IFERROR(1/CALCULATIONS!W368,0)</f>
        <v>5.882352941</v>
      </c>
      <c r="H368" s="36" t="str">
        <f>CONCATENATE(CALCULATIONS!T368,CALCULATIONS!X368)</f>
        <v>S.M.per hour</v>
      </c>
      <c r="I368" s="39">
        <f>CALCULATIONS!U368*$I$2</f>
        <v>39.90277778</v>
      </c>
      <c r="J368" s="40" t="str">
        <f>CONCATENATE(CALCULATIONS!Y368,CALCULATIONS!T368)</f>
        <v>per S.M.</v>
      </c>
      <c r="K368" s="39">
        <f>CALCULATIONS!V368*$I$2</f>
        <v>19.95138889</v>
      </c>
      <c r="L368" s="40" t="str">
        <f>CONCATENATE(CALCULATIONS!Y368,CALCULATIONS!T368)</f>
        <v>per S.M.</v>
      </c>
      <c r="M368" s="39">
        <f>CALCULATIONS!W368*$I$2</f>
        <v>9.975694444</v>
      </c>
      <c r="N368" s="41" t="str">
        <f>CONCATENATE(CALCULATIONS!Y368,CALCULATIONS!T368)</f>
        <v>per S.M.</v>
      </c>
    </row>
    <row r="369" ht="12.75" customHeight="1">
      <c r="B369" s="44" t="s">
        <v>358</v>
      </c>
      <c r="C369" s="35">
        <f>IFERROR(1/CALCULATIONS!U369,0)</f>
        <v>0.09090909091</v>
      </c>
      <c r="D369" s="36" t="str">
        <f>CONCATENATE(CALCULATIONS!T369,CALCULATIONS!X369)</f>
        <v>L.M.per hour</v>
      </c>
      <c r="E369" s="35">
        <f>IFERROR(1/CALCULATIONS!V369,0)</f>
        <v>0.1666666667</v>
      </c>
      <c r="F369" s="37" t="str">
        <f>CONCATENATE(CALCULATIONS!T369,CALCULATIONS!X369)</f>
        <v>L.M.per hour</v>
      </c>
      <c r="G369" s="38">
        <f>IFERROR(1/CALCULATIONS!W369,0)</f>
        <v>33.33333333</v>
      </c>
      <c r="H369" s="36" t="str">
        <f>CONCATENATE(CALCULATIONS!T369,CALCULATIONS!X369)</f>
        <v>L.M.per hour</v>
      </c>
      <c r="I369" s="39">
        <f>CALCULATIONS!U369*$I$2</f>
        <v>645.4861111</v>
      </c>
      <c r="J369" s="40" t="str">
        <f>CONCATENATE(CALCULATIONS!Y369,CALCULATIONS!T369)</f>
        <v>per L.M.</v>
      </c>
      <c r="K369" s="39">
        <f>CALCULATIONS!V369*$I$2</f>
        <v>352.0833333</v>
      </c>
      <c r="L369" s="40" t="str">
        <f>CONCATENATE(CALCULATIONS!Y369,CALCULATIONS!T369)</f>
        <v>per L.M.</v>
      </c>
      <c r="M369" s="39">
        <f>CALCULATIONS!W369*$I$2</f>
        <v>1.760416667</v>
      </c>
      <c r="N369" s="41" t="str">
        <f>CONCATENATE(CALCULATIONS!Y369,CALCULATIONS!T369)</f>
        <v>per L.M.</v>
      </c>
    </row>
    <row r="370" ht="12.75" customHeight="1">
      <c r="B370" s="44" t="s">
        <v>359</v>
      </c>
      <c r="C370" s="35">
        <f>IFERROR(1/CALCULATIONS!U370,0)</f>
        <v>0.04545454545</v>
      </c>
      <c r="D370" s="36" t="str">
        <f>CONCATENATE(CALCULATIONS!T370,CALCULATIONS!X370)</f>
        <v>L.M.per hour</v>
      </c>
      <c r="E370" s="35">
        <f>IFERROR(1/CALCULATIONS!V370,0)</f>
        <v>0.09090909091</v>
      </c>
      <c r="F370" s="37" t="str">
        <f>CONCATENATE(CALCULATIONS!T370,CALCULATIONS!X370)</f>
        <v>L.M.per hour</v>
      </c>
      <c r="G370" s="38">
        <f>IFERROR(1/CALCULATIONS!W370,0)</f>
        <v>16.66666667</v>
      </c>
      <c r="H370" s="36" t="str">
        <f>CONCATENATE(CALCULATIONS!T370,CALCULATIONS!X370)</f>
        <v>L.M.per hour</v>
      </c>
      <c r="I370" s="39">
        <f>CALCULATIONS!U370*$I$2</f>
        <v>1290.972222</v>
      </c>
      <c r="J370" s="40" t="str">
        <f>CONCATENATE(CALCULATIONS!Y370,CALCULATIONS!T370)</f>
        <v>per L.M.</v>
      </c>
      <c r="K370" s="39">
        <f>CALCULATIONS!V370*$I$2</f>
        <v>645.4861111</v>
      </c>
      <c r="L370" s="40" t="str">
        <f>CONCATENATE(CALCULATIONS!Y370,CALCULATIONS!T370)</f>
        <v>per L.M.</v>
      </c>
      <c r="M370" s="39">
        <f>CALCULATIONS!W370*$I$2</f>
        <v>3.520833333</v>
      </c>
      <c r="N370" s="41" t="str">
        <f>CONCATENATE(CALCULATIONS!Y370,CALCULATIONS!T370)</f>
        <v>per L.M.</v>
      </c>
    </row>
    <row r="371" ht="12.75" customHeight="1">
      <c r="B371" s="44" t="s">
        <v>360</v>
      </c>
      <c r="C371" s="35">
        <f>IFERROR(1/CALCULATIONS!U371,0)</f>
        <v>0.01030927835</v>
      </c>
      <c r="D371" s="36" t="str">
        <f>CONCATENATE(CALCULATIONS!T371,CALCULATIONS!X371)</f>
        <v>KGper hour</v>
      </c>
      <c r="E371" s="35">
        <f>IFERROR(1/CALCULATIONS!V371,0)</f>
        <v>0.02040816327</v>
      </c>
      <c r="F371" s="37" t="str">
        <f>CONCATENATE(CALCULATIONS!T371,CALCULATIONS!X371)</f>
        <v>KGper hour</v>
      </c>
      <c r="G371" s="38">
        <f>IFERROR(1/CALCULATIONS!W371,0)</f>
        <v>4.166666667</v>
      </c>
      <c r="H371" s="36" t="str">
        <f>CONCATENATE(CALCULATIONS!T371,CALCULATIONS!X371)</f>
        <v>KGper hour</v>
      </c>
      <c r="I371" s="39">
        <f>CALCULATIONS!U371*$I$2</f>
        <v>5692.013889</v>
      </c>
      <c r="J371" s="40" t="str">
        <f>CONCATENATE(CALCULATIONS!Y371,CALCULATIONS!T371)</f>
        <v>per KG</v>
      </c>
      <c r="K371" s="39">
        <f>CALCULATIONS!V371*$I$2</f>
        <v>2875.347222</v>
      </c>
      <c r="L371" s="40" t="str">
        <f>CONCATENATE(CALCULATIONS!Y371,CALCULATIONS!T371)</f>
        <v>per KG</v>
      </c>
      <c r="M371" s="39">
        <f>CALCULATIONS!W371*$I$2</f>
        <v>14.08333333</v>
      </c>
      <c r="N371" s="41" t="str">
        <f>CONCATENATE(CALCULATIONS!Y371,CALCULATIONS!T371)</f>
        <v>per KG</v>
      </c>
    </row>
    <row r="372" ht="12.75" customHeight="1">
      <c r="B372" s="44" t="s">
        <v>361</v>
      </c>
      <c r="C372" s="35">
        <f>IFERROR(1/CALCULATIONS!U372,0)</f>
        <v>0.2747252747</v>
      </c>
      <c r="D372" s="36" t="str">
        <f>CONCATENATE(CALCULATIONS!T372,CALCULATIONS!X372)</f>
        <v>CU.M.per hour</v>
      </c>
      <c r="E372" s="35">
        <f>IFERROR(1/CALCULATIONS!V372,0)</f>
        <v>0.5494505495</v>
      </c>
      <c r="F372" s="37" t="str">
        <f>CONCATENATE(CALCULATIONS!T372,CALCULATIONS!X372)</f>
        <v>CU.M.per hour</v>
      </c>
      <c r="G372" s="38">
        <f>IFERROR(1/CALCULATIONS!W372,0)</f>
        <v>1.098901099</v>
      </c>
      <c r="H372" s="36" t="str">
        <f>CONCATENATE(CALCULATIONS!T372,CALCULATIONS!X372)</f>
        <v>CU.M.per hour</v>
      </c>
      <c r="I372" s="39">
        <f>CALCULATIONS!U372*$I$2</f>
        <v>213.5972222</v>
      </c>
      <c r="J372" s="40" t="str">
        <f>CONCATENATE(CALCULATIONS!Y372,CALCULATIONS!T372)</f>
        <v>per CU.M.</v>
      </c>
      <c r="K372" s="39">
        <f>CALCULATIONS!V372*$I$2</f>
        <v>106.7986111</v>
      </c>
      <c r="L372" s="40" t="str">
        <f>CONCATENATE(CALCULATIONS!Y372,CALCULATIONS!T372)</f>
        <v>per CU.M.</v>
      </c>
      <c r="M372" s="39">
        <f>CALCULATIONS!W372*$I$2</f>
        <v>53.39930556</v>
      </c>
      <c r="N372" s="41" t="str">
        <f>CONCATENATE(CALCULATIONS!Y372,CALCULATIONS!T372)</f>
        <v>per CU.M.</v>
      </c>
    </row>
    <row r="373" ht="12.75" customHeight="1">
      <c r="C373" s="35"/>
      <c r="D373" s="36"/>
      <c r="E373" s="35"/>
      <c r="F373" s="37"/>
      <c r="G373" s="38"/>
      <c r="H373" s="36"/>
      <c r="I373" s="39"/>
      <c r="J373" s="40"/>
      <c r="K373" s="39"/>
      <c r="L373" s="40"/>
      <c r="M373" s="39"/>
      <c r="N373" s="41"/>
    </row>
    <row r="374" ht="12.75" customHeight="1">
      <c r="C374" s="35"/>
      <c r="D374" s="36"/>
      <c r="E374" s="35"/>
      <c r="F374" s="37"/>
      <c r="G374" s="38"/>
      <c r="H374" s="36"/>
      <c r="I374" s="39"/>
      <c r="J374" s="40"/>
      <c r="K374" s="39"/>
      <c r="L374" s="40"/>
      <c r="M374" s="39"/>
      <c r="N374" s="41"/>
    </row>
    <row r="375" ht="12.75" customHeight="1">
      <c r="C375" s="35"/>
      <c r="D375" s="36"/>
      <c r="E375" s="35"/>
      <c r="F375" s="37"/>
      <c r="G375" s="38"/>
      <c r="H375" s="36"/>
      <c r="I375" s="39"/>
      <c r="J375" s="40"/>
      <c r="K375" s="39"/>
      <c r="L375" s="40"/>
      <c r="M375" s="39"/>
      <c r="N375" s="41"/>
    </row>
    <row r="376" ht="12.75" customHeight="1">
      <c r="C376" s="35"/>
      <c r="D376" s="36"/>
      <c r="E376" s="35"/>
      <c r="F376" s="37"/>
      <c r="G376" s="38"/>
      <c r="H376" s="36"/>
      <c r="I376" s="39"/>
      <c r="J376" s="40"/>
      <c r="K376" s="39"/>
      <c r="L376" s="40"/>
      <c r="M376" s="39"/>
      <c r="N376" s="41"/>
    </row>
    <row r="377" ht="12.75" customHeight="1">
      <c r="C377" s="35"/>
      <c r="D377" s="36"/>
      <c r="E377" s="35"/>
      <c r="F377" s="37"/>
      <c r="G377" s="38"/>
      <c r="H377" s="36"/>
      <c r="I377" s="39"/>
      <c r="J377" s="40"/>
      <c r="K377" s="39"/>
      <c r="L377" s="40"/>
      <c r="M377" s="39"/>
      <c r="N377" s="41"/>
    </row>
    <row r="378" ht="12.75" customHeight="1">
      <c r="C378" s="35"/>
      <c r="D378" s="36"/>
      <c r="E378" s="35"/>
      <c r="F378" s="37"/>
      <c r="G378" s="38"/>
      <c r="H378" s="36"/>
      <c r="I378" s="39"/>
      <c r="J378" s="40"/>
      <c r="K378" s="39"/>
      <c r="L378" s="40"/>
      <c r="M378" s="39"/>
      <c r="N378" s="41"/>
    </row>
    <row r="379" ht="12.75" customHeight="1">
      <c r="C379" s="35"/>
      <c r="D379" s="36"/>
      <c r="E379" s="35"/>
      <c r="F379" s="37"/>
      <c r="G379" s="38"/>
      <c r="H379" s="36"/>
      <c r="I379" s="39"/>
      <c r="J379" s="40"/>
      <c r="K379" s="39"/>
      <c r="L379" s="40"/>
      <c r="M379" s="39"/>
      <c r="N379" s="41"/>
    </row>
    <row r="380" ht="12.75" customHeight="1">
      <c r="C380" s="35"/>
      <c r="D380" s="36"/>
      <c r="E380" s="35"/>
      <c r="F380" s="37"/>
      <c r="G380" s="38"/>
      <c r="H380" s="36"/>
      <c r="I380" s="39"/>
      <c r="J380" s="40"/>
      <c r="K380" s="39"/>
      <c r="L380" s="40"/>
      <c r="M380" s="39"/>
      <c r="N380" s="41"/>
    </row>
    <row r="381" ht="12.75" customHeight="1">
      <c r="C381" s="35"/>
      <c r="D381" s="36"/>
      <c r="E381" s="35"/>
      <c r="F381" s="37"/>
      <c r="G381" s="38"/>
      <c r="H381" s="36"/>
      <c r="I381" s="39"/>
      <c r="J381" s="40"/>
      <c r="K381" s="39"/>
      <c r="L381" s="40"/>
      <c r="M381" s="39"/>
      <c r="N381" s="41"/>
    </row>
    <row r="382" ht="12.75" customHeight="1">
      <c r="C382" s="35"/>
      <c r="D382" s="36"/>
      <c r="E382" s="35"/>
      <c r="F382" s="37"/>
      <c r="G382" s="38"/>
      <c r="H382" s="36"/>
      <c r="I382" s="39"/>
      <c r="J382" s="40"/>
      <c r="K382" s="39"/>
      <c r="L382" s="40"/>
      <c r="M382" s="39"/>
      <c r="N382" s="41"/>
    </row>
    <row r="383" ht="12.75" customHeight="1">
      <c r="C383" s="35"/>
      <c r="D383" s="36"/>
      <c r="E383" s="35"/>
      <c r="F383" s="37"/>
      <c r="G383" s="38"/>
      <c r="H383" s="36"/>
      <c r="I383" s="39"/>
      <c r="J383" s="40"/>
      <c r="K383" s="39"/>
      <c r="L383" s="40"/>
      <c r="M383" s="39"/>
      <c r="N383" s="41"/>
    </row>
    <row r="384" ht="12.75" customHeight="1">
      <c r="C384" s="35"/>
      <c r="D384" s="36"/>
      <c r="E384" s="35"/>
      <c r="F384" s="37"/>
      <c r="G384" s="38"/>
      <c r="H384" s="36"/>
      <c r="I384" s="39"/>
      <c r="J384" s="40"/>
      <c r="K384" s="39"/>
      <c r="L384" s="40"/>
      <c r="M384" s="39"/>
      <c r="N384" s="41"/>
    </row>
    <row r="385" ht="12.75" customHeight="1">
      <c r="C385" s="35"/>
      <c r="D385" s="36"/>
      <c r="E385" s="35"/>
      <c r="F385" s="37"/>
      <c r="G385" s="38"/>
      <c r="H385" s="36"/>
      <c r="I385" s="39"/>
      <c r="J385" s="40"/>
      <c r="K385" s="39"/>
      <c r="L385" s="40"/>
      <c r="M385" s="39"/>
      <c r="N385" s="41"/>
    </row>
    <row r="386" ht="12.75" customHeight="1">
      <c r="C386" s="35"/>
      <c r="D386" s="36"/>
      <c r="E386" s="35"/>
      <c r="F386" s="37"/>
      <c r="G386" s="38"/>
      <c r="H386" s="36"/>
      <c r="I386" s="39"/>
      <c r="J386" s="40"/>
      <c r="K386" s="39"/>
      <c r="L386" s="40"/>
      <c r="M386" s="39"/>
      <c r="N386" s="41"/>
    </row>
    <row r="387" ht="12.75" customHeight="1">
      <c r="C387" s="35"/>
      <c r="D387" s="36"/>
      <c r="E387" s="35"/>
      <c r="F387" s="37"/>
      <c r="G387" s="38"/>
      <c r="H387" s="36"/>
      <c r="I387" s="39"/>
      <c r="J387" s="40"/>
      <c r="K387" s="39"/>
      <c r="L387" s="40"/>
      <c r="M387" s="39"/>
      <c r="N387" s="41"/>
    </row>
    <row r="388" ht="12.75" customHeight="1">
      <c r="C388" s="35"/>
      <c r="D388" s="36"/>
      <c r="E388" s="35"/>
      <c r="F388" s="37"/>
      <c r="G388" s="38"/>
      <c r="H388" s="36"/>
      <c r="I388" s="39"/>
      <c r="J388" s="40"/>
      <c r="K388" s="39"/>
      <c r="L388" s="40"/>
      <c r="M388" s="39"/>
      <c r="N388" s="41"/>
    </row>
    <row r="389" ht="12.75" customHeight="1">
      <c r="C389" s="35"/>
      <c r="D389" s="36"/>
      <c r="E389" s="35"/>
      <c r="F389" s="37"/>
      <c r="G389" s="38"/>
      <c r="H389" s="36"/>
      <c r="I389" s="39"/>
      <c r="J389" s="40"/>
      <c r="K389" s="39"/>
      <c r="L389" s="40"/>
      <c r="M389" s="39"/>
      <c r="N389" s="41"/>
    </row>
    <row r="390" ht="12.75" customHeight="1">
      <c r="C390" s="35"/>
      <c r="D390" s="36"/>
      <c r="E390" s="35"/>
      <c r="F390" s="37"/>
      <c r="G390" s="38"/>
      <c r="H390" s="36"/>
      <c r="I390" s="39"/>
      <c r="J390" s="40"/>
      <c r="K390" s="39"/>
      <c r="L390" s="40"/>
      <c r="M390" s="39"/>
      <c r="N390" s="41"/>
    </row>
    <row r="391" ht="12.75" customHeight="1">
      <c r="C391" s="35"/>
      <c r="D391" s="36"/>
      <c r="E391" s="35"/>
      <c r="F391" s="37"/>
      <c r="G391" s="38"/>
      <c r="H391" s="36"/>
      <c r="I391" s="39"/>
      <c r="J391" s="40"/>
      <c r="K391" s="39"/>
      <c r="L391" s="40"/>
      <c r="M391" s="39"/>
      <c r="N391" s="41"/>
    </row>
    <row r="392" ht="12.75" customHeight="1">
      <c r="C392" s="35"/>
      <c r="D392" s="36"/>
      <c r="E392" s="35"/>
      <c r="F392" s="37"/>
      <c r="G392" s="38"/>
      <c r="H392" s="36"/>
      <c r="I392" s="39"/>
      <c r="J392" s="40"/>
      <c r="K392" s="39"/>
      <c r="L392" s="40"/>
      <c r="M392" s="39"/>
      <c r="N392" s="41"/>
    </row>
    <row r="393" ht="12.75" customHeight="1">
      <c r="C393" s="35"/>
      <c r="D393" s="36"/>
      <c r="E393" s="35"/>
      <c r="F393" s="37"/>
      <c r="G393" s="38"/>
      <c r="H393" s="36"/>
      <c r="I393" s="39"/>
      <c r="J393" s="40"/>
      <c r="K393" s="39"/>
      <c r="L393" s="40"/>
      <c r="M393" s="39"/>
      <c r="N393" s="41"/>
    </row>
    <row r="394" ht="12.75" customHeight="1">
      <c r="C394" s="35"/>
      <c r="D394" s="36"/>
      <c r="E394" s="35"/>
      <c r="F394" s="37"/>
      <c r="G394" s="38"/>
      <c r="H394" s="36"/>
      <c r="I394" s="39"/>
      <c r="J394" s="40"/>
      <c r="K394" s="39"/>
      <c r="L394" s="40"/>
      <c r="M394" s="39"/>
      <c r="N394" s="41"/>
    </row>
    <row r="395" ht="12.75" customHeight="1">
      <c r="C395" s="35"/>
      <c r="D395" s="36"/>
      <c r="E395" s="35"/>
      <c r="F395" s="37"/>
      <c r="G395" s="38"/>
      <c r="H395" s="36"/>
      <c r="I395" s="39"/>
      <c r="J395" s="40"/>
      <c r="K395" s="39"/>
      <c r="L395" s="40"/>
      <c r="M395" s="39"/>
      <c r="N395" s="41"/>
    </row>
    <row r="396" ht="12.75" customHeight="1">
      <c r="C396" s="35"/>
      <c r="D396" s="36"/>
      <c r="E396" s="35"/>
      <c r="F396" s="37"/>
      <c r="G396" s="38"/>
      <c r="H396" s="36"/>
      <c r="I396" s="39"/>
      <c r="J396" s="40"/>
      <c r="K396" s="39"/>
      <c r="L396" s="40"/>
      <c r="M396" s="39"/>
      <c r="N396" s="41"/>
    </row>
    <row r="397" ht="12.75" customHeight="1">
      <c r="C397" s="35"/>
      <c r="D397" s="36"/>
      <c r="E397" s="35"/>
      <c r="F397" s="37"/>
      <c r="G397" s="38"/>
      <c r="H397" s="36"/>
      <c r="I397" s="39"/>
      <c r="J397" s="40"/>
      <c r="K397" s="39"/>
      <c r="L397" s="40"/>
      <c r="M397" s="39"/>
      <c r="N397" s="41"/>
    </row>
    <row r="398" ht="12.75" customHeight="1">
      <c r="C398" s="35"/>
      <c r="D398" s="36"/>
      <c r="E398" s="35"/>
      <c r="F398" s="37"/>
      <c r="G398" s="38"/>
      <c r="H398" s="36"/>
      <c r="I398" s="39"/>
      <c r="J398" s="40"/>
      <c r="K398" s="39"/>
      <c r="L398" s="40"/>
      <c r="M398" s="39"/>
      <c r="N398" s="41"/>
    </row>
    <row r="399" ht="12.75" customHeight="1">
      <c r="C399" s="35"/>
      <c r="D399" s="36"/>
      <c r="E399" s="35"/>
      <c r="F399" s="37"/>
      <c r="G399" s="38"/>
      <c r="H399" s="36"/>
      <c r="I399" s="39"/>
      <c r="J399" s="40"/>
      <c r="K399" s="39"/>
      <c r="L399" s="40"/>
      <c r="M399" s="39"/>
      <c r="N399" s="41"/>
    </row>
    <row r="400" ht="12.75" customHeight="1">
      <c r="C400" s="35"/>
      <c r="D400" s="36"/>
      <c r="E400" s="35"/>
      <c r="F400" s="37"/>
      <c r="G400" s="38"/>
      <c r="H400" s="36"/>
      <c r="I400" s="39"/>
      <c r="J400" s="40"/>
      <c r="K400" s="39"/>
      <c r="L400" s="40"/>
      <c r="M400" s="39"/>
      <c r="N400" s="41"/>
    </row>
    <row r="401" ht="12.75" customHeight="1">
      <c r="C401" s="35"/>
      <c r="D401" s="36"/>
      <c r="E401" s="35"/>
      <c r="F401" s="37"/>
      <c r="G401" s="38"/>
      <c r="H401" s="36"/>
      <c r="I401" s="39"/>
      <c r="J401" s="40"/>
      <c r="K401" s="39"/>
      <c r="L401" s="40"/>
      <c r="M401" s="39"/>
      <c r="N401" s="41"/>
    </row>
    <row r="402" ht="12.75" customHeight="1">
      <c r="C402" s="35"/>
      <c r="D402" s="36"/>
      <c r="E402" s="35"/>
      <c r="F402" s="37"/>
      <c r="G402" s="38"/>
      <c r="H402" s="36"/>
      <c r="I402" s="39"/>
      <c r="J402" s="40"/>
      <c r="K402" s="39"/>
      <c r="L402" s="40"/>
      <c r="M402" s="39"/>
      <c r="N402" s="41"/>
    </row>
    <row r="403" ht="12.75" customHeight="1">
      <c r="C403" s="35"/>
      <c r="D403" s="36"/>
      <c r="E403" s="35"/>
      <c r="F403" s="37"/>
      <c r="G403" s="38"/>
      <c r="H403" s="36"/>
      <c r="I403" s="39"/>
      <c r="J403" s="40"/>
      <c r="K403" s="39"/>
      <c r="L403" s="40"/>
      <c r="M403" s="39"/>
      <c r="N403" s="41"/>
    </row>
    <row r="404" ht="12.75" customHeight="1">
      <c r="C404" s="35"/>
      <c r="D404" s="36"/>
      <c r="E404" s="35"/>
      <c r="F404" s="37"/>
      <c r="G404" s="38"/>
      <c r="H404" s="36"/>
      <c r="I404" s="39"/>
      <c r="J404" s="40"/>
      <c r="K404" s="39"/>
      <c r="L404" s="40"/>
      <c r="M404" s="39"/>
      <c r="N404" s="41"/>
    </row>
    <row r="405" ht="12.75" customHeight="1">
      <c r="C405" s="35"/>
      <c r="D405" s="36"/>
      <c r="E405" s="35"/>
      <c r="F405" s="37"/>
      <c r="G405" s="38"/>
      <c r="H405" s="36"/>
      <c r="I405" s="39"/>
      <c r="J405" s="40"/>
      <c r="K405" s="39"/>
      <c r="L405" s="40"/>
      <c r="M405" s="39"/>
      <c r="N405" s="41"/>
    </row>
    <row r="406" ht="12.75" customHeight="1">
      <c r="C406" s="35"/>
      <c r="D406" s="36"/>
      <c r="E406" s="35"/>
      <c r="F406" s="37"/>
      <c r="G406" s="38"/>
      <c r="H406" s="36"/>
      <c r="I406" s="39"/>
      <c r="J406" s="40"/>
      <c r="K406" s="39"/>
      <c r="L406" s="40"/>
      <c r="M406" s="39"/>
      <c r="N406" s="41"/>
    </row>
    <row r="407" ht="12.75" customHeight="1">
      <c r="C407" s="35"/>
      <c r="D407" s="36"/>
      <c r="E407" s="35"/>
      <c r="F407" s="37"/>
      <c r="G407" s="38"/>
      <c r="H407" s="36"/>
      <c r="I407" s="39"/>
      <c r="J407" s="40"/>
      <c r="K407" s="39"/>
      <c r="L407" s="40"/>
      <c r="M407" s="39"/>
      <c r="N407" s="41"/>
    </row>
    <row r="408" ht="12.75" customHeight="1">
      <c r="C408" s="35"/>
      <c r="D408" s="36"/>
      <c r="E408" s="35"/>
      <c r="F408" s="37"/>
      <c r="G408" s="38"/>
      <c r="H408" s="36"/>
      <c r="I408" s="39"/>
      <c r="J408" s="40"/>
      <c r="K408" s="39"/>
      <c r="L408" s="40"/>
      <c r="M408" s="39"/>
      <c r="N408" s="41"/>
    </row>
    <row r="409" ht="12.75" customHeight="1">
      <c r="C409" s="35"/>
      <c r="D409" s="36"/>
      <c r="E409" s="35"/>
      <c r="F409" s="37"/>
      <c r="G409" s="38"/>
      <c r="H409" s="36"/>
      <c r="I409" s="39"/>
      <c r="J409" s="40"/>
      <c r="K409" s="39"/>
      <c r="L409" s="40"/>
      <c r="M409" s="39"/>
      <c r="N409" s="41"/>
    </row>
    <row r="410" ht="12.75" customHeight="1">
      <c r="C410" s="35"/>
      <c r="D410" s="36"/>
      <c r="E410" s="35"/>
      <c r="F410" s="37"/>
      <c r="G410" s="38"/>
      <c r="H410" s="36"/>
      <c r="I410" s="39"/>
      <c r="J410" s="40"/>
      <c r="K410" s="39"/>
      <c r="L410" s="40"/>
      <c r="M410" s="39"/>
      <c r="N410" s="41"/>
    </row>
    <row r="411" ht="12.75" customHeight="1">
      <c r="C411" s="35"/>
      <c r="D411" s="36"/>
      <c r="E411" s="35"/>
      <c r="F411" s="37"/>
      <c r="G411" s="38"/>
      <c r="H411" s="36"/>
      <c r="I411" s="39"/>
      <c r="J411" s="40"/>
      <c r="K411" s="39"/>
      <c r="L411" s="40"/>
      <c r="M411" s="39"/>
      <c r="N411" s="41"/>
    </row>
    <row r="412" ht="12.75" customHeight="1">
      <c r="C412" s="35"/>
      <c r="D412" s="36"/>
      <c r="E412" s="35"/>
      <c r="F412" s="37"/>
      <c r="G412" s="38"/>
      <c r="H412" s="36"/>
      <c r="I412" s="39"/>
      <c r="J412" s="40"/>
      <c r="K412" s="39"/>
      <c r="L412" s="40"/>
      <c r="M412" s="39"/>
      <c r="N412" s="41"/>
    </row>
    <row r="413" ht="12.75" customHeight="1">
      <c r="C413" s="35"/>
      <c r="D413" s="36"/>
      <c r="E413" s="35"/>
      <c r="F413" s="37"/>
      <c r="G413" s="38"/>
      <c r="H413" s="36"/>
      <c r="I413" s="39"/>
      <c r="J413" s="40"/>
      <c r="K413" s="39"/>
      <c r="L413" s="40"/>
      <c r="M413" s="39"/>
      <c r="N413" s="41"/>
    </row>
    <row r="414" ht="12.75" customHeight="1">
      <c r="C414" s="35"/>
      <c r="D414" s="36"/>
      <c r="E414" s="35"/>
      <c r="F414" s="37"/>
      <c r="G414" s="38"/>
      <c r="H414" s="36"/>
      <c r="I414" s="39"/>
      <c r="J414" s="40"/>
      <c r="K414" s="39"/>
      <c r="L414" s="40"/>
      <c r="M414" s="39"/>
      <c r="N414" s="41"/>
    </row>
    <row r="415" ht="12.75" customHeight="1">
      <c r="C415" s="35"/>
      <c r="D415" s="36"/>
      <c r="E415" s="35"/>
      <c r="F415" s="37"/>
      <c r="G415" s="38"/>
      <c r="H415" s="36"/>
      <c r="I415" s="39"/>
      <c r="J415" s="40"/>
      <c r="K415" s="39"/>
      <c r="L415" s="40"/>
      <c r="M415" s="39"/>
      <c r="N415" s="41"/>
    </row>
    <row r="416" ht="12.75" customHeight="1">
      <c r="C416" s="35"/>
      <c r="D416" s="36"/>
      <c r="E416" s="35"/>
      <c r="F416" s="37"/>
      <c r="G416" s="38"/>
      <c r="H416" s="36"/>
      <c r="I416" s="39"/>
      <c r="J416" s="40"/>
      <c r="K416" s="39"/>
      <c r="L416" s="40"/>
      <c r="M416" s="39"/>
      <c r="N416" s="41"/>
    </row>
    <row r="417" ht="12.75" customHeight="1">
      <c r="C417" s="35"/>
      <c r="D417" s="36"/>
      <c r="E417" s="35"/>
      <c r="F417" s="37"/>
      <c r="G417" s="38"/>
      <c r="H417" s="36"/>
      <c r="I417" s="39"/>
      <c r="J417" s="40"/>
      <c r="K417" s="39"/>
      <c r="L417" s="40"/>
      <c r="M417" s="39"/>
      <c r="N417" s="41"/>
    </row>
    <row r="418" ht="12.75" customHeight="1">
      <c r="C418" s="35"/>
      <c r="D418" s="36"/>
      <c r="E418" s="35"/>
      <c r="F418" s="37"/>
      <c r="G418" s="38"/>
      <c r="H418" s="36"/>
      <c r="I418" s="39"/>
      <c r="J418" s="40"/>
      <c r="K418" s="39"/>
      <c r="L418" s="40"/>
      <c r="M418" s="39"/>
      <c r="N418" s="41"/>
    </row>
    <row r="419" ht="12.75" customHeight="1">
      <c r="C419" s="35"/>
      <c r="D419" s="36"/>
      <c r="E419" s="35"/>
      <c r="F419" s="37"/>
      <c r="G419" s="38"/>
      <c r="H419" s="36"/>
      <c r="I419" s="39"/>
      <c r="J419" s="40"/>
      <c r="K419" s="39"/>
      <c r="L419" s="40"/>
      <c r="M419" s="39"/>
      <c r="N419" s="41"/>
    </row>
    <row r="420" ht="12.75" customHeight="1">
      <c r="C420" s="35"/>
      <c r="D420" s="36"/>
      <c r="E420" s="35"/>
      <c r="F420" s="37"/>
      <c r="G420" s="38"/>
      <c r="H420" s="36"/>
      <c r="I420" s="39"/>
      <c r="J420" s="40"/>
      <c r="K420" s="39"/>
      <c r="L420" s="40"/>
      <c r="M420" s="39"/>
      <c r="N420" s="41"/>
    </row>
    <row r="421" ht="12.75" customHeight="1">
      <c r="C421" s="35"/>
      <c r="D421" s="36"/>
      <c r="E421" s="35"/>
      <c r="F421" s="37"/>
      <c r="G421" s="38"/>
      <c r="H421" s="36"/>
      <c r="I421" s="39"/>
      <c r="J421" s="40"/>
      <c r="K421" s="39"/>
      <c r="L421" s="40"/>
      <c r="M421" s="39"/>
      <c r="N421" s="41"/>
    </row>
    <row r="422" ht="12.75" customHeight="1">
      <c r="C422" s="35"/>
      <c r="D422" s="36"/>
      <c r="E422" s="35"/>
      <c r="F422" s="37"/>
      <c r="G422" s="38"/>
      <c r="H422" s="36"/>
      <c r="I422" s="39"/>
      <c r="J422" s="40"/>
      <c r="K422" s="39"/>
      <c r="L422" s="40"/>
      <c r="M422" s="39"/>
      <c r="N422" s="41"/>
    </row>
    <row r="423" ht="12.75" customHeight="1">
      <c r="C423" s="35"/>
      <c r="D423" s="36"/>
      <c r="E423" s="35"/>
      <c r="F423" s="37"/>
      <c r="G423" s="38"/>
      <c r="H423" s="36"/>
      <c r="I423" s="39"/>
      <c r="J423" s="40"/>
      <c r="K423" s="39"/>
      <c r="L423" s="40"/>
      <c r="M423" s="39"/>
      <c r="N423" s="41"/>
    </row>
    <row r="424" ht="12.75" customHeight="1">
      <c r="C424" s="35"/>
      <c r="D424" s="36"/>
      <c r="E424" s="35"/>
      <c r="F424" s="37"/>
      <c r="G424" s="38"/>
      <c r="H424" s="36"/>
      <c r="I424" s="39"/>
      <c r="J424" s="40"/>
      <c r="K424" s="39"/>
      <c r="L424" s="40"/>
      <c r="M424" s="39"/>
      <c r="N424" s="41"/>
    </row>
    <row r="425" ht="12.75" customHeight="1">
      <c r="C425" s="35"/>
      <c r="D425" s="36"/>
      <c r="E425" s="35"/>
      <c r="F425" s="37"/>
      <c r="G425" s="38"/>
      <c r="H425" s="36"/>
      <c r="I425" s="39"/>
      <c r="J425" s="40"/>
      <c r="K425" s="39"/>
      <c r="L425" s="40"/>
      <c r="M425" s="39"/>
      <c r="N425" s="41"/>
    </row>
    <row r="426" ht="12.75" customHeight="1">
      <c r="C426" s="35"/>
      <c r="D426" s="36"/>
      <c r="E426" s="35"/>
      <c r="F426" s="37"/>
      <c r="G426" s="38"/>
      <c r="H426" s="36"/>
      <c r="I426" s="39"/>
      <c r="J426" s="40"/>
      <c r="K426" s="39"/>
      <c r="L426" s="40"/>
      <c r="M426" s="39"/>
      <c r="N426" s="41"/>
    </row>
    <row r="427" ht="12.75" customHeight="1">
      <c r="C427" s="35"/>
      <c r="D427" s="36"/>
      <c r="E427" s="35"/>
      <c r="F427" s="37"/>
      <c r="G427" s="38"/>
      <c r="H427" s="36"/>
      <c r="I427" s="39"/>
      <c r="J427" s="40"/>
      <c r="K427" s="39"/>
      <c r="L427" s="40"/>
      <c r="M427" s="39"/>
      <c r="N427" s="41"/>
    </row>
    <row r="428" ht="12.75" customHeight="1">
      <c r="C428" s="35"/>
      <c r="D428" s="36"/>
      <c r="E428" s="35"/>
      <c r="F428" s="37"/>
      <c r="G428" s="38"/>
      <c r="H428" s="36"/>
      <c r="I428" s="39"/>
      <c r="J428" s="40"/>
      <c r="K428" s="39"/>
      <c r="L428" s="40"/>
      <c r="M428" s="39"/>
      <c r="N428" s="41"/>
    </row>
    <row r="429" ht="12.75" customHeight="1">
      <c r="C429" s="35"/>
      <c r="D429" s="36"/>
      <c r="E429" s="35"/>
      <c r="F429" s="37"/>
      <c r="G429" s="38"/>
      <c r="H429" s="36"/>
      <c r="I429" s="39"/>
      <c r="J429" s="40"/>
      <c r="K429" s="39"/>
      <c r="L429" s="40"/>
      <c r="M429" s="39"/>
      <c r="N429" s="41"/>
    </row>
    <row r="430" ht="12.75" customHeight="1">
      <c r="C430" s="35"/>
      <c r="D430" s="36"/>
      <c r="E430" s="35"/>
      <c r="F430" s="37"/>
      <c r="G430" s="38"/>
      <c r="H430" s="36"/>
      <c r="I430" s="39"/>
      <c r="J430" s="40"/>
      <c r="K430" s="39"/>
      <c r="L430" s="40"/>
      <c r="M430" s="39"/>
      <c r="N430" s="41"/>
    </row>
    <row r="431" ht="12.75" customHeight="1">
      <c r="C431" s="35"/>
      <c r="D431" s="36"/>
      <c r="E431" s="35"/>
      <c r="F431" s="37"/>
      <c r="G431" s="38"/>
      <c r="H431" s="36"/>
      <c r="I431" s="39"/>
      <c r="J431" s="40"/>
      <c r="K431" s="39"/>
      <c r="L431" s="40"/>
      <c r="M431" s="39"/>
      <c r="N431" s="41"/>
    </row>
    <row r="432" ht="12.75" customHeight="1">
      <c r="C432" s="35"/>
      <c r="D432" s="36"/>
      <c r="E432" s="35"/>
      <c r="F432" s="37"/>
      <c r="G432" s="38"/>
      <c r="H432" s="36"/>
      <c r="I432" s="39"/>
      <c r="J432" s="40"/>
      <c r="K432" s="39"/>
      <c r="L432" s="40"/>
      <c r="M432" s="39"/>
      <c r="N432" s="41"/>
    </row>
    <row r="433" ht="12.75" customHeight="1">
      <c r="C433" s="35"/>
      <c r="D433" s="36"/>
      <c r="E433" s="35"/>
      <c r="F433" s="37"/>
      <c r="G433" s="38"/>
      <c r="H433" s="36"/>
      <c r="I433" s="39"/>
      <c r="J433" s="40"/>
      <c r="K433" s="39"/>
      <c r="L433" s="40"/>
      <c r="M433" s="39"/>
      <c r="N433" s="41"/>
    </row>
    <row r="434" ht="12.75" customHeight="1">
      <c r="C434" s="35"/>
      <c r="D434" s="36"/>
      <c r="E434" s="35"/>
      <c r="F434" s="37"/>
      <c r="G434" s="38"/>
      <c r="H434" s="36"/>
      <c r="I434" s="39"/>
      <c r="J434" s="40"/>
      <c r="K434" s="39"/>
      <c r="L434" s="40"/>
      <c r="M434" s="39"/>
      <c r="N434" s="41"/>
    </row>
    <row r="435" ht="12.75" customHeight="1">
      <c r="C435" s="35"/>
      <c r="D435" s="36"/>
      <c r="E435" s="35"/>
      <c r="F435" s="37"/>
      <c r="G435" s="38"/>
      <c r="H435" s="36"/>
      <c r="I435" s="39"/>
      <c r="J435" s="40"/>
      <c r="K435" s="39"/>
      <c r="L435" s="40"/>
      <c r="M435" s="39"/>
      <c r="N435" s="41"/>
    </row>
    <row r="436" ht="12.75" customHeight="1">
      <c r="C436" s="35"/>
      <c r="D436" s="36"/>
      <c r="E436" s="35"/>
      <c r="F436" s="37"/>
      <c r="G436" s="38"/>
      <c r="H436" s="36"/>
      <c r="I436" s="39"/>
      <c r="J436" s="40"/>
      <c r="K436" s="39"/>
      <c r="L436" s="40"/>
      <c r="M436" s="39"/>
      <c r="N436" s="41"/>
    </row>
    <row r="437" ht="12.75" customHeight="1">
      <c r="C437" s="35"/>
      <c r="D437" s="36"/>
      <c r="E437" s="35"/>
      <c r="F437" s="37"/>
      <c r="G437" s="38"/>
      <c r="H437" s="36"/>
      <c r="I437" s="39"/>
      <c r="J437" s="40"/>
      <c r="K437" s="39"/>
      <c r="L437" s="40"/>
      <c r="M437" s="39"/>
      <c r="N437" s="41"/>
    </row>
    <row r="438" ht="12.75" customHeight="1">
      <c r="C438" s="35"/>
      <c r="D438" s="36"/>
      <c r="E438" s="35"/>
      <c r="F438" s="37"/>
      <c r="G438" s="38"/>
      <c r="H438" s="36"/>
      <c r="I438" s="39"/>
      <c r="J438" s="40"/>
      <c r="K438" s="39"/>
      <c r="L438" s="40"/>
      <c r="M438" s="39"/>
      <c r="N438" s="41"/>
    </row>
    <row r="439" ht="12.75" customHeight="1">
      <c r="C439" s="35"/>
      <c r="D439" s="36"/>
      <c r="E439" s="35"/>
      <c r="F439" s="37"/>
      <c r="G439" s="38"/>
      <c r="H439" s="36"/>
      <c r="I439" s="39"/>
      <c r="J439" s="40"/>
      <c r="K439" s="39"/>
      <c r="L439" s="40"/>
      <c r="M439" s="39"/>
      <c r="N439" s="41"/>
    </row>
    <row r="440" ht="12.75" customHeight="1">
      <c r="C440" s="35"/>
      <c r="D440" s="36"/>
      <c r="E440" s="35"/>
      <c r="F440" s="37"/>
      <c r="G440" s="38"/>
      <c r="H440" s="36"/>
      <c r="I440" s="39"/>
      <c r="J440" s="40"/>
      <c r="K440" s="39"/>
      <c r="L440" s="40"/>
      <c r="M440" s="39"/>
      <c r="N440" s="41"/>
    </row>
    <row r="441" ht="12.75" customHeight="1">
      <c r="C441" s="35"/>
      <c r="D441" s="36"/>
      <c r="E441" s="35"/>
      <c r="F441" s="37"/>
      <c r="G441" s="38"/>
      <c r="H441" s="36"/>
      <c r="I441" s="39"/>
      <c r="J441" s="40"/>
      <c r="K441" s="39"/>
      <c r="L441" s="40"/>
      <c r="M441" s="39"/>
      <c r="N441" s="41"/>
    </row>
    <row r="442" ht="12.75" customHeight="1">
      <c r="C442" s="35"/>
      <c r="D442" s="36"/>
      <c r="E442" s="35"/>
      <c r="F442" s="37"/>
      <c r="G442" s="38"/>
      <c r="H442" s="36"/>
      <c r="I442" s="39"/>
      <c r="J442" s="40"/>
      <c r="K442" s="39"/>
      <c r="L442" s="40"/>
      <c r="M442" s="39"/>
      <c r="N442" s="41"/>
    </row>
    <row r="443" ht="12.75" customHeight="1">
      <c r="C443" s="35"/>
      <c r="D443" s="36"/>
      <c r="E443" s="35"/>
      <c r="F443" s="37"/>
      <c r="G443" s="38"/>
      <c r="H443" s="36"/>
      <c r="I443" s="39"/>
      <c r="J443" s="40"/>
      <c r="K443" s="39"/>
      <c r="L443" s="40"/>
      <c r="M443" s="39"/>
      <c r="N443" s="41"/>
    </row>
    <row r="444" ht="12.75" customHeight="1">
      <c r="C444" s="35"/>
      <c r="D444" s="36"/>
      <c r="E444" s="35"/>
      <c r="F444" s="37"/>
      <c r="G444" s="38"/>
      <c r="H444" s="36"/>
      <c r="I444" s="39"/>
      <c r="J444" s="40"/>
      <c r="K444" s="39"/>
      <c r="L444" s="40"/>
      <c r="M444" s="39"/>
      <c r="N444" s="41"/>
    </row>
    <row r="445" ht="12.75" customHeight="1">
      <c r="C445" s="35"/>
      <c r="D445" s="36"/>
      <c r="E445" s="35"/>
      <c r="F445" s="37"/>
      <c r="G445" s="38"/>
      <c r="H445" s="36"/>
      <c r="I445" s="39"/>
      <c r="J445" s="40"/>
      <c r="K445" s="39"/>
      <c r="L445" s="40"/>
      <c r="M445" s="39"/>
      <c r="N445" s="41"/>
    </row>
    <row r="446" ht="12.75" customHeight="1">
      <c r="C446" s="35"/>
      <c r="D446" s="36"/>
      <c r="E446" s="35"/>
      <c r="F446" s="37"/>
      <c r="G446" s="38"/>
      <c r="H446" s="36"/>
      <c r="I446" s="39"/>
      <c r="J446" s="40"/>
      <c r="K446" s="39"/>
      <c r="L446" s="40"/>
      <c r="M446" s="39"/>
      <c r="N446" s="41"/>
    </row>
    <row r="447" ht="12.75" customHeight="1">
      <c r="C447" s="35"/>
      <c r="D447" s="36"/>
      <c r="E447" s="35"/>
      <c r="F447" s="37"/>
      <c r="G447" s="38"/>
      <c r="H447" s="36"/>
      <c r="I447" s="39"/>
      <c r="J447" s="40"/>
      <c r="K447" s="39"/>
      <c r="L447" s="40"/>
      <c r="M447" s="39"/>
      <c r="N447" s="41"/>
    </row>
    <row r="448" ht="12.75" customHeight="1">
      <c r="C448" s="35"/>
      <c r="D448" s="36"/>
      <c r="E448" s="35"/>
      <c r="F448" s="37"/>
      <c r="G448" s="38"/>
      <c r="H448" s="36"/>
      <c r="I448" s="39"/>
      <c r="J448" s="40"/>
      <c r="K448" s="39"/>
      <c r="L448" s="40"/>
      <c r="M448" s="39"/>
      <c r="N448" s="41"/>
    </row>
    <row r="449" ht="12.75" customHeight="1">
      <c r="C449" s="35"/>
      <c r="D449" s="36"/>
      <c r="E449" s="35"/>
      <c r="F449" s="37"/>
      <c r="G449" s="38"/>
      <c r="H449" s="36"/>
      <c r="I449" s="39"/>
      <c r="J449" s="40"/>
      <c r="K449" s="39"/>
      <c r="L449" s="40"/>
      <c r="M449" s="39"/>
      <c r="N449" s="41"/>
    </row>
    <row r="450" ht="12.75" customHeight="1">
      <c r="C450" s="35"/>
      <c r="D450" s="36"/>
      <c r="E450" s="35"/>
      <c r="F450" s="37"/>
      <c r="G450" s="38"/>
      <c r="H450" s="36"/>
      <c r="I450" s="39"/>
      <c r="J450" s="40"/>
      <c r="K450" s="39"/>
      <c r="L450" s="40"/>
      <c r="M450" s="39"/>
      <c r="N450" s="41"/>
    </row>
    <row r="451" ht="12.75" customHeight="1">
      <c r="C451" s="35"/>
      <c r="D451" s="36"/>
      <c r="E451" s="35"/>
      <c r="F451" s="37"/>
      <c r="G451" s="38"/>
      <c r="H451" s="36"/>
      <c r="I451" s="39"/>
      <c r="J451" s="40"/>
      <c r="K451" s="39"/>
      <c r="L451" s="40"/>
      <c r="M451" s="39"/>
      <c r="N451" s="41"/>
    </row>
    <row r="452" ht="12.75" customHeight="1">
      <c r="C452" s="35"/>
      <c r="D452" s="36"/>
      <c r="E452" s="35"/>
      <c r="F452" s="37"/>
      <c r="G452" s="38"/>
      <c r="H452" s="36"/>
      <c r="I452" s="39"/>
      <c r="J452" s="40"/>
      <c r="K452" s="39"/>
      <c r="L452" s="40"/>
      <c r="M452" s="39"/>
      <c r="N452" s="41"/>
    </row>
    <row r="453" ht="12.75" customHeight="1">
      <c r="C453" s="35"/>
      <c r="D453" s="36"/>
      <c r="E453" s="35"/>
      <c r="F453" s="37"/>
      <c r="G453" s="38"/>
      <c r="H453" s="36"/>
      <c r="I453" s="39"/>
      <c r="J453" s="40"/>
      <c r="K453" s="39"/>
      <c r="L453" s="40"/>
      <c r="M453" s="39"/>
      <c r="N453" s="41"/>
    </row>
    <row r="454" ht="12.75" customHeight="1">
      <c r="C454" s="35"/>
      <c r="D454" s="36"/>
      <c r="E454" s="35"/>
      <c r="F454" s="37"/>
      <c r="G454" s="38"/>
      <c r="H454" s="36"/>
      <c r="I454" s="39"/>
      <c r="J454" s="40"/>
      <c r="K454" s="39"/>
      <c r="L454" s="40"/>
      <c r="M454" s="39"/>
      <c r="N454" s="41"/>
    </row>
    <row r="455" ht="12.75" customHeight="1">
      <c r="C455" s="35"/>
      <c r="D455" s="36"/>
      <c r="E455" s="35"/>
      <c r="F455" s="37"/>
      <c r="G455" s="38"/>
      <c r="H455" s="36"/>
      <c r="I455" s="39"/>
      <c r="J455" s="40"/>
      <c r="K455" s="39"/>
      <c r="L455" s="40"/>
      <c r="M455" s="39"/>
      <c r="N455" s="41"/>
    </row>
    <row r="456" ht="12.75" customHeight="1">
      <c r="C456" s="35"/>
      <c r="D456" s="36"/>
      <c r="E456" s="35"/>
      <c r="F456" s="37"/>
      <c r="G456" s="38"/>
      <c r="H456" s="36"/>
      <c r="I456" s="39"/>
      <c r="J456" s="40"/>
      <c r="K456" s="39"/>
      <c r="L456" s="40"/>
      <c r="M456" s="39"/>
      <c r="N456" s="41"/>
    </row>
    <row r="457" ht="12.75" customHeight="1">
      <c r="C457" s="35"/>
      <c r="D457" s="36"/>
      <c r="E457" s="35"/>
      <c r="F457" s="37"/>
      <c r="G457" s="38"/>
      <c r="H457" s="36"/>
      <c r="I457" s="39"/>
      <c r="J457" s="40"/>
      <c r="K457" s="39"/>
      <c r="L457" s="40"/>
      <c r="M457" s="39"/>
      <c r="N457" s="41"/>
    </row>
    <row r="458" ht="12.75" customHeight="1">
      <c r="C458" s="35"/>
      <c r="D458" s="36"/>
      <c r="E458" s="35"/>
      <c r="F458" s="37"/>
      <c r="G458" s="38"/>
      <c r="H458" s="36"/>
      <c r="I458" s="39"/>
      <c r="J458" s="40"/>
      <c r="K458" s="39"/>
      <c r="L458" s="40"/>
      <c r="M458" s="39"/>
      <c r="N458" s="41"/>
    </row>
    <row r="459" ht="12.75" customHeight="1">
      <c r="C459" s="35"/>
      <c r="D459" s="36"/>
      <c r="E459" s="35"/>
      <c r="F459" s="37"/>
      <c r="G459" s="38"/>
      <c r="H459" s="36"/>
      <c r="I459" s="39"/>
      <c r="J459" s="40"/>
      <c r="K459" s="39"/>
      <c r="L459" s="40"/>
      <c r="M459" s="39"/>
      <c r="N459" s="41"/>
    </row>
    <row r="460" ht="12.75" customHeight="1">
      <c r="C460" s="35"/>
      <c r="D460" s="36"/>
      <c r="E460" s="35"/>
      <c r="F460" s="37"/>
      <c r="G460" s="38"/>
      <c r="H460" s="36"/>
      <c r="I460" s="39"/>
      <c r="J460" s="40"/>
      <c r="K460" s="39"/>
      <c r="L460" s="40"/>
      <c r="M460" s="39"/>
      <c r="N460" s="41"/>
    </row>
    <row r="461" ht="12.75" customHeight="1">
      <c r="C461" s="35"/>
      <c r="D461" s="36"/>
      <c r="E461" s="35"/>
      <c r="F461" s="37"/>
      <c r="G461" s="38"/>
      <c r="H461" s="36"/>
      <c r="I461" s="39"/>
      <c r="J461" s="40"/>
      <c r="K461" s="39"/>
      <c r="L461" s="40"/>
      <c r="M461" s="39"/>
      <c r="N461" s="41"/>
    </row>
    <row r="462" ht="12.75" customHeight="1">
      <c r="C462" s="35"/>
      <c r="D462" s="36"/>
      <c r="E462" s="35"/>
      <c r="F462" s="37"/>
      <c r="G462" s="38"/>
      <c r="H462" s="36"/>
      <c r="I462" s="39"/>
      <c r="J462" s="40"/>
      <c r="K462" s="39"/>
      <c r="L462" s="40"/>
      <c r="M462" s="39"/>
      <c r="N462" s="41"/>
    </row>
    <row r="463" ht="12.75" customHeight="1">
      <c r="C463" s="35"/>
      <c r="D463" s="36"/>
      <c r="E463" s="35"/>
      <c r="F463" s="37"/>
      <c r="G463" s="38"/>
      <c r="H463" s="36"/>
      <c r="I463" s="39"/>
      <c r="J463" s="40"/>
      <c r="K463" s="39"/>
      <c r="L463" s="40"/>
      <c r="M463" s="39"/>
      <c r="N463" s="41"/>
    </row>
    <row r="464" ht="12.75" customHeight="1">
      <c r="C464" s="35"/>
      <c r="D464" s="36"/>
      <c r="E464" s="35"/>
      <c r="F464" s="37"/>
      <c r="G464" s="38"/>
      <c r="H464" s="36"/>
      <c r="I464" s="39"/>
      <c r="J464" s="40"/>
      <c r="K464" s="39"/>
      <c r="L464" s="40"/>
      <c r="M464" s="39"/>
      <c r="N464" s="41"/>
    </row>
    <row r="465" ht="12.75" customHeight="1">
      <c r="C465" s="35"/>
      <c r="D465" s="36"/>
      <c r="E465" s="35"/>
      <c r="F465" s="37"/>
      <c r="G465" s="38"/>
      <c r="H465" s="36"/>
      <c r="I465" s="39"/>
      <c r="J465" s="40"/>
      <c r="K465" s="39"/>
      <c r="L465" s="40"/>
      <c r="M465" s="39"/>
      <c r="N465" s="41"/>
    </row>
    <row r="466" ht="12.75" customHeight="1">
      <c r="C466" s="35"/>
      <c r="D466" s="36"/>
      <c r="E466" s="35"/>
      <c r="F466" s="37"/>
      <c r="G466" s="38"/>
      <c r="H466" s="36"/>
      <c r="I466" s="39"/>
      <c r="J466" s="40"/>
      <c r="K466" s="39"/>
      <c r="L466" s="40"/>
      <c r="M466" s="39"/>
      <c r="N466" s="41"/>
    </row>
    <row r="467" ht="12.75" customHeight="1">
      <c r="C467" s="35"/>
      <c r="D467" s="36"/>
      <c r="E467" s="35"/>
      <c r="F467" s="37"/>
      <c r="G467" s="38"/>
      <c r="H467" s="36"/>
      <c r="I467" s="39"/>
      <c r="J467" s="40"/>
      <c r="K467" s="39"/>
      <c r="L467" s="40"/>
      <c r="M467" s="39"/>
      <c r="N467" s="41"/>
    </row>
    <row r="468" ht="12.75" customHeight="1">
      <c r="C468" s="35"/>
      <c r="D468" s="36"/>
      <c r="E468" s="35"/>
      <c r="F468" s="37"/>
      <c r="G468" s="38"/>
      <c r="H468" s="36"/>
      <c r="I468" s="39"/>
      <c r="J468" s="40"/>
      <c r="K468" s="39"/>
      <c r="L468" s="40"/>
      <c r="M468" s="39"/>
      <c r="N468" s="41"/>
    </row>
    <row r="469" ht="12.75" customHeight="1">
      <c r="C469" s="35"/>
      <c r="D469" s="36"/>
      <c r="E469" s="35"/>
      <c r="F469" s="37"/>
      <c r="G469" s="38"/>
      <c r="H469" s="36"/>
      <c r="I469" s="39"/>
      <c r="J469" s="40"/>
      <c r="K469" s="39"/>
      <c r="L469" s="40"/>
      <c r="M469" s="39"/>
      <c r="N469" s="41"/>
    </row>
    <row r="470" ht="12.75" customHeight="1">
      <c r="C470" s="35"/>
      <c r="D470" s="36"/>
      <c r="E470" s="35"/>
      <c r="F470" s="37"/>
      <c r="G470" s="38"/>
      <c r="H470" s="36"/>
      <c r="I470" s="39"/>
      <c r="J470" s="40"/>
      <c r="K470" s="39"/>
      <c r="L470" s="40"/>
      <c r="M470" s="39"/>
      <c r="N470" s="41"/>
    </row>
    <row r="471" ht="12.75" customHeight="1">
      <c r="C471" s="35"/>
      <c r="D471" s="36"/>
      <c r="E471" s="35"/>
      <c r="F471" s="37"/>
      <c r="G471" s="38"/>
      <c r="H471" s="36"/>
      <c r="I471" s="39"/>
      <c r="J471" s="40"/>
      <c r="K471" s="39"/>
      <c r="L471" s="40"/>
      <c r="M471" s="39"/>
      <c r="N471" s="41"/>
    </row>
    <row r="472" ht="12.75" customHeight="1">
      <c r="C472" s="35"/>
      <c r="D472" s="36"/>
      <c r="E472" s="35"/>
      <c r="F472" s="37"/>
      <c r="G472" s="38"/>
      <c r="H472" s="36"/>
      <c r="I472" s="39"/>
      <c r="J472" s="40"/>
      <c r="K472" s="39"/>
      <c r="L472" s="40"/>
      <c r="M472" s="39"/>
      <c r="N472" s="41"/>
    </row>
    <row r="473" ht="12.75" customHeight="1">
      <c r="C473" s="35"/>
      <c r="D473" s="36"/>
      <c r="E473" s="35"/>
      <c r="F473" s="37"/>
      <c r="G473" s="38"/>
      <c r="H473" s="36"/>
      <c r="I473" s="39"/>
      <c r="J473" s="40"/>
      <c r="K473" s="39"/>
      <c r="L473" s="40"/>
      <c r="M473" s="39"/>
      <c r="N473" s="41"/>
    </row>
    <row r="474" ht="12.75" customHeight="1">
      <c r="C474" s="35"/>
      <c r="D474" s="36"/>
      <c r="E474" s="35"/>
      <c r="F474" s="37"/>
      <c r="G474" s="38"/>
      <c r="H474" s="36"/>
      <c r="I474" s="39"/>
      <c r="J474" s="40"/>
      <c r="K474" s="39"/>
      <c r="L474" s="40"/>
      <c r="M474" s="39"/>
      <c r="N474" s="41"/>
    </row>
    <row r="475" ht="12.75" customHeight="1">
      <c r="C475" s="35"/>
      <c r="D475" s="36"/>
      <c r="E475" s="35"/>
      <c r="F475" s="37"/>
      <c r="G475" s="38"/>
      <c r="H475" s="36"/>
      <c r="I475" s="39"/>
      <c r="J475" s="40"/>
      <c r="K475" s="39"/>
      <c r="L475" s="40"/>
      <c r="M475" s="39"/>
      <c r="N475" s="41"/>
    </row>
    <row r="476" ht="12.75" customHeight="1">
      <c r="C476" s="35"/>
      <c r="D476" s="36"/>
      <c r="E476" s="35"/>
      <c r="F476" s="37"/>
      <c r="G476" s="38"/>
      <c r="H476" s="36"/>
      <c r="I476" s="39"/>
      <c r="J476" s="40"/>
      <c r="K476" s="39"/>
      <c r="L476" s="40"/>
      <c r="M476" s="39"/>
      <c r="N476" s="41"/>
    </row>
    <row r="477" ht="12.75" customHeight="1">
      <c r="C477" s="35"/>
      <c r="D477" s="36"/>
      <c r="E477" s="35"/>
      <c r="F477" s="37"/>
      <c r="G477" s="38"/>
      <c r="H477" s="36"/>
      <c r="I477" s="39"/>
      <c r="J477" s="40"/>
      <c r="K477" s="39"/>
      <c r="L477" s="40"/>
      <c r="M477" s="39"/>
      <c r="N477" s="41"/>
    </row>
    <row r="478" ht="12.75" customHeight="1">
      <c r="C478" s="35"/>
      <c r="D478" s="36"/>
      <c r="E478" s="35"/>
      <c r="F478" s="37"/>
      <c r="G478" s="38"/>
      <c r="H478" s="36"/>
      <c r="I478" s="39"/>
      <c r="J478" s="40"/>
      <c r="K478" s="39"/>
      <c r="L478" s="40"/>
      <c r="M478" s="39"/>
      <c r="N478" s="41"/>
    </row>
    <row r="479" ht="12.75" customHeight="1">
      <c r="C479" s="35"/>
      <c r="D479" s="36"/>
      <c r="E479" s="35"/>
      <c r="F479" s="37"/>
      <c r="G479" s="38"/>
      <c r="H479" s="36"/>
      <c r="I479" s="39"/>
      <c r="J479" s="40"/>
      <c r="K479" s="39"/>
      <c r="L479" s="40"/>
      <c r="M479" s="39"/>
      <c r="N479" s="41"/>
    </row>
    <row r="480" ht="12.75" customHeight="1">
      <c r="C480" s="35"/>
      <c r="D480" s="36"/>
      <c r="E480" s="35"/>
      <c r="F480" s="37"/>
      <c r="G480" s="38"/>
      <c r="H480" s="36"/>
      <c r="I480" s="39"/>
      <c r="J480" s="40"/>
      <c r="K480" s="39"/>
      <c r="L480" s="40"/>
      <c r="M480" s="39"/>
      <c r="N480" s="41"/>
    </row>
    <row r="481" ht="12.75" customHeight="1">
      <c r="C481" s="35"/>
      <c r="D481" s="36"/>
      <c r="E481" s="35"/>
      <c r="F481" s="37"/>
      <c r="G481" s="38"/>
      <c r="H481" s="36"/>
      <c r="I481" s="39"/>
      <c r="J481" s="40"/>
      <c r="K481" s="39"/>
      <c r="L481" s="40"/>
      <c r="M481" s="39"/>
      <c r="N481" s="41"/>
    </row>
    <row r="482" ht="12.75" customHeight="1">
      <c r="C482" s="35"/>
      <c r="D482" s="36"/>
      <c r="E482" s="35"/>
      <c r="F482" s="37"/>
      <c r="G482" s="38"/>
      <c r="H482" s="36"/>
      <c r="I482" s="39"/>
      <c r="J482" s="40"/>
      <c r="K482" s="39"/>
      <c r="L482" s="40"/>
      <c r="M482" s="39"/>
      <c r="N482" s="41"/>
    </row>
    <row r="483" ht="12.75" customHeight="1">
      <c r="C483" s="35"/>
      <c r="D483" s="36"/>
      <c r="E483" s="35"/>
      <c r="F483" s="37"/>
      <c r="G483" s="38"/>
      <c r="H483" s="36"/>
      <c r="I483" s="39"/>
      <c r="J483" s="40"/>
      <c r="K483" s="39"/>
      <c r="L483" s="40"/>
      <c r="M483" s="39"/>
      <c r="N483" s="41"/>
    </row>
    <row r="484" ht="12.75" customHeight="1">
      <c r="C484" s="35"/>
      <c r="D484" s="36"/>
      <c r="E484" s="35"/>
      <c r="F484" s="37"/>
      <c r="G484" s="38"/>
      <c r="H484" s="36"/>
      <c r="I484" s="39"/>
      <c r="J484" s="40"/>
      <c r="K484" s="39"/>
      <c r="L484" s="40"/>
      <c r="M484" s="39"/>
      <c r="N484" s="41"/>
    </row>
    <row r="485" ht="12.75" customHeight="1">
      <c r="C485" s="35"/>
      <c r="D485" s="36"/>
      <c r="E485" s="35"/>
      <c r="F485" s="37"/>
      <c r="G485" s="38"/>
      <c r="H485" s="36"/>
      <c r="I485" s="39"/>
      <c r="J485" s="40"/>
      <c r="K485" s="39"/>
      <c r="L485" s="40"/>
      <c r="M485" s="39"/>
      <c r="N485" s="41"/>
    </row>
    <row r="486" ht="12.75" customHeight="1">
      <c r="C486" s="35"/>
      <c r="D486" s="36"/>
      <c r="E486" s="35"/>
      <c r="F486" s="37"/>
      <c r="G486" s="38"/>
      <c r="H486" s="36"/>
      <c r="I486" s="39"/>
      <c r="J486" s="40"/>
      <c r="K486" s="39"/>
      <c r="L486" s="40"/>
      <c r="M486" s="39"/>
      <c r="N486" s="41"/>
    </row>
    <row r="487" ht="12.75" customHeight="1">
      <c r="C487" s="35"/>
      <c r="D487" s="36"/>
      <c r="E487" s="35"/>
      <c r="F487" s="37"/>
      <c r="G487" s="38"/>
      <c r="H487" s="36"/>
      <c r="I487" s="39"/>
      <c r="J487" s="40"/>
      <c r="K487" s="39"/>
      <c r="L487" s="40"/>
      <c r="M487" s="39"/>
      <c r="N487" s="41"/>
    </row>
    <row r="488" ht="12.75" customHeight="1">
      <c r="C488" s="35"/>
      <c r="D488" s="36"/>
      <c r="E488" s="35"/>
      <c r="F488" s="37"/>
      <c r="G488" s="38"/>
      <c r="H488" s="36"/>
      <c r="I488" s="39"/>
      <c r="J488" s="40"/>
      <c r="K488" s="39"/>
      <c r="L488" s="40"/>
      <c r="M488" s="39"/>
      <c r="N488" s="41"/>
    </row>
    <row r="489" ht="12.75" customHeight="1">
      <c r="C489" s="35"/>
      <c r="D489" s="36"/>
      <c r="E489" s="35"/>
      <c r="F489" s="37"/>
      <c r="G489" s="38"/>
      <c r="H489" s="36"/>
      <c r="I489" s="39"/>
      <c r="J489" s="40"/>
      <c r="K489" s="39"/>
      <c r="L489" s="40"/>
      <c r="M489" s="39"/>
      <c r="N489" s="41"/>
    </row>
    <row r="490" ht="12.75" customHeight="1">
      <c r="C490" s="35"/>
      <c r="D490" s="36"/>
      <c r="E490" s="35"/>
      <c r="F490" s="37"/>
      <c r="G490" s="38"/>
      <c r="H490" s="36"/>
      <c r="I490" s="39"/>
      <c r="J490" s="40"/>
      <c r="K490" s="39"/>
      <c r="L490" s="40"/>
      <c r="M490" s="39"/>
      <c r="N490" s="41"/>
    </row>
    <row r="491" ht="12.75" customHeight="1">
      <c r="C491" s="35"/>
      <c r="D491" s="36"/>
      <c r="E491" s="35"/>
      <c r="F491" s="37"/>
      <c r="G491" s="38"/>
      <c r="H491" s="36"/>
      <c r="I491" s="39"/>
      <c r="J491" s="40"/>
      <c r="K491" s="39"/>
      <c r="L491" s="40"/>
      <c r="M491" s="39"/>
      <c r="N491" s="41"/>
    </row>
    <row r="492" ht="12.75" customHeight="1">
      <c r="C492" s="35"/>
      <c r="D492" s="36"/>
      <c r="E492" s="35"/>
      <c r="F492" s="37"/>
      <c r="G492" s="38"/>
      <c r="H492" s="36"/>
      <c r="I492" s="39"/>
      <c r="J492" s="40"/>
      <c r="K492" s="39"/>
      <c r="L492" s="40"/>
      <c r="M492" s="39"/>
      <c r="N492" s="41"/>
    </row>
    <row r="493" ht="12.75" customHeight="1">
      <c r="C493" s="35"/>
      <c r="D493" s="36"/>
      <c r="E493" s="35"/>
      <c r="F493" s="37"/>
      <c r="G493" s="38"/>
      <c r="H493" s="36"/>
      <c r="I493" s="39"/>
      <c r="J493" s="40"/>
      <c r="K493" s="39"/>
      <c r="L493" s="40"/>
      <c r="M493" s="39"/>
      <c r="N493" s="41"/>
    </row>
    <row r="494" ht="12.75" customHeight="1">
      <c r="C494" s="35"/>
      <c r="D494" s="36"/>
      <c r="E494" s="35"/>
      <c r="F494" s="37"/>
      <c r="G494" s="38"/>
      <c r="H494" s="36"/>
      <c r="I494" s="39"/>
      <c r="J494" s="40"/>
      <c r="K494" s="39"/>
      <c r="L494" s="40"/>
      <c r="M494" s="39"/>
      <c r="N494" s="41"/>
    </row>
    <row r="495" ht="12.75" customHeight="1">
      <c r="C495" s="35"/>
      <c r="D495" s="36"/>
      <c r="E495" s="35"/>
      <c r="F495" s="37"/>
      <c r="G495" s="38"/>
      <c r="H495" s="36"/>
      <c r="I495" s="39"/>
      <c r="J495" s="40"/>
      <c r="K495" s="39"/>
      <c r="L495" s="40"/>
      <c r="M495" s="39"/>
      <c r="N495" s="41"/>
    </row>
    <row r="496" ht="12.75" customHeight="1">
      <c r="C496" s="35"/>
      <c r="D496" s="36"/>
      <c r="E496" s="35"/>
      <c r="F496" s="37"/>
      <c r="G496" s="38"/>
      <c r="H496" s="36"/>
      <c r="I496" s="39"/>
      <c r="J496" s="40"/>
      <c r="K496" s="39"/>
      <c r="L496" s="40"/>
      <c r="M496" s="39"/>
      <c r="N496" s="41"/>
    </row>
    <row r="497" ht="12.75" customHeight="1">
      <c r="C497" s="35"/>
      <c r="D497" s="36"/>
      <c r="E497" s="35"/>
      <c r="F497" s="37"/>
      <c r="G497" s="38"/>
      <c r="H497" s="36"/>
      <c r="I497" s="39"/>
      <c r="J497" s="40"/>
      <c r="K497" s="39"/>
      <c r="L497" s="40"/>
      <c r="M497" s="39"/>
      <c r="N497" s="41"/>
    </row>
    <row r="498" ht="12.75" customHeight="1">
      <c r="C498" s="35"/>
      <c r="D498" s="36"/>
      <c r="E498" s="35"/>
      <c r="F498" s="37"/>
      <c r="G498" s="38"/>
      <c r="H498" s="36"/>
      <c r="I498" s="39"/>
      <c r="J498" s="40"/>
      <c r="K498" s="39"/>
      <c r="L498" s="40"/>
      <c r="M498" s="39"/>
      <c r="N498" s="41"/>
    </row>
    <row r="499" ht="12.75" customHeight="1">
      <c r="C499" s="35"/>
      <c r="D499" s="36"/>
      <c r="E499" s="35"/>
      <c r="F499" s="37"/>
      <c r="G499" s="38"/>
      <c r="H499" s="36"/>
      <c r="I499" s="39"/>
      <c r="J499" s="40"/>
      <c r="K499" s="39"/>
      <c r="L499" s="40"/>
      <c r="M499" s="39"/>
      <c r="N499" s="41"/>
    </row>
    <row r="500" ht="12.75" customHeight="1">
      <c r="C500" s="35"/>
      <c r="D500" s="36"/>
      <c r="E500" s="35"/>
      <c r="F500" s="37"/>
      <c r="G500" s="38"/>
      <c r="H500" s="36"/>
      <c r="I500" s="39"/>
      <c r="J500" s="40"/>
      <c r="K500" s="39"/>
      <c r="L500" s="40"/>
      <c r="M500" s="39"/>
      <c r="N500" s="41"/>
    </row>
    <row r="501" ht="12.75" customHeight="1">
      <c r="C501" s="35"/>
      <c r="D501" s="36"/>
      <c r="E501" s="35"/>
      <c r="F501" s="37"/>
      <c r="G501" s="38"/>
      <c r="H501" s="36"/>
      <c r="I501" s="39"/>
      <c r="J501" s="40"/>
      <c r="K501" s="39"/>
      <c r="L501" s="40"/>
      <c r="M501" s="39"/>
      <c r="N501" s="41"/>
    </row>
    <row r="502" ht="12.75" customHeight="1">
      <c r="C502" s="35"/>
      <c r="D502" s="36"/>
      <c r="E502" s="35"/>
      <c r="F502" s="37"/>
      <c r="G502" s="38"/>
      <c r="H502" s="36"/>
      <c r="I502" s="39"/>
      <c r="J502" s="40"/>
      <c r="K502" s="39"/>
      <c r="L502" s="40"/>
      <c r="M502" s="39"/>
      <c r="N502" s="41"/>
    </row>
    <row r="503" ht="12.75" customHeight="1">
      <c r="C503" s="35"/>
      <c r="D503" s="36"/>
      <c r="E503" s="35"/>
      <c r="F503" s="37"/>
      <c r="G503" s="38"/>
      <c r="H503" s="36"/>
      <c r="I503" s="39"/>
      <c r="J503" s="40"/>
      <c r="K503" s="39"/>
      <c r="L503" s="40"/>
      <c r="M503" s="39"/>
      <c r="N503" s="41"/>
    </row>
    <row r="504" ht="12.75" customHeight="1">
      <c r="C504" s="35"/>
      <c r="D504" s="36"/>
      <c r="E504" s="35"/>
      <c r="F504" s="37"/>
      <c r="G504" s="38"/>
      <c r="H504" s="36"/>
      <c r="I504" s="39"/>
      <c r="J504" s="40"/>
      <c r="K504" s="39"/>
      <c r="L504" s="40"/>
      <c r="M504" s="39"/>
      <c r="N504" s="41"/>
    </row>
    <row r="505" ht="12.75" customHeight="1">
      <c r="C505" s="35"/>
      <c r="D505" s="36"/>
      <c r="E505" s="35"/>
      <c r="F505" s="37"/>
      <c r="G505" s="38"/>
      <c r="H505" s="36"/>
      <c r="I505" s="39"/>
      <c r="J505" s="40"/>
      <c r="K505" s="39"/>
      <c r="L505" s="40"/>
      <c r="M505" s="39"/>
      <c r="N505" s="41"/>
    </row>
    <row r="506" ht="12.75" customHeight="1">
      <c r="C506" s="35"/>
      <c r="D506" s="36"/>
      <c r="E506" s="35"/>
      <c r="F506" s="37"/>
      <c r="G506" s="38"/>
      <c r="H506" s="36"/>
      <c r="I506" s="39"/>
      <c r="J506" s="40"/>
      <c r="K506" s="39"/>
      <c r="L506" s="40"/>
      <c r="M506" s="39"/>
      <c r="N506" s="41"/>
    </row>
    <row r="507" ht="12.75" customHeight="1">
      <c r="C507" s="35"/>
      <c r="D507" s="36"/>
      <c r="E507" s="35"/>
      <c r="F507" s="37"/>
      <c r="G507" s="38"/>
      <c r="H507" s="36"/>
      <c r="I507" s="39"/>
      <c r="J507" s="40"/>
      <c r="K507" s="39"/>
      <c r="L507" s="40"/>
      <c r="M507" s="39"/>
      <c r="N507" s="41"/>
    </row>
    <row r="508" ht="12.75" customHeight="1">
      <c r="C508" s="35"/>
      <c r="D508" s="36"/>
      <c r="E508" s="35"/>
      <c r="F508" s="37"/>
      <c r="G508" s="38"/>
      <c r="H508" s="36"/>
      <c r="I508" s="39"/>
      <c r="J508" s="40"/>
      <c r="K508" s="39"/>
      <c r="L508" s="40"/>
      <c r="M508" s="39"/>
      <c r="N508" s="41"/>
    </row>
    <row r="509" ht="12.75" customHeight="1">
      <c r="C509" s="35"/>
      <c r="D509" s="36"/>
      <c r="E509" s="35"/>
      <c r="F509" s="37"/>
      <c r="G509" s="38"/>
      <c r="H509" s="36"/>
      <c r="I509" s="39"/>
      <c r="J509" s="40"/>
      <c r="K509" s="39"/>
      <c r="L509" s="40"/>
      <c r="M509" s="39"/>
      <c r="N509" s="41"/>
    </row>
    <row r="510" ht="12.75" customHeight="1">
      <c r="C510" s="35"/>
      <c r="D510" s="36"/>
      <c r="E510" s="35"/>
      <c r="F510" s="37"/>
      <c r="G510" s="38"/>
      <c r="H510" s="36"/>
      <c r="I510" s="39"/>
      <c r="J510" s="40"/>
      <c r="K510" s="39"/>
      <c r="L510" s="40"/>
      <c r="M510" s="39"/>
      <c r="N510" s="41"/>
    </row>
    <row r="511" ht="12.75" customHeight="1">
      <c r="C511" s="35"/>
      <c r="D511" s="36"/>
      <c r="E511" s="35"/>
      <c r="F511" s="37"/>
      <c r="G511" s="38"/>
      <c r="H511" s="36"/>
      <c r="I511" s="39"/>
      <c r="J511" s="40"/>
      <c r="K511" s="39"/>
      <c r="L511" s="40"/>
      <c r="M511" s="39"/>
      <c r="N511" s="41"/>
    </row>
    <row r="512" ht="12.75" customHeight="1">
      <c r="C512" s="35"/>
      <c r="D512" s="36"/>
      <c r="E512" s="35"/>
      <c r="F512" s="37"/>
      <c r="G512" s="38"/>
      <c r="H512" s="36"/>
      <c r="I512" s="39"/>
      <c r="J512" s="40"/>
      <c r="K512" s="39"/>
      <c r="L512" s="40"/>
      <c r="M512" s="39"/>
      <c r="N512" s="41"/>
    </row>
    <row r="513" ht="12.75" customHeight="1">
      <c r="C513" s="35"/>
      <c r="D513" s="36"/>
      <c r="E513" s="35"/>
      <c r="F513" s="37"/>
      <c r="G513" s="38"/>
      <c r="H513" s="36"/>
      <c r="I513" s="39"/>
      <c r="J513" s="40"/>
      <c r="K513" s="39"/>
      <c r="L513" s="40"/>
      <c r="M513" s="39"/>
      <c r="N513" s="41"/>
    </row>
    <row r="514" ht="12.75" customHeight="1">
      <c r="C514" s="35"/>
      <c r="D514" s="36"/>
      <c r="E514" s="35"/>
      <c r="F514" s="37"/>
      <c r="G514" s="38"/>
      <c r="H514" s="36"/>
      <c r="I514" s="39"/>
      <c r="J514" s="40"/>
      <c r="K514" s="39"/>
      <c r="L514" s="40"/>
      <c r="M514" s="39"/>
      <c r="N514" s="41"/>
    </row>
    <row r="515" ht="12.75" customHeight="1">
      <c r="C515" s="35"/>
      <c r="D515" s="36"/>
      <c r="E515" s="35"/>
      <c r="F515" s="37"/>
      <c r="G515" s="38"/>
      <c r="H515" s="36"/>
      <c r="I515" s="39"/>
      <c r="J515" s="40"/>
      <c r="K515" s="39"/>
      <c r="L515" s="40"/>
      <c r="M515" s="39"/>
      <c r="N515" s="41"/>
    </row>
    <row r="516" ht="12.75" customHeight="1">
      <c r="C516" s="35"/>
      <c r="D516" s="36"/>
      <c r="E516" s="35"/>
      <c r="F516" s="37"/>
      <c r="G516" s="38"/>
      <c r="H516" s="36"/>
      <c r="I516" s="39"/>
      <c r="J516" s="40"/>
      <c r="K516" s="39"/>
      <c r="L516" s="40"/>
      <c r="M516" s="39"/>
      <c r="N516" s="41"/>
    </row>
    <row r="517" ht="12.75" customHeight="1">
      <c r="C517" s="35"/>
      <c r="D517" s="36"/>
      <c r="E517" s="35"/>
      <c r="F517" s="37"/>
      <c r="G517" s="38"/>
      <c r="H517" s="36"/>
      <c r="I517" s="39"/>
      <c r="J517" s="40"/>
      <c r="K517" s="39"/>
      <c r="L517" s="40"/>
      <c r="M517" s="39"/>
      <c r="N517" s="41"/>
    </row>
    <row r="518" ht="12.75" customHeight="1">
      <c r="C518" s="35"/>
      <c r="D518" s="36"/>
      <c r="E518" s="35"/>
      <c r="F518" s="37"/>
      <c r="G518" s="38"/>
      <c r="H518" s="36"/>
      <c r="I518" s="39"/>
      <c r="J518" s="40"/>
      <c r="K518" s="39"/>
      <c r="L518" s="40"/>
      <c r="M518" s="39"/>
      <c r="N518" s="41"/>
    </row>
    <row r="519" ht="12.75" customHeight="1">
      <c r="C519" s="35"/>
      <c r="D519" s="36"/>
      <c r="E519" s="35"/>
      <c r="F519" s="37"/>
      <c r="G519" s="38"/>
      <c r="H519" s="36"/>
      <c r="I519" s="39"/>
      <c r="J519" s="40"/>
      <c r="K519" s="39"/>
      <c r="L519" s="40"/>
      <c r="M519" s="39"/>
      <c r="N519" s="41"/>
    </row>
    <row r="520" ht="12.75" customHeight="1">
      <c r="C520" s="35"/>
      <c r="D520" s="36"/>
      <c r="E520" s="35"/>
      <c r="F520" s="37"/>
      <c r="G520" s="38"/>
      <c r="H520" s="36"/>
      <c r="I520" s="39"/>
      <c r="J520" s="40"/>
      <c r="K520" s="39"/>
      <c r="L520" s="40"/>
      <c r="M520" s="39"/>
      <c r="N520" s="41"/>
    </row>
    <row r="521" ht="12.75" customHeight="1">
      <c r="C521" s="35"/>
      <c r="D521" s="36"/>
      <c r="E521" s="35"/>
      <c r="F521" s="37"/>
      <c r="G521" s="38"/>
      <c r="H521" s="36"/>
      <c r="I521" s="39"/>
      <c r="J521" s="40"/>
      <c r="K521" s="39"/>
      <c r="L521" s="40"/>
      <c r="M521" s="39"/>
      <c r="N521" s="41"/>
    </row>
    <row r="522" ht="12.75" customHeight="1">
      <c r="C522" s="35"/>
      <c r="D522" s="36"/>
      <c r="E522" s="35"/>
      <c r="F522" s="37"/>
      <c r="G522" s="38"/>
      <c r="H522" s="36"/>
      <c r="I522" s="39"/>
      <c r="J522" s="40"/>
      <c r="K522" s="39"/>
      <c r="L522" s="40"/>
      <c r="M522" s="39"/>
      <c r="N522" s="41"/>
    </row>
    <row r="523" ht="12.75" customHeight="1">
      <c r="C523" s="35"/>
      <c r="D523" s="36"/>
      <c r="E523" s="35"/>
      <c r="F523" s="37"/>
      <c r="G523" s="38"/>
      <c r="H523" s="36"/>
      <c r="I523" s="39"/>
      <c r="J523" s="40"/>
      <c r="K523" s="39"/>
      <c r="L523" s="40"/>
      <c r="M523" s="39"/>
      <c r="N523" s="41"/>
    </row>
    <row r="524" ht="12.75" customHeight="1">
      <c r="C524" s="35"/>
      <c r="D524" s="36"/>
      <c r="E524" s="35"/>
      <c r="F524" s="37"/>
      <c r="G524" s="38"/>
      <c r="H524" s="36"/>
      <c r="I524" s="39"/>
      <c r="J524" s="40"/>
      <c r="K524" s="39"/>
      <c r="L524" s="40"/>
      <c r="M524" s="39"/>
      <c r="N524" s="41"/>
    </row>
    <row r="525" ht="12.75" customHeight="1">
      <c r="C525" s="35"/>
      <c r="D525" s="36"/>
      <c r="E525" s="35"/>
      <c r="F525" s="37"/>
      <c r="G525" s="38"/>
      <c r="H525" s="36"/>
      <c r="I525" s="39"/>
      <c r="J525" s="40"/>
      <c r="K525" s="39"/>
      <c r="L525" s="40"/>
      <c r="M525" s="39"/>
      <c r="N525" s="41"/>
    </row>
    <row r="526" ht="12.75" customHeight="1">
      <c r="C526" s="35"/>
      <c r="D526" s="36"/>
      <c r="E526" s="35"/>
      <c r="F526" s="37"/>
      <c r="G526" s="38"/>
      <c r="H526" s="36"/>
      <c r="I526" s="39"/>
      <c r="J526" s="40"/>
      <c r="K526" s="39"/>
      <c r="L526" s="40"/>
      <c r="M526" s="39"/>
      <c r="N526" s="41"/>
    </row>
    <row r="527" ht="12.75" customHeight="1">
      <c r="C527" s="35"/>
      <c r="D527" s="36"/>
      <c r="E527" s="35"/>
      <c r="F527" s="37"/>
      <c r="G527" s="38"/>
      <c r="H527" s="36"/>
      <c r="I527" s="39"/>
      <c r="J527" s="40"/>
      <c r="K527" s="39"/>
      <c r="L527" s="40"/>
      <c r="M527" s="39"/>
      <c r="N527" s="41"/>
    </row>
    <row r="528" ht="12.75" customHeight="1">
      <c r="C528" s="35"/>
      <c r="D528" s="36"/>
      <c r="E528" s="35"/>
      <c r="F528" s="37"/>
      <c r="G528" s="38"/>
      <c r="H528" s="36"/>
      <c r="I528" s="39"/>
      <c r="J528" s="40"/>
      <c r="K528" s="39"/>
      <c r="L528" s="40"/>
      <c r="M528" s="39"/>
      <c r="N528" s="41"/>
    </row>
    <row r="529" ht="12.75" customHeight="1">
      <c r="C529" s="35"/>
      <c r="D529" s="36"/>
      <c r="E529" s="35"/>
      <c r="F529" s="37"/>
      <c r="G529" s="38"/>
      <c r="H529" s="36"/>
      <c r="I529" s="39"/>
      <c r="J529" s="40"/>
      <c r="K529" s="39"/>
      <c r="L529" s="40"/>
      <c r="M529" s="39"/>
      <c r="N529" s="41"/>
    </row>
    <row r="530" ht="12.75" customHeight="1">
      <c r="C530" s="35"/>
      <c r="D530" s="36"/>
      <c r="E530" s="35"/>
      <c r="F530" s="37"/>
      <c r="G530" s="38"/>
      <c r="H530" s="36"/>
      <c r="I530" s="39"/>
      <c r="J530" s="40"/>
      <c r="K530" s="39"/>
      <c r="L530" s="40"/>
      <c r="M530" s="39"/>
      <c r="N530" s="41"/>
    </row>
    <row r="531" ht="12.75" customHeight="1">
      <c r="C531" s="35"/>
      <c r="D531" s="36"/>
      <c r="E531" s="35"/>
      <c r="F531" s="37"/>
      <c r="G531" s="38"/>
      <c r="H531" s="36"/>
      <c r="I531" s="39"/>
      <c r="J531" s="40"/>
      <c r="K531" s="39"/>
      <c r="L531" s="40"/>
      <c r="M531" s="39"/>
      <c r="N531" s="41"/>
    </row>
    <row r="532" ht="12.75" customHeight="1">
      <c r="C532" s="35"/>
      <c r="D532" s="36"/>
      <c r="E532" s="35"/>
      <c r="F532" s="37"/>
      <c r="G532" s="38"/>
      <c r="H532" s="36"/>
      <c r="I532" s="39"/>
      <c r="J532" s="40"/>
      <c r="K532" s="39"/>
      <c r="L532" s="40"/>
      <c r="M532" s="39"/>
      <c r="N532" s="41"/>
    </row>
    <row r="533" ht="12.75" customHeight="1">
      <c r="C533" s="35"/>
      <c r="D533" s="36"/>
      <c r="E533" s="35"/>
      <c r="F533" s="37"/>
      <c r="G533" s="38"/>
      <c r="H533" s="36"/>
      <c r="I533" s="39"/>
      <c r="J533" s="40"/>
      <c r="K533" s="39"/>
      <c r="L533" s="40"/>
      <c r="M533" s="39"/>
      <c r="N533" s="41"/>
    </row>
    <row r="534" ht="12.75" customHeight="1">
      <c r="C534" s="35"/>
      <c r="D534" s="36"/>
      <c r="E534" s="35"/>
      <c r="F534" s="37"/>
      <c r="G534" s="38"/>
      <c r="H534" s="36"/>
      <c r="I534" s="39"/>
      <c r="J534" s="40"/>
      <c r="K534" s="39"/>
      <c r="L534" s="40"/>
      <c r="M534" s="39"/>
      <c r="N534" s="41"/>
    </row>
    <row r="535" ht="12.75" customHeight="1">
      <c r="C535" s="35"/>
      <c r="D535" s="36"/>
      <c r="E535" s="35"/>
      <c r="F535" s="37"/>
      <c r="G535" s="38"/>
      <c r="H535" s="36"/>
      <c r="I535" s="39"/>
      <c r="J535" s="40"/>
      <c r="K535" s="39"/>
      <c r="L535" s="40"/>
      <c r="M535" s="39"/>
      <c r="N535" s="41"/>
    </row>
    <row r="536" ht="12.75" customHeight="1">
      <c r="C536" s="35"/>
      <c r="D536" s="36"/>
      <c r="E536" s="35"/>
      <c r="F536" s="37"/>
      <c r="G536" s="38"/>
      <c r="H536" s="36"/>
      <c r="I536" s="39"/>
      <c r="J536" s="40"/>
      <c r="K536" s="39"/>
      <c r="L536" s="40"/>
      <c r="M536" s="39"/>
      <c r="N536" s="41"/>
    </row>
    <row r="537" ht="12.75" customHeight="1">
      <c r="C537" s="35"/>
      <c r="D537" s="36"/>
      <c r="E537" s="35"/>
      <c r="F537" s="37"/>
      <c r="G537" s="38"/>
      <c r="H537" s="36"/>
      <c r="I537" s="39"/>
      <c r="J537" s="40"/>
      <c r="K537" s="39"/>
      <c r="L537" s="40"/>
      <c r="M537" s="39"/>
      <c r="N537" s="41"/>
    </row>
    <row r="538" ht="12.75" customHeight="1">
      <c r="C538" s="35"/>
      <c r="D538" s="36"/>
      <c r="E538" s="35"/>
      <c r="F538" s="37"/>
      <c r="G538" s="38"/>
      <c r="H538" s="36"/>
      <c r="I538" s="39"/>
      <c r="J538" s="40"/>
      <c r="K538" s="39"/>
      <c r="L538" s="40"/>
      <c r="M538" s="39"/>
      <c r="N538" s="41"/>
    </row>
    <row r="539" ht="12.75" customHeight="1">
      <c r="C539" s="35"/>
      <c r="D539" s="36"/>
      <c r="E539" s="35"/>
      <c r="F539" s="37"/>
      <c r="G539" s="38"/>
      <c r="H539" s="36"/>
      <c r="I539" s="39"/>
      <c r="J539" s="40"/>
      <c r="K539" s="39"/>
      <c r="L539" s="40"/>
      <c r="M539" s="39"/>
      <c r="N539" s="41"/>
    </row>
    <row r="540" ht="12.75" customHeight="1">
      <c r="C540" s="35"/>
      <c r="D540" s="36"/>
      <c r="E540" s="35"/>
      <c r="F540" s="37"/>
      <c r="G540" s="38"/>
      <c r="H540" s="36"/>
      <c r="I540" s="39"/>
      <c r="J540" s="40"/>
      <c r="K540" s="39"/>
      <c r="L540" s="40"/>
      <c r="M540" s="39"/>
      <c r="N540" s="41"/>
    </row>
    <row r="541" ht="12.75" customHeight="1">
      <c r="C541" s="35"/>
      <c r="D541" s="36"/>
      <c r="E541" s="35"/>
      <c r="F541" s="37"/>
      <c r="G541" s="38"/>
      <c r="H541" s="36"/>
      <c r="I541" s="39"/>
      <c r="J541" s="40"/>
      <c r="K541" s="39"/>
      <c r="L541" s="40"/>
      <c r="M541" s="39"/>
      <c r="N541" s="41"/>
    </row>
    <row r="542" ht="12.75" customHeight="1">
      <c r="C542" s="35"/>
      <c r="D542" s="36"/>
      <c r="E542" s="35"/>
      <c r="F542" s="37"/>
      <c r="G542" s="38"/>
      <c r="H542" s="36"/>
      <c r="I542" s="39"/>
      <c r="J542" s="40"/>
      <c r="K542" s="39"/>
      <c r="L542" s="40"/>
      <c r="M542" s="39"/>
      <c r="N542" s="41"/>
    </row>
    <row r="543" ht="12.75" customHeight="1">
      <c r="C543" s="35"/>
      <c r="D543" s="36"/>
      <c r="E543" s="35"/>
      <c r="F543" s="37"/>
      <c r="G543" s="38"/>
      <c r="H543" s="36"/>
      <c r="I543" s="39"/>
      <c r="J543" s="40"/>
      <c r="K543" s="39"/>
      <c r="L543" s="40"/>
      <c r="M543" s="39"/>
      <c r="N543" s="41"/>
    </row>
    <row r="544" ht="12.75" customHeight="1">
      <c r="C544" s="35"/>
      <c r="D544" s="36"/>
      <c r="E544" s="35"/>
      <c r="F544" s="37"/>
      <c r="G544" s="38"/>
      <c r="H544" s="36"/>
      <c r="I544" s="39"/>
      <c r="J544" s="40"/>
      <c r="K544" s="39"/>
      <c r="L544" s="40"/>
      <c r="M544" s="39"/>
      <c r="N544" s="41"/>
    </row>
    <row r="545" ht="12.75" customHeight="1">
      <c r="C545" s="35"/>
      <c r="D545" s="36"/>
      <c r="E545" s="35"/>
      <c r="F545" s="37"/>
      <c r="G545" s="38"/>
      <c r="H545" s="36"/>
      <c r="I545" s="39"/>
      <c r="J545" s="40"/>
      <c r="K545" s="39"/>
      <c r="L545" s="40"/>
      <c r="M545" s="39"/>
      <c r="N545" s="41"/>
    </row>
    <row r="546" ht="12.75" customHeight="1">
      <c r="C546" s="35"/>
      <c r="D546" s="36"/>
      <c r="E546" s="35"/>
      <c r="F546" s="37"/>
      <c r="G546" s="38"/>
      <c r="H546" s="36"/>
      <c r="I546" s="39"/>
      <c r="J546" s="40"/>
      <c r="K546" s="39"/>
      <c r="L546" s="40"/>
      <c r="M546" s="39"/>
      <c r="N546" s="41"/>
    </row>
    <row r="547" ht="12.75" customHeight="1">
      <c r="C547" s="35"/>
      <c r="D547" s="36"/>
      <c r="E547" s="35"/>
      <c r="F547" s="37"/>
      <c r="G547" s="38"/>
      <c r="H547" s="36"/>
      <c r="I547" s="39"/>
      <c r="J547" s="40"/>
      <c r="K547" s="39"/>
      <c r="L547" s="40"/>
      <c r="M547" s="39"/>
      <c r="N547" s="41"/>
    </row>
    <row r="548" ht="12.75" customHeight="1">
      <c r="C548" s="35"/>
      <c r="D548" s="36"/>
      <c r="E548" s="35"/>
      <c r="F548" s="37"/>
      <c r="G548" s="38"/>
      <c r="H548" s="36"/>
      <c r="I548" s="39"/>
      <c r="J548" s="40"/>
      <c r="K548" s="39"/>
      <c r="L548" s="40"/>
      <c r="M548" s="39"/>
      <c r="N548" s="41"/>
    </row>
    <row r="549" ht="12.75" customHeight="1">
      <c r="C549" s="35"/>
      <c r="D549" s="36"/>
      <c r="E549" s="35"/>
      <c r="F549" s="37"/>
      <c r="G549" s="38"/>
      <c r="H549" s="36"/>
      <c r="I549" s="39"/>
      <c r="J549" s="40"/>
      <c r="K549" s="39"/>
      <c r="L549" s="40"/>
      <c r="M549" s="39"/>
      <c r="N549" s="41"/>
    </row>
    <row r="550" ht="12.75" customHeight="1">
      <c r="C550" s="35"/>
      <c r="D550" s="36"/>
      <c r="E550" s="35"/>
      <c r="F550" s="37"/>
      <c r="G550" s="38"/>
      <c r="H550" s="36"/>
      <c r="I550" s="39"/>
      <c r="J550" s="40"/>
      <c r="K550" s="39"/>
      <c r="L550" s="40"/>
      <c r="M550" s="39"/>
      <c r="N550" s="41"/>
    </row>
    <row r="551" ht="12.75" customHeight="1">
      <c r="C551" s="35"/>
      <c r="D551" s="36"/>
      <c r="E551" s="35"/>
      <c r="F551" s="37"/>
      <c r="G551" s="38"/>
      <c r="H551" s="36"/>
      <c r="I551" s="39"/>
      <c r="J551" s="40"/>
      <c r="K551" s="39"/>
      <c r="L551" s="40"/>
      <c r="M551" s="39"/>
      <c r="N551" s="41"/>
    </row>
    <row r="552" ht="12.75" customHeight="1">
      <c r="C552" s="35"/>
      <c r="D552" s="36"/>
      <c r="E552" s="35"/>
      <c r="F552" s="37"/>
      <c r="G552" s="38"/>
      <c r="H552" s="36"/>
      <c r="I552" s="39"/>
      <c r="J552" s="40"/>
      <c r="K552" s="39"/>
      <c r="L552" s="40"/>
      <c r="M552" s="39"/>
      <c r="N552" s="41"/>
    </row>
    <row r="553" ht="12.75" customHeight="1">
      <c r="C553" s="35"/>
      <c r="D553" s="36"/>
      <c r="E553" s="35"/>
      <c r="F553" s="37"/>
      <c r="G553" s="38"/>
      <c r="H553" s="36"/>
      <c r="I553" s="39"/>
      <c r="J553" s="40"/>
      <c r="K553" s="39"/>
      <c r="L553" s="40"/>
      <c r="M553" s="39"/>
      <c r="N553" s="41"/>
    </row>
    <row r="554" ht="12.75" customHeight="1">
      <c r="C554" s="35"/>
      <c r="D554" s="36"/>
      <c r="E554" s="35"/>
      <c r="F554" s="37"/>
      <c r="G554" s="38"/>
      <c r="H554" s="36"/>
      <c r="I554" s="39"/>
      <c r="J554" s="40"/>
      <c r="K554" s="39"/>
      <c r="L554" s="40"/>
      <c r="M554" s="39"/>
      <c r="N554" s="41"/>
    </row>
    <row r="555" ht="12.75" customHeight="1">
      <c r="C555" s="35"/>
      <c r="D555" s="36"/>
      <c r="E555" s="35"/>
      <c r="F555" s="37"/>
      <c r="G555" s="38"/>
      <c r="H555" s="36"/>
      <c r="I555" s="39"/>
      <c r="J555" s="40"/>
      <c r="K555" s="39"/>
      <c r="L555" s="40"/>
      <c r="M555" s="39"/>
      <c r="N555" s="41"/>
    </row>
    <row r="556" ht="12.75" customHeight="1">
      <c r="C556" s="35"/>
      <c r="D556" s="36"/>
      <c r="E556" s="35"/>
      <c r="F556" s="37"/>
      <c r="G556" s="38"/>
      <c r="H556" s="36"/>
      <c r="I556" s="39"/>
      <c r="J556" s="40"/>
      <c r="K556" s="39"/>
      <c r="L556" s="40"/>
      <c r="M556" s="39"/>
      <c r="N556" s="41"/>
    </row>
    <row r="557" ht="12.75" customHeight="1">
      <c r="C557" s="35"/>
      <c r="D557" s="36"/>
      <c r="E557" s="35"/>
      <c r="F557" s="37"/>
      <c r="G557" s="38"/>
      <c r="H557" s="36"/>
      <c r="I557" s="39"/>
      <c r="J557" s="40"/>
      <c r="K557" s="39"/>
      <c r="L557" s="40"/>
      <c r="M557" s="39"/>
      <c r="N557" s="41"/>
    </row>
    <row r="558" ht="12.75" customHeight="1">
      <c r="C558" s="35"/>
      <c r="D558" s="36"/>
      <c r="E558" s="35"/>
      <c r="F558" s="37"/>
      <c r="G558" s="38"/>
      <c r="H558" s="36"/>
      <c r="I558" s="39"/>
      <c r="J558" s="40"/>
      <c r="K558" s="39"/>
      <c r="L558" s="40"/>
      <c r="M558" s="39"/>
      <c r="N558" s="41"/>
    </row>
    <row r="559" ht="12.75" customHeight="1">
      <c r="C559" s="35"/>
      <c r="D559" s="36"/>
      <c r="E559" s="35"/>
      <c r="F559" s="37"/>
      <c r="G559" s="38"/>
      <c r="H559" s="36"/>
      <c r="I559" s="39"/>
      <c r="J559" s="40"/>
      <c r="K559" s="39"/>
      <c r="L559" s="40"/>
      <c r="M559" s="39"/>
      <c r="N559" s="41"/>
    </row>
    <row r="560" ht="12.75" customHeight="1">
      <c r="C560" s="35"/>
      <c r="D560" s="36"/>
      <c r="E560" s="35"/>
      <c r="F560" s="37"/>
      <c r="G560" s="38"/>
      <c r="H560" s="36"/>
      <c r="I560" s="39"/>
      <c r="J560" s="40"/>
      <c r="K560" s="39"/>
      <c r="L560" s="40"/>
      <c r="M560" s="39"/>
      <c r="N560" s="41"/>
    </row>
    <row r="561" ht="12.75" customHeight="1">
      <c r="C561" s="35"/>
      <c r="D561" s="36"/>
      <c r="E561" s="35"/>
      <c r="F561" s="37"/>
      <c r="G561" s="38"/>
      <c r="H561" s="36"/>
      <c r="I561" s="39"/>
      <c r="J561" s="40"/>
      <c r="K561" s="39"/>
      <c r="L561" s="40"/>
      <c r="M561" s="39"/>
      <c r="N561" s="41"/>
    </row>
    <row r="562" ht="12.75" customHeight="1">
      <c r="C562" s="35"/>
      <c r="D562" s="36"/>
      <c r="E562" s="35"/>
      <c r="F562" s="37"/>
      <c r="G562" s="38"/>
      <c r="H562" s="36"/>
      <c r="I562" s="39"/>
      <c r="J562" s="40"/>
      <c r="K562" s="39"/>
      <c r="L562" s="40"/>
      <c r="M562" s="39"/>
      <c r="N562" s="41"/>
    </row>
    <row r="563" ht="12.75" customHeight="1">
      <c r="C563" s="35"/>
      <c r="D563" s="36"/>
      <c r="E563" s="35"/>
      <c r="F563" s="37"/>
      <c r="G563" s="38"/>
      <c r="H563" s="36"/>
      <c r="I563" s="39"/>
      <c r="J563" s="40"/>
      <c r="K563" s="39"/>
      <c r="L563" s="40"/>
      <c r="M563" s="39"/>
      <c r="N563" s="41"/>
    </row>
    <row r="564" ht="12.75" customHeight="1">
      <c r="C564" s="35"/>
      <c r="D564" s="36"/>
      <c r="E564" s="35"/>
      <c r="F564" s="37"/>
      <c r="G564" s="38"/>
      <c r="H564" s="36"/>
      <c r="I564" s="39"/>
      <c r="J564" s="40"/>
      <c r="K564" s="39"/>
      <c r="L564" s="40"/>
      <c r="M564" s="39"/>
      <c r="N564" s="41"/>
    </row>
    <row r="565" ht="12.75" customHeight="1">
      <c r="C565" s="35"/>
      <c r="D565" s="36"/>
      <c r="E565" s="35"/>
      <c r="F565" s="37"/>
      <c r="G565" s="38"/>
      <c r="H565" s="36"/>
      <c r="I565" s="39"/>
      <c r="J565" s="40"/>
      <c r="K565" s="39"/>
      <c r="L565" s="40"/>
      <c r="M565" s="39"/>
      <c r="N565" s="41"/>
    </row>
    <row r="566" ht="12.75" customHeight="1">
      <c r="C566" s="35"/>
      <c r="D566" s="36"/>
      <c r="E566" s="35"/>
      <c r="F566" s="37"/>
      <c r="G566" s="38"/>
      <c r="H566" s="36"/>
      <c r="I566" s="39"/>
      <c r="J566" s="40"/>
      <c r="K566" s="39"/>
      <c r="L566" s="40"/>
      <c r="M566" s="39"/>
      <c r="N566" s="41"/>
    </row>
    <row r="567" ht="12.75" customHeight="1">
      <c r="C567" s="35"/>
      <c r="D567" s="36"/>
      <c r="E567" s="35"/>
      <c r="F567" s="37"/>
      <c r="G567" s="38"/>
      <c r="H567" s="36"/>
      <c r="I567" s="39"/>
      <c r="J567" s="40"/>
      <c r="K567" s="39"/>
      <c r="L567" s="40"/>
      <c r="M567" s="39"/>
      <c r="N567" s="41"/>
    </row>
    <row r="568" ht="12.75" customHeight="1">
      <c r="C568" s="35"/>
      <c r="D568" s="36"/>
      <c r="E568" s="35"/>
      <c r="F568" s="37"/>
      <c r="G568" s="38"/>
      <c r="H568" s="36"/>
      <c r="I568" s="39"/>
      <c r="J568" s="40"/>
      <c r="K568" s="39"/>
      <c r="L568" s="40"/>
      <c r="M568" s="39"/>
      <c r="N568" s="41"/>
    </row>
    <row r="569" ht="12.75" customHeight="1">
      <c r="C569" s="35"/>
      <c r="D569" s="36"/>
      <c r="E569" s="35"/>
      <c r="F569" s="37"/>
      <c r="G569" s="38"/>
      <c r="H569" s="36"/>
      <c r="I569" s="39"/>
      <c r="J569" s="40"/>
      <c r="K569" s="39"/>
      <c r="L569" s="40"/>
      <c r="M569" s="39"/>
      <c r="N569" s="41"/>
    </row>
    <row r="570" ht="12.75" customHeight="1">
      <c r="C570" s="35"/>
      <c r="D570" s="36"/>
      <c r="E570" s="35"/>
      <c r="F570" s="37"/>
      <c r="G570" s="38"/>
      <c r="H570" s="36"/>
      <c r="I570" s="39"/>
      <c r="J570" s="40"/>
      <c r="K570" s="39"/>
      <c r="L570" s="40"/>
      <c r="M570" s="39"/>
      <c r="N570" s="41"/>
    </row>
    <row r="571" ht="12.75" customHeight="1">
      <c r="C571" s="35"/>
      <c r="D571" s="36"/>
      <c r="E571" s="35"/>
      <c r="F571" s="37"/>
      <c r="G571" s="38"/>
      <c r="H571" s="36"/>
      <c r="I571" s="39"/>
      <c r="J571" s="40"/>
      <c r="K571" s="39"/>
      <c r="L571" s="40"/>
      <c r="M571" s="39"/>
      <c r="N571" s="41"/>
    </row>
    <row r="572" ht="12.75" customHeight="1">
      <c r="C572" s="35"/>
      <c r="D572" s="36"/>
      <c r="E572" s="35"/>
      <c r="F572" s="37"/>
      <c r="G572" s="38"/>
      <c r="H572" s="36"/>
      <c r="I572" s="39"/>
      <c r="J572" s="40"/>
      <c r="K572" s="39"/>
      <c r="L572" s="40"/>
      <c r="M572" s="39"/>
      <c r="N572" s="41"/>
    </row>
    <row r="573" ht="12.75" customHeight="1">
      <c r="C573" s="35"/>
      <c r="D573" s="36"/>
      <c r="E573" s="35"/>
      <c r="F573" s="37"/>
      <c r="G573" s="38"/>
      <c r="H573" s="36"/>
      <c r="I573" s="39"/>
      <c r="J573" s="40"/>
      <c r="K573" s="39"/>
      <c r="L573" s="40"/>
      <c r="M573" s="39"/>
      <c r="N573" s="41"/>
    </row>
    <row r="574" ht="12.75" customHeight="1">
      <c r="C574" s="35"/>
      <c r="D574" s="36"/>
      <c r="E574" s="35"/>
      <c r="F574" s="37"/>
      <c r="G574" s="38"/>
      <c r="H574" s="36"/>
      <c r="I574" s="39"/>
      <c r="J574" s="40"/>
      <c r="K574" s="39"/>
      <c r="L574" s="40"/>
      <c r="M574" s="39"/>
      <c r="N574" s="41"/>
    </row>
    <row r="575" ht="12.75" customHeight="1">
      <c r="C575" s="35"/>
      <c r="D575" s="36"/>
      <c r="E575" s="35"/>
      <c r="F575" s="37"/>
      <c r="G575" s="38"/>
      <c r="H575" s="36"/>
      <c r="I575" s="39"/>
      <c r="J575" s="40"/>
      <c r="K575" s="39"/>
      <c r="L575" s="40"/>
      <c r="M575" s="39"/>
      <c r="N575" s="41"/>
    </row>
    <row r="576" ht="12.75" customHeight="1">
      <c r="C576" s="35"/>
      <c r="D576" s="36"/>
      <c r="E576" s="35"/>
      <c r="F576" s="37"/>
      <c r="G576" s="38"/>
      <c r="H576" s="36"/>
      <c r="I576" s="39"/>
      <c r="J576" s="40"/>
      <c r="K576" s="39"/>
      <c r="L576" s="40"/>
      <c r="M576" s="39"/>
      <c r="N576" s="41"/>
    </row>
    <row r="577" ht="12.75" customHeight="1">
      <c r="C577" s="35"/>
      <c r="D577" s="36"/>
      <c r="E577" s="35"/>
      <c r="F577" s="37"/>
      <c r="G577" s="38"/>
      <c r="H577" s="36"/>
      <c r="I577" s="39"/>
      <c r="J577" s="40"/>
      <c r="K577" s="39"/>
      <c r="L577" s="40"/>
      <c r="M577" s="39"/>
      <c r="N577" s="41"/>
    </row>
    <row r="578" ht="12.75" customHeight="1">
      <c r="C578" s="35"/>
      <c r="D578" s="36"/>
      <c r="E578" s="35"/>
      <c r="F578" s="37"/>
      <c r="G578" s="38"/>
      <c r="H578" s="36"/>
      <c r="I578" s="39"/>
      <c r="J578" s="40"/>
      <c r="K578" s="39"/>
      <c r="L578" s="40"/>
      <c r="M578" s="39"/>
      <c r="N578" s="41"/>
    </row>
    <row r="579" ht="12.75" customHeight="1">
      <c r="C579" s="35"/>
      <c r="D579" s="36"/>
      <c r="E579" s="35"/>
      <c r="F579" s="37"/>
      <c r="G579" s="38"/>
      <c r="H579" s="36"/>
      <c r="I579" s="39"/>
      <c r="J579" s="40"/>
      <c r="K579" s="39"/>
      <c r="L579" s="40"/>
      <c r="M579" s="39"/>
      <c r="N579" s="41"/>
    </row>
    <row r="580" ht="12.75" customHeight="1">
      <c r="C580" s="35"/>
      <c r="D580" s="36"/>
      <c r="E580" s="35"/>
      <c r="F580" s="37"/>
      <c r="G580" s="38"/>
      <c r="H580" s="36"/>
      <c r="I580" s="39"/>
      <c r="J580" s="40"/>
      <c r="K580" s="39"/>
      <c r="L580" s="40"/>
      <c r="M580" s="39"/>
      <c r="N580" s="41"/>
    </row>
    <row r="581" ht="12.75" customHeight="1">
      <c r="C581" s="35"/>
      <c r="D581" s="36"/>
      <c r="E581" s="35"/>
      <c r="F581" s="37"/>
      <c r="G581" s="38"/>
      <c r="H581" s="36"/>
      <c r="I581" s="39"/>
      <c r="J581" s="40"/>
      <c r="K581" s="39"/>
      <c r="L581" s="40"/>
      <c r="M581" s="39"/>
      <c r="N581" s="41"/>
    </row>
    <row r="582" ht="12.75" customHeight="1">
      <c r="C582" s="35"/>
      <c r="D582" s="36"/>
      <c r="E582" s="35"/>
      <c r="F582" s="37"/>
      <c r="G582" s="38"/>
      <c r="H582" s="36"/>
      <c r="I582" s="39"/>
      <c r="J582" s="40"/>
      <c r="K582" s="39"/>
      <c r="L582" s="40"/>
      <c r="M582" s="39"/>
      <c r="N582" s="41"/>
    </row>
    <row r="583" ht="12.75" customHeight="1">
      <c r="C583" s="35"/>
      <c r="D583" s="36"/>
      <c r="E583" s="35"/>
      <c r="F583" s="37"/>
      <c r="G583" s="38"/>
      <c r="H583" s="36"/>
      <c r="I583" s="39"/>
      <c r="J583" s="40"/>
      <c r="K583" s="39"/>
      <c r="L583" s="40"/>
      <c r="M583" s="39"/>
      <c r="N583" s="41"/>
    </row>
    <row r="584" ht="12.75" customHeight="1">
      <c r="C584" s="35"/>
      <c r="D584" s="36"/>
      <c r="E584" s="35"/>
      <c r="F584" s="37"/>
      <c r="G584" s="38"/>
      <c r="H584" s="36"/>
      <c r="I584" s="39"/>
      <c r="J584" s="40"/>
      <c r="K584" s="39"/>
      <c r="L584" s="40"/>
      <c r="M584" s="39"/>
      <c r="N584" s="41"/>
    </row>
    <row r="585" ht="12.75" customHeight="1">
      <c r="C585" s="35"/>
      <c r="D585" s="36"/>
      <c r="E585" s="35"/>
      <c r="F585" s="37"/>
      <c r="G585" s="38"/>
      <c r="H585" s="36"/>
      <c r="I585" s="39"/>
      <c r="J585" s="40"/>
      <c r="K585" s="39"/>
      <c r="L585" s="40"/>
      <c r="M585" s="39"/>
      <c r="N585" s="41"/>
    </row>
    <row r="586" ht="12.75" customHeight="1">
      <c r="C586" s="35"/>
      <c r="D586" s="36"/>
      <c r="E586" s="35"/>
      <c r="F586" s="37"/>
      <c r="G586" s="38"/>
      <c r="H586" s="36"/>
      <c r="I586" s="39"/>
      <c r="J586" s="40"/>
      <c r="K586" s="39"/>
      <c r="L586" s="40"/>
      <c r="M586" s="39"/>
      <c r="N586" s="41"/>
    </row>
    <row r="587" ht="12.75" customHeight="1">
      <c r="C587" s="35"/>
      <c r="D587" s="36"/>
      <c r="E587" s="35"/>
      <c r="F587" s="37"/>
      <c r="G587" s="38"/>
      <c r="H587" s="36"/>
      <c r="I587" s="39"/>
      <c r="J587" s="40"/>
      <c r="K587" s="39"/>
      <c r="L587" s="40"/>
      <c r="M587" s="39"/>
      <c r="N587" s="41"/>
    </row>
    <row r="588" ht="12.75" customHeight="1">
      <c r="C588" s="35"/>
      <c r="D588" s="36"/>
      <c r="E588" s="35"/>
      <c r="F588" s="37"/>
      <c r="G588" s="38"/>
      <c r="H588" s="36"/>
      <c r="I588" s="39"/>
      <c r="J588" s="40"/>
      <c r="K588" s="39"/>
      <c r="L588" s="40"/>
      <c r="M588" s="39"/>
      <c r="N588" s="41"/>
    </row>
    <row r="589" ht="12.75" customHeight="1">
      <c r="C589" s="35"/>
      <c r="D589" s="36"/>
      <c r="E589" s="35"/>
      <c r="F589" s="37"/>
      <c r="G589" s="38"/>
      <c r="H589" s="36"/>
      <c r="I589" s="39"/>
      <c r="J589" s="40"/>
      <c r="K589" s="39"/>
      <c r="L589" s="40"/>
      <c r="M589" s="39"/>
      <c r="N589" s="41"/>
    </row>
    <row r="590" ht="12.75" customHeight="1">
      <c r="C590" s="35"/>
      <c r="D590" s="36"/>
      <c r="E590" s="35"/>
      <c r="F590" s="37"/>
      <c r="G590" s="38"/>
      <c r="H590" s="36"/>
      <c r="I590" s="39"/>
      <c r="J590" s="40"/>
      <c r="K590" s="39"/>
      <c r="L590" s="40"/>
      <c r="M590" s="39"/>
      <c r="N590" s="41"/>
    </row>
    <row r="591" ht="12.75" customHeight="1">
      <c r="C591" s="35"/>
      <c r="D591" s="36"/>
      <c r="E591" s="35"/>
      <c r="F591" s="37"/>
      <c r="G591" s="38"/>
      <c r="H591" s="36"/>
      <c r="I591" s="39"/>
      <c r="J591" s="40"/>
      <c r="K591" s="39"/>
      <c r="L591" s="40"/>
      <c r="M591" s="39"/>
      <c r="N591" s="41"/>
    </row>
    <row r="592" ht="12.75" customHeight="1">
      <c r="C592" s="35"/>
      <c r="D592" s="36"/>
      <c r="E592" s="35"/>
      <c r="F592" s="37"/>
      <c r="G592" s="38"/>
      <c r="H592" s="36"/>
      <c r="I592" s="39"/>
      <c r="J592" s="40"/>
      <c r="K592" s="39"/>
      <c r="L592" s="40"/>
      <c r="M592" s="39"/>
      <c r="N592" s="41"/>
    </row>
    <row r="593" ht="12.75" customHeight="1">
      <c r="C593" s="35"/>
      <c r="D593" s="36"/>
      <c r="E593" s="35"/>
      <c r="F593" s="37"/>
      <c r="G593" s="38"/>
      <c r="H593" s="36"/>
      <c r="I593" s="39"/>
      <c r="J593" s="40"/>
      <c r="K593" s="39"/>
      <c r="L593" s="40"/>
      <c r="M593" s="39"/>
      <c r="N593" s="41"/>
    </row>
    <row r="594" ht="12.75" customHeight="1">
      <c r="C594" s="35"/>
      <c r="D594" s="36"/>
      <c r="E594" s="35"/>
      <c r="F594" s="37"/>
      <c r="G594" s="38"/>
      <c r="H594" s="36"/>
      <c r="I594" s="39"/>
      <c r="J594" s="40"/>
      <c r="K594" s="39"/>
      <c r="L594" s="40"/>
      <c r="M594" s="39"/>
      <c r="N594" s="41"/>
    </row>
    <row r="595" ht="12.75" customHeight="1">
      <c r="C595" s="35"/>
      <c r="D595" s="36"/>
      <c r="E595" s="35"/>
      <c r="F595" s="37"/>
      <c r="G595" s="38"/>
      <c r="H595" s="36"/>
      <c r="I595" s="39"/>
      <c r="J595" s="40"/>
      <c r="K595" s="39"/>
      <c r="L595" s="40"/>
      <c r="M595" s="39"/>
      <c r="N595" s="41"/>
    </row>
    <row r="596" ht="12.75" customHeight="1">
      <c r="C596" s="35"/>
      <c r="D596" s="36"/>
      <c r="E596" s="35"/>
      <c r="F596" s="37"/>
      <c r="G596" s="38"/>
      <c r="H596" s="36"/>
      <c r="I596" s="39"/>
      <c r="J596" s="40"/>
      <c r="K596" s="39"/>
      <c r="L596" s="40"/>
      <c r="M596" s="39"/>
      <c r="N596" s="41"/>
    </row>
    <row r="597" ht="12.75" customHeight="1">
      <c r="C597" s="35"/>
      <c r="D597" s="36"/>
      <c r="E597" s="35"/>
      <c r="F597" s="37"/>
      <c r="G597" s="38"/>
      <c r="H597" s="36"/>
      <c r="I597" s="39"/>
      <c r="J597" s="40"/>
      <c r="K597" s="39"/>
      <c r="L597" s="40"/>
      <c r="M597" s="39"/>
      <c r="N597" s="41"/>
    </row>
    <row r="598" ht="12.75" customHeight="1">
      <c r="C598" s="35"/>
      <c r="D598" s="36"/>
      <c r="E598" s="35"/>
      <c r="F598" s="37"/>
      <c r="G598" s="38"/>
      <c r="H598" s="36"/>
      <c r="I598" s="39"/>
      <c r="J598" s="40"/>
      <c r="K598" s="39"/>
      <c r="L598" s="40"/>
      <c r="M598" s="39"/>
      <c r="N598" s="41"/>
    </row>
    <row r="599" ht="12.75" customHeight="1">
      <c r="C599" s="35"/>
      <c r="D599" s="36"/>
      <c r="E599" s="35"/>
      <c r="F599" s="37"/>
      <c r="G599" s="38"/>
      <c r="H599" s="36"/>
      <c r="I599" s="39"/>
      <c r="J599" s="40"/>
      <c r="K599" s="39"/>
      <c r="L599" s="40"/>
      <c r="M599" s="39"/>
      <c r="N599" s="41"/>
    </row>
    <row r="600" ht="12.75" customHeight="1">
      <c r="C600" s="35"/>
      <c r="D600" s="36"/>
      <c r="E600" s="35"/>
      <c r="F600" s="37"/>
      <c r="G600" s="38"/>
      <c r="H600" s="36"/>
      <c r="I600" s="39"/>
      <c r="J600" s="40"/>
      <c r="K600" s="39"/>
      <c r="L600" s="40"/>
      <c r="M600" s="39"/>
      <c r="N600" s="41"/>
    </row>
    <row r="601" ht="12.75" customHeight="1">
      <c r="C601" s="35"/>
      <c r="D601" s="36"/>
      <c r="E601" s="35"/>
      <c r="F601" s="37"/>
      <c r="G601" s="38"/>
      <c r="H601" s="36"/>
      <c r="I601" s="39"/>
      <c r="J601" s="40"/>
      <c r="K601" s="39"/>
      <c r="L601" s="40"/>
      <c r="M601" s="39"/>
      <c r="N601" s="41"/>
    </row>
    <row r="602" ht="12.75" customHeight="1">
      <c r="C602" s="35"/>
      <c r="D602" s="36"/>
      <c r="E602" s="35"/>
      <c r="F602" s="37"/>
      <c r="G602" s="38"/>
      <c r="H602" s="36"/>
      <c r="I602" s="39"/>
      <c r="J602" s="40"/>
      <c r="K602" s="39"/>
      <c r="L602" s="40"/>
      <c r="M602" s="39"/>
      <c r="N602" s="41"/>
    </row>
    <row r="603" ht="12.75" customHeight="1">
      <c r="C603" s="35"/>
      <c r="D603" s="36"/>
      <c r="E603" s="35"/>
      <c r="F603" s="37"/>
      <c r="G603" s="38"/>
      <c r="H603" s="36"/>
      <c r="I603" s="39"/>
      <c r="J603" s="40"/>
      <c r="K603" s="39"/>
      <c r="L603" s="40"/>
      <c r="M603" s="39"/>
      <c r="N603" s="41"/>
    </row>
    <row r="604" ht="12.75" customHeight="1">
      <c r="C604" s="35"/>
      <c r="D604" s="36"/>
      <c r="E604" s="35"/>
      <c r="F604" s="37"/>
      <c r="G604" s="38"/>
      <c r="H604" s="36"/>
      <c r="I604" s="39"/>
      <c r="J604" s="40"/>
      <c r="K604" s="39"/>
      <c r="L604" s="40"/>
      <c r="M604" s="39"/>
      <c r="N604" s="41"/>
    </row>
    <row r="605" ht="12.75" customHeight="1">
      <c r="C605" s="35"/>
      <c r="D605" s="36"/>
      <c r="E605" s="35"/>
      <c r="F605" s="37"/>
      <c r="G605" s="38"/>
      <c r="H605" s="36"/>
      <c r="I605" s="39"/>
      <c r="J605" s="40"/>
      <c r="K605" s="39"/>
      <c r="L605" s="40"/>
      <c r="M605" s="39"/>
      <c r="N605" s="41"/>
    </row>
    <row r="606" ht="12.75" customHeight="1">
      <c r="C606" s="35"/>
      <c r="D606" s="36"/>
      <c r="E606" s="35"/>
      <c r="F606" s="37"/>
      <c r="G606" s="38"/>
      <c r="H606" s="36"/>
      <c r="I606" s="39"/>
      <c r="J606" s="40"/>
      <c r="K606" s="39"/>
      <c r="L606" s="40"/>
      <c r="M606" s="39"/>
      <c r="N606" s="41"/>
    </row>
    <row r="607" ht="12.75" customHeight="1">
      <c r="C607" s="35"/>
      <c r="D607" s="36"/>
      <c r="E607" s="35"/>
      <c r="F607" s="37"/>
      <c r="G607" s="38"/>
      <c r="H607" s="36"/>
      <c r="I607" s="39"/>
      <c r="J607" s="40"/>
      <c r="K607" s="39"/>
      <c r="L607" s="40"/>
      <c r="M607" s="39"/>
      <c r="N607" s="41"/>
    </row>
    <row r="608" ht="12.75" customHeight="1">
      <c r="C608" s="35"/>
      <c r="D608" s="36"/>
      <c r="E608" s="35"/>
      <c r="F608" s="37"/>
      <c r="G608" s="38"/>
      <c r="H608" s="36"/>
      <c r="I608" s="39"/>
      <c r="J608" s="40"/>
      <c r="K608" s="39"/>
      <c r="L608" s="40"/>
      <c r="M608" s="39"/>
      <c r="N608" s="41"/>
    </row>
    <row r="609" ht="12.75" customHeight="1">
      <c r="C609" s="35"/>
      <c r="D609" s="36"/>
      <c r="E609" s="35"/>
      <c r="F609" s="37"/>
      <c r="G609" s="38"/>
      <c r="H609" s="36"/>
      <c r="I609" s="39"/>
      <c r="J609" s="40"/>
      <c r="K609" s="39"/>
      <c r="L609" s="40"/>
      <c r="M609" s="39"/>
      <c r="N609" s="41"/>
    </row>
    <row r="610" ht="12.75" customHeight="1">
      <c r="C610" s="35"/>
      <c r="D610" s="36"/>
      <c r="E610" s="35"/>
      <c r="F610" s="37"/>
      <c r="G610" s="38"/>
      <c r="H610" s="36"/>
      <c r="I610" s="39"/>
      <c r="J610" s="40"/>
      <c r="K610" s="39"/>
      <c r="L610" s="40"/>
      <c r="M610" s="39"/>
      <c r="N610" s="41"/>
    </row>
    <row r="611" ht="12.75" customHeight="1">
      <c r="C611" s="35"/>
      <c r="D611" s="36"/>
      <c r="E611" s="35"/>
      <c r="F611" s="37"/>
      <c r="G611" s="38"/>
      <c r="H611" s="36"/>
      <c r="I611" s="39"/>
      <c r="J611" s="40"/>
      <c r="K611" s="39"/>
      <c r="L611" s="40"/>
      <c r="M611" s="39"/>
      <c r="N611" s="41"/>
    </row>
    <row r="612" ht="12.75" customHeight="1">
      <c r="C612" s="35"/>
      <c r="D612" s="36"/>
      <c r="E612" s="35"/>
      <c r="F612" s="37"/>
      <c r="G612" s="38"/>
      <c r="H612" s="36"/>
      <c r="I612" s="39"/>
      <c r="J612" s="40"/>
      <c r="K612" s="39"/>
      <c r="L612" s="40"/>
      <c r="M612" s="39"/>
      <c r="N612" s="41"/>
    </row>
    <row r="613" ht="12.75" customHeight="1">
      <c r="C613" s="35"/>
      <c r="D613" s="36"/>
      <c r="E613" s="35"/>
      <c r="F613" s="37"/>
      <c r="G613" s="38"/>
      <c r="H613" s="36"/>
      <c r="I613" s="39"/>
      <c r="J613" s="40"/>
      <c r="K613" s="39"/>
      <c r="L613" s="40"/>
      <c r="M613" s="39"/>
      <c r="N613" s="41"/>
    </row>
    <row r="614" ht="12.75" customHeight="1">
      <c r="C614" s="35"/>
      <c r="D614" s="36"/>
      <c r="E614" s="35"/>
      <c r="F614" s="37"/>
      <c r="G614" s="38"/>
      <c r="H614" s="36"/>
      <c r="I614" s="39"/>
      <c r="J614" s="40"/>
      <c r="K614" s="39"/>
      <c r="L614" s="40"/>
      <c r="M614" s="39"/>
      <c r="N614" s="41"/>
    </row>
    <row r="615" ht="12.75" customHeight="1">
      <c r="C615" s="35"/>
      <c r="D615" s="36"/>
      <c r="E615" s="35"/>
      <c r="F615" s="37"/>
      <c r="G615" s="38"/>
      <c r="H615" s="36"/>
      <c r="I615" s="39"/>
      <c r="J615" s="40"/>
      <c r="K615" s="39"/>
      <c r="L615" s="40"/>
      <c r="M615" s="39"/>
      <c r="N615" s="41"/>
    </row>
    <row r="616" ht="12.75" customHeight="1">
      <c r="C616" s="35"/>
      <c r="D616" s="36"/>
      <c r="E616" s="35"/>
      <c r="F616" s="37"/>
      <c r="G616" s="38"/>
      <c r="H616" s="36"/>
      <c r="I616" s="39"/>
      <c r="J616" s="40"/>
      <c r="K616" s="39"/>
      <c r="L616" s="40"/>
      <c r="M616" s="39"/>
      <c r="N616" s="41"/>
    </row>
    <row r="617" ht="12.75" customHeight="1">
      <c r="C617" s="35"/>
      <c r="D617" s="36"/>
      <c r="E617" s="35"/>
      <c r="F617" s="37"/>
      <c r="G617" s="38"/>
      <c r="H617" s="36"/>
      <c r="I617" s="39"/>
      <c r="J617" s="40"/>
      <c r="K617" s="39"/>
      <c r="L617" s="40"/>
      <c r="M617" s="39"/>
      <c r="N617" s="41"/>
    </row>
    <row r="618" ht="12.75" customHeight="1">
      <c r="C618" s="35"/>
      <c r="D618" s="36"/>
      <c r="E618" s="35"/>
      <c r="F618" s="37"/>
      <c r="G618" s="38"/>
      <c r="H618" s="36"/>
      <c r="I618" s="39"/>
      <c r="J618" s="40"/>
      <c r="K618" s="39"/>
      <c r="L618" s="40"/>
      <c r="M618" s="39"/>
      <c r="N618" s="41"/>
    </row>
    <row r="619" ht="12.75" customHeight="1">
      <c r="C619" s="35"/>
      <c r="D619" s="36"/>
      <c r="E619" s="35"/>
      <c r="F619" s="37"/>
      <c r="G619" s="38"/>
      <c r="H619" s="36"/>
      <c r="I619" s="39"/>
      <c r="J619" s="40"/>
      <c r="K619" s="39"/>
      <c r="L619" s="40"/>
      <c r="M619" s="39"/>
      <c r="N619" s="41"/>
    </row>
    <row r="620" ht="12.75" customHeight="1">
      <c r="C620" s="35"/>
      <c r="D620" s="36"/>
      <c r="E620" s="35"/>
      <c r="F620" s="37"/>
      <c r="G620" s="38"/>
      <c r="H620" s="36"/>
      <c r="I620" s="39"/>
      <c r="J620" s="40"/>
      <c r="K620" s="39"/>
      <c r="L620" s="40"/>
      <c r="M620" s="39"/>
      <c r="N620" s="41"/>
    </row>
    <row r="621" ht="12.75" customHeight="1">
      <c r="C621" s="35"/>
      <c r="D621" s="36"/>
      <c r="E621" s="35"/>
      <c r="F621" s="37"/>
      <c r="G621" s="38"/>
      <c r="H621" s="36"/>
      <c r="I621" s="39"/>
      <c r="J621" s="40"/>
      <c r="K621" s="39"/>
      <c r="L621" s="40"/>
      <c r="M621" s="39"/>
      <c r="N621" s="41"/>
    </row>
    <row r="622" ht="12.75" customHeight="1">
      <c r="C622" s="35"/>
      <c r="D622" s="36"/>
      <c r="E622" s="35"/>
      <c r="F622" s="37"/>
      <c r="G622" s="38"/>
      <c r="H622" s="36"/>
      <c r="I622" s="39"/>
      <c r="J622" s="40"/>
      <c r="K622" s="39"/>
      <c r="L622" s="40"/>
      <c r="M622" s="39"/>
      <c r="N622" s="41"/>
    </row>
    <row r="623" ht="12.75" customHeight="1">
      <c r="C623" s="35"/>
      <c r="D623" s="36"/>
      <c r="E623" s="35"/>
      <c r="F623" s="37"/>
      <c r="G623" s="38"/>
      <c r="H623" s="36"/>
      <c r="I623" s="39"/>
      <c r="J623" s="40"/>
      <c r="K623" s="39"/>
      <c r="L623" s="40"/>
      <c r="M623" s="39"/>
      <c r="N623" s="41"/>
    </row>
    <row r="624" ht="12.75" customHeight="1">
      <c r="C624" s="35"/>
      <c r="D624" s="36"/>
      <c r="E624" s="35"/>
      <c r="F624" s="37"/>
      <c r="G624" s="38"/>
      <c r="H624" s="36"/>
      <c r="I624" s="39"/>
      <c r="J624" s="40"/>
      <c r="K624" s="39"/>
      <c r="L624" s="40"/>
      <c r="M624" s="39"/>
      <c r="N624" s="41"/>
    </row>
    <row r="625" ht="12.75" customHeight="1">
      <c r="C625" s="35"/>
      <c r="D625" s="36"/>
      <c r="E625" s="35"/>
      <c r="F625" s="37"/>
      <c r="G625" s="38"/>
      <c r="H625" s="36"/>
      <c r="I625" s="39"/>
      <c r="J625" s="40"/>
      <c r="K625" s="39"/>
      <c r="L625" s="40"/>
      <c r="M625" s="39"/>
      <c r="N625" s="41"/>
    </row>
    <row r="626" ht="12.75" customHeight="1">
      <c r="C626" s="35"/>
      <c r="D626" s="36"/>
      <c r="E626" s="35"/>
      <c r="F626" s="37"/>
      <c r="G626" s="38"/>
      <c r="H626" s="36"/>
      <c r="I626" s="39"/>
      <c r="J626" s="40"/>
      <c r="K626" s="39"/>
      <c r="L626" s="40"/>
      <c r="M626" s="39"/>
      <c r="N626" s="41"/>
    </row>
    <row r="627" ht="12.75" customHeight="1">
      <c r="C627" s="35"/>
      <c r="D627" s="36"/>
      <c r="E627" s="35"/>
      <c r="F627" s="37"/>
      <c r="G627" s="38"/>
      <c r="H627" s="36"/>
      <c r="I627" s="39"/>
      <c r="J627" s="40"/>
      <c r="K627" s="39"/>
      <c r="L627" s="40"/>
      <c r="M627" s="39"/>
      <c r="N627" s="41"/>
    </row>
    <row r="628" ht="12.75" customHeight="1">
      <c r="C628" s="35"/>
      <c r="D628" s="36"/>
      <c r="E628" s="35"/>
      <c r="F628" s="37"/>
      <c r="G628" s="38"/>
      <c r="H628" s="36"/>
      <c r="I628" s="39"/>
      <c r="J628" s="40"/>
      <c r="K628" s="39"/>
      <c r="L628" s="40"/>
      <c r="M628" s="39"/>
      <c r="N628" s="41"/>
    </row>
    <row r="629" ht="12.75" customHeight="1">
      <c r="C629" s="35"/>
      <c r="D629" s="36"/>
      <c r="E629" s="35"/>
      <c r="F629" s="37"/>
      <c r="G629" s="38"/>
      <c r="H629" s="36"/>
      <c r="I629" s="39"/>
      <c r="J629" s="40"/>
      <c r="K629" s="39"/>
      <c r="L629" s="40"/>
      <c r="M629" s="39"/>
      <c r="N629" s="41"/>
    </row>
    <row r="630" ht="12.75" customHeight="1">
      <c r="C630" s="35"/>
      <c r="D630" s="36"/>
      <c r="E630" s="35"/>
      <c r="F630" s="37"/>
      <c r="G630" s="38"/>
      <c r="H630" s="36"/>
      <c r="I630" s="39"/>
      <c r="J630" s="40"/>
      <c r="K630" s="39"/>
      <c r="L630" s="40"/>
      <c r="M630" s="39"/>
      <c r="N630" s="41"/>
    </row>
    <row r="631" ht="12.75" customHeight="1">
      <c r="C631" s="35"/>
      <c r="D631" s="36"/>
      <c r="E631" s="35"/>
      <c r="F631" s="37"/>
      <c r="G631" s="38"/>
      <c r="H631" s="36"/>
      <c r="I631" s="39"/>
      <c r="J631" s="40"/>
      <c r="K631" s="39"/>
      <c r="L631" s="40"/>
      <c r="M631" s="39"/>
      <c r="N631" s="41"/>
    </row>
    <row r="632" ht="12.75" customHeight="1">
      <c r="C632" s="35"/>
      <c r="D632" s="36"/>
      <c r="E632" s="35"/>
      <c r="F632" s="37"/>
      <c r="G632" s="38"/>
      <c r="H632" s="36"/>
      <c r="I632" s="39"/>
      <c r="J632" s="40"/>
      <c r="K632" s="39"/>
      <c r="L632" s="40"/>
      <c r="M632" s="39"/>
      <c r="N632" s="41"/>
    </row>
    <row r="633" ht="12.75" customHeight="1">
      <c r="C633" s="35"/>
      <c r="D633" s="36"/>
      <c r="E633" s="35"/>
      <c r="F633" s="37"/>
      <c r="G633" s="38"/>
      <c r="H633" s="36"/>
      <c r="I633" s="39"/>
      <c r="J633" s="40"/>
      <c r="K633" s="39"/>
      <c r="L633" s="40"/>
      <c r="M633" s="39"/>
      <c r="N633" s="41"/>
    </row>
    <row r="634" ht="12.75" customHeight="1">
      <c r="C634" s="35"/>
      <c r="D634" s="36"/>
      <c r="E634" s="35"/>
      <c r="F634" s="37"/>
      <c r="G634" s="38"/>
      <c r="H634" s="36"/>
      <c r="I634" s="39"/>
      <c r="J634" s="40"/>
      <c r="K634" s="39"/>
      <c r="L634" s="40"/>
      <c r="M634" s="39"/>
      <c r="N634" s="41"/>
    </row>
    <row r="635" ht="12.75" customHeight="1">
      <c r="C635" s="35"/>
      <c r="D635" s="36"/>
      <c r="E635" s="35"/>
      <c r="F635" s="37"/>
      <c r="G635" s="38"/>
      <c r="H635" s="36"/>
      <c r="I635" s="39"/>
      <c r="J635" s="40"/>
      <c r="K635" s="39"/>
      <c r="L635" s="40"/>
      <c r="M635" s="39"/>
      <c r="N635" s="41"/>
    </row>
    <row r="636" ht="12.75" customHeight="1">
      <c r="C636" s="35"/>
      <c r="D636" s="36"/>
      <c r="E636" s="35"/>
      <c r="F636" s="37"/>
      <c r="G636" s="38"/>
      <c r="H636" s="36"/>
      <c r="I636" s="39"/>
      <c r="J636" s="40"/>
      <c r="K636" s="39"/>
      <c r="L636" s="40"/>
      <c r="M636" s="39"/>
      <c r="N636" s="41"/>
    </row>
    <row r="637" ht="12.75" customHeight="1">
      <c r="C637" s="35"/>
      <c r="D637" s="36"/>
      <c r="E637" s="35"/>
      <c r="F637" s="37"/>
      <c r="G637" s="38"/>
      <c r="H637" s="36"/>
      <c r="I637" s="39"/>
      <c r="J637" s="40"/>
      <c r="K637" s="39"/>
      <c r="L637" s="40"/>
      <c r="M637" s="39"/>
      <c r="N637" s="41"/>
    </row>
    <row r="638" ht="12.75" customHeight="1">
      <c r="C638" s="35"/>
      <c r="D638" s="36"/>
      <c r="E638" s="35"/>
      <c r="F638" s="37"/>
      <c r="G638" s="38"/>
      <c r="H638" s="36"/>
      <c r="I638" s="39"/>
      <c r="J638" s="40"/>
      <c r="K638" s="39"/>
      <c r="L638" s="40"/>
      <c r="M638" s="39"/>
      <c r="N638" s="41"/>
    </row>
    <row r="639" ht="12.75" customHeight="1">
      <c r="C639" s="35"/>
      <c r="D639" s="36"/>
      <c r="E639" s="35"/>
      <c r="F639" s="37"/>
      <c r="G639" s="38"/>
      <c r="H639" s="36"/>
      <c r="I639" s="39"/>
      <c r="J639" s="40"/>
      <c r="K639" s="39"/>
      <c r="L639" s="40"/>
      <c r="M639" s="39"/>
      <c r="N639" s="41"/>
    </row>
    <row r="640" ht="12.75" customHeight="1">
      <c r="C640" s="35"/>
      <c r="D640" s="36"/>
      <c r="E640" s="35"/>
      <c r="F640" s="37"/>
      <c r="G640" s="38"/>
      <c r="H640" s="36"/>
      <c r="I640" s="39"/>
      <c r="J640" s="40"/>
      <c r="K640" s="39"/>
      <c r="L640" s="40"/>
      <c r="M640" s="39"/>
      <c r="N640" s="41"/>
    </row>
    <row r="641" ht="12.75" customHeight="1">
      <c r="C641" s="35"/>
      <c r="D641" s="36"/>
      <c r="E641" s="35"/>
      <c r="F641" s="37"/>
      <c r="G641" s="38"/>
      <c r="H641" s="36"/>
      <c r="I641" s="39"/>
      <c r="J641" s="40"/>
      <c r="K641" s="39"/>
      <c r="L641" s="40"/>
      <c r="M641" s="39"/>
      <c r="N641" s="41"/>
    </row>
    <row r="642" ht="12.75" customHeight="1">
      <c r="C642" s="35"/>
      <c r="D642" s="36"/>
      <c r="E642" s="35"/>
      <c r="F642" s="37"/>
      <c r="G642" s="38"/>
      <c r="H642" s="36"/>
      <c r="I642" s="39"/>
      <c r="J642" s="40"/>
      <c r="K642" s="39"/>
      <c r="L642" s="40"/>
      <c r="M642" s="39"/>
      <c r="N642" s="41"/>
    </row>
    <row r="643" ht="12.75" customHeight="1">
      <c r="C643" s="35"/>
      <c r="D643" s="36"/>
      <c r="E643" s="35"/>
      <c r="F643" s="37"/>
      <c r="G643" s="38"/>
      <c r="H643" s="36"/>
      <c r="I643" s="39"/>
      <c r="J643" s="40"/>
      <c r="K643" s="39"/>
      <c r="L643" s="40"/>
      <c r="M643" s="39"/>
      <c r="N643" s="41"/>
    </row>
    <row r="644" ht="12.75" customHeight="1">
      <c r="C644" s="35"/>
      <c r="D644" s="36"/>
      <c r="E644" s="35"/>
      <c r="F644" s="37"/>
      <c r="G644" s="38"/>
      <c r="H644" s="36"/>
      <c r="I644" s="39"/>
      <c r="J644" s="40"/>
      <c r="K644" s="39"/>
      <c r="L644" s="40"/>
      <c r="M644" s="39"/>
      <c r="N644" s="41"/>
    </row>
    <row r="645" ht="12.75" customHeight="1">
      <c r="C645" s="35"/>
      <c r="D645" s="36"/>
      <c r="E645" s="35"/>
      <c r="F645" s="37"/>
      <c r="G645" s="38"/>
      <c r="H645" s="36"/>
      <c r="I645" s="39"/>
      <c r="J645" s="40"/>
      <c r="K645" s="39"/>
      <c r="L645" s="40"/>
      <c r="M645" s="39"/>
      <c r="N645" s="41"/>
    </row>
    <row r="646" ht="12.75" customHeight="1">
      <c r="C646" s="35"/>
      <c r="D646" s="36"/>
      <c r="E646" s="35"/>
      <c r="F646" s="37"/>
      <c r="G646" s="38"/>
      <c r="H646" s="36"/>
      <c r="I646" s="39"/>
      <c r="J646" s="40"/>
      <c r="K646" s="39"/>
      <c r="L646" s="40"/>
      <c r="M646" s="39"/>
      <c r="N646" s="41"/>
    </row>
    <row r="647" ht="12.75" customHeight="1">
      <c r="C647" s="35"/>
      <c r="D647" s="36"/>
      <c r="E647" s="35"/>
      <c r="F647" s="37"/>
      <c r="G647" s="38"/>
      <c r="H647" s="36"/>
      <c r="I647" s="39"/>
      <c r="J647" s="40"/>
      <c r="K647" s="39"/>
      <c r="L647" s="40"/>
      <c r="M647" s="39"/>
      <c r="N647" s="41"/>
    </row>
    <row r="648" ht="12.75" customHeight="1">
      <c r="C648" s="35"/>
      <c r="D648" s="36"/>
      <c r="E648" s="35"/>
      <c r="F648" s="37"/>
      <c r="G648" s="38"/>
      <c r="H648" s="36"/>
      <c r="I648" s="39"/>
      <c r="J648" s="40"/>
      <c r="K648" s="39"/>
      <c r="L648" s="40"/>
      <c r="M648" s="39"/>
      <c r="N648" s="41"/>
    </row>
    <row r="649" ht="12.75" customHeight="1">
      <c r="C649" s="35"/>
      <c r="D649" s="36"/>
      <c r="E649" s="35"/>
      <c r="F649" s="37"/>
      <c r="G649" s="38"/>
      <c r="H649" s="36"/>
      <c r="I649" s="39"/>
      <c r="J649" s="40"/>
      <c r="K649" s="39"/>
      <c r="L649" s="40"/>
      <c r="M649" s="39"/>
      <c r="N649" s="41"/>
    </row>
    <row r="650" ht="12.75" customHeight="1">
      <c r="C650" s="35"/>
      <c r="D650" s="36"/>
      <c r="E650" s="35"/>
      <c r="F650" s="37"/>
      <c r="G650" s="38"/>
      <c r="H650" s="36"/>
      <c r="I650" s="39"/>
      <c r="J650" s="40"/>
      <c r="K650" s="39"/>
      <c r="L650" s="40"/>
      <c r="M650" s="39"/>
      <c r="N650" s="41"/>
    </row>
    <row r="651" ht="12.75" customHeight="1">
      <c r="C651" s="35"/>
      <c r="D651" s="36"/>
      <c r="E651" s="35"/>
      <c r="F651" s="37"/>
      <c r="G651" s="38"/>
      <c r="H651" s="36"/>
      <c r="I651" s="39"/>
      <c r="J651" s="40"/>
      <c r="K651" s="39"/>
      <c r="L651" s="40"/>
      <c r="M651" s="39"/>
      <c r="N651" s="41"/>
    </row>
    <row r="652" ht="12.75" customHeight="1">
      <c r="C652" s="35"/>
      <c r="D652" s="36"/>
      <c r="E652" s="35"/>
      <c r="F652" s="37"/>
      <c r="G652" s="38"/>
      <c r="H652" s="36"/>
      <c r="I652" s="39"/>
      <c r="J652" s="40"/>
      <c r="K652" s="39"/>
      <c r="L652" s="40"/>
      <c r="M652" s="39"/>
      <c r="N652" s="41"/>
    </row>
    <row r="653" ht="12.75" customHeight="1">
      <c r="C653" s="35"/>
      <c r="D653" s="36"/>
      <c r="E653" s="35"/>
      <c r="F653" s="37"/>
      <c r="G653" s="38"/>
      <c r="H653" s="36"/>
      <c r="I653" s="39"/>
      <c r="J653" s="40"/>
      <c r="K653" s="39"/>
      <c r="L653" s="40"/>
      <c r="M653" s="39"/>
      <c r="N653" s="41"/>
    </row>
    <row r="654" ht="12.75" customHeight="1">
      <c r="C654" s="35"/>
      <c r="D654" s="36"/>
      <c r="E654" s="35"/>
      <c r="F654" s="37"/>
      <c r="G654" s="38"/>
      <c r="H654" s="36"/>
      <c r="I654" s="39"/>
      <c r="J654" s="40"/>
      <c r="K654" s="39"/>
      <c r="L654" s="40"/>
      <c r="M654" s="39"/>
      <c r="N654" s="41"/>
    </row>
    <row r="655" ht="12.75" customHeight="1">
      <c r="C655" s="35"/>
      <c r="D655" s="36"/>
      <c r="E655" s="35"/>
      <c r="F655" s="37"/>
      <c r="G655" s="38"/>
      <c r="H655" s="36"/>
      <c r="I655" s="39"/>
      <c r="J655" s="40"/>
      <c r="K655" s="39"/>
      <c r="L655" s="40"/>
      <c r="M655" s="39"/>
      <c r="N655" s="41"/>
    </row>
    <row r="656" ht="12.75" customHeight="1">
      <c r="C656" s="35"/>
      <c r="D656" s="36"/>
      <c r="E656" s="35"/>
      <c r="F656" s="37"/>
      <c r="G656" s="38"/>
      <c r="H656" s="36"/>
      <c r="I656" s="39"/>
      <c r="J656" s="40"/>
      <c r="K656" s="39"/>
      <c r="L656" s="40"/>
      <c r="M656" s="39"/>
      <c r="N656" s="41"/>
    </row>
    <row r="657" ht="12.75" customHeight="1">
      <c r="C657" s="35"/>
      <c r="D657" s="36"/>
      <c r="E657" s="35"/>
      <c r="F657" s="37"/>
      <c r="G657" s="38"/>
      <c r="H657" s="36"/>
      <c r="I657" s="39"/>
      <c r="J657" s="40"/>
      <c r="K657" s="39"/>
      <c r="L657" s="40"/>
      <c r="M657" s="39"/>
      <c r="N657" s="41"/>
    </row>
    <row r="658" ht="12.75" customHeight="1">
      <c r="C658" s="35"/>
      <c r="D658" s="36"/>
      <c r="E658" s="35"/>
      <c r="F658" s="37"/>
      <c r="G658" s="38"/>
      <c r="H658" s="36"/>
      <c r="I658" s="39"/>
      <c r="J658" s="40"/>
      <c r="K658" s="39"/>
      <c r="L658" s="40"/>
      <c r="M658" s="39"/>
      <c r="N658" s="41"/>
    </row>
    <row r="659" ht="12.75" customHeight="1">
      <c r="C659" s="35"/>
      <c r="D659" s="36"/>
      <c r="E659" s="35"/>
      <c r="F659" s="37"/>
      <c r="G659" s="38"/>
      <c r="H659" s="36"/>
      <c r="I659" s="39"/>
      <c r="J659" s="40"/>
      <c r="K659" s="39"/>
      <c r="L659" s="40"/>
      <c r="M659" s="39"/>
      <c r="N659" s="41"/>
    </row>
    <row r="660" ht="12.75" customHeight="1">
      <c r="C660" s="35"/>
      <c r="D660" s="36"/>
      <c r="E660" s="35"/>
      <c r="F660" s="37"/>
      <c r="G660" s="38"/>
      <c r="H660" s="36"/>
      <c r="I660" s="39"/>
      <c r="J660" s="40"/>
      <c r="K660" s="39"/>
      <c r="L660" s="40"/>
      <c r="M660" s="39"/>
      <c r="N660" s="41"/>
    </row>
    <row r="661" ht="12.75" customHeight="1">
      <c r="C661" s="35"/>
      <c r="D661" s="36"/>
      <c r="E661" s="35"/>
      <c r="F661" s="37"/>
      <c r="G661" s="38"/>
      <c r="H661" s="36"/>
      <c r="I661" s="39"/>
      <c r="J661" s="40"/>
      <c r="K661" s="39"/>
      <c r="L661" s="40"/>
      <c r="M661" s="39"/>
      <c r="N661" s="41"/>
    </row>
    <row r="662" ht="12.75" customHeight="1">
      <c r="C662" s="35"/>
      <c r="D662" s="36"/>
      <c r="E662" s="35"/>
      <c r="F662" s="37"/>
      <c r="G662" s="38"/>
      <c r="H662" s="36"/>
      <c r="I662" s="39"/>
      <c r="J662" s="40"/>
      <c r="K662" s="39"/>
      <c r="L662" s="40"/>
      <c r="M662" s="39"/>
      <c r="N662" s="41"/>
    </row>
    <row r="663" ht="12.75" customHeight="1">
      <c r="C663" s="35"/>
      <c r="D663" s="36"/>
      <c r="E663" s="35"/>
      <c r="F663" s="37"/>
      <c r="G663" s="38"/>
      <c r="H663" s="36"/>
      <c r="I663" s="39"/>
      <c r="J663" s="40"/>
      <c r="K663" s="39"/>
      <c r="L663" s="40"/>
      <c r="M663" s="39"/>
      <c r="N663" s="41"/>
    </row>
    <row r="664" ht="12.75" customHeight="1">
      <c r="C664" s="35"/>
      <c r="D664" s="36"/>
      <c r="E664" s="35"/>
      <c r="F664" s="37"/>
      <c r="G664" s="38"/>
      <c r="H664" s="36"/>
      <c r="I664" s="39"/>
      <c r="J664" s="40"/>
      <c r="K664" s="39"/>
      <c r="L664" s="40"/>
      <c r="M664" s="39"/>
      <c r="N664" s="41"/>
    </row>
    <row r="665" ht="12.75" customHeight="1">
      <c r="C665" s="35"/>
      <c r="D665" s="36"/>
      <c r="E665" s="35"/>
      <c r="F665" s="37"/>
      <c r="G665" s="38"/>
      <c r="H665" s="36"/>
      <c r="I665" s="39"/>
      <c r="J665" s="40"/>
      <c r="K665" s="39"/>
      <c r="L665" s="40"/>
      <c r="M665" s="39"/>
      <c r="N665" s="41"/>
    </row>
    <row r="666" ht="12.75" customHeight="1">
      <c r="C666" s="35"/>
      <c r="D666" s="36"/>
      <c r="E666" s="35"/>
      <c r="F666" s="37"/>
      <c r="G666" s="38"/>
      <c r="H666" s="36"/>
      <c r="I666" s="39"/>
      <c r="J666" s="40"/>
      <c r="K666" s="39"/>
      <c r="L666" s="40"/>
      <c r="M666" s="39"/>
      <c r="N666" s="41"/>
    </row>
    <row r="667" ht="12.75" customHeight="1">
      <c r="C667" s="35"/>
      <c r="D667" s="36"/>
      <c r="E667" s="35"/>
      <c r="F667" s="37"/>
      <c r="G667" s="38"/>
      <c r="H667" s="36"/>
      <c r="I667" s="39"/>
      <c r="J667" s="40"/>
      <c r="K667" s="39"/>
      <c r="L667" s="40"/>
      <c r="M667" s="39"/>
      <c r="N667" s="41"/>
    </row>
    <row r="668" ht="12.75" customHeight="1">
      <c r="C668" s="35"/>
      <c r="D668" s="36"/>
      <c r="E668" s="35"/>
      <c r="F668" s="37"/>
      <c r="G668" s="38"/>
      <c r="H668" s="36"/>
      <c r="I668" s="39"/>
      <c r="J668" s="40"/>
      <c r="K668" s="39"/>
      <c r="L668" s="40"/>
      <c r="M668" s="39"/>
      <c r="N668" s="41"/>
    </row>
    <row r="669" ht="12.75" customHeight="1">
      <c r="C669" s="35"/>
      <c r="D669" s="36"/>
      <c r="E669" s="35"/>
      <c r="F669" s="37"/>
      <c r="G669" s="38"/>
      <c r="H669" s="36"/>
      <c r="I669" s="39"/>
      <c r="J669" s="40"/>
      <c r="K669" s="39"/>
      <c r="L669" s="40"/>
      <c r="M669" s="39"/>
      <c r="N669" s="41"/>
    </row>
    <row r="670" ht="12.75" customHeight="1">
      <c r="C670" s="35"/>
      <c r="D670" s="36"/>
      <c r="E670" s="35"/>
      <c r="F670" s="37"/>
      <c r="G670" s="38"/>
      <c r="H670" s="36"/>
      <c r="I670" s="39"/>
      <c r="J670" s="40"/>
      <c r="K670" s="39"/>
      <c r="L670" s="40"/>
      <c r="M670" s="39"/>
      <c r="N670" s="41"/>
    </row>
    <row r="671" ht="12.75" customHeight="1">
      <c r="C671" s="35"/>
      <c r="D671" s="36"/>
      <c r="E671" s="35"/>
      <c r="F671" s="37"/>
      <c r="G671" s="38"/>
      <c r="H671" s="36"/>
      <c r="I671" s="39"/>
      <c r="J671" s="40"/>
      <c r="K671" s="39"/>
      <c r="L671" s="40"/>
      <c r="M671" s="39"/>
      <c r="N671" s="41"/>
    </row>
    <row r="672" ht="12.75" customHeight="1">
      <c r="C672" s="35"/>
      <c r="D672" s="36"/>
      <c r="E672" s="35"/>
      <c r="F672" s="37"/>
      <c r="G672" s="38"/>
      <c r="H672" s="36"/>
      <c r="I672" s="39"/>
      <c r="J672" s="40"/>
      <c r="K672" s="39"/>
      <c r="L672" s="40"/>
      <c r="M672" s="39"/>
      <c r="N672" s="41"/>
    </row>
    <row r="673" ht="12.75" customHeight="1">
      <c r="C673" s="35"/>
      <c r="D673" s="36"/>
      <c r="E673" s="35"/>
      <c r="F673" s="37"/>
      <c r="G673" s="38"/>
      <c r="H673" s="36"/>
      <c r="I673" s="39"/>
      <c r="J673" s="40"/>
      <c r="K673" s="39"/>
      <c r="L673" s="40"/>
      <c r="M673" s="39"/>
      <c r="N673" s="41"/>
    </row>
    <row r="674" ht="12.75" customHeight="1">
      <c r="C674" s="35"/>
      <c r="D674" s="36"/>
      <c r="E674" s="35"/>
      <c r="F674" s="37"/>
      <c r="G674" s="38"/>
      <c r="H674" s="36"/>
      <c r="I674" s="39"/>
      <c r="J674" s="40"/>
      <c r="K674" s="39"/>
      <c r="L674" s="40"/>
      <c r="M674" s="39"/>
      <c r="N674" s="41"/>
    </row>
    <row r="675" ht="12.75" customHeight="1">
      <c r="C675" s="35"/>
      <c r="D675" s="36"/>
      <c r="E675" s="35"/>
      <c r="F675" s="37"/>
      <c r="G675" s="38"/>
      <c r="H675" s="36"/>
      <c r="I675" s="39"/>
      <c r="J675" s="40"/>
      <c r="K675" s="39"/>
      <c r="L675" s="40"/>
      <c r="M675" s="39"/>
      <c r="N675" s="41"/>
    </row>
    <row r="676" ht="12.75" customHeight="1">
      <c r="C676" s="35"/>
      <c r="D676" s="36"/>
      <c r="E676" s="35"/>
      <c r="F676" s="37"/>
      <c r="G676" s="38"/>
      <c r="H676" s="36"/>
      <c r="I676" s="39"/>
      <c r="J676" s="40"/>
      <c r="K676" s="39"/>
      <c r="L676" s="40"/>
      <c r="M676" s="39"/>
      <c r="N676" s="41"/>
    </row>
    <row r="677" ht="12.75" customHeight="1">
      <c r="C677" s="35"/>
      <c r="D677" s="36"/>
      <c r="E677" s="35"/>
      <c r="F677" s="37"/>
      <c r="G677" s="38"/>
      <c r="H677" s="36"/>
      <c r="I677" s="39"/>
      <c r="J677" s="40"/>
      <c r="K677" s="39"/>
      <c r="L677" s="40"/>
      <c r="M677" s="39"/>
      <c r="N677" s="41"/>
    </row>
    <row r="678" ht="12.75" customHeight="1">
      <c r="C678" s="35"/>
      <c r="D678" s="36"/>
      <c r="E678" s="35"/>
      <c r="F678" s="37"/>
      <c r="G678" s="38"/>
      <c r="H678" s="36"/>
      <c r="I678" s="39"/>
      <c r="J678" s="40"/>
      <c r="K678" s="39"/>
      <c r="L678" s="40"/>
      <c r="M678" s="39"/>
      <c r="N678" s="41"/>
    </row>
    <row r="679" ht="12.75" customHeight="1">
      <c r="C679" s="35"/>
      <c r="D679" s="36"/>
      <c r="E679" s="35"/>
      <c r="F679" s="37"/>
      <c r="G679" s="38"/>
      <c r="H679" s="36"/>
      <c r="I679" s="39"/>
      <c r="J679" s="40"/>
      <c r="K679" s="39"/>
      <c r="L679" s="40"/>
      <c r="M679" s="39"/>
      <c r="N679" s="41"/>
    </row>
    <row r="680" ht="12.75" customHeight="1">
      <c r="C680" s="35"/>
      <c r="D680" s="36"/>
      <c r="E680" s="35"/>
      <c r="F680" s="37"/>
      <c r="G680" s="38"/>
      <c r="H680" s="36"/>
      <c r="I680" s="39"/>
      <c r="J680" s="40"/>
      <c r="K680" s="39"/>
      <c r="L680" s="40"/>
      <c r="M680" s="39"/>
      <c r="N680" s="41"/>
    </row>
    <row r="681" ht="12.75" customHeight="1">
      <c r="C681" s="35"/>
      <c r="D681" s="36"/>
      <c r="E681" s="35"/>
      <c r="F681" s="37"/>
      <c r="G681" s="38"/>
      <c r="H681" s="36"/>
      <c r="I681" s="39"/>
      <c r="J681" s="40"/>
      <c r="K681" s="39"/>
      <c r="L681" s="40"/>
      <c r="M681" s="39"/>
      <c r="N681" s="41"/>
    </row>
    <row r="682" ht="12.75" customHeight="1">
      <c r="C682" s="35"/>
      <c r="D682" s="36"/>
      <c r="E682" s="35"/>
      <c r="F682" s="37"/>
      <c r="G682" s="38"/>
      <c r="H682" s="36"/>
      <c r="I682" s="39"/>
      <c r="J682" s="40"/>
      <c r="K682" s="39"/>
      <c r="L682" s="40"/>
      <c r="M682" s="39"/>
      <c r="N682" s="41"/>
    </row>
    <row r="683" ht="12.75" customHeight="1">
      <c r="C683" s="35"/>
      <c r="D683" s="36"/>
      <c r="E683" s="35"/>
      <c r="F683" s="37"/>
      <c r="G683" s="38"/>
      <c r="H683" s="36"/>
      <c r="I683" s="39"/>
      <c r="J683" s="40"/>
      <c r="K683" s="39"/>
      <c r="L683" s="40"/>
      <c r="M683" s="39"/>
      <c r="N683" s="41"/>
    </row>
    <row r="684" ht="12.75" customHeight="1">
      <c r="C684" s="35"/>
      <c r="D684" s="36"/>
      <c r="E684" s="35"/>
      <c r="F684" s="37"/>
      <c r="G684" s="38"/>
      <c r="H684" s="36"/>
      <c r="I684" s="39"/>
      <c r="J684" s="40"/>
      <c r="K684" s="39"/>
      <c r="L684" s="40"/>
      <c r="M684" s="39"/>
      <c r="N684" s="41"/>
    </row>
    <row r="685" ht="12.75" customHeight="1">
      <c r="C685" s="35"/>
      <c r="D685" s="36"/>
      <c r="E685" s="35"/>
      <c r="F685" s="37"/>
      <c r="G685" s="38"/>
      <c r="H685" s="36"/>
      <c r="I685" s="39"/>
      <c r="J685" s="40"/>
      <c r="K685" s="39"/>
      <c r="L685" s="40"/>
      <c r="M685" s="39"/>
      <c r="N685" s="41"/>
    </row>
    <row r="686" ht="12.75" customHeight="1">
      <c r="C686" s="35"/>
      <c r="D686" s="36"/>
      <c r="E686" s="35"/>
      <c r="F686" s="37"/>
      <c r="G686" s="38"/>
      <c r="H686" s="36"/>
      <c r="I686" s="39"/>
      <c r="J686" s="40"/>
      <c r="K686" s="39"/>
      <c r="L686" s="40"/>
      <c r="M686" s="39"/>
      <c r="N686" s="41"/>
    </row>
    <row r="687" ht="12.75" customHeight="1">
      <c r="C687" s="35"/>
      <c r="D687" s="36"/>
      <c r="E687" s="35"/>
      <c r="F687" s="37"/>
      <c r="G687" s="38"/>
      <c r="H687" s="36"/>
      <c r="I687" s="39"/>
      <c r="J687" s="40"/>
      <c r="K687" s="39"/>
      <c r="L687" s="40"/>
      <c r="M687" s="39"/>
      <c r="N687" s="41"/>
    </row>
    <row r="688" ht="12.75" customHeight="1">
      <c r="C688" s="35"/>
      <c r="D688" s="36"/>
      <c r="E688" s="35"/>
      <c r="F688" s="37"/>
      <c r="G688" s="38"/>
      <c r="H688" s="36"/>
      <c r="I688" s="39"/>
      <c r="J688" s="40"/>
      <c r="K688" s="39"/>
      <c r="L688" s="40"/>
      <c r="M688" s="39"/>
      <c r="N688" s="41"/>
    </row>
    <row r="689" ht="12.75" customHeight="1">
      <c r="C689" s="35"/>
      <c r="D689" s="36"/>
      <c r="E689" s="35"/>
      <c r="F689" s="37"/>
      <c r="G689" s="38"/>
      <c r="H689" s="36"/>
      <c r="I689" s="39"/>
      <c r="J689" s="40"/>
      <c r="K689" s="39"/>
      <c r="L689" s="40"/>
      <c r="M689" s="39"/>
      <c r="N689" s="41"/>
    </row>
    <row r="690" ht="12.75" customHeight="1">
      <c r="C690" s="35"/>
      <c r="D690" s="36"/>
      <c r="E690" s="35"/>
      <c r="F690" s="37"/>
      <c r="G690" s="38"/>
      <c r="H690" s="36"/>
      <c r="I690" s="39"/>
      <c r="J690" s="40"/>
      <c r="K690" s="39"/>
      <c r="L690" s="40"/>
      <c r="M690" s="39"/>
      <c r="N690" s="41"/>
    </row>
    <row r="691" ht="12.75" customHeight="1">
      <c r="C691" s="35"/>
      <c r="D691" s="36"/>
      <c r="E691" s="35"/>
      <c r="F691" s="37"/>
      <c r="G691" s="38"/>
      <c r="H691" s="36"/>
      <c r="I691" s="39"/>
      <c r="J691" s="40"/>
      <c r="K691" s="39"/>
      <c r="L691" s="40"/>
      <c r="M691" s="39"/>
      <c r="N691" s="41"/>
    </row>
    <row r="692" ht="12.75" customHeight="1">
      <c r="C692" s="35"/>
      <c r="D692" s="36"/>
      <c r="E692" s="35"/>
      <c r="F692" s="37"/>
      <c r="G692" s="38"/>
      <c r="H692" s="36"/>
      <c r="I692" s="39"/>
      <c r="J692" s="40"/>
      <c r="K692" s="39"/>
      <c r="L692" s="40"/>
      <c r="M692" s="39"/>
      <c r="N692" s="41"/>
    </row>
    <row r="693" ht="12.75" customHeight="1">
      <c r="C693" s="35"/>
      <c r="D693" s="36"/>
      <c r="E693" s="35"/>
      <c r="F693" s="37"/>
      <c r="G693" s="38"/>
      <c r="H693" s="36"/>
      <c r="I693" s="39"/>
      <c r="J693" s="40"/>
      <c r="K693" s="39"/>
      <c r="L693" s="40"/>
      <c r="M693" s="39"/>
      <c r="N693" s="41"/>
    </row>
    <row r="694" ht="12.75" customHeight="1">
      <c r="C694" s="35"/>
      <c r="D694" s="36"/>
      <c r="E694" s="35"/>
      <c r="F694" s="37"/>
      <c r="G694" s="38"/>
      <c r="H694" s="36"/>
      <c r="I694" s="39"/>
      <c r="J694" s="40"/>
      <c r="K694" s="39"/>
      <c r="L694" s="40"/>
      <c r="M694" s="39"/>
      <c r="N694" s="41"/>
    </row>
    <row r="695" ht="12.75" customHeight="1">
      <c r="C695" s="35"/>
      <c r="D695" s="36"/>
      <c r="E695" s="35"/>
      <c r="F695" s="37"/>
      <c r="G695" s="38"/>
      <c r="H695" s="36"/>
      <c r="I695" s="39"/>
      <c r="J695" s="40"/>
      <c r="K695" s="39"/>
      <c r="L695" s="40"/>
      <c r="M695" s="39"/>
      <c r="N695" s="41"/>
    </row>
    <row r="696" ht="12.75" customHeight="1">
      <c r="C696" s="35"/>
      <c r="D696" s="36"/>
      <c r="E696" s="35"/>
      <c r="F696" s="37"/>
      <c r="G696" s="38"/>
      <c r="H696" s="36"/>
      <c r="I696" s="39"/>
      <c r="J696" s="40"/>
      <c r="K696" s="39"/>
      <c r="L696" s="40"/>
      <c r="M696" s="39"/>
      <c r="N696" s="41"/>
    </row>
    <row r="697" ht="12.75" customHeight="1">
      <c r="C697" s="35"/>
      <c r="D697" s="36"/>
      <c r="E697" s="35"/>
      <c r="F697" s="37"/>
      <c r="G697" s="38"/>
      <c r="H697" s="36"/>
      <c r="I697" s="39"/>
      <c r="J697" s="40"/>
      <c r="K697" s="39"/>
      <c r="L697" s="40"/>
      <c r="M697" s="39"/>
      <c r="N697" s="41"/>
    </row>
    <row r="698" ht="12.75" customHeight="1">
      <c r="C698" s="35"/>
      <c r="D698" s="36"/>
      <c r="E698" s="35"/>
      <c r="F698" s="37"/>
      <c r="G698" s="38"/>
      <c r="H698" s="36"/>
      <c r="I698" s="39"/>
      <c r="J698" s="40"/>
      <c r="K698" s="39"/>
      <c r="L698" s="40"/>
      <c r="M698" s="39"/>
      <c r="N698" s="41"/>
    </row>
    <row r="699" ht="12.75" customHeight="1">
      <c r="C699" s="35"/>
      <c r="D699" s="36"/>
      <c r="E699" s="35"/>
      <c r="F699" s="37"/>
      <c r="G699" s="38"/>
      <c r="H699" s="36"/>
      <c r="I699" s="39"/>
      <c r="J699" s="40"/>
      <c r="K699" s="39"/>
      <c r="L699" s="40"/>
      <c r="M699" s="39"/>
      <c r="N699" s="41"/>
    </row>
    <row r="700" ht="12.75" customHeight="1">
      <c r="C700" s="35"/>
      <c r="D700" s="36"/>
      <c r="E700" s="35"/>
      <c r="F700" s="37"/>
      <c r="G700" s="38"/>
      <c r="H700" s="36"/>
      <c r="I700" s="39"/>
      <c r="J700" s="40"/>
      <c r="K700" s="39"/>
      <c r="L700" s="40"/>
      <c r="M700" s="39"/>
      <c r="N700" s="41"/>
    </row>
    <row r="701" ht="12.75" customHeight="1">
      <c r="C701" s="35"/>
      <c r="D701" s="36"/>
      <c r="E701" s="35"/>
      <c r="F701" s="37"/>
      <c r="G701" s="38"/>
      <c r="H701" s="36"/>
      <c r="I701" s="39"/>
      <c r="J701" s="40"/>
      <c r="K701" s="39"/>
      <c r="L701" s="40"/>
      <c r="M701" s="39"/>
      <c r="N701" s="41"/>
    </row>
    <row r="702" ht="12.75" customHeight="1">
      <c r="C702" s="35"/>
      <c r="D702" s="36"/>
      <c r="E702" s="35"/>
      <c r="F702" s="37"/>
      <c r="G702" s="38"/>
      <c r="H702" s="36"/>
      <c r="I702" s="39"/>
      <c r="J702" s="40"/>
      <c r="K702" s="39"/>
      <c r="L702" s="40"/>
      <c r="M702" s="39"/>
      <c r="N702" s="41"/>
    </row>
    <row r="703" ht="12.75" customHeight="1">
      <c r="C703" s="35"/>
      <c r="D703" s="36"/>
      <c r="E703" s="35"/>
      <c r="F703" s="37"/>
      <c r="G703" s="38"/>
      <c r="H703" s="36"/>
      <c r="I703" s="39"/>
      <c r="J703" s="40"/>
      <c r="K703" s="39"/>
      <c r="L703" s="40"/>
      <c r="M703" s="39"/>
      <c r="N703" s="41"/>
    </row>
    <row r="704" ht="12.75" customHeight="1">
      <c r="C704" s="35"/>
      <c r="D704" s="36"/>
      <c r="E704" s="35"/>
      <c r="F704" s="37"/>
      <c r="G704" s="38"/>
      <c r="H704" s="36"/>
      <c r="I704" s="39"/>
      <c r="J704" s="40"/>
      <c r="K704" s="39"/>
      <c r="L704" s="40"/>
      <c r="M704" s="39"/>
      <c r="N704" s="41"/>
    </row>
    <row r="705" ht="12.75" customHeight="1">
      <c r="C705" s="35"/>
      <c r="D705" s="36"/>
      <c r="E705" s="35"/>
      <c r="F705" s="37"/>
      <c r="G705" s="38"/>
      <c r="H705" s="36"/>
      <c r="I705" s="39"/>
      <c r="J705" s="40"/>
      <c r="K705" s="39"/>
      <c r="L705" s="40"/>
      <c r="M705" s="39"/>
      <c r="N705" s="41"/>
    </row>
    <row r="706" ht="12.75" customHeight="1">
      <c r="C706" s="35"/>
      <c r="D706" s="36"/>
      <c r="E706" s="35"/>
      <c r="F706" s="37"/>
      <c r="G706" s="38"/>
      <c r="H706" s="36"/>
      <c r="I706" s="39"/>
      <c r="J706" s="40"/>
      <c r="K706" s="39"/>
      <c r="L706" s="40"/>
      <c r="M706" s="39"/>
      <c r="N706" s="41"/>
    </row>
    <row r="707" ht="12.75" customHeight="1">
      <c r="C707" s="35"/>
      <c r="D707" s="36"/>
      <c r="E707" s="35"/>
      <c r="F707" s="37"/>
      <c r="G707" s="38"/>
      <c r="H707" s="36"/>
      <c r="I707" s="39"/>
      <c r="J707" s="40"/>
      <c r="K707" s="39"/>
      <c r="L707" s="40"/>
      <c r="M707" s="39"/>
      <c r="N707" s="41"/>
    </row>
    <row r="708" ht="12.75" customHeight="1">
      <c r="C708" s="35"/>
      <c r="D708" s="36"/>
      <c r="E708" s="35"/>
      <c r="F708" s="37"/>
      <c r="G708" s="38"/>
      <c r="H708" s="36"/>
      <c r="I708" s="39"/>
      <c r="J708" s="40"/>
      <c r="K708" s="39"/>
      <c r="L708" s="40"/>
      <c r="M708" s="39"/>
      <c r="N708" s="41"/>
    </row>
    <row r="709" ht="12.75" customHeight="1">
      <c r="C709" s="35"/>
      <c r="D709" s="36"/>
      <c r="E709" s="35"/>
      <c r="F709" s="37"/>
      <c r="G709" s="38"/>
      <c r="H709" s="36"/>
      <c r="I709" s="39"/>
      <c r="J709" s="40"/>
      <c r="K709" s="39"/>
      <c r="L709" s="40"/>
      <c r="M709" s="39"/>
      <c r="N709" s="41"/>
    </row>
    <row r="710" ht="12.75" customHeight="1">
      <c r="C710" s="35"/>
      <c r="D710" s="36"/>
      <c r="E710" s="35"/>
      <c r="F710" s="37"/>
      <c r="G710" s="38"/>
      <c r="H710" s="36"/>
      <c r="I710" s="39"/>
      <c r="J710" s="40"/>
      <c r="K710" s="39"/>
      <c r="L710" s="40"/>
      <c r="M710" s="39"/>
      <c r="N710" s="41"/>
    </row>
    <row r="711" ht="12.75" customHeight="1">
      <c r="C711" s="35"/>
      <c r="D711" s="36"/>
      <c r="E711" s="35"/>
      <c r="F711" s="37"/>
      <c r="G711" s="38"/>
      <c r="H711" s="36"/>
      <c r="I711" s="39"/>
      <c r="J711" s="40"/>
      <c r="K711" s="39"/>
      <c r="L711" s="40"/>
      <c r="M711" s="39"/>
      <c r="N711" s="41"/>
    </row>
    <row r="712" ht="12.75" customHeight="1">
      <c r="C712" s="35"/>
      <c r="D712" s="36"/>
      <c r="E712" s="35"/>
      <c r="F712" s="37"/>
      <c r="G712" s="38"/>
      <c r="H712" s="36"/>
      <c r="I712" s="39"/>
      <c r="J712" s="40"/>
      <c r="K712" s="39"/>
      <c r="L712" s="40"/>
      <c r="M712" s="39"/>
      <c r="N712" s="41"/>
    </row>
    <row r="713" ht="12.75" customHeight="1">
      <c r="C713" s="35"/>
      <c r="D713" s="36"/>
      <c r="E713" s="35"/>
      <c r="F713" s="37"/>
      <c r="G713" s="38"/>
      <c r="H713" s="36"/>
      <c r="I713" s="39"/>
      <c r="J713" s="40"/>
      <c r="K713" s="39"/>
      <c r="L713" s="40"/>
      <c r="M713" s="39"/>
      <c r="N713" s="41"/>
    </row>
    <row r="714" ht="12.75" customHeight="1">
      <c r="C714" s="35"/>
      <c r="D714" s="36"/>
      <c r="E714" s="35"/>
      <c r="F714" s="37"/>
      <c r="G714" s="38"/>
      <c r="H714" s="36"/>
      <c r="I714" s="39"/>
      <c r="J714" s="40"/>
      <c r="K714" s="39"/>
      <c r="L714" s="40"/>
      <c r="M714" s="39"/>
      <c r="N714" s="41"/>
    </row>
    <row r="715" ht="12.75" customHeight="1">
      <c r="C715" s="35"/>
      <c r="D715" s="36"/>
      <c r="E715" s="35"/>
      <c r="F715" s="37"/>
      <c r="G715" s="38"/>
      <c r="H715" s="36"/>
      <c r="I715" s="39"/>
      <c r="J715" s="40"/>
      <c r="K715" s="39"/>
      <c r="L715" s="40"/>
      <c r="M715" s="39"/>
      <c r="N715" s="41"/>
    </row>
    <row r="716" ht="12.75" customHeight="1">
      <c r="C716" s="35"/>
      <c r="D716" s="36"/>
      <c r="E716" s="35"/>
      <c r="F716" s="37"/>
      <c r="G716" s="38"/>
      <c r="H716" s="36"/>
      <c r="I716" s="39"/>
      <c r="J716" s="40"/>
      <c r="K716" s="39"/>
      <c r="L716" s="40"/>
      <c r="M716" s="39"/>
      <c r="N716" s="41"/>
    </row>
    <row r="717" ht="12.75" customHeight="1">
      <c r="C717" s="35"/>
      <c r="D717" s="36"/>
      <c r="E717" s="35"/>
      <c r="F717" s="37"/>
      <c r="G717" s="38"/>
      <c r="H717" s="36"/>
      <c r="I717" s="39"/>
      <c r="J717" s="40"/>
      <c r="K717" s="39"/>
      <c r="L717" s="40"/>
      <c r="M717" s="39"/>
      <c r="N717" s="41"/>
    </row>
    <row r="718" ht="12.75" customHeight="1">
      <c r="C718" s="35"/>
      <c r="D718" s="36"/>
      <c r="E718" s="35"/>
      <c r="F718" s="37"/>
      <c r="G718" s="38"/>
      <c r="H718" s="36"/>
      <c r="I718" s="39"/>
      <c r="J718" s="40"/>
      <c r="K718" s="39"/>
      <c r="L718" s="40"/>
      <c r="M718" s="39"/>
      <c r="N718" s="41"/>
    </row>
    <row r="719" ht="12.75" customHeight="1">
      <c r="C719" s="35"/>
      <c r="D719" s="36"/>
      <c r="E719" s="35"/>
      <c r="F719" s="37"/>
      <c r="G719" s="38"/>
      <c r="H719" s="36"/>
      <c r="I719" s="39"/>
      <c r="J719" s="40"/>
      <c r="K719" s="39"/>
      <c r="L719" s="40"/>
      <c r="M719" s="39"/>
      <c r="N719" s="41"/>
    </row>
    <row r="720" ht="12.75" customHeight="1">
      <c r="C720" s="35"/>
      <c r="D720" s="36"/>
      <c r="E720" s="35"/>
      <c r="F720" s="37"/>
      <c r="G720" s="38"/>
      <c r="H720" s="36"/>
      <c r="I720" s="39"/>
      <c r="J720" s="40"/>
      <c r="K720" s="39"/>
      <c r="L720" s="40"/>
      <c r="M720" s="39"/>
      <c r="N720" s="41"/>
    </row>
    <row r="721" ht="12.75" customHeight="1">
      <c r="C721" s="35"/>
      <c r="D721" s="36"/>
      <c r="E721" s="35"/>
      <c r="F721" s="37"/>
      <c r="G721" s="38"/>
      <c r="H721" s="36"/>
      <c r="I721" s="39"/>
      <c r="J721" s="40"/>
      <c r="K721" s="39"/>
      <c r="L721" s="40"/>
      <c r="M721" s="39"/>
      <c r="N721" s="41"/>
    </row>
    <row r="722" ht="12.75" customHeight="1">
      <c r="C722" s="35"/>
      <c r="D722" s="36"/>
      <c r="E722" s="35"/>
      <c r="F722" s="37"/>
      <c r="G722" s="38"/>
      <c r="H722" s="36"/>
      <c r="I722" s="39"/>
      <c r="J722" s="40"/>
      <c r="K722" s="39"/>
      <c r="L722" s="40"/>
      <c r="M722" s="39"/>
      <c r="N722" s="41"/>
    </row>
    <row r="723" ht="12.75" customHeight="1">
      <c r="C723" s="35"/>
      <c r="D723" s="36"/>
      <c r="E723" s="35"/>
      <c r="F723" s="37"/>
      <c r="G723" s="38"/>
      <c r="H723" s="36"/>
      <c r="I723" s="39"/>
      <c r="J723" s="40"/>
      <c r="K723" s="39"/>
      <c r="L723" s="40"/>
      <c r="M723" s="39"/>
      <c r="N723" s="41"/>
    </row>
    <row r="724" ht="12.75" customHeight="1">
      <c r="C724" s="35"/>
      <c r="D724" s="36"/>
      <c r="E724" s="35"/>
      <c r="F724" s="37"/>
      <c r="G724" s="38"/>
      <c r="H724" s="36"/>
      <c r="I724" s="39"/>
      <c r="J724" s="40"/>
      <c r="K724" s="39"/>
      <c r="L724" s="40"/>
      <c r="M724" s="39"/>
      <c r="N724" s="41"/>
    </row>
    <row r="725" ht="12.75" customHeight="1">
      <c r="C725" s="35"/>
      <c r="D725" s="36"/>
      <c r="E725" s="35"/>
      <c r="F725" s="37"/>
      <c r="G725" s="38"/>
      <c r="H725" s="36"/>
      <c r="I725" s="39"/>
      <c r="J725" s="40"/>
      <c r="K725" s="39"/>
      <c r="L725" s="40"/>
      <c r="M725" s="39"/>
      <c r="N725" s="41"/>
    </row>
    <row r="726" ht="12.75" customHeight="1">
      <c r="C726" s="35"/>
      <c r="D726" s="36"/>
      <c r="E726" s="35"/>
      <c r="F726" s="37"/>
      <c r="G726" s="38"/>
      <c r="H726" s="36"/>
      <c r="I726" s="39"/>
      <c r="J726" s="40"/>
      <c r="K726" s="39"/>
      <c r="L726" s="40"/>
      <c r="M726" s="39"/>
      <c r="N726" s="41"/>
    </row>
    <row r="727" ht="12.75" customHeight="1">
      <c r="C727" s="35"/>
      <c r="D727" s="36"/>
      <c r="E727" s="35"/>
      <c r="F727" s="37"/>
      <c r="G727" s="38"/>
      <c r="H727" s="36"/>
      <c r="I727" s="39"/>
      <c r="J727" s="40"/>
      <c r="K727" s="39"/>
      <c r="L727" s="40"/>
      <c r="M727" s="39"/>
      <c r="N727" s="41"/>
    </row>
    <row r="728" ht="12.75" customHeight="1">
      <c r="C728" s="35"/>
      <c r="D728" s="36"/>
      <c r="E728" s="35"/>
      <c r="F728" s="37"/>
      <c r="G728" s="38"/>
      <c r="H728" s="36"/>
      <c r="I728" s="39"/>
      <c r="J728" s="40"/>
      <c r="K728" s="39"/>
      <c r="L728" s="40"/>
      <c r="M728" s="39"/>
      <c r="N728" s="41"/>
    </row>
    <row r="729" ht="12.75" customHeight="1">
      <c r="C729" s="35"/>
      <c r="D729" s="36"/>
      <c r="E729" s="35"/>
      <c r="F729" s="37"/>
      <c r="G729" s="38"/>
      <c r="H729" s="36"/>
      <c r="I729" s="39"/>
      <c r="J729" s="40"/>
      <c r="K729" s="39"/>
      <c r="L729" s="40"/>
      <c r="M729" s="39"/>
      <c r="N729" s="41"/>
    </row>
    <row r="730" ht="12.75" customHeight="1">
      <c r="C730" s="35"/>
      <c r="D730" s="36"/>
      <c r="E730" s="35"/>
      <c r="F730" s="37"/>
      <c r="G730" s="38"/>
      <c r="H730" s="36"/>
      <c r="I730" s="39"/>
      <c r="J730" s="40"/>
      <c r="K730" s="39"/>
      <c r="L730" s="40"/>
      <c r="M730" s="39"/>
      <c r="N730" s="41"/>
    </row>
    <row r="731" ht="12.75" customHeight="1">
      <c r="C731" s="35"/>
      <c r="D731" s="36"/>
      <c r="E731" s="35"/>
      <c r="F731" s="37"/>
      <c r="G731" s="38"/>
      <c r="H731" s="36"/>
      <c r="I731" s="39"/>
      <c r="J731" s="40"/>
      <c r="K731" s="39"/>
      <c r="L731" s="40"/>
      <c r="M731" s="39"/>
      <c r="N731" s="41"/>
    </row>
    <row r="732" ht="12.75" customHeight="1">
      <c r="C732" s="35"/>
      <c r="D732" s="36"/>
      <c r="E732" s="35"/>
      <c r="F732" s="37"/>
      <c r="G732" s="38"/>
      <c r="H732" s="36"/>
      <c r="I732" s="39"/>
      <c r="J732" s="40"/>
      <c r="K732" s="39"/>
      <c r="L732" s="40"/>
      <c r="M732" s="39"/>
      <c r="N732" s="41"/>
    </row>
    <row r="733" ht="12.75" customHeight="1">
      <c r="C733" s="35"/>
      <c r="D733" s="36"/>
      <c r="E733" s="35"/>
      <c r="F733" s="37"/>
      <c r="G733" s="38"/>
      <c r="H733" s="36"/>
      <c r="I733" s="39"/>
      <c r="J733" s="40"/>
      <c r="K733" s="39"/>
      <c r="L733" s="40"/>
      <c r="M733" s="39"/>
      <c r="N733" s="41"/>
    </row>
    <row r="734" ht="12.75" customHeight="1">
      <c r="C734" s="35"/>
      <c r="D734" s="36"/>
      <c r="E734" s="35"/>
      <c r="F734" s="37"/>
      <c r="G734" s="38"/>
      <c r="H734" s="36"/>
      <c r="I734" s="39"/>
      <c r="J734" s="40"/>
      <c r="K734" s="39"/>
      <c r="L734" s="40"/>
      <c r="M734" s="39"/>
      <c r="N734" s="41"/>
    </row>
    <row r="735" ht="12.75" customHeight="1">
      <c r="C735" s="35"/>
      <c r="D735" s="36"/>
      <c r="E735" s="35"/>
      <c r="F735" s="37"/>
      <c r="G735" s="38"/>
      <c r="H735" s="36"/>
      <c r="I735" s="39"/>
      <c r="J735" s="40"/>
      <c r="K735" s="39"/>
      <c r="L735" s="40"/>
      <c r="M735" s="39"/>
      <c r="N735" s="41"/>
    </row>
    <row r="736" ht="12.75" customHeight="1">
      <c r="C736" s="35"/>
      <c r="D736" s="36"/>
      <c r="E736" s="35"/>
      <c r="F736" s="37"/>
      <c r="G736" s="38"/>
      <c r="H736" s="36"/>
      <c r="I736" s="39"/>
      <c r="J736" s="40"/>
      <c r="K736" s="39"/>
      <c r="L736" s="40"/>
      <c r="M736" s="39"/>
      <c r="N736" s="41"/>
    </row>
    <row r="737" ht="12.75" customHeight="1">
      <c r="C737" s="35"/>
      <c r="D737" s="36"/>
      <c r="E737" s="35"/>
      <c r="F737" s="37"/>
      <c r="G737" s="38"/>
      <c r="H737" s="36"/>
      <c r="I737" s="39"/>
      <c r="J737" s="40"/>
      <c r="K737" s="39"/>
      <c r="L737" s="40"/>
      <c r="M737" s="39"/>
      <c r="N737" s="41"/>
    </row>
    <row r="738" ht="12.75" customHeight="1">
      <c r="C738" s="35"/>
      <c r="D738" s="36"/>
      <c r="E738" s="35"/>
      <c r="F738" s="37"/>
      <c r="G738" s="38"/>
      <c r="H738" s="36"/>
      <c r="I738" s="39"/>
      <c r="J738" s="40"/>
      <c r="K738" s="39"/>
      <c r="L738" s="40"/>
      <c r="M738" s="39"/>
      <c r="N738" s="41"/>
    </row>
    <row r="739" ht="12.75" customHeight="1">
      <c r="C739" s="35"/>
      <c r="D739" s="36"/>
      <c r="E739" s="35"/>
      <c r="F739" s="37"/>
      <c r="G739" s="38"/>
      <c r="H739" s="36"/>
      <c r="I739" s="39"/>
      <c r="J739" s="40"/>
      <c r="K739" s="39"/>
      <c r="L739" s="40"/>
      <c r="M739" s="39"/>
      <c r="N739" s="41"/>
    </row>
    <row r="740" ht="12.75" customHeight="1">
      <c r="C740" s="35"/>
      <c r="D740" s="36"/>
      <c r="E740" s="35"/>
      <c r="F740" s="37"/>
      <c r="G740" s="38"/>
      <c r="H740" s="36"/>
      <c r="I740" s="39"/>
      <c r="J740" s="40"/>
      <c r="K740" s="39"/>
      <c r="L740" s="40"/>
      <c r="M740" s="39"/>
      <c r="N740" s="41"/>
    </row>
    <row r="741" ht="12.75" customHeight="1">
      <c r="C741" s="35"/>
      <c r="D741" s="36"/>
      <c r="E741" s="35"/>
      <c r="F741" s="37"/>
      <c r="G741" s="38"/>
      <c r="H741" s="36"/>
      <c r="I741" s="39"/>
      <c r="J741" s="40"/>
      <c r="K741" s="39"/>
      <c r="L741" s="40"/>
      <c r="M741" s="39"/>
      <c r="N741" s="41"/>
    </row>
    <row r="742" ht="12.75" customHeight="1">
      <c r="C742" s="35"/>
      <c r="D742" s="36"/>
      <c r="E742" s="35"/>
      <c r="F742" s="37"/>
      <c r="G742" s="38"/>
      <c r="H742" s="36"/>
      <c r="I742" s="39"/>
      <c r="J742" s="40"/>
      <c r="K742" s="39"/>
      <c r="L742" s="40"/>
      <c r="M742" s="39"/>
      <c r="N742" s="41"/>
    </row>
    <row r="743" ht="12.75" customHeight="1">
      <c r="C743" s="35"/>
      <c r="D743" s="36"/>
      <c r="E743" s="35"/>
      <c r="F743" s="37"/>
      <c r="G743" s="38"/>
      <c r="H743" s="36"/>
      <c r="I743" s="39"/>
      <c r="J743" s="40"/>
      <c r="K743" s="39"/>
      <c r="L743" s="40"/>
      <c r="M743" s="39"/>
      <c r="N743" s="41"/>
    </row>
    <row r="744" ht="12.75" customHeight="1">
      <c r="C744" s="35"/>
      <c r="D744" s="36"/>
      <c r="E744" s="35"/>
      <c r="F744" s="37"/>
      <c r="G744" s="38"/>
      <c r="H744" s="36"/>
      <c r="I744" s="39"/>
      <c r="J744" s="40"/>
      <c r="K744" s="39"/>
      <c r="L744" s="40"/>
      <c r="M744" s="39"/>
      <c r="N744" s="41"/>
    </row>
    <row r="745" ht="12.75" customHeight="1">
      <c r="C745" s="35"/>
      <c r="D745" s="36"/>
      <c r="E745" s="35"/>
      <c r="F745" s="37"/>
      <c r="G745" s="38"/>
      <c r="H745" s="36"/>
      <c r="I745" s="39"/>
      <c r="J745" s="40"/>
      <c r="K745" s="39"/>
      <c r="L745" s="40"/>
      <c r="M745" s="39"/>
      <c r="N745" s="41"/>
    </row>
    <row r="746" ht="12.75" customHeight="1">
      <c r="C746" s="35"/>
      <c r="D746" s="36"/>
      <c r="E746" s="35"/>
      <c r="F746" s="37"/>
      <c r="G746" s="38"/>
      <c r="H746" s="36"/>
      <c r="I746" s="39"/>
      <c r="J746" s="40"/>
      <c r="K746" s="39"/>
      <c r="L746" s="40"/>
      <c r="M746" s="39"/>
      <c r="N746" s="41"/>
    </row>
    <row r="747" ht="12.75" customHeight="1">
      <c r="C747" s="35"/>
      <c r="D747" s="36"/>
      <c r="E747" s="35"/>
      <c r="F747" s="37"/>
      <c r="G747" s="38"/>
      <c r="H747" s="36"/>
      <c r="I747" s="39"/>
      <c r="J747" s="40"/>
      <c r="K747" s="39"/>
      <c r="L747" s="40"/>
      <c r="M747" s="39"/>
      <c r="N747" s="41"/>
    </row>
    <row r="748" ht="12.75" customHeight="1">
      <c r="C748" s="35"/>
      <c r="D748" s="36"/>
      <c r="E748" s="35"/>
      <c r="F748" s="37"/>
      <c r="G748" s="38"/>
      <c r="H748" s="36"/>
      <c r="I748" s="39"/>
      <c r="J748" s="40"/>
      <c r="K748" s="39"/>
      <c r="L748" s="40"/>
      <c r="M748" s="39"/>
      <c r="N748" s="41"/>
    </row>
    <row r="749" ht="12.75" customHeight="1">
      <c r="C749" s="35"/>
      <c r="D749" s="36"/>
      <c r="E749" s="35"/>
      <c r="F749" s="37"/>
      <c r="G749" s="38"/>
      <c r="H749" s="36"/>
      <c r="I749" s="39"/>
      <c r="J749" s="40"/>
      <c r="K749" s="39"/>
      <c r="L749" s="40"/>
      <c r="M749" s="39"/>
      <c r="N749" s="41"/>
    </row>
    <row r="750" ht="12.75" customHeight="1">
      <c r="C750" s="35"/>
      <c r="D750" s="36"/>
      <c r="E750" s="35"/>
      <c r="F750" s="37"/>
      <c r="G750" s="38"/>
      <c r="H750" s="36"/>
      <c r="I750" s="39"/>
      <c r="J750" s="40"/>
      <c r="K750" s="39"/>
      <c r="L750" s="40"/>
      <c r="M750" s="39"/>
      <c r="N750" s="41"/>
    </row>
    <row r="751" ht="12.75" customHeight="1">
      <c r="C751" s="35"/>
      <c r="D751" s="36"/>
      <c r="E751" s="35"/>
      <c r="F751" s="37"/>
      <c r="G751" s="38"/>
      <c r="H751" s="36"/>
      <c r="I751" s="39"/>
      <c r="J751" s="40"/>
      <c r="K751" s="39"/>
      <c r="L751" s="40"/>
      <c r="M751" s="39"/>
      <c r="N751" s="41"/>
    </row>
    <row r="752" ht="12.75" customHeight="1">
      <c r="C752" s="35"/>
      <c r="D752" s="36"/>
      <c r="E752" s="35"/>
      <c r="F752" s="37"/>
      <c r="G752" s="38"/>
      <c r="H752" s="36"/>
      <c r="I752" s="39"/>
      <c r="J752" s="40"/>
      <c r="K752" s="39"/>
      <c r="L752" s="40"/>
      <c r="M752" s="39"/>
      <c r="N752" s="41"/>
    </row>
    <row r="753" ht="12.75" customHeight="1">
      <c r="C753" s="35"/>
      <c r="D753" s="36"/>
      <c r="E753" s="35"/>
      <c r="F753" s="37"/>
      <c r="G753" s="38"/>
      <c r="H753" s="36"/>
      <c r="I753" s="39"/>
      <c r="J753" s="40"/>
      <c r="K753" s="39"/>
      <c r="L753" s="40"/>
      <c r="M753" s="39"/>
      <c r="N753" s="41"/>
    </row>
    <row r="754" ht="12.75" customHeight="1">
      <c r="C754" s="35"/>
      <c r="D754" s="36"/>
      <c r="E754" s="35"/>
      <c r="F754" s="37"/>
      <c r="G754" s="38"/>
      <c r="H754" s="36"/>
      <c r="I754" s="39"/>
      <c r="J754" s="40"/>
      <c r="K754" s="39"/>
      <c r="L754" s="40"/>
      <c r="M754" s="39"/>
      <c r="N754" s="41"/>
    </row>
    <row r="755" ht="12.75" customHeight="1">
      <c r="C755" s="35"/>
      <c r="D755" s="36"/>
      <c r="E755" s="35"/>
      <c r="F755" s="37"/>
      <c r="G755" s="38"/>
      <c r="H755" s="36"/>
      <c r="I755" s="39"/>
      <c r="J755" s="40"/>
      <c r="K755" s="39"/>
      <c r="L755" s="40"/>
      <c r="M755" s="39"/>
      <c r="N755" s="41"/>
    </row>
    <row r="756" ht="12.75" customHeight="1">
      <c r="C756" s="35"/>
      <c r="D756" s="36"/>
      <c r="E756" s="35"/>
      <c r="F756" s="37"/>
      <c r="G756" s="38"/>
      <c r="H756" s="36"/>
      <c r="I756" s="39"/>
      <c r="J756" s="40"/>
      <c r="K756" s="39"/>
      <c r="L756" s="40"/>
      <c r="M756" s="39"/>
      <c r="N756" s="41"/>
    </row>
    <row r="757" ht="12.75" customHeight="1">
      <c r="C757" s="35"/>
      <c r="D757" s="36"/>
      <c r="E757" s="35"/>
      <c r="F757" s="37"/>
      <c r="G757" s="38"/>
      <c r="H757" s="36"/>
      <c r="I757" s="39"/>
      <c r="J757" s="40"/>
      <c r="K757" s="39"/>
      <c r="L757" s="40"/>
      <c r="M757" s="39"/>
      <c r="N757" s="41"/>
    </row>
    <row r="758" ht="12.75" customHeight="1">
      <c r="C758" s="35"/>
      <c r="D758" s="36"/>
      <c r="E758" s="35"/>
      <c r="F758" s="37"/>
      <c r="G758" s="38"/>
      <c r="H758" s="36"/>
      <c r="I758" s="39"/>
      <c r="J758" s="40"/>
      <c r="K758" s="39"/>
      <c r="L758" s="40"/>
      <c r="M758" s="39"/>
      <c r="N758" s="41"/>
    </row>
    <row r="759" ht="12.75" customHeight="1">
      <c r="C759" s="35"/>
      <c r="D759" s="36"/>
      <c r="E759" s="35"/>
      <c r="F759" s="37"/>
      <c r="G759" s="38"/>
      <c r="H759" s="36"/>
      <c r="I759" s="39"/>
      <c r="J759" s="40"/>
      <c r="K759" s="39"/>
      <c r="L759" s="40"/>
      <c r="M759" s="39"/>
      <c r="N759" s="41"/>
    </row>
    <row r="760" ht="12.75" customHeight="1">
      <c r="C760" s="35"/>
      <c r="D760" s="36"/>
      <c r="E760" s="35"/>
      <c r="F760" s="37"/>
      <c r="G760" s="38"/>
      <c r="H760" s="36"/>
      <c r="I760" s="39"/>
      <c r="J760" s="40"/>
      <c r="K760" s="39"/>
      <c r="L760" s="40"/>
      <c r="M760" s="39"/>
      <c r="N760" s="41"/>
    </row>
    <row r="761" ht="12.75" customHeight="1">
      <c r="C761" s="35"/>
      <c r="D761" s="36"/>
      <c r="E761" s="35"/>
      <c r="F761" s="37"/>
      <c r="G761" s="38"/>
      <c r="H761" s="36"/>
      <c r="I761" s="39"/>
      <c r="J761" s="40"/>
      <c r="K761" s="39"/>
      <c r="L761" s="40"/>
      <c r="M761" s="39"/>
      <c r="N761" s="41"/>
    </row>
    <row r="762" ht="12.75" customHeight="1">
      <c r="C762" s="35"/>
      <c r="D762" s="36"/>
      <c r="E762" s="35"/>
      <c r="F762" s="37"/>
      <c r="G762" s="38"/>
      <c r="H762" s="36"/>
      <c r="I762" s="39"/>
      <c r="J762" s="40"/>
      <c r="K762" s="39"/>
      <c r="L762" s="40"/>
      <c r="M762" s="39"/>
      <c r="N762" s="41"/>
    </row>
    <row r="763" ht="12.75" customHeight="1">
      <c r="C763" s="35"/>
      <c r="D763" s="36"/>
      <c r="E763" s="35"/>
      <c r="F763" s="37"/>
      <c r="G763" s="38"/>
      <c r="H763" s="36"/>
      <c r="I763" s="39"/>
      <c r="J763" s="40"/>
      <c r="K763" s="39"/>
      <c r="L763" s="40"/>
      <c r="M763" s="39"/>
      <c r="N763" s="41"/>
    </row>
    <row r="764" ht="12.75" customHeight="1">
      <c r="C764" s="35"/>
      <c r="D764" s="36"/>
      <c r="E764" s="35"/>
      <c r="F764" s="37"/>
      <c r="G764" s="38"/>
      <c r="H764" s="36"/>
      <c r="I764" s="39"/>
      <c r="J764" s="40"/>
      <c r="K764" s="39"/>
      <c r="L764" s="40"/>
      <c r="M764" s="39"/>
      <c r="N764" s="41"/>
    </row>
    <row r="765" ht="12.75" customHeight="1">
      <c r="C765" s="35"/>
      <c r="D765" s="36"/>
      <c r="E765" s="35"/>
      <c r="F765" s="37"/>
      <c r="G765" s="38"/>
      <c r="H765" s="36"/>
      <c r="I765" s="39"/>
      <c r="J765" s="40"/>
      <c r="K765" s="39"/>
      <c r="L765" s="40"/>
      <c r="M765" s="39"/>
      <c r="N765" s="41"/>
    </row>
    <row r="766" ht="12.75" customHeight="1">
      <c r="C766" s="35"/>
      <c r="D766" s="36"/>
      <c r="E766" s="35"/>
      <c r="F766" s="37"/>
      <c r="G766" s="38"/>
      <c r="H766" s="36"/>
      <c r="I766" s="39"/>
      <c r="J766" s="40"/>
      <c r="K766" s="39"/>
      <c r="L766" s="40"/>
      <c r="M766" s="39"/>
      <c r="N766" s="41"/>
    </row>
    <row r="767" ht="12.75" customHeight="1">
      <c r="C767" s="35"/>
      <c r="D767" s="36"/>
      <c r="E767" s="35"/>
      <c r="F767" s="37"/>
      <c r="G767" s="38"/>
      <c r="H767" s="36"/>
      <c r="I767" s="39"/>
      <c r="J767" s="40"/>
      <c r="K767" s="39"/>
      <c r="L767" s="40"/>
      <c r="M767" s="39"/>
      <c r="N767" s="41"/>
    </row>
    <row r="768" ht="12.75" customHeight="1">
      <c r="C768" s="35"/>
      <c r="D768" s="36"/>
      <c r="E768" s="35"/>
      <c r="F768" s="37"/>
      <c r="G768" s="38"/>
      <c r="H768" s="36"/>
      <c r="I768" s="39"/>
      <c r="J768" s="40"/>
      <c r="K768" s="39"/>
      <c r="L768" s="40"/>
      <c r="M768" s="39"/>
      <c r="N768" s="41"/>
    </row>
    <row r="769" ht="12.75" customHeight="1">
      <c r="C769" s="35"/>
      <c r="D769" s="36"/>
      <c r="E769" s="35"/>
      <c r="F769" s="37"/>
      <c r="G769" s="38"/>
      <c r="H769" s="36"/>
      <c r="I769" s="39"/>
      <c r="J769" s="40"/>
      <c r="K769" s="39"/>
      <c r="L769" s="40"/>
      <c r="M769" s="39"/>
      <c r="N769" s="41"/>
    </row>
    <row r="770" ht="12.75" customHeight="1">
      <c r="C770" s="35"/>
      <c r="D770" s="36"/>
      <c r="E770" s="35"/>
      <c r="F770" s="37"/>
      <c r="G770" s="38"/>
      <c r="H770" s="36"/>
      <c r="I770" s="39"/>
      <c r="J770" s="40"/>
      <c r="K770" s="39"/>
      <c r="L770" s="40"/>
      <c r="M770" s="39"/>
      <c r="N770" s="41"/>
    </row>
    <row r="771" ht="12.75" customHeight="1">
      <c r="C771" s="35"/>
      <c r="D771" s="36"/>
      <c r="E771" s="35"/>
      <c r="F771" s="37"/>
      <c r="G771" s="38"/>
      <c r="H771" s="36"/>
      <c r="I771" s="39"/>
      <c r="J771" s="40"/>
      <c r="K771" s="39"/>
      <c r="L771" s="40"/>
      <c r="M771" s="39"/>
      <c r="N771" s="41"/>
    </row>
    <row r="772" ht="12.75" customHeight="1">
      <c r="C772" s="35"/>
      <c r="D772" s="36"/>
      <c r="E772" s="35"/>
      <c r="F772" s="37"/>
      <c r="G772" s="38"/>
      <c r="H772" s="36"/>
      <c r="I772" s="39"/>
      <c r="J772" s="40"/>
      <c r="K772" s="39"/>
      <c r="L772" s="40"/>
      <c r="M772" s="39"/>
      <c r="N772" s="41"/>
    </row>
    <row r="773" ht="12.75" customHeight="1">
      <c r="C773" s="35"/>
      <c r="D773" s="36"/>
      <c r="E773" s="35"/>
      <c r="F773" s="37"/>
      <c r="G773" s="38"/>
      <c r="H773" s="36"/>
      <c r="I773" s="39"/>
      <c r="J773" s="40"/>
      <c r="K773" s="39"/>
      <c r="L773" s="40"/>
      <c r="M773" s="39"/>
      <c r="N773" s="41"/>
    </row>
    <row r="774" ht="12.75" customHeight="1">
      <c r="C774" s="35"/>
      <c r="D774" s="36"/>
      <c r="E774" s="35"/>
      <c r="F774" s="37"/>
      <c r="G774" s="38"/>
      <c r="H774" s="36"/>
      <c r="I774" s="39"/>
      <c r="J774" s="40"/>
      <c r="K774" s="39"/>
      <c r="L774" s="40"/>
      <c r="M774" s="39"/>
      <c r="N774" s="41"/>
    </row>
    <row r="775" ht="12.75" customHeight="1">
      <c r="C775" s="35"/>
      <c r="D775" s="36"/>
      <c r="E775" s="35"/>
      <c r="F775" s="37"/>
      <c r="G775" s="38"/>
      <c r="H775" s="36"/>
      <c r="I775" s="39"/>
      <c r="J775" s="40"/>
      <c r="K775" s="39"/>
      <c r="L775" s="40"/>
      <c r="M775" s="39"/>
      <c r="N775" s="41"/>
    </row>
    <row r="776" ht="12.75" customHeight="1">
      <c r="C776" s="35"/>
      <c r="D776" s="36"/>
      <c r="E776" s="35"/>
      <c r="F776" s="37"/>
      <c r="G776" s="38"/>
      <c r="H776" s="36"/>
      <c r="I776" s="39"/>
      <c r="J776" s="40"/>
      <c r="K776" s="39"/>
      <c r="L776" s="40"/>
      <c r="M776" s="39"/>
      <c r="N776" s="41"/>
    </row>
    <row r="777" ht="12.75" customHeight="1">
      <c r="C777" s="35"/>
      <c r="D777" s="36"/>
      <c r="E777" s="35"/>
      <c r="F777" s="37"/>
      <c r="G777" s="38"/>
      <c r="H777" s="36"/>
      <c r="I777" s="39"/>
      <c r="J777" s="40"/>
      <c r="K777" s="39"/>
      <c r="L777" s="40"/>
      <c r="M777" s="39"/>
      <c r="N777" s="41"/>
    </row>
    <row r="778" ht="12.75" customHeight="1">
      <c r="C778" s="35"/>
      <c r="D778" s="36"/>
      <c r="E778" s="35"/>
      <c r="F778" s="37"/>
      <c r="G778" s="38"/>
      <c r="H778" s="36"/>
      <c r="I778" s="39"/>
      <c r="J778" s="40"/>
      <c r="K778" s="39"/>
      <c r="L778" s="40"/>
      <c r="M778" s="39"/>
      <c r="N778" s="41"/>
    </row>
    <row r="779" ht="12.75" customHeight="1">
      <c r="C779" s="35"/>
      <c r="D779" s="36"/>
      <c r="E779" s="35"/>
      <c r="F779" s="37"/>
      <c r="G779" s="38"/>
      <c r="H779" s="36"/>
      <c r="I779" s="39"/>
      <c r="J779" s="40"/>
      <c r="K779" s="39"/>
      <c r="L779" s="40"/>
      <c r="M779" s="39"/>
      <c r="N779" s="41"/>
    </row>
    <row r="780" ht="12.75" customHeight="1">
      <c r="C780" s="35"/>
      <c r="D780" s="36"/>
      <c r="E780" s="35"/>
      <c r="F780" s="37"/>
      <c r="G780" s="38"/>
      <c r="H780" s="36"/>
      <c r="I780" s="39"/>
      <c r="J780" s="40"/>
      <c r="K780" s="39"/>
      <c r="L780" s="40"/>
      <c r="M780" s="39"/>
      <c r="N780" s="41"/>
    </row>
    <row r="781" ht="12.75" customHeight="1">
      <c r="C781" s="35"/>
      <c r="D781" s="36"/>
      <c r="E781" s="35"/>
      <c r="F781" s="37"/>
      <c r="G781" s="38"/>
      <c r="H781" s="36"/>
      <c r="I781" s="39"/>
      <c r="J781" s="40"/>
      <c r="K781" s="39"/>
      <c r="L781" s="40"/>
      <c r="M781" s="39"/>
      <c r="N781" s="41"/>
    </row>
    <row r="782" ht="12.75" customHeight="1">
      <c r="C782" s="35"/>
      <c r="D782" s="36"/>
      <c r="E782" s="35"/>
      <c r="F782" s="37"/>
      <c r="G782" s="38"/>
      <c r="H782" s="36"/>
      <c r="I782" s="39"/>
      <c r="J782" s="40"/>
      <c r="K782" s="39"/>
      <c r="L782" s="40"/>
      <c r="M782" s="39"/>
      <c r="N782" s="41"/>
    </row>
    <row r="783" ht="12.75" customHeight="1">
      <c r="C783" s="35"/>
      <c r="D783" s="36"/>
      <c r="E783" s="35"/>
      <c r="F783" s="37"/>
      <c r="G783" s="38"/>
      <c r="H783" s="36"/>
      <c r="I783" s="39"/>
      <c r="J783" s="40"/>
      <c r="K783" s="39"/>
      <c r="L783" s="40"/>
      <c r="M783" s="39"/>
      <c r="N783" s="41"/>
    </row>
    <row r="784" ht="12.75" customHeight="1">
      <c r="C784" s="35"/>
      <c r="D784" s="36"/>
      <c r="E784" s="35"/>
      <c r="F784" s="37"/>
      <c r="G784" s="38"/>
      <c r="H784" s="36"/>
      <c r="I784" s="39"/>
      <c r="J784" s="40"/>
      <c r="K784" s="39"/>
      <c r="L784" s="40"/>
      <c r="M784" s="39"/>
      <c r="N784" s="41"/>
    </row>
    <row r="785" ht="12.75" customHeight="1">
      <c r="C785" s="35"/>
      <c r="D785" s="36"/>
      <c r="E785" s="35"/>
      <c r="F785" s="37"/>
      <c r="G785" s="38"/>
      <c r="H785" s="36"/>
      <c r="I785" s="39"/>
      <c r="J785" s="40"/>
      <c r="K785" s="39"/>
      <c r="L785" s="40"/>
      <c r="M785" s="39"/>
      <c r="N785" s="41"/>
    </row>
    <row r="786" ht="12.75" customHeight="1">
      <c r="C786" s="35"/>
      <c r="D786" s="36"/>
      <c r="E786" s="35"/>
      <c r="F786" s="37"/>
      <c r="G786" s="38"/>
      <c r="H786" s="36"/>
      <c r="I786" s="39"/>
      <c r="J786" s="40"/>
      <c r="K786" s="39"/>
      <c r="L786" s="40"/>
      <c r="M786" s="39"/>
      <c r="N786" s="41"/>
    </row>
    <row r="787" ht="12.75" customHeight="1">
      <c r="C787" s="35"/>
      <c r="D787" s="36"/>
      <c r="E787" s="35"/>
      <c r="F787" s="37"/>
      <c r="G787" s="38"/>
      <c r="H787" s="36"/>
      <c r="I787" s="39"/>
      <c r="J787" s="40"/>
      <c r="K787" s="39"/>
      <c r="L787" s="40"/>
      <c r="M787" s="39"/>
      <c r="N787" s="41"/>
    </row>
    <row r="788" ht="12.75" customHeight="1">
      <c r="C788" s="35"/>
      <c r="D788" s="36"/>
      <c r="E788" s="35"/>
      <c r="F788" s="37"/>
      <c r="G788" s="38"/>
      <c r="H788" s="36"/>
      <c r="I788" s="39"/>
      <c r="J788" s="40"/>
      <c r="K788" s="39"/>
      <c r="L788" s="40"/>
      <c r="M788" s="39"/>
      <c r="N788" s="41"/>
    </row>
    <row r="789" ht="12.75" customHeight="1">
      <c r="C789" s="35"/>
      <c r="D789" s="36"/>
      <c r="E789" s="35"/>
      <c r="F789" s="37"/>
      <c r="G789" s="38"/>
      <c r="H789" s="36"/>
      <c r="I789" s="39"/>
      <c r="J789" s="40"/>
      <c r="K789" s="39"/>
      <c r="L789" s="40"/>
      <c r="M789" s="39"/>
      <c r="N789" s="41"/>
    </row>
    <row r="790" ht="12.75" customHeight="1">
      <c r="C790" s="35"/>
      <c r="D790" s="36"/>
      <c r="E790" s="35"/>
      <c r="F790" s="37"/>
      <c r="G790" s="38"/>
      <c r="H790" s="36"/>
      <c r="I790" s="39"/>
      <c r="J790" s="40"/>
      <c r="K790" s="39"/>
      <c r="L790" s="40"/>
      <c r="M790" s="39"/>
      <c r="N790" s="41"/>
    </row>
    <row r="791" ht="12.75" customHeight="1">
      <c r="C791" s="35"/>
      <c r="D791" s="36"/>
      <c r="E791" s="35"/>
      <c r="F791" s="37"/>
      <c r="G791" s="38"/>
      <c r="H791" s="36"/>
      <c r="I791" s="39"/>
      <c r="J791" s="40"/>
      <c r="K791" s="39"/>
      <c r="L791" s="40"/>
      <c r="M791" s="39"/>
      <c r="N791" s="41"/>
    </row>
    <row r="792" ht="12.75" customHeight="1">
      <c r="C792" s="35"/>
      <c r="D792" s="36"/>
      <c r="E792" s="35"/>
      <c r="F792" s="37"/>
      <c r="G792" s="38"/>
      <c r="H792" s="36"/>
      <c r="I792" s="39"/>
      <c r="J792" s="40"/>
      <c r="K792" s="39"/>
      <c r="L792" s="40"/>
      <c r="M792" s="39"/>
      <c r="N792" s="41"/>
    </row>
    <row r="793" ht="12.75" customHeight="1">
      <c r="C793" s="35"/>
      <c r="D793" s="36"/>
      <c r="E793" s="35"/>
      <c r="F793" s="37"/>
      <c r="G793" s="38"/>
      <c r="H793" s="36"/>
      <c r="I793" s="39"/>
      <c r="J793" s="40"/>
      <c r="K793" s="39"/>
      <c r="L793" s="40"/>
      <c r="M793" s="39"/>
      <c r="N793" s="41"/>
    </row>
    <row r="794" ht="12.75" customHeight="1">
      <c r="C794" s="35"/>
      <c r="D794" s="36"/>
      <c r="E794" s="35"/>
      <c r="F794" s="37"/>
      <c r="G794" s="38"/>
      <c r="H794" s="36"/>
      <c r="I794" s="39"/>
      <c r="J794" s="40"/>
      <c r="K794" s="39"/>
      <c r="L794" s="40"/>
      <c r="M794" s="39"/>
      <c r="N794" s="41"/>
    </row>
    <row r="795" ht="12.75" customHeight="1">
      <c r="C795" s="35"/>
      <c r="D795" s="36"/>
      <c r="E795" s="35"/>
      <c r="F795" s="37"/>
      <c r="G795" s="38"/>
      <c r="H795" s="36"/>
      <c r="I795" s="39"/>
      <c r="J795" s="40"/>
      <c r="K795" s="39"/>
      <c r="L795" s="40"/>
      <c r="M795" s="39"/>
      <c r="N795" s="41"/>
    </row>
    <row r="796" ht="12.75" customHeight="1">
      <c r="C796" s="35"/>
      <c r="D796" s="36"/>
      <c r="E796" s="35"/>
      <c r="F796" s="37"/>
      <c r="G796" s="38"/>
      <c r="H796" s="36"/>
      <c r="I796" s="39"/>
      <c r="J796" s="40"/>
      <c r="K796" s="39"/>
      <c r="L796" s="40"/>
      <c r="M796" s="39"/>
      <c r="N796" s="41"/>
    </row>
    <row r="797" ht="12.75" customHeight="1">
      <c r="C797" s="35"/>
      <c r="D797" s="36"/>
      <c r="E797" s="35"/>
      <c r="F797" s="37"/>
      <c r="G797" s="38"/>
      <c r="H797" s="36"/>
      <c r="I797" s="39"/>
      <c r="J797" s="40"/>
      <c r="K797" s="39"/>
      <c r="L797" s="40"/>
      <c r="M797" s="39"/>
      <c r="N797" s="41"/>
    </row>
    <row r="798" ht="12.75" customHeight="1">
      <c r="C798" s="35"/>
      <c r="D798" s="36"/>
      <c r="E798" s="35"/>
      <c r="F798" s="37"/>
      <c r="G798" s="38"/>
      <c r="H798" s="36"/>
      <c r="I798" s="39"/>
      <c r="J798" s="40"/>
      <c r="K798" s="39"/>
      <c r="L798" s="40"/>
      <c r="M798" s="39"/>
      <c r="N798" s="41"/>
    </row>
    <row r="799" ht="12.75" customHeight="1">
      <c r="C799" s="35"/>
      <c r="D799" s="36"/>
      <c r="E799" s="35"/>
      <c r="F799" s="37"/>
      <c r="G799" s="38"/>
      <c r="H799" s="36"/>
      <c r="I799" s="39"/>
      <c r="J799" s="40"/>
      <c r="K799" s="39"/>
      <c r="L799" s="40"/>
      <c r="M799" s="39"/>
      <c r="N799" s="41"/>
    </row>
    <row r="800" ht="12.75" customHeight="1">
      <c r="C800" s="35"/>
      <c r="D800" s="36"/>
      <c r="E800" s="35"/>
      <c r="F800" s="37"/>
      <c r="G800" s="38"/>
      <c r="H800" s="36"/>
      <c r="I800" s="39"/>
      <c r="J800" s="40"/>
      <c r="K800" s="39"/>
      <c r="L800" s="40"/>
      <c r="M800" s="39"/>
      <c r="N800" s="41"/>
    </row>
    <row r="801" ht="12.75" customHeight="1">
      <c r="C801" s="35"/>
      <c r="D801" s="36"/>
      <c r="E801" s="35"/>
      <c r="F801" s="37"/>
      <c r="G801" s="38"/>
      <c r="H801" s="36"/>
      <c r="I801" s="39"/>
      <c r="J801" s="40"/>
      <c r="K801" s="39"/>
      <c r="L801" s="40"/>
      <c r="M801" s="39"/>
      <c r="N801" s="41"/>
    </row>
    <row r="802" ht="12.75" customHeight="1">
      <c r="C802" s="35"/>
      <c r="D802" s="36"/>
      <c r="E802" s="35"/>
      <c r="F802" s="37"/>
      <c r="G802" s="38"/>
      <c r="H802" s="36"/>
      <c r="I802" s="39"/>
      <c r="J802" s="40"/>
      <c r="K802" s="39"/>
      <c r="L802" s="40"/>
      <c r="M802" s="39"/>
      <c r="N802" s="41"/>
    </row>
    <row r="803" ht="12.75" customHeight="1">
      <c r="C803" s="35"/>
      <c r="D803" s="36"/>
      <c r="E803" s="35"/>
      <c r="F803" s="37"/>
      <c r="G803" s="38"/>
      <c r="H803" s="36"/>
      <c r="I803" s="39"/>
      <c r="J803" s="40"/>
      <c r="K803" s="39"/>
      <c r="L803" s="40"/>
      <c r="M803" s="39"/>
      <c r="N803" s="41"/>
    </row>
    <row r="804" ht="12.75" customHeight="1">
      <c r="C804" s="35"/>
      <c r="D804" s="36"/>
      <c r="E804" s="35"/>
      <c r="F804" s="37"/>
      <c r="G804" s="38"/>
      <c r="H804" s="36"/>
      <c r="I804" s="39"/>
      <c r="J804" s="40"/>
      <c r="K804" s="39"/>
      <c r="L804" s="40"/>
      <c r="M804" s="39"/>
      <c r="N804" s="41"/>
    </row>
    <row r="805" ht="12.75" customHeight="1">
      <c r="C805" s="35"/>
      <c r="D805" s="36"/>
      <c r="E805" s="35"/>
      <c r="F805" s="37"/>
      <c r="G805" s="38"/>
      <c r="H805" s="36"/>
      <c r="I805" s="39"/>
      <c r="J805" s="40"/>
      <c r="K805" s="39"/>
      <c r="L805" s="40"/>
      <c r="M805" s="39"/>
      <c r="N805" s="41"/>
    </row>
    <row r="806" ht="12.75" customHeight="1">
      <c r="C806" s="35"/>
      <c r="D806" s="36"/>
      <c r="E806" s="35"/>
      <c r="F806" s="37"/>
      <c r="G806" s="38"/>
      <c r="H806" s="36"/>
      <c r="I806" s="39"/>
      <c r="J806" s="40"/>
      <c r="K806" s="39"/>
      <c r="L806" s="40"/>
      <c r="M806" s="39"/>
      <c r="N806" s="41"/>
    </row>
    <row r="807" ht="12.75" customHeight="1">
      <c r="C807" s="35"/>
      <c r="D807" s="36"/>
      <c r="E807" s="35"/>
      <c r="F807" s="37"/>
      <c r="G807" s="38"/>
      <c r="H807" s="36"/>
      <c r="I807" s="39"/>
      <c r="J807" s="40"/>
      <c r="K807" s="39"/>
      <c r="L807" s="40"/>
      <c r="M807" s="39"/>
      <c r="N807" s="41"/>
    </row>
    <row r="808" ht="12.75" customHeight="1">
      <c r="C808" s="35"/>
      <c r="D808" s="36"/>
      <c r="E808" s="35"/>
      <c r="F808" s="37"/>
      <c r="G808" s="38"/>
      <c r="H808" s="36"/>
      <c r="I808" s="39"/>
      <c r="J808" s="40"/>
      <c r="K808" s="39"/>
      <c r="L808" s="40"/>
      <c r="M808" s="39"/>
      <c r="N808" s="41"/>
    </row>
    <row r="809" ht="12.75" customHeight="1">
      <c r="C809" s="35"/>
      <c r="D809" s="36"/>
      <c r="E809" s="35"/>
      <c r="F809" s="37"/>
      <c r="G809" s="38"/>
      <c r="H809" s="36"/>
      <c r="I809" s="39"/>
      <c r="J809" s="40"/>
      <c r="K809" s="39"/>
      <c r="L809" s="40"/>
      <c r="M809" s="39"/>
      <c r="N809" s="41"/>
    </row>
    <row r="810" ht="12.75" customHeight="1">
      <c r="C810" s="35"/>
      <c r="D810" s="36"/>
      <c r="E810" s="35"/>
      <c r="F810" s="37"/>
      <c r="G810" s="38"/>
      <c r="H810" s="36"/>
      <c r="I810" s="39"/>
      <c r="J810" s="40"/>
      <c r="K810" s="39"/>
      <c r="L810" s="40"/>
      <c r="M810" s="39"/>
      <c r="N810" s="41"/>
    </row>
    <row r="811" ht="12.75" customHeight="1">
      <c r="C811" s="35"/>
      <c r="D811" s="36"/>
      <c r="E811" s="35"/>
      <c r="F811" s="37"/>
      <c r="G811" s="38"/>
      <c r="H811" s="36"/>
      <c r="I811" s="39"/>
      <c r="J811" s="40"/>
      <c r="K811" s="39"/>
      <c r="L811" s="40"/>
      <c r="M811" s="39"/>
      <c r="N811" s="41"/>
    </row>
    <row r="812" ht="12.75" customHeight="1">
      <c r="C812" s="35"/>
      <c r="D812" s="36"/>
      <c r="E812" s="35"/>
      <c r="F812" s="37"/>
      <c r="G812" s="38"/>
      <c r="H812" s="36"/>
      <c r="I812" s="39"/>
      <c r="J812" s="40"/>
      <c r="K812" s="39"/>
      <c r="L812" s="40"/>
      <c r="M812" s="39"/>
      <c r="N812" s="41"/>
    </row>
    <row r="813" ht="12.75" customHeight="1">
      <c r="C813" s="35"/>
      <c r="D813" s="36"/>
      <c r="E813" s="35"/>
      <c r="F813" s="37"/>
      <c r="G813" s="38"/>
      <c r="H813" s="36"/>
      <c r="I813" s="39"/>
      <c r="J813" s="40"/>
      <c r="K813" s="39"/>
      <c r="L813" s="40"/>
      <c r="M813" s="39"/>
      <c r="N813" s="41"/>
    </row>
    <row r="814" ht="12.75" customHeight="1">
      <c r="C814" s="35"/>
      <c r="D814" s="36"/>
      <c r="E814" s="35"/>
      <c r="F814" s="37"/>
      <c r="G814" s="38"/>
      <c r="H814" s="36"/>
      <c r="I814" s="39"/>
      <c r="J814" s="40"/>
      <c r="K814" s="39"/>
      <c r="L814" s="40"/>
      <c r="M814" s="39"/>
      <c r="N814" s="41"/>
    </row>
    <row r="815" ht="12.75" customHeight="1">
      <c r="C815" s="35"/>
      <c r="D815" s="36"/>
      <c r="E815" s="35"/>
      <c r="F815" s="37"/>
      <c r="G815" s="38"/>
      <c r="H815" s="36"/>
      <c r="I815" s="39"/>
      <c r="J815" s="40"/>
      <c r="K815" s="39"/>
      <c r="L815" s="40"/>
      <c r="M815" s="39"/>
      <c r="N815" s="41"/>
    </row>
    <row r="816" ht="12.75" customHeight="1">
      <c r="C816" s="35"/>
      <c r="D816" s="36"/>
      <c r="E816" s="35"/>
      <c r="F816" s="37"/>
      <c r="G816" s="38"/>
      <c r="H816" s="36"/>
      <c r="I816" s="39"/>
      <c r="J816" s="40"/>
      <c r="K816" s="39"/>
      <c r="L816" s="40"/>
      <c r="M816" s="39"/>
      <c r="N816" s="41"/>
    </row>
    <row r="817" ht="12.75" customHeight="1">
      <c r="C817" s="35"/>
      <c r="D817" s="36"/>
      <c r="E817" s="35"/>
      <c r="F817" s="37"/>
      <c r="G817" s="38"/>
      <c r="H817" s="36"/>
      <c r="I817" s="39"/>
      <c r="J817" s="40"/>
      <c r="K817" s="39"/>
      <c r="L817" s="40"/>
      <c r="M817" s="39"/>
      <c r="N817" s="41"/>
    </row>
    <row r="818" ht="12.75" customHeight="1">
      <c r="C818" s="35"/>
      <c r="D818" s="36"/>
      <c r="E818" s="35"/>
      <c r="F818" s="37"/>
      <c r="G818" s="38"/>
      <c r="H818" s="36"/>
      <c r="I818" s="39"/>
      <c r="J818" s="40"/>
      <c r="K818" s="39"/>
      <c r="L818" s="40"/>
      <c r="M818" s="39"/>
      <c r="N818" s="41"/>
    </row>
    <row r="819" ht="12.75" customHeight="1">
      <c r="C819" s="35"/>
      <c r="D819" s="36"/>
      <c r="E819" s="35"/>
      <c r="F819" s="37"/>
      <c r="G819" s="38"/>
      <c r="H819" s="36"/>
      <c r="I819" s="39"/>
      <c r="J819" s="40"/>
      <c r="K819" s="39"/>
      <c r="L819" s="40"/>
      <c r="M819" s="39"/>
      <c r="N819" s="41"/>
    </row>
    <row r="820" ht="12.75" customHeight="1">
      <c r="C820" s="35"/>
      <c r="D820" s="36"/>
      <c r="E820" s="35"/>
      <c r="F820" s="37"/>
      <c r="G820" s="38"/>
      <c r="H820" s="36"/>
      <c r="I820" s="39"/>
      <c r="J820" s="40"/>
      <c r="K820" s="39"/>
      <c r="L820" s="40"/>
      <c r="M820" s="39"/>
      <c r="N820" s="41"/>
    </row>
    <row r="821" ht="12.75" customHeight="1">
      <c r="C821" s="35"/>
      <c r="D821" s="36"/>
      <c r="E821" s="35"/>
      <c r="F821" s="37"/>
      <c r="G821" s="38"/>
      <c r="H821" s="36"/>
      <c r="I821" s="39"/>
      <c r="J821" s="40"/>
      <c r="K821" s="39"/>
      <c r="L821" s="40"/>
      <c r="M821" s="39"/>
      <c r="N821" s="41"/>
    </row>
    <row r="822" ht="12.75" customHeight="1">
      <c r="C822" s="35"/>
      <c r="D822" s="36"/>
      <c r="E822" s="35"/>
      <c r="F822" s="37"/>
      <c r="G822" s="38"/>
      <c r="H822" s="36"/>
      <c r="I822" s="39"/>
      <c r="J822" s="40"/>
      <c r="K822" s="39"/>
      <c r="L822" s="40"/>
      <c r="M822" s="39"/>
      <c r="N822" s="41"/>
    </row>
    <row r="823" ht="12.75" customHeight="1">
      <c r="C823" s="35"/>
      <c r="D823" s="36"/>
      <c r="E823" s="35"/>
      <c r="F823" s="37"/>
      <c r="G823" s="38"/>
      <c r="H823" s="36"/>
      <c r="I823" s="39"/>
      <c r="J823" s="40"/>
      <c r="K823" s="39"/>
      <c r="L823" s="40"/>
      <c r="M823" s="39"/>
      <c r="N823" s="41"/>
    </row>
    <row r="824" ht="12.75" customHeight="1">
      <c r="C824" s="35"/>
      <c r="D824" s="36"/>
      <c r="E824" s="35"/>
      <c r="F824" s="37"/>
      <c r="G824" s="38"/>
      <c r="H824" s="36"/>
      <c r="I824" s="39"/>
      <c r="J824" s="40"/>
      <c r="K824" s="39"/>
      <c r="L824" s="40"/>
      <c r="M824" s="39"/>
      <c r="N824" s="41"/>
    </row>
    <row r="825" ht="12.75" customHeight="1">
      <c r="C825" s="35"/>
      <c r="D825" s="36"/>
      <c r="E825" s="35"/>
      <c r="F825" s="37"/>
      <c r="G825" s="38"/>
      <c r="H825" s="36"/>
      <c r="I825" s="39"/>
      <c r="J825" s="40"/>
      <c r="K825" s="39"/>
      <c r="L825" s="40"/>
      <c r="M825" s="39"/>
      <c r="N825" s="41"/>
    </row>
    <row r="826" ht="12.75" customHeight="1">
      <c r="C826" s="35"/>
      <c r="D826" s="36"/>
      <c r="E826" s="35"/>
      <c r="F826" s="37"/>
      <c r="G826" s="38"/>
      <c r="H826" s="36"/>
      <c r="I826" s="39"/>
      <c r="J826" s="40"/>
      <c r="K826" s="39"/>
      <c r="L826" s="40"/>
      <c r="M826" s="39"/>
      <c r="N826" s="41"/>
    </row>
    <row r="827" ht="12.75" customHeight="1">
      <c r="C827" s="35"/>
      <c r="D827" s="36"/>
      <c r="E827" s="35"/>
      <c r="F827" s="37"/>
      <c r="G827" s="38"/>
      <c r="H827" s="36"/>
      <c r="I827" s="39"/>
      <c r="J827" s="40"/>
      <c r="K827" s="39"/>
      <c r="L827" s="40"/>
      <c r="M827" s="39"/>
      <c r="N827" s="41"/>
    </row>
    <row r="828" ht="12.75" customHeight="1">
      <c r="C828" s="35"/>
      <c r="D828" s="36"/>
      <c r="E828" s="35"/>
      <c r="F828" s="37"/>
      <c r="G828" s="38"/>
      <c r="H828" s="36"/>
      <c r="I828" s="39"/>
      <c r="J828" s="40"/>
      <c r="K828" s="39"/>
      <c r="L828" s="40"/>
      <c r="M828" s="39"/>
      <c r="N828" s="41"/>
    </row>
    <row r="829" ht="12.75" customHeight="1">
      <c r="C829" s="35"/>
      <c r="D829" s="36"/>
      <c r="E829" s="35"/>
      <c r="F829" s="37"/>
      <c r="G829" s="38"/>
      <c r="H829" s="36"/>
      <c r="I829" s="39"/>
      <c r="J829" s="40"/>
      <c r="K829" s="39"/>
      <c r="L829" s="40"/>
      <c r="M829" s="39"/>
      <c r="N829" s="41"/>
    </row>
    <row r="830" ht="12.75" customHeight="1">
      <c r="C830" s="35"/>
      <c r="D830" s="36"/>
      <c r="E830" s="35"/>
      <c r="F830" s="37"/>
      <c r="G830" s="38"/>
      <c r="H830" s="36"/>
      <c r="I830" s="39"/>
      <c r="J830" s="40"/>
      <c r="K830" s="39"/>
      <c r="L830" s="40"/>
      <c r="M830" s="39"/>
      <c r="N830" s="41"/>
    </row>
    <row r="831" ht="12.75" customHeight="1">
      <c r="C831" s="35"/>
      <c r="D831" s="36"/>
      <c r="E831" s="35"/>
      <c r="F831" s="37"/>
      <c r="G831" s="38"/>
      <c r="H831" s="36"/>
      <c r="I831" s="39"/>
      <c r="J831" s="40"/>
      <c r="K831" s="39"/>
      <c r="L831" s="40"/>
      <c r="M831" s="39"/>
      <c r="N831" s="41"/>
    </row>
    <row r="832" ht="12.75" customHeight="1">
      <c r="C832" s="35"/>
      <c r="D832" s="36"/>
      <c r="E832" s="35"/>
      <c r="F832" s="37"/>
      <c r="G832" s="38"/>
      <c r="H832" s="36"/>
      <c r="I832" s="39"/>
      <c r="J832" s="40"/>
      <c r="K832" s="39"/>
      <c r="L832" s="40"/>
      <c r="M832" s="39"/>
      <c r="N832" s="41"/>
    </row>
    <row r="833" ht="12.75" customHeight="1">
      <c r="C833" s="35"/>
      <c r="D833" s="36"/>
      <c r="E833" s="35"/>
      <c r="F833" s="37"/>
      <c r="G833" s="38"/>
      <c r="H833" s="36"/>
      <c r="I833" s="39"/>
      <c r="J833" s="40"/>
      <c r="K833" s="39"/>
      <c r="L833" s="40"/>
      <c r="M833" s="39"/>
      <c r="N833" s="41"/>
    </row>
    <row r="834" ht="12.75" customHeight="1">
      <c r="C834" s="35"/>
      <c r="D834" s="36"/>
      <c r="E834" s="35"/>
      <c r="F834" s="37"/>
      <c r="G834" s="38"/>
      <c r="H834" s="36"/>
      <c r="I834" s="39"/>
      <c r="J834" s="40"/>
      <c r="K834" s="39"/>
      <c r="L834" s="40"/>
      <c r="M834" s="39"/>
      <c r="N834" s="41"/>
    </row>
    <row r="835" ht="12.75" customHeight="1">
      <c r="C835" s="35"/>
      <c r="D835" s="36"/>
      <c r="E835" s="35"/>
      <c r="F835" s="37"/>
      <c r="G835" s="38"/>
      <c r="H835" s="36"/>
      <c r="I835" s="39"/>
      <c r="J835" s="40"/>
      <c r="K835" s="39"/>
      <c r="L835" s="40"/>
      <c r="M835" s="39"/>
      <c r="N835" s="41"/>
    </row>
    <row r="836" ht="12.75" customHeight="1">
      <c r="C836" s="35"/>
      <c r="D836" s="36"/>
      <c r="E836" s="35"/>
      <c r="F836" s="37"/>
      <c r="G836" s="38"/>
      <c r="H836" s="36"/>
      <c r="I836" s="39"/>
      <c r="J836" s="40"/>
      <c r="K836" s="39"/>
      <c r="L836" s="40"/>
      <c r="M836" s="39"/>
      <c r="N836" s="41"/>
    </row>
    <row r="837" ht="12.75" customHeight="1">
      <c r="C837" s="35"/>
      <c r="D837" s="36"/>
      <c r="E837" s="35"/>
      <c r="F837" s="37"/>
      <c r="G837" s="38"/>
      <c r="H837" s="36"/>
      <c r="I837" s="39"/>
      <c r="J837" s="40"/>
      <c r="K837" s="39"/>
      <c r="L837" s="40"/>
      <c r="M837" s="39"/>
      <c r="N837" s="41"/>
    </row>
    <row r="838" ht="12.75" customHeight="1">
      <c r="C838" s="35"/>
      <c r="D838" s="36"/>
      <c r="E838" s="35"/>
      <c r="F838" s="37"/>
      <c r="G838" s="38"/>
      <c r="H838" s="36"/>
      <c r="I838" s="39"/>
      <c r="J838" s="40"/>
      <c r="K838" s="39"/>
      <c r="L838" s="40"/>
      <c r="M838" s="39"/>
      <c r="N838" s="41"/>
    </row>
    <row r="839" ht="12.75" customHeight="1">
      <c r="C839" s="35"/>
      <c r="D839" s="36"/>
      <c r="E839" s="35"/>
      <c r="F839" s="37"/>
      <c r="G839" s="38"/>
      <c r="H839" s="36"/>
      <c r="I839" s="39"/>
      <c r="J839" s="40"/>
      <c r="K839" s="39"/>
      <c r="L839" s="40"/>
      <c r="M839" s="39"/>
      <c r="N839" s="41"/>
    </row>
    <row r="840" ht="12.75" customHeight="1">
      <c r="C840" s="35"/>
      <c r="D840" s="36"/>
      <c r="E840" s="35"/>
      <c r="F840" s="37"/>
      <c r="G840" s="38"/>
      <c r="H840" s="36"/>
      <c r="I840" s="39"/>
      <c r="J840" s="40"/>
      <c r="K840" s="39"/>
      <c r="L840" s="40"/>
      <c r="M840" s="39"/>
      <c r="N840" s="41"/>
    </row>
    <row r="841" ht="12.75" customHeight="1">
      <c r="C841" s="35"/>
      <c r="D841" s="36"/>
      <c r="E841" s="35"/>
      <c r="F841" s="37"/>
      <c r="G841" s="38"/>
      <c r="H841" s="36"/>
      <c r="I841" s="39"/>
      <c r="J841" s="40"/>
      <c r="K841" s="39"/>
      <c r="L841" s="40"/>
      <c r="M841" s="39"/>
      <c r="N841" s="41"/>
    </row>
    <row r="842" ht="12.75" customHeight="1">
      <c r="C842" s="35"/>
      <c r="D842" s="36"/>
      <c r="E842" s="35"/>
      <c r="F842" s="37"/>
      <c r="G842" s="38"/>
      <c r="H842" s="36"/>
      <c r="I842" s="39"/>
      <c r="J842" s="40"/>
      <c r="K842" s="39"/>
      <c r="L842" s="40"/>
      <c r="M842" s="39"/>
      <c r="N842" s="41"/>
    </row>
    <row r="843" ht="12.75" customHeight="1">
      <c r="C843" s="35"/>
      <c r="D843" s="36"/>
      <c r="E843" s="35"/>
      <c r="F843" s="37"/>
      <c r="G843" s="38"/>
      <c r="H843" s="36"/>
      <c r="I843" s="39"/>
      <c r="J843" s="40"/>
      <c r="K843" s="39"/>
      <c r="L843" s="40"/>
      <c r="M843" s="39"/>
      <c r="N843" s="41"/>
    </row>
    <row r="844" ht="12.75" customHeight="1">
      <c r="C844" s="35"/>
      <c r="D844" s="36"/>
      <c r="E844" s="35"/>
      <c r="F844" s="37"/>
      <c r="G844" s="38"/>
      <c r="H844" s="36"/>
      <c r="I844" s="39"/>
      <c r="J844" s="40"/>
      <c r="K844" s="39"/>
      <c r="L844" s="40"/>
      <c r="M844" s="39"/>
      <c r="N844" s="41"/>
    </row>
    <row r="845" ht="12.75" customHeight="1">
      <c r="C845" s="35"/>
      <c r="D845" s="36"/>
      <c r="E845" s="35"/>
      <c r="F845" s="37"/>
      <c r="G845" s="38"/>
      <c r="H845" s="36"/>
      <c r="I845" s="39"/>
      <c r="J845" s="40"/>
      <c r="K845" s="39"/>
      <c r="L845" s="40"/>
      <c r="M845" s="39"/>
      <c r="N845" s="41"/>
    </row>
    <row r="846" ht="12.75" customHeight="1">
      <c r="C846" s="35"/>
      <c r="D846" s="36"/>
      <c r="E846" s="35"/>
      <c r="F846" s="37"/>
      <c r="G846" s="38"/>
      <c r="H846" s="36"/>
      <c r="I846" s="39"/>
      <c r="J846" s="40"/>
      <c r="K846" s="39"/>
      <c r="L846" s="40"/>
      <c r="M846" s="39"/>
      <c r="N846" s="41"/>
    </row>
    <row r="847" ht="12.75" customHeight="1">
      <c r="C847" s="35"/>
      <c r="D847" s="36"/>
      <c r="E847" s="35"/>
      <c r="F847" s="37"/>
      <c r="G847" s="38"/>
      <c r="H847" s="36"/>
      <c r="I847" s="39"/>
      <c r="J847" s="40"/>
      <c r="K847" s="39"/>
      <c r="L847" s="40"/>
      <c r="M847" s="39"/>
      <c r="N847" s="41"/>
    </row>
    <row r="848" ht="12.75" customHeight="1">
      <c r="C848" s="35"/>
      <c r="D848" s="36"/>
      <c r="E848" s="35"/>
      <c r="F848" s="37"/>
      <c r="G848" s="38"/>
      <c r="H848" s="36"/>
      <c r="I848" s="39"/>
      <c r="J848" s="40"/>
      <c r="K848" s="39"/>
      <c r="L848" s="40"/>
      <c r="M848" s="39"/>
      <c r="N848" s="41"/>
    </row>
    <row r="849" ht="12.75" customHeight="1">
      <c r="C849" s="35"/>
      <c r="D849" s="36"/>
      <c r="E849" s="35"/>
      <c r="F849" s="37"/>
      <c r="G849" s="38"/>
      <c r="H849" s="36"/>
      <c r="I849" s="39"/>
      <c r="J849" s="40"/>
      <c r="K849" s="39"/>
      <c r="L849" s="40"/>
      <c r="M849" s="39"/>
      <c r="N849" s="41"/>
    </row>
    <row r="850" ht="12.75" customHeight="1">
      <c r="C850" s="35"/>
      <c r="D850" s="36"/>
      <c r="E850" s="35"/>
      <c r="F850" s="37"/>
      <c r="G850" s="38"/>
      <c r="H850" s="36"/>
      <c r="I850" s="39"/>
      <c r="J850" s="40"/>
      <c r="K850" s="39"/>
      <c r="L850" s="40"/>
      <c r="M850" s="39"/>
      <c r="N850" s="41"/>
    </row>
    <row r="851" ht="12.75" customHeight="1">
      <c r="C851" s="35"/>
      <c r="D851" s="36"/>
      <c r="E851" s="35"/>
      <c r="F851" s="37"/>
      <c r="G851" s="38"/>
      <c r="H851" s="36"/>
      <c r="I851" s="39"/>
      <c r="J851" s="40"/>
      <c r="K851" s="39"/>
      <c r="L851" s="40"/>
      <c r="M851" s="39"/>
      <c r="N851" s="41"/>
    </row>
    <row r="852" ht="12.75" customHeight="1">
      <c r="C852" s="35"/>
      <c r="D852" s="36"/>
      <c r="E852" s="35"/>
      <c r="F852" s="37"/>
      <c r="G852" s="38"/>
      <c r="H852" s="36"/>
      <c r="I852" s="39"/>
      <c r="J852" s="40"/>
      <c r="K852" s="39"/>
      <c r="L852" s="40"/>
      <c r="M852" s="39"/>
      <c r="N852" s="41"/>
    </row>
    <row r="853" ht="12.75" customHeight="1">
      <c r="C853" s="35"/>
      <c r="D853" s="36"/>
      <c r="E853" s="35"/>
      <c r="F853" s="37"/>
      <c r="G853" s="38"/>
      <c r="H853" s="36"/>
      <c r="I853" s="39"/>
      <c r="J853" s="40"/>
      <c r="K853" s="39"/>
      <c r="L853" s="40"/>
      <c r="M853" s="39"/>
      <c r="N853" s="41"/>
    </row>
    <row r="854" ht="12.75" customHeight="1">
      <c r="C854" s="35"/>
      <c r="D854" s="36"/>
      <c r="E854" s="35"/>
      <c r="F854" s="37"/>
      <c r="G854" s="38"/>
      <c r="H854" s="36"/>
      <c r="I854" s="39"/>
      <c r="J854" s="40"/>
      <c r="K854" s="39"/>
      <c r="L854" s="40"/>
      <c r="M854" s="39"/>
      <c r="N854" s="41"/>
    </row>
    <row r="855" ht="12.75" customHeight="1">
      <c r="C855" s="35"/>
      <c r="D855" s="36"/>
      <c r="E855" s="35"/>
      <c r="F855" s="37"/>
      <c r="G855" s="38"/>
      <c r="H855" s="36"/>
      <c r="I855" s="39"/>
      <c r="J855" s="40"/>
      <c r="K855" s="39"/>
      <c r="L855" s="40"/>
      <c r="M855" s="39"/>
      <c r="N855" s="41"/>
    </row>
    <row r="856" ht="12.75" customHeight="1">
      <c r="C856" s="35"/>
      <c r="D856" s="36"/>
      <c r="E856" s="35"/>
      <c r="F856" s="37"/>
      <c r="G856" s="38"/>
      <c r="H856" s="36"/>
      <c r="I856" s="39"/>
      <c r="J856" s="40"/>
      <c r="K856" s="39"/>
      <c r="L856" s="40"/>
      <c r="M856" s="39"/>
      <c r="N856" s="41"/>
    </row>
    <row r="857" ht="12.75" customHeight="1">
      <c r="C857" s="35"/>
      <c r="D857" s="36"/>
      <c r="E857" s="35"/>
      <c r="F857" s="37"/>
      <c r="G857" s="38"/>
      <c r="H857" s="36"/>
      <c r="I857" s="39"/>
      <c r="J857" s="40"/>
      <c r="K857" s="39"/>
      <c r="L857" s="40"/>
      <c r="M857" s="39"/>
      <c r="N857" s="41"/>
    </row>
    <row r="858" ht="12.75" customHeight="1">
      <c r="C858" s="35"/>
      <c r="D858" s="36"/>
      <c r="E858" s="35"/>
      <c r="F858" s="37"/>
      <c r="G858" s="38"/>
      <c r="H858" s="36"/>
      <c r="I858" s="39"/>
      <c r="J858" s="40"/>
      <c r="K858" s="39"/>
      <c r="L858" s="40"/>
      <c r="M858" s="39"/>
      <c r="N858" s="41"/>
    </row>
    <row r="859" ht="12.75" customHeight="1">
      <c r="C859" s="35"/>
      <c r="D859" s="36"/>
      <c r="E859" s="35"/>
      <c r="F859" s="37"/>
      <c r="G859" s="38"/>
      <c r="H859" s="36"/>
      <c r="I859" s="39"/>
      <c r="J859" s="40"/>
      <c r="K859" s="39"/>
      <c r="L859" s="40"/>
      <c r="M859" s="39"/>
      <c r="N859" s="41"/>
    </row>
    <row r="860" ht="12.75" customHeight="1">
      <c r="C860" s="35"/>
      <c r="D860" s="36"/>
      <c r="E860" s="35"/>
      <c r="F860" s="37"/>
      <c r="G860" s="38"/>
      <c r="H860" s="36"/>
      <c r="I860" s="39"/>
      <c r="J860" s="40"/>
      <c r="K860" s="39"/>
      <c r="L860" s="40"/>
      <c r="M860" s="39"/>
      <c r="N860" s="41"/>
    </row>
    <row r="861" ht="12.75" customHeight="1">
      <c r="C861" s="35"/>
      <c r="D861" s="36"/>
      <c r="E861" s="35"/>
      <c r="F861" s="37"/>
      <c r="G861" s="38"/>
      <c r="H861" s="36"/>
      <c r="I861" s="39"/>
      <c r="J861" s="40"/>
      <c r="K861" s="39"/>
      <c r="L861" s="40"/>
      <c r="M861" s="39"/>
      <c r="N861" s="41"/>
    </row>
    <row r="862" ht="12.75" customHeight="1">
      <c r="C862" s="35"/>
      <c r="D862" s="36"/>
      <c r="E862" s="35"/>
      <c r="F862" s="37"/>
      <c r="G862" s="38"/>
      <c r="H862" s="36"/>
      <c r="I862" s="39"/>
      <c r="J862" s="40"/>
      <c r="K862" s="39"/>
      <c r="L862" s="40"/>
      <c r="M862" s="39"/>
      <c r="N862" s="41"/>
    </row>
    <row r="863" ht="12.75" customHeight="1">
      <c r="C863" s="35"/>
      <c r="D863" s="36"/>
      <c r="E863" s="35"/>
      <c r="F863" s="37"/>
      <c r="G863" s="38"/>
      <c r="H863" s="36"/>
      <c r="I863" s="39"/>
      <c r="J863" s="40"/>
      <c r="K863" s="39"/>
      <c r="L863" s="40"/>
      <c r="M863" s="39"/>
      <c r="N863" s="41"/>
    </row>
    <row r="864" ht="12.75" customHeight="1">
      <c r="C864" s="35"/>
      <c r="D864" s="36"/>
      <c r="E864" s="35"/>
      <c r="F864" s="37"/>
      <c r="G864" s="38"/>
      <c r="H864" s="36"/>
      <c r="I864" s="39"/>
      <c r="J864" s="40"/>
      <c r="K864" s="39"/>
      <c r="L864" s="40"/>
      <c r="M864" s="39"/>
      <c r="N864" s="41"/>
    </row>
    <row r="865" ht="12.75" customHeight="1">
      <c r="C865" s="35"/>
      <c r="D865" s="36"/>
      <c r="E865" s="35"/>
      <c r="F865" s="37"/>
      <c r="G865" s="38"/>
      <c r="H865" s="36"/>
      <c r="I865" s="39"/>
      <c r="J865" s="40"/>
      <c r="K865" s="39"/>
      <c r="L865" s="40"/>
      <c r="M865" s="39"/>
      <c r="N865" s="41"/>
    </row>
    <row r="866" ht="12.75" customHeight="1">
      <c r="C866" s="35"/>
      <c r="D866" s="36"/>
      <c r="E866" s="35"/>
      <c r="F866" s="37"/>
      <c r="G866" s="38"/>
      <c r="H866" s="36"/>
      <c r="I866" s="39"/>
      <c r="J866" s="40"/>
      <c r="K866" s="39"/>
      <c r="L866" s="40"/>
      <c r="M866" s="39"/>
      <c r="N866" s="41"/>
    </row>
    <row r="867" ht="12.75" customHeight="1">
      <c r="C867" s="35"/>
      <c r="D867" s="36"/>
      <c r="E867" s="35"/>
      <c r="F867" s="37"/>
      <c r="G867" s="38"/>
      <c r="H867" s="36"/>
      <c r="I867" s="39"/>
      <c r="J867" s="40"/>
      <c r="K867" s="39"/>
      <c r="L867" s="40"/>
      <c r="M867" s="39"/>
      <c r="N867" s="41"/>
    </row>
    <row r="868" ht="12.75" customHeight="1">
      <c r="C868" s="35"/>
      <c r="D868" s="36"/>
      <c r="E868" s="35"/>
      <c r="F868" s="37"/>
      <c r="G868" s="38"/>
      <c r="H868" s="36"/>
      <c r="I868" s="39"/>
      <c r="J868" s="40"/>
      <c r="K868" s="39"/>
      <c r="L868" s="40"/>
      <c r="M868" s="39"/>
      <c r="N868" s="41"/>
    </row>
    <row r="869" ht="12.75" customHeight="1">
      <c r="C869" s="35"/>
      <c r="D869" s="36"/>
      <c r="E869" s="35"/>
      <c r="F869" s="37"/>
      <c r="G869" s="38"/>
      <c r="H869" s="36"/>
      <c r="I869" s="39"/>
      <c r="J869" s="40"/>
      <c r="K869" s="39"/>
      <c r="L869" s="40"/>
      <c r="M869" s="39"/>
      <c r="N869" s="41"/>
    </row>
    <row r="870" ht="12.75" customHeight="1">
      <c r="C870" s="35"/>
      <c r="D870" s="36"/>
      <c r="E870" s="35"/>
      <c r="F870" s="37"/>
      <c r="G870" s="38"/>
      <c r="H870" s="36"/>
      <c r="I870" s="39"/>
      <c r="J870" s="40"/>
      <c r="K870" s="39"/>
      <c r="L870" s="40"/>
      <c r="M870" s="39"/>
      <c r="N870" s="41"/>
    </row>
    <row r="871" ht="12.75" customHeight="1">
      <c r="C871" s="35"/>
      <c r="D871" s="36"/>
      <c r="E871" s="35"/>
      <c r="F871" s="37"/>
      <c r="G871" s="38"/>
      <c r="H871" s="36"/>
      <c r="I871" s="39"/>
      <c r="J871" s="40"/>
      <c r="K871" s="39"/>
      <c r="L871" s="40"/>
      <c r="M871" s="39"/>
      <c r="N871" s="41"/>
    </row>
    <row r="872" ht="12.75" customHeight="1">
      <c r="C872" s="35"/>
      <c r="D872" s="36"/>
      <c r="E872" s="35"/>
      <c r="F872" s="37"/>
      <c r="G872" s="38"/>
      <c r="H872" s="36"/>
      <c r="I872" s="39"/>
      <c r="J872" s="40"/>
      <c r="K872" s="39"/>
      <c r="L872" s="40"/>
      <c r="M872" s="39"/>
      <c r="N872" s="41"/>
    </row>
    <row r="873" ht="12.75" customHeight="1">
      <c r="C873" s="35"/>
      <c r="D873" s="36"/>
      <c r="E873" s="35"/>
      <c r="F873" s="37"/>
      <c r="G873" s="38"/>
      <c r="H873" s="36"/>
      <c r="I873" s="39"/>
      <c r="J873" s="40"/>
      <c r="K873" s="39"/>
      <c r="L873" s="40"/>
      <c r="M873" s="39"/>
      <c r="N873" s="41"/>
    </row>
    <row r="874" ht="12.75" customHeight="1">
      <c r="C874" s="35"/>
      <c r="D874" s="36"/>
      <c r="E874" s="35"/>
      <c r="F874" s="37"/>
      <c r="G874" s="38"/>
      <c r="H874" s="36"/>
      <c r="I874" s="39"/>
      <c r="J874" s="40"/>
      <c r="K874" s="39"/>
      <c r="L874" s="40"/>
      <c r="M874" s="39"/>
      <c r="N874" s="41"/>
    </row>
    <row r="875" ht="12.75" customHeight="1">
      <c r="C875" s="35"/>
      <c r="D875" s="36"/>
      <c r="E875" s="35"/>
      <c r="F875" s="37"/>
      <c r="G875" s="38"/>
      <c r="H875" s="36"/>
      <c r="I875" s="39"/>
      <c r="J875" s="40"/>
      <c r="K875" s="39"/>
      <c r="L875" s="40"/>
      <c r="M875" s="39"/>
      <c r="N875" s="41"/>
    </row>
    <row r="876" ht="12.75" customHeight="1">
      <c r="C876" s="35"/>
      <c r="D876" s="36"/>
      <c r="E876" s="35"/>
      <c r="F876" s="37"/>
      <c r="G876" s="38"/>
      <c r="H876" s="36"/>
      <c r="I876" s="39"/>
      <c r="J876" s="40"/>
      <c r="K876" s="39"/>
      <c r="L876" s="40"/>
      <c r="M876" s="39"/>
      <c r="N876" s="41"/>
    </row>
    <row r="877" ht="12.75" customHeight="1">
      <c r="C877" s="35"/>
      <c r="D877" s="36"/>
      <c r="E877" s="35"/>
      <c r="F877" s="37"/>
      <c r="G877" s="38"/>
      <c r="H877" s="36"/>
      <c r="I877" s="39"/>
      <c r="J877" s="40"/>
      <c r="K877" s="39"/>
      <c r="L877" s="40"/>
      <c r="M877" s="39"/>
      <c r="N877" s="41"/>
    </row>
    <row r="878" ht="12.75" customHeight="1">
      <c r="C878" s="35"/>
      <c r="D878" s="36"/>
      <c r="E878" s="35"/>
      <c r="F878" s="37"/>
      <c r="G878" s="38"/>
      <c r="H878" s="36"/>
      <c r="I878" s="39"/>
      <c r="J878" s="40"/>
      <c r="K878" s="39"/>
      <c r="L878" s="40"/>
      <c r="M878" s="39"/>
      <c r="N878" s="41"/>
    </row>
    <row r="879" ht="12.75" customHeight="1">
      <c r="C879" s="35"/>
      <c r="D879" s="36"/>
      <c r="E879" s="35"/>
      <c r="F879" s="37"/>
      <c r="G879" s="38"/>
      <c r="H879" s="36"/>
      <c r="I879" s="39"/>
      <c r="J879" s="40"/>
      <c r="K879" s="39"/>
      <c r="L879" s="40"/>
      <c r="M879" s="39"/>
      <c r="N879" s="41"/>
    </row>
    <row r="880" ht="12.75" customHeight="1">
      <c r="C880" s="35"/>
      <c r="D880" s="36"/>
      <c r="E880" s="35"/>
      <c r="F880" s="37"/>
      <c r="G880" s="38"/>
      <c r="H880" s="36"/>
      <c r="I880" s="39"/>
      <c r="J880" s="40"/>
      <c r="K880" s="39"/>
      <c r="L880" s="40"/>
      <c r="M880" s="39"/>
      <c r="N880" s="41"/>
    </row>
    <row r="881" ht="12.75" customHeight="1">
      <c r="C881" s="35"/>
      <c r="D881" s="36"/>
      <c r="E881" s="35"/>
      <c r="F881" s="37"/>
      <c r="G881" s="38"/>
      <c r="H881" s="36"/>
      <c r="I881" s="39"/>
      <c r="J881" s="40"/>
      <c r="K881" s="39"/>
      <c r="L881" s="40"/>
      <c r="M881" s="39"/>
      <c r="N881" s="41"/>
    </row>
    <row r="882" ht="12.75" customHeight="1">
      <c r="C882" s="35"/>
      <c r="D882" s="36"/>
      <c r="E882" s="35"/>
      <c r="F882" s="37"/>
      <c r="G882" s="38"/>
      <c r="H882" s="36"/>
      <c r="I882" s="39"/>
      <c r="J882" s="40"/>
      <c r="K882" s="39"/>
      <c r="L882" s="40"/>
      <c r="M882" s="39"/>
      <c r="N882" s="41"/>
    </row>
    <row r="883" ht="12.75" customHeight="1">
      <c r="C883" s="35"/>
      <c r="D883" s="36"/>
      <c r="E883" s="35"/>
      <c r="F883" s="37"/>
      <c r="G883" s="38"/>
      <c r="H883" s="36"/>
      <c r="I883" s="39"/>
      <c r="J883" s="40"/>
      <c r="K883" s="39"/>
      <c r="L883" s="40"/>
      <c r="M883" s="39"/>
      <c r="N883" s="41"/>
    </row>
    <row r="884" ht="12.75" customHeight="1">
      <c r="C884" s="35"/>
      <c r="D884" s="36"/>
      <c r="E884" s="35"/>
      <c r="F884" s="37"/>
      <c r="G884" s="38"/>
      <c r="H884" s="36"/>
      <c r="I884" s="39"/>
      <c r="J884" s="40"/>
      <c r="K884" s="39"/>
      <c r="L884" s="40"/>
      <c r="M884" s="39"/>
      <c r="N884" s="41"/>
    </row>
    <row r="885" ht="12.75" customHeight="1">
      <c r="C885" s="35"/>
      <c r="D885" s="36"/>
      <c r="E885" s="35"/>
      <c r="F885" s="37"/>
      <c r="G885" s="38"/>
      <c r="H885" s="36"/>
      <c r="I885" s="39"/>
      <c r="J885" s="40"/>
      <c r="K885" s="39"/>
      <c r="L885" s="40"/>
      <c r="M885" s="39"/>
      <c r="N885" s="41"/>
    </row>
    <row r="886" ht="12.75" customHeight="1">
      <c r="C886" s="35"/>
      <c r="D886" s="36"/>
      <c r="E886" s="35"/>
      <c r="F886" s="37"/>
      <c r="G886" s="38"/>
      <c r="H886" s="36"/>
      <c r="I886" s="39"/>
      <c r="J886" s="40"/>
      <c r="K886" s="39"/>
      <c r="L886" s="40"/>
      <c r="M886" s="39"/>
      <c r="N886" s="41"/>
    </row>
    <row r="887" ht="12.75" customHeight="1">
      <c r="C887" s="35"/>
      <c r="D887" s="36"/>
      <c r="E887" s="35"/>
      <c r="F887" s="37"/>
      <c r="G887" s="38"/>
      <c r="H887" s="36"/>
      <c r="I887" s="39"/>
      <c r="J887" s="40"/>
      <c r="K887" s="39"/>
      <c r="L887" s="40"/>
      <c r="M887" s="39"/>
      <c r="N887" s="41"/>
    </row>
    <row r="888" ht="12.75" customHeight="1">
      <c r="C888" s="35"/>
      <c r="D888" s="36"/>
      <c r="E888" s="35"/>
      <c r="F888" s="37"/>
      <c r="G888" s="38"/>
      <c r="H888" s="36"/>
      <c r="I888" s="39"/>
      <c r="J888" s="40"/>
      <c r="K888" s="39"/>
      <c r="L888" s="40"/>
      <c r="M888" s="39"/>
      <c r="N888" s="41"/>
    </row>
    <row r="889" ht="12.75" customHeight="1">
      <c r="C889" s="35"/>
      <c r="D889" s="36"/>
      <c r="E889" s="35"/>
      <c r="F889" s="37"/>
      <c r="G889" s="38"/>
      <c r="H889" s="36"/>
      <c r="I889" s="39"/>
      <c r="J889" s="40"/>
      <c r="K889" s="39"/>
      <c r="L889" s="40"/>
      <c r="M889" s="39"/>
      <c r="N889" s="41"/>
    </row>
    <row r="890" ht="12.75" customHeight="1">
      <c r="C890" s="35"/>
      <c r="D890" s="36"/>
      <c r="E890" s="35"/>
      <c r="F890" s="37"/>
      <c r="G890" s="38"/>
      <c r="H890" s="36"/>
      <c r="I890" s="39"/>
      <c r="J890" s="40"/>
      <c r="K890" s="39"/>
      <c r="L890" s="40"/>
      <c r="M890" s="39"/>
      <c r="N890" s="41"/>
    </row>
    <row r="891" ht="12.75" customHeight="1">
      <c r="C891" s="35"/>
      <c r="D891" s="36"/>
      <c r="E891" s="35"/>
      <c r="F891" s="37"/>
      <c r="G891" s="38"/>
      <c r="H891" s="36"/>
      <c r="I891" s="39"/>
      <c r="J891" s="40"/>
      <c r="K891" s="39"/>
      <c r="L891" s="40"/>
      <c r="M891" s="39"/>
      <c r="N891" s="41"/>
    </row>
    <row r="892" ht="12.75" customHeight="1">
      <c r="C892" s="35"/>
      <c r="D892" s="36"/>
      <c r="E892" s="35"/>
      <c r="F892" s="37"/>
      <c r="G892" s="38"/>
      <c r="H892" s="36"/>
      <c r="I892" s="39"/>
      <c r="J892" s="40"/>
      <c r="K892" s="39"/>
      <c r="L892" s="40"/>
      <c r="M892" s="39"/>
      <c r="N892" s="41"/>
    </row>
    <row r="893" ht="12.75" customHeight="1">
      <c r="C893" s="35"/>
      <c r="D893" s="36"/>
      <c r="E893" s="35"/>
      <c r="F893" s="37"/>
      <c r="G893" s="38"/>
      <c r="H893" s="36"/>
      <c r="I893" s="39"/>
      <c r="J893" s="40"/>
      <c r="K893" s="39"/>
      <c r="L893" s="40"/>
      <c r="M893" s="39"/>
      <c r="N893" s="41"/>
    </row>
    <row r="894" ht="12.75" customHeight="1">
      <c r="C894" s="35"/>
      <c r="D894" s="36"/>
      <c r="E894" s="35"/>
      <c r="F894" s="37"/>
      <c r="G894" s="38"/>
      <c r="H894" s="36"/>
      <c r="I894" s="39"/>
      <c r="J894" s="40"/>
      <c r="K894" s="39"/>
      <c r="L894" s="40"/>
      <c r="M894" s="39"/>
      <c r="N894" s="41"/>
    </row>
    <row r="895" ht="12.75" customHeight="1">
      <c r="C895" s="35"/>
      <c r="D895" s="36"/>
      <c r="E895" s="35"/>
      <c r="F895" s="37"/>
      <c r="G895" s="38"/>
      <c r="H895" s="36"/>
      <c r="I895" s="39"/>
      <c r="J895" s="40"/>
      <c r="K895" s="39"/>
      <c r="L895" s="40"/>
      <c r="M895" s="39"/>
      <c r="N895" s="41"/>
    </row>
    <row r="896" ht="12.75" customHeight="1">
      <c r="C896" s="35"/>
      <c r="D896" s="36"/>
      <c r="E896" s="35"/>
      <c r="F896" s="37"/>
      <c r="G896" s="38"/>
      <c r="H896" s="36"/>
      <c r="I896" s="39"/>
      <c r="J896" s="40"/>
      <c r="K896" s="39"/>
      <c r="L896" s="40"/>
      <c r="M896" s="39"/>
      <c r="N896" s="41"/>
    </row>
    <row r="897" ht="12.75" customHeight="1">
      <c r="C897" s="35"/>
      <c r="D897" s="36"/>
      <c r="E897" s="35"/>
      <c r="F897" s="37"/>
      <c r="G897" s="38"/>
      <c r="H897" s="36"/>
      <c r="I897" s="39"/>
      <c r="J897" s="40"/>
      <c r="K897" s="39"/>
      <c r="L897" s="40"/>
      <c r="M897" s="39"/>
      <c r="N897" s="41"/>
    </row>
    <row r="898" ht="12.75" customHeight="1">
      <c r="C898" s="35"/>
      <c r="D898" s="36"/>
      <c r="E898" s="35"/>
      <c r="F898" s="37"/>
      <c r="G898" s="38"/>
      <c r="H898" s="36"/>
      <c r="I898" s="39"/>
      <c r="J898" s="40"/>
      <c r="K898" s="39"/>
      <c r="L898" s="40"/>
      <c r="M898" s="39"/>
      <c r="N898" s="41"/>
    </row>
    <row r="899" ht="12.75" customHeight="1">
      <c r="C899" s="35"/>
      <c r="D899" s="36"/>
      <c r="E899" s="35"/>
      <c r="F899" s="37"/>
      <c r="G899" s="38"/>
      <c r="H899" s="36"/>
      <c r="I899" s="39"/>
      <c r="J899" s="40"/>
      <c r="K899" s="39"/>
      <c r="L899" s="40"/>
      <c r="M899" s="39"/>
      <c r="N899" s="41"/>
    </row>
    <row r="900" ht="12.75" customHeight="1">
      <c r="C900" s="35"/>
      <c r="D900" s="36"/>
      <c r="E900" s="35"/>
      <c r="F900" s="37"/>
      <c r="G900" s="38"/>
      <c r="H900" s="36"/>
      <c r="I900" s="39"/>
      <c r="J900" s="40"/>
      <c r="K900" s="39"/>
      <c r="L900" s="40"/>
      <c r="M900" s="39"/>
      <c r="N900" s="41"/>
    </row>
    <row r="901" ht="12.75" customHeight="1">
      <c r="C901" s="35"/>
      <c r="D901" s="36"/>
      <c r="E901" s="35"/>
      <c r="F901" s="37"/>
      <c r="G901" s="38"/>
      <c r="H901" s="36"/>
      <c r="I901" s="39"/>
      <c r="J901" s="40"/>
      <c r="K901" s="39"/>
      <c r="L901" s="40"/>
      <c r="M901" s="39"/>
      <c r="N901" s="41"/>
    </row>
    <row r="902" ht="12.75" customHeight="1">
      <c r="C902" s="35"/>
      <c r="D902" s="36"/>
      <c r="E902" s="35"/>
      <c r="F902" s="37"/>
      <c r="G902" s="38"/>
      <c r="H902" s="36"/>
      <c r="I902" s="39"/>
      <c r="J902" s="40"/>
      <c r="K902" s="39"/>
      <c r="L902" s="40"/>
      <c r="M902" s="39"/>
      <c r="N902" s="41"/>
    </row>
    <row r="903" ht="12.75" customHeight="1">
      <c r="C903" s="35"/>
      <c r="D903" s="36"/>
      <c r="E903" s="35"/>
      <c r="F903" s="37"/>
      <c r="G903" s="38"/>
      <c r="H903" s="36"/>
      <c r="I903" s="39"/>
      <c r="J903" s="40"/>
      <c r="K903" s="39"/>
      <c r="L903" s="40"/>
      <c r="M903" s="39"/>
      <c r="N903" s="41"/>
    </row>
    <row r="904" ht="12.75" customHeight="1">
      <c r="C904" s="35"/>
      <c r="D904" s="36"/>
      <c r="E904" s="35"/>
      <c r="F904" s="37"/>
      <c r="G904" s="38"/>
      <c r="H904" s="36"/>
      <c r="I904" s="39"/>
      <c r="J904" s="40"/>
      <c r="K904" s="39"/>
      <c r="L904" s="40"/>
      <c r="M904" s="39"/>
      <c r="N904" s="41"/>
    </row>
    <row r="905" ht="12.75" customHeight="1">
      <c r="C905" s="35"/>
      <c r="D905" s="36"/>
      <c r="E905" s="35"/>
      <c r="F905" s="37"/>
      <c r="G905" s="38"/>
      <c r="H905" s="36"/>
      <c r="I905" s="39"/>
      <c r="J905" s="40"/>
      <c r="K905" s="39"/>
      <c r="L905" s="40"/>
      <c r="M905" s="39"/>
      <c r="N905" s="41"/>
    </row>
    <row r="906" ht="12.75" customHeight="1">
      <c r="C906" s="35"/>
      <c r="D906" s="36"/>
      <c r="E906" s="35"/>
      <c r="F906" s="37"/>
      <c r="G906" s="38"/>
      <c r="H906" s="36"/>
      <c r="I906" s="39"/>
      <c r="J906" s="40"/>
      <c r="K906" s="39"/>
      <c r="L906" s="40"/>
      <c r="M906" s="39"/>
      <c r="N906" s="41"/>
    </row>
    <row r="907" ht="12.75" customHeight="1">
      <c r="C907" s="35"/>
      <c r="D907" s="36"/>
      <c r="E907" s="35"/>
      <c r="F907" s="37"/>
      <c r="G907" s="38"/>
      <c r="H907" s="36"/>
      <c r="I907" s="39"/>
      <c r="J907" s="40"/>
      <c r="K907" s="39"/>
      <c r="L907" s="40"/>
      <c r="M907" s="39"/>
      <c r="N907" s="41"/>
    </row>
    <row r="908" ht="12.75" customHeight="1">
      <c r="C908" s="35"/>
      <c r="D908" s="36"/>
      <c r="E908" s="35"/>
      <c r="F908" s="37"/>
      <c r="G908" s="38"/>
      <c r="H908" s="36"/>
      <c r="I908" s="39"/>
      <c r="J908" s="40"/>
      <c r="K908" s="39"/>
      <c r="L908" s="40"/>
      <c r="M908" s="39"/>
      <c r="N908" s="41"/>
    </row>
    <row r="909" ht="12.75" customHeight="1">
      <c r="C909" s="35"/>
      <c r="D909" s="36"/>
      <c r="E909" s="35"/>
      <c r="F909" s="37"/>
      <c r="G909" s="38"/>
      <c r="H909" s="36"/>
      <c r="I909" s="39"/>
      <c r="J909" s="40"/>
      <c r="K909" s="39"/>
      <c r="L909" s="40"/>
      <c r="M909" s="39"/>
      <c r="N909" s="41"/>
    </row>
    <row r="910" ht="12.75" customHeight="1">
      <c r="C910" s="35"/>
      <c r="D910" s="36"/>
      <c r="E910" s="35"/>
      <c r="F910" s="37"/>
      <c r="G910" s="38"/>
      <c r="H910" s="36"/>
      <c r="I910" s="39"/>
      <c r="J910" s="40"/>
      <c r="K910" s="39"/>
      <c r="L910" s="40"/>
      <c r="M910" s="39"/>
      <c r="N910" s="41"/>
    </row>
    <row r="911" ht="12.75" customHeight="1">
      <c r="C911" s="35"/>
      <c r="D911" s="36"/>
      <c r="E911" s="35"/>
      <c r="F911" s="37"/>
      <c r="G911" s="38"/>
      <c r="H911" s="36"/>
      <c r="I911" s="39"/>
      <c r="J911" s="40"/>
      <c r="K911" s="39"/>
      <c r="L911" s="40"/>
      <c r="M911" s="39"/>
      <c r="N911" s="41"/>
    </row>
    <row r="912" ht="12.75" customHeight="1">
      <c r="C912" s="35"/>
      <c r="D912" s="36"/>
      <c r="E912" s="35"/>
      <c r="F912" s="37"/>
      <c r="G912" s="38"/>
      <c r="H912" s="36"/>
      <c r="I912" s="39"/>
      <c r="J912" s="40"/>
      <c r="K912" s="39"/>
      <c r="L912" s="40"/>
      <c r="M912" s="39"/>
      <c r="N912" s="41"/>
    </row>
    <row r="913" ht="12.75" customHeight="1">
      <c r="C913" s="35"/>
      <c r="D913" s="36"/>
      <c r="E913" s="35"/>
      <c r="F913" s="37"/>
      <c r="G913" s="38"/>
      <c r="H913" s="36"/>
      <c r="I913" s="39"/>
      <c r="J913" s="40"/>
      <c r="K913" s="39"/>
      <c r="L913" s="40"/>
      <c r="M913" s="39"/>
      <c r="N913" s="41"/>
    </row>
    <row r="914" ht="12.75" customHeight="1">
      <c r="C914" s="35"/>
      <c r="D914" s="36"/>
      <c r="E914" s="35"/>
      <c r="F914" s="37"/>
      <c r="G914" s="38"/>
      <c r="H914" s="36"/>
      <c r="I914" s="39"/>
      <c r="J914" s="40"/>
      <c r="K914" s="39"/>
      <c r="L914" s="40"/>
      <c r="M914" s="39"/>
      <c r="N914" s="41"/>
    </row>
    <row r="915" ht="12.75" customHeight="1">
      <c r="C915" s="35"/>
      <c r="D915" s="36"/>
      <c r="E915" s="35"/>
      <c r="F915" s="37"/>
      <c r="G915" s="38"/>
      <c r="H915" s="36"/>
      <c r="I915" s="39"/>
      <c r="J915" s="40"/>
      <c r="K915" s="39"/>
      <c r="L915" s="40"/>
      <c r="M915" s="39"/>
      <c r="N915" s="41"/>
    </row>
    <row r="916" ht="12.75" customHeight="1">
      <c r="C916" s="35"/>
      <c r="D916" s="36"/>
      <c r="E916" s="35"/>
      <c r="F916" s="37"/>
      <c r="G916" s="38"/>
      <c r="H916" s="36"/>
      <c r="I916" s="39"/>
      <c r="J916" s="40"/>
      <c r="K916" s="39"/>
      <c r="L916" s="40"/>
      <c r="M916" s="39"/>
      <c r="N916" s="41"/>
    </row>
    <row r="917" ht="12.75" customHeight="1">
      <c r="C917" s="35"/>
      <c r="D917" s="36"/>
      <c r="E917" s="35"/>
      <c r="F917" s="37"/>
      <c r="G917" s="38"/>
      <c r="H917" s="36"/>
      <c r="I917" s="39"/>
      <c r="J917" s="40"/>
      <c r="K917" s="39"/>
      <c r="L917" s="40"/>
      <c r="M917" s="39"/>
      <c r="N917" s="41"/>
    </row>
    <row r="918" ht="12.75" customHeight="1">
      <c r="C918" s="35"/>
      <c r="D918" s="36"/>
      <c r="E918" s="35"/>
      <c r="F918" s="37"/>
      <c r="G918" s="38"/>
      <c r="H918" s="36"/>
      <c r="I918" s="39"/>
      <c r="J918" s="40"/>
      <c r="K918" s="39"/>
      <c r="L918" s="40"/>
      <c r="M918" s="39"/>
      <c r="N918" s="41"/>
    </row>
    <row r="919" ht="12.75" customHeight="1">
      <c r="C919" s="35"/>
      <c r="D919" s="36"/>
      <c r="E919" s="35"/>
      <c r="F919" s="37"/>
      <c r="G919" s="38"/>
      <c r="H919" s="36"/>
      <c r="I919" s="39"/>
      <c r="J919" s="40"/>
      <c r="K919" s="39"/>
      <c r="L919" s="40"/>
      <c r="M919" s="39"/>
      <c r="N919" s="41"/>
    </row>
    <row r="920" ht="12.75" customHeight="1">
      <c r="C920" s="35"/>
      <c r="D920" s="36"/>
      <c r="E920" s="35"/>
      <c r="F920" s="37"/>
      <c r="G920" s="38"/>
      <c r="H920" s="36"/>
      <c r="I920" s="39"/>
      <c r="J920" s="40"/>
      <c r="K920" s="39"/>
      <c r="L920" s="40"/>
      <c r="M920" s="39"/>
      <c r="N920" s="41"/>
    </row>
    <row r="921" ht="12.75" customHeight="1">
      <c r="C921" s="35"/>
      <c r="D921" s="36"/>
      <c r="E921" s="35"/>
      <c r="F921" s="37"/>
      <c r="G921" s="38"/>
      <c r="H921" s="36"/>
      <c r="I921" s="39"/>
      <c r="J921" s="40"/>
      <c r="K921" s="39"/>
      <c r="L921" s="40"/>
      <c r="M921" s="39"/>
      <c r="N921" s="41"/>
    </row>
    <row r="922" ht="12.75" customHeight="1">
      <c r="C922" s="35"/>
      <c r="D922" s="36"/>
      <c r="E922" s="35"/>
      <c r="F922" s="37"/>
      <c r="G922" s="38"/>
      <c r="H922" s="36"/>
      <c r="I922" s="39"/>
      <c r="J922" s="40"/>
      <c r="K922" s="39"/>
      <c r="L922" s="40"/>
      <c r="M922" s="39"/>
      <c r="N922" s="41"/>
    </row>
    <row r="923" ht="12.75" customHeight="1">
      <c r="C923" s="35"/>
      <c r="D923" s="36"/>
      <c r="E923" s="35"/>
      <c r="F923" s="37"/>
      <c r="G923" s="38"/>
      <c r="H923" s="36"/>
      <c r="I923" s="39"/>
      <c r="J923" s="40"/>
      <c r="K923" s="39"/>
      <c r="L923" s="40"/>
      <c r="M923" s="39"/>
      <c r="N923" s="41"/>
    </row>
    <row r="924" ht="12.75" customHeight="1">
      <c r="C924" s="35"/>
      <c r="D924" s="36"/>
      <c r="E924" s="35"/>
      <c r="F924" s="37"/>
      <c r="G924" s="38"/>
      <c r="H924" s="36"/>
      <c r="I924" s="39"/>
      <c r="J924" s="40"/>
      <c r="K924" s="39"/>
      <c r="L924" s="40"/>
      <c r="M924" s="39"/>
      <c r="N924" s="41"/>
    </row>
    <row r="925" ht="12.75" customHeight="1">
      <c r="C925" s="35"/>
      <c r="D925" s="36"/>
      <c r="E925" s="35"/>
      <c r="F925" s="37"/>
      <c r="G925" s="38"/>
      <c r="H925" s="36"/>
      <c r="I925" s="39"/>
      <c r="J925" s="40"/>
      <c r="K925" s="39"/>
      <c r="L925" s="40"/>
      <c r="M925" s="39"/>
      <c r="N925" s="41"/>
    </row>
    <row r="926" ht="12.75" customHeight="1">
      <c r="C926" s="35"/>
      <c r="D926" s="36"/>
      <c r="E926" s="35"/>
      <c r="F926" s="37"/>
      <c r="G926" s="38"/>
      <c r="H926" s="36"/>
      <c r="I926" s="39"/>
      <c r="J926" s="40"/>
      <c r="K926" s="39"/>
      <c r="L926" s="40"/>
      <c r="M926" s="39"/>
      <c r="N926" s="41"/>
    </row>
    <row r="927" ht="12.75" customHeight="1">
      <c r="C927" s="35"/>
      <c r="D927" s="36"/>
      <c r="E927" s="35"/>
      <c r="F927" s="37"/>
      <c r="G927" s="38"/>
      <c r="H927" s="36"/>
      <c r="I927" s="39"/>
      <c r="J927" s="40"/>
      <c r="K927" s="39"/>
      <c r="L927" s="40"/>
      <c r="M927" s="39"/>
      <c r="N927" s="41"/>
    </row>
    <row r="928" ht="12.75" customHeight="1">
      <c r="C928" s="35"/>
      <c r="D928" s="36"/>
      <c r="E928" s="35"/>
      <c r="F928" s="37"/>
      <c r="G928" s="38"/>
      <c r="H928" s="36"/>
      <c r="I928" s="39"/>
      <c r="J928" s="40"/>
      <c r="K928" s="39"/>
      <c r="L928" s="40"/>
      <c r="M928" s="39"/>
      <c r="N928" s="41"/>
    </row>
    <row r="929" ht="12.75" customHeight="1">
      <c r="C929" s="35"/>
      <c r="D929" s="36"/>
      <c r="E929" s="35"/>
      <c r="F929" s="37"/>
      <c r="G929" s="38"/>
      <c r="H929" s="36"/>
      <c r="I929" s="39"/>
      <c r="J929" s="40"/>
      <c r="K929" s="39"/>
      <c r="L929" s="40"/>
      <c r="M929" s="39"/>
      <c r="N929" s="41"/>
    </row>
    <row r="930" ht="12.75" customHeight="1">
      <c r="C930" s="35"/>
      <c r="D930" s="36"/>
      <c r="E930" s="35"/>
      <c r="F930" s="37"/>
      <c r="G930" s="38"/>
      <c r="H930" s="36"/>
      <c r="I930" s="39"/>
      <c r="J930" s="40"/>
      <c r="K930" s="39"/>
      <c r="L930" s="40"/>
      <c r="M930" s="39"/>
      <c r="N930" s="41"/>
    </row>
    <row r="931" ht="12.75" customHeight="1">
      <c r="C931" s="35"/>
      <c r="D931" s="36"/>
      <c r="E931" s="35"/>
      <c r="F931" s="37"/>
      <c r="G931" s="38"/>
      <c r="H931" s="36"/>
      <c r="I931" s="39"/>
      <c r="J931" s="40"/>
      <c r="K931" s="39"/>
      <c r="L931" s="40"/>
      <c r="M931" s="39"/>
      <c r="N931" s="41"/>
    </row>
    <row r="932" ht="12.75" customHeight="1">
      <c r="C932" s="35"/>
      <c r="D932" s="36"/>
      <c r="E932" s="35"/>
      <c r="F932" s="37"/>
      <c r="G932" s="38"/>
      <c r="H932" s="36"/>
      <c r="I932" s="39"/>
      <c r="J932" s="40"/>
      <c r="K932" s="39"/>
      <c r="L932" s="40"/>
      <c r="M932" s="39"/>
      <c r="N932" s="41"/>
    </row>
    <row r="933" ht="12.75" customHeight="1">
      <c r="C933" s="35"/>
      <c r="D933" s="36"/>
      <c r="E933" s="35"/>
      <c r="F933" s="37"/>
      <c r="G933" s="38"/>
      <c r="H933" s="36"/>
      <c r="I933" s="39"/>
      <c r="J933" s="40"/>
      <c r="K933" s="39"/>
      <c r="L933" s="40"/>
      <c r="M933" s="39"/>
      <c r="N933" s="41"/>
    </row>
    <row r="934" ht="12.75" customHeight="1">
      <c r="C934" s="35"/>
      <c r="D934" s="36"/>
      <c r="E934" s="35"/>
      <c r="F934" s="37"/>
      <c r="G934" s="38"/>
      <c r="H934" s="36"/>
      <c r="I934" s="39"/>
      <c r="J934" s="40"/>
      <c r="K934" s="39"/>
      <c r="L934" s="40"/>
      <c r="M934" s="39"/>
      <c r="N934" s="41"/>
    </row>
    <row r="935" ht="12.75" customHeight="1">
      <c r="C935" s="35"/>
      <c r="D935" s="36"/>
      <c r="E935" s="35"/>
      <c r="F935" s="37"/>
      <c r="G935" s="38"/>
      <c r="H935" s="36"/>
      <c r="I935" s="39"/>
      <c r="J935" s="40"/>
      <c r="K935" s="39"/>
      <c r="L935" s="40"/>
      <c r="M935" s="39"/>
      <c r="N935" s="41"/>
    </row>
    <row r="936" ht="12.75" customHeight="1">
      <c r="C936" s="35"/>
      <c r="D936" s="36"/>
      <c r="E936" s="35"/>
      <c r="F936" s="37"/>
      <c r="G936" s="38"/>
      <c r="H936" s="36"/>
      <c r="I936" s="39"/>
      <c r="J936" s="40"/>
      <c r="K936" s="39"/>
      <c r="L936" s="40"/>
      <c r="M936" s="39"/>
      <c r="N936" s="41"/>
    </row>
    <row r="937" ht="12.75" customHeight="1">
      <c r="C937" s="35"/>
      <c r="D937" s="36"/>
      <c r="E937" s="35"/>
      <c r="F937" s="37"/>
      <c r="G937" s="38"/>
      <c r="H937" s="36"/>
      <c r="I937" s="39"/>
      <c r="J937" s="40"/>
      <c r="K937" s="39"/>
      <c r="L937" s="40"/>
      <c r="M937" s="39"/>
      <c r="N937" s="41"/>
    </row>
    <row r="938" ht="12.75" customHeight="1">
      <c r="C938" s="35"/>
      <c r="D938" s="36"/>
      <c r="E938" s="35"/>
      <c r="F938" s="37"/>
      <c r="G938" s="38"/>
      <c r="H938" s="36"/>
      <c r="I938" s="39"/>
      <c r="J938" s="40"/>
      <c r="K938" s="39"/>
      <c r="L938" s="40"/>
      <c r="M938" s="39"/>
      <c r="N938" s="41"/>
    </row>
    <row r="939" ht="12.75" customHeight="1">
      <c r="C939" s="35"/>
      <c r="D939" s="36"/>
      <c r="E939" s="35"/>
      <c r="F939" s="37"/>
      <c r="G939" s="38"/>
      <c r="H939" s="36"/>
      <c r="I939" s="39"/>
      <c r="J939" s="40"/>
      <c r="K939" s="39"/>
      <c r="L939" s="40"/>
      <c r="M939" s="39"/>
      <c r="N939" s="41"/>
    </row>
    <row r="940" ht="12.75" customHeight="1">
      <c r="C940" s="35"/>
      <c r="D940" s="36"/>
      <c r="E940" s="35"/>
      <c r="F940" s="37"/>
      <c r="G940" s="38"/>
      <c r="H940" s="36"/>
      <c r="I940" s="39"/>
      <c r="J940" s="40"/>
      <c r="K940" s="39"/>
      <c r="L940" s="40"/>
      <c r="M940" s="39"/>
      <c r="N940" s="41"/>
    </row>
    <row r="941" ht="12.75" customHeight="1">
      <c r="C941" s="35"/>
      <c r="D941" s="36"/>
      <c r="E941" s="35"/>
      <c r="F941" s="37"/>
      <c r="G941" s="38"/>
      <c r="H941" s="36"/>
      <c r="I941" s="39"/>
      <c r="J941" s="40"/>
      <c r="K941" s="39"/>
      <c r="L941" s="40"/>
      <c r="M941" s="39"/>
      <c r="N941" s="41"/>
    </row>
    <row r="942" ht="12.75" customHeight="1">
      <c r="C942" s="35"/>
      <c r="D942" s="36"/>
      <c r="E942" s="35"/>
      <c r="F942" s="37"/>
      <c r="G942" s="38"/>
      <c r="H942" s="36"/>
      <c r="I942" s="39"/>
      <c r="J942" s="40"/>
      <c r="K942" s="39"/>
      <c r="L942" s="40"/>
      <c r="M942" s="39"/>
      <c r="N942" s="41"/>
    </row>
    <row r="943" ht="12.75" customHeight="1">
      <c r="C943" s="35"/>
      <c r="D943" s="36"/>
      <c r="E943" s="35"/>
      <c r="F943" s="37"/>
      <c r="G943" s="38"/>
      <c r="H943" s="36"/>
      <c r="I943" s="39"/>
      <c r="J943" s="40"/>
      <c r="K943" s="39"/>
      <c r="L943" s="40"/>
      <c r="M943" s="39"/>
      <c r="N943" s="41"/>
    </row>
    <row r="944" ht="12.75" customHeight="1">
      <c r="C944" s="35"/>
      <c r="D944" s="36"/>
      <c r="E944" s="35"/>
      <c r="F944" s="37"/>
      <c r="G944" s="38"/>
      <c r="H944" s="36"/>
      <c r="I944" s="39"/>
      <c r="J944" s="40"/>
      <c r="K944" s="39"/>
      <c r="L944" s="40"/>
      <c r="M944" s="39"/>
      <c r="N944" s="41"/>
    </row>
    <row r="945" ht="12.75" customHeight="1">
      <c r="C945" s="35"/>
      <c r="D945" s="36"/>
      <c r="E945" s="35"/>
      <c r="F945" s="37"/>
      <c r="G945" s="38"/>
      <c r="H945" s="36"/>
      <c r="I945" s="39"/>
      <c r="J945" s="40"/>
      <c r="K945" s="39"/>
      <c r="L945" s="40"/>
      <c r="M945" s="39"/>
      <c r="N945" s="41"/>
    </row>
    <row r="946" ht="12.75" customHeight="1">
      <c r="C946" s="35"/>
      <c r="D946" s="36"/>
      <c r="E946" s="35"/>
      <c r="F946" s="37"/>
      <c r="G946" s="38"/>
      <c r="H946" s="36"/>
      <c r="I946" s="39"/>
      <c r="J946" s="40"/>
      <c r="K946" s="39"/>
      <c r="L946" s="40"/>
      <c r="M946" s="39"/>
      <c r="N946" s="41"/>
    </row>
    <row r="947" ht="12.75" customHeight="1">
      <c r="C947" s="35"/>
      <c r="D947" s="36"/>
      <c r="E947" s="35"/>
      <c r="F947" s="37"/>
      <c r="G947" s="38"/>
      <c r="H947" s="36"/>
      <c r="I947" s="39"/>
      <c r="J947" s="40"/>
      <c r="K947" s="39"/>
      <c r="L947" s="40"/>
      <c r="M947" s="39"/>
      <c r="N947" s="41"/>
    </row>
    <row r="948" ht="12.75" customHeight="1">
      <c r="C948" s="35"/>
      <c r="D948" s="36"/>
      <c r="E948" s="35"/>
      <c r="F948" s="37"/>
      <c r="G948" s="38"/>
      <c r="H948" s="36"/>
      <c r="I948" s="39"/>
      <c r="J948" s="40"/>
      <c r="K948" s="39"/>
      <c r="L948" s="40"/>
      <c r="M948" s="39"/>
      <c r="N948" s="41"/>
    </row>
    <row r="949" ht="12.75" customHeight="1">
      <c r="C949" s="35"/>
      <c r="D949" s="36"/>
      <c r="E949" s="35"/>
      <c r="F949" s="37"/>
      <c r="G949" s="38"/>
      <c r="H949" s="36"/>
      <c r="I949" s="39"/>
      <c r="J949" s="40"/>
      <c r="K949" s="39"/>
      <c r="L949" s="40"/>
      <c r="M949" s="39"/>
      <c r="N949" s="41"/>
    </row>
    <row r="950" ht="12.75" customHeight="1">
      <c r="C950" s="35"/>
      <c r="D950" s="36"/>
      <c r="E950" s="35"/>
      <c r="F950" s="37"/>
      <c r="G950" s="38"/>
      <c r="H950" s="36"/>
      <c r="I950" s="39"/>
      <c r="J950" s="40"/>
      <c r="K950" s="39"/>
      <c r="L950" s="40"/>
      <c r="M950" s="39"/>
      <c r="N950" s="41"/>
    </row>
    <row r="951" ht="12.75" customHeight="1">
      <c r="C951" s="35"/>
      <c r="D951" s="36"/>
      <c r="E951" s="35"/>
      <c r="F951" s="37"/>
      <c r="G951" s="38"/>
      <c r="H951" s="36"/>
      <c r="I951" s="39"/>
      <c r="J951" s="40"/>
      <c r="K951" s="39"/>
      <c r="L951" s="40"/>
      <c r="M951" s="39"/>
      <c r="N951" s="41"/>
    </row>
    <row r="952" ht="12.75" customHeight="1">
      <c r="C952" s="35"/>
      <c r="D952" s="36"/>
      <c r="E952" s="35"/>
      <c r="F952" s="37"/>
      <c r="G952" s="38"/>
      <c r="H952" s="36"/>
      <c r="I952" s="39"/>
      <c r="J952" s="40"/>
      <c r="K952" s="39"/>
      <c r="L952" s="40"/>
      <c r="M952" s="39"/>
      <c r="N952" s="41"/>
    </row>
    <row r="953" ht="12.75" customHeight="1">
      <c r="C953" s="35"/>
      <c r="D953" s="36"/>
      <c r="E953" s="35"/>
      <c r="F953" s="37"/>
      <c r="G953" s="38"/>
      <c r="H953" s="36"/>
      <c r="I953" s="39"/>
      <c r="J953" s="40"/>
      <c r="K953" s="39"/>
      <c r="L953" s="40"/>
      <c r="M953" s="39"/>
      <c r="N953" s="41"/>
    </row>
    <row r="954" ht="12.75" customHeight="1">
      <c r="C954" s="35"/>
      <c r="D954" s="36"/>
      <c r="E954" s="35"/>
      <c r="F954" s="37"/>
      <c r="G954" s="38"/>
      <c r="H954" s="36"/>
      <c r="I954" s="39"/>
      <c r="J954" s="40"/>
      <c r="K954" s="39"/>
      <c r="L954" s="40"/>
      <c r="M954" s="39"/>
      <c r="N954" s="41"/>
    </row>
    <row r="955" ht="12.75" customHeight="1">
      <c r="C955" s="35"/>
      <c r="D955" s="36"/>
      <c r="E955" s="35"/>
      <c r="F955" s="37"/>
      <c r="G955" s="38"/>
      <c r="H955" s="36"/>
      <c r="I955" s="39"/>
      <c r="J955" s="40"/>
      <c r="K955" s="39"/>
      <c r="L955" s="40"/>
      <c r="M955" s="39"/>
      <c r="N955" s="41"/>
    </row>
    <row r="956" ht="12.75" customHeight="1">
      <c r="C956" s="35"/>
      <c r="D956" s="36"/>
      <c r="E956" s="35"/>
      <c r="F956" s="37"/>
      <c r="G956" s="38"/>
      <c r="H956" s="36"/>
      <c r="I956" s="39"/>
      <c r="J956" s="40"/>
      <c r="K956" s="39"/>
      <c r="L956" s="40"/>
      <c r="M956" s="39"/>
      <c r="N956" s="41"/>
    </row>
    <row r="957" ht="12.75" customHeight="1">
      <c r="C957" s="35"/>
      <c r="D957" s="36"/>
      <c r="E957" s="35"/>
      <c r="F957" s="37"/>
      <c r="G957" s="38"/>
      <c r="H957" s="36"/>
      <c r="I957" s="39"/>
      <c r="J957" s="40"/>
      <c r="K957" s="39"/>
      <c r="L957" s="40"/>
      <c r="M957" s="39"/>
      <c r="N957" s="41"/>
    </row>
    <row r="958" ht="12.75" customHeight="1">
      <c r="C958" s="35"/>
      <c r="D958" s="36"/>
      <c r="E958" s="35"/>
      <c r="F958" s="37"/>
      <c r="G958" s="38"/>
      <c r="H958" s="36"/>
      <c r="I958" s="39"/>
      <c r="J958" s="40"/>
      <c r="K958" s="39"/>
      <c r="L958" s="40"/>
      <c r="M958" s="39"/>
      <c r="N958" s="41"/>
    </row>
    <row r="959" ht="12.75" customHeight="1">
      <c r="C959" s="35"/>
      <c r="D959" s="36"/>
      <c r="E959" s="35"/>
      <c r="F959" s="37"/>
      <c r="G959" s="38"/>
      <c r="H959" s="36"/>
      <c r="I959" s="39"/>
      <c r="J959" s="40"/>
      <c r="K959" s="39"/>
      <c r="L959" s="40"/>
      <c r="M959" s="39"/>
      <c r="N959" s="41"/>
    </row>
    <row r="960" ht="12.75" customHeight="1">
      <c r="C960" s="35"/>
      <c r="D960" s="36"/>
      <c r="E960" s="35"/>
      <c r="F960" s="37"/>
      <c r="G960" s="38"/>
      <c r="H960" s="36"/>
      <c r="I960" s="39"/>
      <c r="J960" s="40"/>
      <c r="K960" s="39"/>
      <c r="L960" s="40"/>
      <c r="M960" s="39"/>
      <c r="N960" s="41"/>
    </row>
    <row r="961" ht="12.75" customHeight="1">
      <c r="C961" s="35"/>
      <c r="D961" s="36"/>
      <c r="E961" s="35"/>
      <c r="F961" s="37"/>
      <c r="G961" s="38"/>
      <c r="H961" s="36"/>
      <c r="I961" s="39"/>
      <c r="J961" s="40"/>
      <c r="K961" s="39"/>
      <c r="L961" s="40"/>
      <c r="M961" s="39"/>
      <c r="N961" s="41"/>
    </row>
    <row r="962" ht="12.75" customHeight="1">
      <c r="C962" s="35"/>
      <c r="D962" s="36"/>
      <c r="E962" s="35"/>
      <c r="F962" s="37"/>
      <c r="G962" s="38"/>
      <c r="H962" s="36"/>
      <c r="I962" s="39"/>
      <c r="J962" s="40"/>
      <c r="K962" s="39"/>
      <c r="L962" s="40"/>
      <c r="M962" s="39"/>
      <c r="N962" s="41"/>
    </row>
    <row r="963" ht="12.75" customHeight="1">
      <c r="C963" s="35"/>
      <c r="D963" s="36"/>
      <c r="E963" s="35"/>
      <c r="F963" s="37"/>
      <c r="G963" s="38"/>
      <c r="H963" s="36"/>
      <c r="I963" s="39"/>
      <c r="J963" s="40"/>
      <c r="K963" s="39"/>
      <c r="L963" s="40"/>
      <c r="M963" s="39"/>
      <c r="N963" s="41"/>
    </row>
    <row r="964" ht="12.75" customHeight="1">
      <c r="C964" s="35"/>
      <c r="D964" s="36"/>
      <c r="E964" s="35"/>
      <c r="F964" s="37"/>
      <c r="G964" s="38"/>
      <c r="H964" s="36"/>
      <c r="I964" s="39"/>
      <c r="J964" s="40"/>
      <c r="K964" s="39"/>
      <c r="L964" s="40"/>
      <c r="M964" s="39"/>
      <c r="N964" s="41"/>
    </row>
    <row r="965" ht="12.75" customHeight="1">
      <c r="C965" s="35"/>
      <c r="D965" s="36"/>
      <c r="E965" s="35"/>
      <c r="F965" s="37"/>
      <c r="G965" s="38"/>
      <c r="H965" s="36"/>
      <c r="I965" s="39"/>
      <c r="J965" s="40"/>
      <c r="K965" s="39"/>
      <c r="L965" s="40"/>
      <c r="M965" s="39"/>
      <c r="N965" s="41"/>
    </row>
    <row r="966" ht="12.75" customHeight="1">
      <c r="C966" s="35"/>
      <c r="D966" s="36"/>
      <c r="E966" s="35"/>
      <c r="F966" s="37"/>
      <c r="G966" s="38"/>
      <c r="H966" s="36"/>
      <c r="I966" s="39"/>
      <c r="J966" s="40"/>
      <c r="K966" s="39"/>
      <c r="L966" s="40"/>
      <c r="M966" s="39"/>
      <c r="N966" s="41"/>
    </row>
    <row r="967" ht="12.75" customHeight="1">
      <c r="C967" s="35"/>
      <c r="D967" s="36"/>
      <c r="E967" s="35"/>
      <c r="F967" s="37"/>
      <c r="G967" s="38"/>
      <c r="H967" s="36"/>
      <c r="I967" s="39"/>
      <c r="J967" s="40"/>
      <c r="K967" s="39"/>
      <c r="L967" s="40"/>
      <c r="M967" s="39"/>
      <c r="N967" s="41"/>
    </row>
    <row r="968" ht="12.75" customHeight="1">
      <c r="C968" s="35"/>
      <c r="D968" s="36"/>
      <c r="E968" s="35"/>
      <c r="F968" s="37"/>
      <c r="G968" s="38"/>
      <c r="H968" s="36"/>
      <c r="I968" s="39"/>
      <c r="J968" s="40"/>
      <c r="K968" s="39"/>
      <c r="L968" s="40"/>
      <c r="M968" s="39"/>
      <c r="N968" s="41"/>
    </row>
    <row r="969" ht="12.75" customHeight="1">
      <c r="C969" s="35"/>
      <c r="D969" s="36"/>
      <c r="E969" s="35"/>
      <c r="F969" s="37"/>
      <c r="G969" s="38"/>
      <c r="H969" s="36"/>
      <c r="I969" s="39"/>
      <c r="J969" s="40"/>
      <c r="K969" s="39"/>
      <c r="L969" s="40"/>
      <c r="M969" s="39"/>
      <c r="N969" s="41"/>
    </row>
    <row r="970" ht="12.75" customHeight="1">
      <c r="C970" s="35"/>
      <c r="D970" s="36"/>
      <c r="E970" s="35"/>
      <c r="F970" s="37"/>
      <c r="G970" s="38"/>
      <c r="H970" s="36"/>
      <c r="I970" s="39"/>
      <c r="J970" s="40"/>
      <c r="K970" s="39"/>
      <c r="L970" s="40"/>
      <c r="M970" s="39"/>
      <c r="N970" s="41"/>
    </row>
    <row r="971" ht="12.75" customHeight="1">
      <c r="C971" s="35"/>
      <c r="D971" s="36"/>
      <c r="E971" s="35"/>
      <c r="F971" s="37"/>
      <c r="G971" s="38"/>
      <c r="H971" s="36"/>
      <c r="I971" s="39"/>
      <c r="J971" s="40"/>
      <c r="K971" s="39"/>
      <c r="L971" s="40"/>
      <c r="M971" s="39"/>
      <c r="N971" s="41"/>
    </row>
    <row r="972" ht="12.75" customHeight="1">
      <c r="C972" s="35"/>
      <c r="D972" s="36"/>
      <c r="E972" s="35"/>
      <c r="F972" s="37"/>
      <c r="G972" s="38"/>
      <c r="H972" s="36"/>
      <c r="I972" s="39"/>
      <c r="J972" s="40"/>
      <c r="K972" s="39"/>
      <c r="L972" s="40"/>
      <c r="M972" s="39"/>
      <c r="N972" s="41"/>
    </row>
    <row r="973" ht="12.75" customHeight="1">
      <c r="C973" s="35"/>
      <c r="D973" s="36"/>
      <c r="E973" s="35"/>
      <c r="F973" s="37"/>
      <c r="G973" s="38"/>
      <c r="H973" s="36"/>
      <c r="I973" s="39"/>
      <c r="J973" s="40"/>
      <c r="K973" s="39"/>
      <c r="L973" s="40"/>
      <c r="M973" s="39"/>
      <c r="N973" s="41"/>
    </row>
    <row r="974" ht="12.75" customHeight="1">
      <c r="C974" s="35"/>
      <c r="D974" s="36"/>
      <c r="E974" s="35"/>
      <c r="F974" s="37"/>
      <c r="G974" s="38"/>
      <c r="H974" s="36"/>
      <c r="I974" s="39"/>
      <c r="J974" s="40"/>
      <c r="K974" s="39"/>
      <c r="L974" s="40"/>
      <c r="M974" s="39"/>
      <c r="N974" s="41"/>
    </row>
    <row r="975" ht="12.75" customHeight="1">
      <c r="C975" s="35"/>
      <c r="D975" s="36"/>
      <c r="E975" s="35"/>
      <c r="F975" s="37"/>
      <c r="G975" s="38"/>
      <c r="H975" s="36"/>
      <c r="I975" s="39"/>
      <c r="J975" s="40"/>
      <c r="K975" s="39"/>
      <c r="L975" s="40"/>
      <c r="M975" s="39"/>
      <c r="N975" s="41"/>
    </row>
    <row r="976" ht="12.75" customHeight="1">
      <c r="C976" s="35"/>
      <c r="D976" s="36"/>
      <c r="E976" s="35"/>
      <c r="F976" s="37"/>
      <c r="G976" s="38"/>
      <c r="H976" s="36"/>
      <c r="I976" s="39"/>
      <c r="J976" s="40"/>
      <c r="K976" s="39"/>
      <c r="L976" s="40"/>
      <c r="M976" s="39"/>
      <c r="N976" s="41"/>
    </row>
    <row r="977" ht="12.75" customHeight="1">
      <c r="C977" s="35"/>
      <c r="D977" s="36"/>
      <c r="E977" s="35"/>
      <c r="F977" s="37"/>
      <c r="G977" s="38"/>
      <c r="H977" s="36"/>
      <c r="I977" s="39"/>
      <c r="J977" s="40"/>
      <c r="K977" s="39"/>
      <c r="L977" s="40"/>
      <c r="M977" s="39"/>
      <c r="N977" s="41"/>
    </row>
    <row r="978" ht="12.75" customHeight="1">
      <c r="C978" s="35"/>
      <c r="D978" s="36"/>
      <c r="E978" s="35"/>
      <c r="F978" s="37"/>
      <c r="G978" s="38"/>
      <c r="H978" s="36"/>
      <c r="I978" s="39"/>
      <c r="J978" s="40"/>
      <c r="K978" s="39"/>
      <c r="L978" s="40"/>
      <c r="M978" s="39"/>
      <c r="N978" s="41"/>
    </row>
    <row r="979" ht="12.75" customHeight="1">
      <c r="C979" s="35"/>
      <c r="D979" s="36"/>
      <c r="E979" s="35"/>
      <c r="F979" s="37"/>
      <c r="G979" s="38"/>
      <c r="H979" s="36"/>
      <c r="I979" s="39"/>
      <c r="J979" s="40"/>
      <c r="K979" s="39"/>
      <c r="L979" s="40"/>
      <c r="M979" s="39"/>
      <c r="N979" s="41"/>
    </row>
    <row r="980" ht="12.75" customHeight="1">
      <c r="C980" s="35"/>
      <c r="D980" s="36"/>
      <c r="E980" s="35"/>
      <c r="F980" s="37"/>
      <c r="G980" s="38"/>
      <c r="H980" s="36"/>
      <c r="I980" s="39"/>
      <c r="J980" s="40"/>
      <c r="K980" s="39"/>
      <c r="L980" s="40"/>
      <c r="M980" s="39"/>
      <c r="N980" s="41"/>
    </row>
    <row r="981" ht="12.75" customHeight="1">
      <c r="C981" s="35"/>
      <c r="D981" s="36"/>
      <c r="E981" s="35"/>
      <c r="F981" s="37"/>
      <c r="G981" s="38"/>
      <c r="H981" s="36"/>
      <c r="I981" s="39"/>
      <c r="J981" s="40"/>
      <c r="K981" s="39"/>
      <c r="L981" s="40"/>
      <c r="M981" s="39"/>
      <c r="N981" s="41"/>
    </row>
    <row r="982" ht="12.75" customHeight="1">
      <c r="C982" s="35"/>
      <c r="D982" s="36"/>
      <c r="E982" s="35"/>
      <c r="F982" s="37"/>
      <c r="G982" s="38"/>
      <c r="H982" s="36"/>
      <c r="I982" s="39"/>
      <c r="J982" s="40"/>
      <c r="K982" s="39"/>
      <c r="L982" s="40"/>
      <c r="M982" s="39"/>
      <c r="N982" s="41"/>
    </row>
    <row r="983" ht="12.75" customHeight="1">
      <c r="C983" s="35"/>
      <c r="D983" s="36"/>
      <c r="E983" s="35"/>
      <c r="F983" s="37"/>
      <c r="G983" s="38"/>
      <c r="H983" s="36"/>
      <c r="I983" s="39"/>
      <c r="J983" s="40"/>
      <c r="K983" s="39"/>
      <c r="L983" s="40"/>
      <c r="M983" s="39"/>
      <c r="N983" s="41"/>
    </row>
    <row r="984" ht="12.75" customHeight="1">
      <c r="C984" s="35"/>
      <c r="D984" s="36"/>
      <c r="E984" s="35"/>
      <c r="F984" s="37"/>
      <c r="G984" s="38"/>
      <c r="H984" s="36"/>
      <c r="I984" s="39"/>
      <c r="J984" s="40"/>
      <c r="K984" s="39"/>
      <c r="L984" s="40"/>
      <c r="M984" s="39"/>
      <c r="N984" s="41"/>
    </row>
    <row r="985" ht="12.75" customHeight="1">
      <c r="C985" s="35"/>
      <c r="D985" s="36"/>
      <c r="E985" s="35"/>
      <c r="F985" s="37"/>
      <c r="G985" s="38"/>
      <c r="H985" s="36"/>
      <c r="I985" s="39"/>
      <c r="J985" s="40"/>
      <c r="K985" s="39"/>
      <c r="L985" s="40"/>
      <c r="M985" s="39"/>
      <c r="N985" s="41"/>
    </row>
    <row r="986" ht="12.75" customHeight="1">
      <c r="C986" s="35"/>
      <c r="D986" s="36"/>
      <c r="E986" s="35"/>
      <c r="F986" s="37"/>
      <c r="G986" s="38"/>
      <c r="H986" s="36"/>
      <c r="I986" s="39"/>
      <c r="J986" s="40"/>
      <c r="K986" s="39"/>
      <c r="L986" s="40"/>
      <c r="M986" s="39"/>
      <c r="N986" s="41"/>
    </row>
    <row r="987" ht="12.75" customHeight="1">
      <c r="C987" s="35"/>
      <c r="D987" s="36"/>
      <c r="E987" s="35"/>
      <c r="F987" s="37"/>
      <c r="G987" s="38"/>
      <c r="H987" s="36"/>
      <c r="I987" s="39"/>
      <c r="J987" s="40"/>
      <c r="K987" s="39"/>
      <c r="L987" s="40"/>
      <c r="M987" s="39"/>
      <c r="N987" s="41"/>
    </row>
    <row r="988" ht="12.75" customHeight="1">
      <c r="C988" s="35"/>
      <c r="D988" s="36"/>
      <c r="E988" s="35"/>
      <c r="F988" s="37"/>
      <c r="G988" s="38"/>
      <c r="H988" s="36"/>
      <c r="I988" s="39"/>
      <c r="J988" s="40"/>
      <c r="K988" s="39"/>
      <c r="L988" s="40"/>
      <c r="M988" s="39"/>
      <c r="N988" s="41"/>
    </row>
    <row r="989" ht="12.75" customHeight="1">
      <c r="C989" s="35"/>
      <c r="D989" s="36"/>
      <c r="E989" s="35"/>
      <c r="F989" s="37"/>
      <c r="G989" s="38"/>
      <c r="H989" s="36"/>
      <c r="I989" s="39"/>
      <c r="J989" s="40"/>
      <c r="K989" s="39"/>
      <c r="L989" s="40"/>
      <c r="M989" s="39"/>
      <c r="N989" s="41"/>
    </row>
    <row r="990" ht="12.75" customHeight="1">
      <c r="C990" s="35"/>
      <c r="D990" s="36"/>
      <c r="E990" s="35"/>
      <c r="F990" s="37"/>
      <c r="G990" s="38"/>
      <c r="H990" s="36"/>
      <c r="I990" s="39"/>
      <c r="J990" s="40"/>
      <c r="K990" s="39"/>
      <c r="L990" s="40"/>
      <c r="M990" s="39"/>
      <c r="N990" s="41"/>
    </row>
    <row r="991" ht="12.75" customHeight="1">
      <c r="C991" s="35"/>
      <c r="D991" s="36"/>
      <c r="E991" s="35"/>
      <c r="F991" s="37"/>
      <c r="G991" s="38"/>
      <c r="H991" s="36"/>
      <c r="I991" s="39"/>
      <c r="J991" s="40"/>
      <c r="K991" s="39"/>
      <c r="L991" s="40"/>
      <c r="M991" s="39"/>
      <c r="N991" s="41"/>
    </row>
    <row r="992" ht="12.75" customHeight="1">
      <c r="C992" s="35"/>
      <c r="D992" s="36"/>
      <c r="E992" s="35"/>
      <c r="F992" s="37"/>
      <c r="G992" s="38"/>
      <c r="H992" s="36"/>
      <c r="I992" s="39"/>
      <c r="J992" s="40"/>
      <c r="K992" s="39"/>
      <c r="L992" s="40"/>
      <c r="M992" s="39"/>
      <c r="N992" s="41"/>
    </row>
    <row r="993" ht="12.75" customHeight="1">
      <c r="C993" s="35"/>
      <c r="D993" s="36"/>
      <c r="E993" s="35"/>
      <c r="F993" s="37"/>
      <c r="G993" s="38"/>
      <c r="H993" s="36"/>
      <c r="I993" s="39"/>
      <c r="J993" s="40"/>
      <c r="K993" s="39"/>
      <c r="L993" s="40"/>
      <c r="M993" s="39"/>
      <c r="N993" s="41"/>
    </row>
    <row r="994" ht="12.75" customHeight="1">
      <c r="C994" s="35"/>
      <c r="D994" s="36"/>
      <c r="E994" s="35"/>
      <c r="F994" s="37"/>
      <c r="G994" s="38"/>
      <c r="H994" s="36"/>
      <c r="I994" s="39"/>
      <c r="J994" s="40"/>
      <c r="K994" s="39"/>
      <c r="L994" s="40"/>
      <c r="M994" s="39"/>
      <c r="N994" s="41"/>
    </row>
    <row r="995" ht="12.75" customHeight="1">
      <c r="C995" s="35"/>
      <c r="D995" s="36"/>
      <c r="E995" s="35"/>
      <c r="F995" s="37"/>
      <c r="G995" s="38"/>
      <c r="H995" s="36"/>
      <c r="I995" s="39"/>
      <c r="J995" s="40"/>
      <c r="K995" s="39"/>
      <c r="L995" s="40"/>
      <c r="M995" s="39"/>
      <c r="N995" s="41"/>
    </row>
    <row r="996" ht="12.75" customHeight="1">
      <c r="C996" s="35"/>
      <c r="D996" s="36"/>
      <c r="E996" s="35"/>
      <c r="F996" s="37"/>
      <c r="G996" s="38"/>
      <c r="H996" s="36"/>
      <c r="I996" s="39"/>
      <c r="J996" s="40"/>
      <c r="K996" s="39"/>
      <c r="L996" s="40"/>
      <c r="M996" s="39"/>
      <c r="N996" s="41"/>
    </row>
    <row r="997" ht="12.75" customHeight="1">
      <c r="C997" s="35"/>
      <c r="D997" s="36"/>
      <c r="E997" s="35"/>
      <c r="F997" s="37"/>
      <c r="G997" s="38"/>
      <c r="H997" s="36"/>
      <c r="I997" s="39"/>
      <c r="J997" s="40"/>
      <c r="K997" s="39"/>
      <c r="L997" s="40"/>
      <c r="M997" s="39"/>
      <c r="N997" s="41"/>
    </row>
    <row r="998" ht="12.75" customHeight="1">
      <c r="C998" s="35"/>
      <c r="D998" s="36"/>
      <c r="E998" s="35"/>
      <c r="F998" s="37"/>
      <c r="G998" s="38"/>
      <c r="H998" s="36"/>
      <c r="I998" s="39"/>
      <c r="J998" s="40"/>
      <c r="K998" s="39"/>
      <c r="L998" s="40"/>
      <c r="M998" s="39"/>
      <c r="N998" s="41"/>
    </row>
    <row r="999" ht="12.75" customHeight="1">
      <c r="C999" s="35"/>
      <c r="D999" s="36"/>
      <c r="E999" s="35"/>
      <c r="F999" s="37"/>
      <c r="G999" s="38"/>
      <c r="H999" s="36"/>
      <c r="I999" s="39"/>
      <c r="J999" s="40"/>
      <c r="K999" s="39"/>
      <c r="L999" s="40"/>
      <c r="M999" s="39"/>
      <c r="N999" s="41"/>
    </row>
    <row r="1000" ht="12.75" customHeight="1">
      <c r="C1000" s="35"/>
      <c r="D1000" s="36"/>
      <c r="E1000" s="35"/>
      <c r="F1000" s="37"/>
      <c r="G1000" s="38"/>
      <c r="H1000" s="36"/>
      <c r="I1000" s="39"/>
      <c r="J1000" s="40"/>
      <c r="K1000" s="39"/>
      <c r="L1000" s="40"/>
      <c r="M1000" s="39"/>
      <c r="N1000" s="41"/>
    </row>
  </sheetData>
  <mergeCells count="8">
    <mergeCell ref="A1:B3"/>
    <mergeCell ref="C1:H3"/>
    <mergeCell ref="I1:M1"/>
    <mergeCell ref="J2:N2"/>
    <mergeCell ref="I3:N4"/>
    <mergeCell ref="A4:A5"/>
    <mergeCell ref="B4:B5"/>
    <mergeCell ref="C4:H4"/>
  </mergeCells>
  <printOptions/>
  <pageMargins bottom="0.75" footer="0.0" header="0.0" left="0.7" right="0.7" top="0.75"/>
  <pageSetup orientation="landscape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9.13"/>
    <col customWidth="1" min="2" max="2" width="11.63"/>
    <col customWidth="1" min="3" max="3" width="8.75"/>
    <col customWidth="1" min="4" max="4" width="12.13"/>
    <col customWidth="1" min="5" max="5" width="23.75"/>
    <col customWidth="1" min="6" max="6" width="10.38"/>
    <col customWidth="1" min="7" max="7" width="9.13"/>
    <col customWidth="1" min="8" max="8" width="14.0"/>
    <col customWidth="1" min="9" max="9" width="9.63"/>
    <col customWidth="1" min="10" max="11" width="9.13"/>
    <col customWidth="1" min="12" max="12" width="11.88"/>
    <col customWidth="1" min="13" max="26" width="8.63"/>
  </cols>
  <sheetData>
    <row r="1">
      <c r="A1" s="54"/>
      <c r="B1" s="55" t="s">
        <v>362</v>
      </c>
      <c r="C1" s="4"/>
      <c r="D1" s="4"/>
      <c r="E1" s="4"/>
      <c r="F1" s="2"/>
      <c r="G1" s="54"/>
      <c r="H1" s="56" t="s">
        <v>363</v>
      </c>
      <c r="I1" s="57"/>
      <c r="J1" s="57"/>
      <c r="K1" s="58"/>
      <c r="L1" s="59"/>
    </row>
    <row r="2">
      <c r="A2" s="54"/>
      <c r="B2" s="10"/>
      <c r="F2" s="11"/>
      <c r="G2" s="54"/>
      <c r="H2" s="60" t="s">
        <v>364</v>
      </c>
      <c r="I2" s="61" t="s">
        <v>365</v>
      </c>
      <c r="J2" s="7"/>
      <c r="K2" s="62"/>
      <c r="L2" s="59"/>
    </row>
    <row r="3">
      <c r="A3" s="54"/>
      <c r="B3" s="10"/>
      <c r="F3" s="11"/>
      <c r="G3" s="54"/>
      <c r="H3" s="63"/>
      <c r="I3" s="64" t="s">
        <v>366</v>
      </c>
      <c r="J3" s="65" t="s">
        <v>367</v>
      </c>
      <c r="K3" s="66" t="s">
        <v>368</v>
      </c>
      <c r="L3" s="59"/>
    </row>
    <row r="4">
      <c r="A4" s="54"/>
      <c r="B4" s="10"/>
      <c r="F4" s="11"/>
      <c r="G4" s="54"/>
      <c r="H4" s="67" t="s">
        <v>369</v>
      </c>
      <c r="I4" s="68">
        <f t="shared" ref="I4:I20" si="1">K4*$L$6</f>
        <v>926.25</v>
      </c>
      <c r="J4" s="69">
        <f t="shared" ref="J4:J20" si="2">K4*$L$5</f>
        <v>748.125</v>
      </c>
      <c r="K4" s="70">
        <v>570.0</v>
      </c>
      <c r="L4" s="59"/>
    </row>
    <row r="5">
      <c r="A5" s="54"/>
      <c r="B5" s="10"/>
      <c r="F5" s="11"/>
      <c r="G5" s="54"/>
      <c r="H5" s="71" t="s">
        <v>370</v>
      </c>
      <c r="I5" s="72">
        <f t="shared" si="1"/>
        <v>650</v>
      </c>
      <c r="J5" s="73">
        <f t="shared" si="2"/>
        <v>525</v>
      </c>
      <c r="K5" s="74">
        <v>400.0</v>
      </c>
      <c r="L5" s="75">
        <f>525/K5</f>
        <v>1.3125</v>
      </c>
    </row>
    <row r="6">
      <c r="A6" s="54"/>
      <c r="B6" s="10"/>
      <c r="F6" s="11"/>
      <c r="G6" s="54"/>
      <c r="H6" s="71" t="s">
        <v>371</v>
      </c>
      <c r="I6" s="72">
        <f t="shared" si="1"/>
        <v>650</v>
      </c>
      <c r="J6" s="73">
        <f t="shared" si="2"/>
        <v>525</v>
      </c>
      <c r="K6" s="74">
        <v>400.0</v>
      </c>
      <c r="L6" s="76">
        <f>650/K7</f>
        <v>1.625</v>
      </c>
    </row>
    <row r="7">
      <c r="A7" s="54"/>
      <c r="B7" s="77"/>
      <c r="C7" s="78"/>
      <c r="D7" s="78"/>
      <c r="E7" s="78"/>
      <c r="F7" s="79"/>
      <c r="G7" s="54"/>
      <c r="H7" s="71" t="s">
        <v>372</v>
      </c>
      <c r="I7" s="72">
        <f t="shared" si="1"/>
        <v>650</v>
      </c>
      <c r="J7" s="73">
        <f t="shared" si="2"/>
        <v>525</v>
      </c>
      <c r="K7" s="74">
        <v>400.0</v>
      </c>
      <c r="L7" s="59"/>
    </row>
    <row r="8">
      <c r="A8" s="54"/>
      <c r="B8" s="54"/>
      <c r="C8" s="54"/>
      <c r="D8" s="80"/>
      <c r="E8" s="54"/>
      <c r="F8" s="54"/>
      <c r="G8" s="54"/>
      <c r="H8" s="71" t="s">
        <v>373</v>
      </c>
      <c r="I8" s="72">
        <f t="shared" si="1"/>
        <v>747.5</v>
      </c>
      <c r="J8" s="73">
        <f t="shared" si="2"/>
        <v>603.75</v>
      </c>
      <c r="K8" s="74">
        <v>460.0</v>
      </c>
      <c r="L8" s="59"/>
    </row>
    <row r="9">
      <c r="A9" s="54"/>
      <c r="B9" s="54"/>
      <c r="C9" s="54"/>
      <c r="D9" s="81" t="s">
        <v>374</v>
      </c>
      <c r="E9" s="54"/>
      <c r="F9" s="54"/>
      <c r="G9" s="54"/>
      <c r="H9" s="71" t="s">
        <v>375</v>
      </c>
      <c r="I9" s="72">
        <f t="shared" si="1"/>
        <v>763.75</v>
      </c>
      <c r="J9" s="73">
        <f t="shared" si="2"/>
        <v>616.875</v>
      </c>
      <c r="K9" s="74">
        <v>470.0</v>
      </c>
      <c r="L9" s="59"/>
    </row>
    <row r="10">
      <c r="A10" s="54"/>
      <c r="B10" s="82" t="s">
        <v>376</v>
      </c>
      <c r="C10" s="83"/>
      <c r="D10" s="84" t="s">
        <v>370</v>
      </c>
      <c r="E10" s="85" t="s">
        <v>377</v>
      </c>
      <c r="F10" s="86" t="s">
        <v>378</v>
      </c>
      <c r="G10" s="54"/>
      <c r="H10" s="71" t="s">
        <v>379</v>
      </c>
      <c r="I10" s="72">
        <f t="shared" si="1"/>
        <v>576.875</v>
      </c>
      <c r="J10" s="73">
        <f t="shared" si="2"/>
        <v>465.9375</v>
      </c>
      <c r="K10" s="74">
        <v>355.0</v>
      </c>
      <c r="L10" s="59"/>
    </row>
    <row r="11">
      <c r="A11" s="54"/>
      <c r="B11" s="87" t="s">
        <v>365</v>
      </c>
      <c r="C11" s="87" t="s">
        <v>380</v>
      </c>
      <c r="D11" s="88" t="s">
        <v>381</v>
      </c>
      <c r="E11" s="18"/>
      <c r="F11" s="26"/>
      <c r="G11" s="54"/>
      <c r="H11" s="71" t="s">
        <v>382</v>
      </c>
      <c r="I11" s="72">
        <f t="shared" si="1"/>
        <v>593.125</v>
      </c>
      <c r="J11" s="73">
        <f t="shared" si="2"/>
        <v>479.0625</v>
      </c>
      <c r="K11" s="74">
        <v>365.0</v>
      </c>
      <c r="L11" s="59"/>
    </row>
    <row r="12">
      <c r="A12" s="54"/>
      <c r="B12" s="89" t="s">
        <v>366</v>
      </c>
      <c r="C12" s="89">
        <v>1.0</v>
      </c>
      <c r="D12" s="90">
        <f>VLOOKUP($D$10,$H$1:$K$20,2,FALSE)</f>
        <v>650</v>
      </c>
      <c r="E12" s="91">
        <f t="shared" ref="E12:E14" si="3">C12*D12</f>
        <v>650</v>
      </c>
      <c r="F12" s="91">
        <f t="shared" ref="F12:F14" si="4">E12/8</f>
        <v>81.25</v>
      </c>
      <c r="G12" s="54"/>
      <c r="H12" s="71" t="s">
        <v>383</v>
      </c>
      <c r="I12" s="72">
        <f t="shared" si="1"/>
        <v>731.25</v>
      </c>
      <c r="J12" s="73">
        <f t="shared" si="2"/>
        <v>590.625</v>
      </c>
      <c r="K12" s="74">
        <v>450.0</v>
      </c>
      <c r="L12" s="59"/>
    </row>
    <row r="13">
      <c r="A13" s="54"/>
      <c r="B13" s="92" t="s">
        <v>367</v>
      </c>
      <c r="C13" s="92">
        <v>3.0</v>
      </c>
      <c r="D13" s="93">
        <f>VLOOKUP($D$10,$H$1:$K$20,3,FALSE)</f>
        <v>525</v>
      </c>
      <c r="E13" s="91">
        <f t="shared" si="3"/>
        <v>1575</v>
      </c>
      <c r="F13" s="91">
        <f t="shared" si="4"/>
        <v>196.875</v>
      </c>
      <c r="G13" s="54"/>
      <c r="H13" s="71" t="s">
        <v>384</v>
      </c>
      <c r="I13" s="72">
        <f t="shared" si="1"/>
        <v>706.875</v>
      </c>
      <c r="J13" s="73">
        <f t="shared" si="2"/>
        <v>570.9375</v>
      </c>
      <c r="K13" s="74">
        <v>435.0</v>
      </c>
      <c r="L13" s="59"/>
    </row>
    <row r="14">
      <c r="A14" s="54"/>
      <c r="B14" s="94" t="s">
        <v>368</v>
      </c>
      <c r="C14" s="94">
        <v>5.0</v>
      </c>
      <c r="D14" s="95">
        <f>VLOOKUP($D$10,$H$1:$K$20,4,FALSE)</f>
        <v>400</v>
      </c>
      <c r="E14" s="91">
        <f t="shared" si="3"/>
        <v>2000</v>
      </c>
      <c r="F14" s="91">
        <f t="shared" si="4"/>
        <v>250</v>
      </c>
      <c r="G14" s="54"/>
      <c r="H14" s="71" t="s">
        <v>385</v>
      </c>
      <c r="I14" s="72">
        <f t="shared" si="1"/>
        <v>609.375</v>
      </c>
      <c r="J14" s="73">
        <f t="shared" si="2"/>
        <v>492.1875</v>
      </c>
      <c r="K14" s="74">
        <v>375.0</v>
      </c>
      <c r="L14" s="59"/>
    </row>
    <row r="15">
      <c r="A15" s="54"/>
      <c r="B15" s="54"/>
      <c r="C15" s="54"/>
      <c r="D15" s="80"/>
      <c r="E15" s="96" t="s">
        <v>386</v>
      </c>
      <c r="F15" s="97">
        <f>SUM(F12:F14)/SUM(C12:C14)</f>
        <v>58.68055556</v>
      </c>
      <c r="G15" s="54"/>
      <c r="H15" s="71" t="s">
        <v>387</v>
      </c>
      <c r="I15" s="72">
        <f t="shared" si="1"/>
        <v>570.375</v>
      </c>
      <c r="J15" s="73">
        <f t="shared" si="2"/>
        <v>460.6875</v>
      </c>
      <c r="K15" s="74">
        <v>351.0</v>
      </c>
      <c r="L15" s="59"/>
    </row>
    <row r="16">
      <c r="A16" s="54"/>
      <c r="B16" s="54"/>
      <c r="C16" s="54"/>
      <c r="D16" s="80"/>
      <c r="E16" s="54"/>
      <c r="F16" s="54"/>
      <c r="G16" s="54"/>
      <c r="H16" s="71" t="s">
        <v>388</v>
      </c>
      <c r="I16" s="72">
        <f t="shared" si="1"/>
        <v>658.125</v>
      </c>
      <c r="J16" s="73">
        <f t="shared" si="2"/>
        <v>531.5625</v>
      </c>
      <c r="K16" s="74">
        <v>405.0</v>
      </c>
      <c r="L16" s="59"/>
    </row>
    <row r="17">
      <c r="A17" s="54"/>
      <c r="B17" s="98" t="s">
        <v>389</v>
      </c>
      <c r="C17" s="4"/>
      <c r="D17" s="4"/>
      <c r="E17" s="4"/>
      <c r="F17" s="2"/>
      <c r="G17" s="54"/>
      <c r="H17" s="71" t="s">
        <v>390</v>
      </c>
      <c r="I17" s="72">
        <f t="shared" si="1"/>
        <v>719.875</v>
      </c>
      <c r="J17" s="73">
        <f t="shared" si="2"/>
        <v>581.4375</v>
      </c>
      <c r="K17" s="74">
        <v>443.0</v>
      </c>
      <c r="L17" s="59"/>
    </row>
    <row r="18">
      <c r="A18" s="54"/>
      <c r="B18" s="10"/>
      <c r="F18" s="11"/>
      <c r="G18" s="54"/>
      <c r="H18" s="71" t="s">
        <v>391</v>
      </c>
      <c r="I18" s="72">
        <f t="shared" si="1"/>
        <v>598</v>
      </c>
      <c r="J18" s="73">
        <f t="shared" si="2"/>
        <v>483</v>
      </c>
      <c r="K18" s="74">
        <v>368.0</v>
      </c>
      <c r="L18" s="59"/>
    </row>
    <row r="19">
      <c r="A19" s="54"/>
      <c r="B19" s="77"/>
      <c r="C19" s="78"/>
      <c r="D19" s="78"/>
      <c r="E19" s="78"/>
      <c r="F19" s="79"/>
      <c r="G19" s="54"/>
      <c r="H19" s="71" t="s">
        <v>392</v>
      </c>
      <c r="I19" s="72">
        <f t="shared" si="1"/>
        <v>568.75</v>
      </c>
      <c r="J19" s="73">
        <f t="shared" si="2"/>
        <v>459.375</v>
      </c>
      <c r="K19" s="74">
        <v>350.0</v>
      </c>
      <c r="L19" s="59"/>
    </row>
    <row r="20">
      <c r="A20" s="54"/>
      <c r="B20" s="54"/>
      <c r="C20" s="54"/>
      <c r="D20" s="80"/>
      <c r="E20" s="54"/>
      <c r="F20" s="54"/>
      <c r="G20" s="54"/>
      <c r="H20" s="99" t="s">
        <v>393</v>
      </c>
      <c r="I20" s="100">
        <f t="shared" si="1"/>
        <v>554.125</v>
      </c>
      <c r="J20" s="101">
        <f t="shared" si="2"/>
        <v>447.5625</v>
      </c>
      <c r="K20" s="102">
        <v>341.0</v>
      </c>
      <c r="L20" s="59"/>
    </row>
    <row r="21" ht="15.75" customHeight="1">
      <c r="A21" s="54"/>
      <c r="B21" s="54"/>
      <c r="C21" s="54"/>
      <c r="D21" s="80"/>
      <c r="E21" s="54"/>
      <c r="F21" s="54"/>
      <c r="G21" s="54"/>
      <c r="H21" s="54"/>
      <c r="I21" s="80"/>
      <c r="J21" s="80"/>
      <c r="K21" s="80"/>
      <c r="L21" s="59"/>
      <c r="M21" s="54"/>
      <c r="N21" s="54"/>
      <c r="O21" s="54"/>
      <c r="P21" s="54"/>
      <c r="Q21" s="54"/>
      <c r="R21" s="54"/>
      <c r="S21" s="54"/>
      <c r="T21" s="54"/>
      <c r="U21" s="54"/>
      <c r="V21" s="54"/>
      <c r="W21" s="54"/>
      <c r="X21" s="54"/>
      <c r="Y21" s="54"/>
      <c r="Z21" s="54"/>
    </row>
    <row r="22" ht="12.75" hidden="1" customHeight="1">
      <c r="D22" s="38"/>
      <c r="G22" s="54"/>
      <c r="I22" s="38"/>
      <c r="J22" s="38"/>
      <c r="K22" s="38"/>
      <c r="L22" s="59"/>
    </row>
    <row r="23" ht="15.75" customHeight="1">
      <c r="D23" s="38"/>
      <c r="G23" s="54"/>
      <c r="I23" s="38"/>
      <c r="J23" s="38"/>
      <c r="K23" s="38"/>
      <c r="L23" s="59"/>
    </row>
    <row r="24" ht="15.75" customHeight="1">
      <c r="D24" s="38"/>
      <c r="G24" s="54"/>
      <c r="I24" s="38"/>
      <c r="J24" s="38"/>
      <c r="K24" s="38"/>
      <c r="L24" s="59"/>
    </row>
    <row r="25" ht="15.75" customHeight="1">
      <c r="D25" s="38"/>
      <c r="G25" s="54"/>
      <c r="I25" s="38"/>
      <c r="J25" s="38"/>
      <c r="K25" s="38"/>
      <c r="L25" s="59"/>
    </row>
    <row r="26" ht="15.75" customHeight="1">
      <c r="D26" s="38"/>
      <c r="G26" s="54"/>
      <c r="I26" s="38"/>
      <c r="J26" s="38"/>
      <c r="K26" s="38"/>
      <c r="L26" s="59"/>
    </row>
    <row r="27" ht="15.75" customHeight="1">
      <c r="D27" s="38"/>
      <c r="G27" s="54"/>
      <c r="I27" s="38"/>
      <c r="J27" s="38"/>
      <c r="K27" s="38"/>
      <c r="L27" s="59"/>
    </row>
    <row r="28" ht="15.75" customHeight="1">
      <c r="D28" s="38"/>
      <c r="G28" s="54"/>
      <c r="I28" s="38"/>
      <c r="J28" s="38"/>
      <c r="K28" s="38"/>
      <c r="L28" s="59"/>
    </row>
    <row r="29" ht="15.75" customHeight="1">
      <c r="D29" s="38"/>
      <c r="G29" s="54"/>
      <c r="I29" s="38"/>
      <c r="J29" s="38"/>
      <c r="K29" s="38"/>
      <c r="L29" s="59"/>
    </row>
    <row r="30" ht="15.75" customHeight="1">
      <c r="D30" s="38"/>
      <c r="G30" s="54"/>
      <c r="I30" s="38"/>
      <c r="J30" s="38"/>
      <c r="K30" s="38"/>
      <c r="L30" s="59"/>
    </row>
    <row r="31" ht="15.75" customHeight="1">
      <c r="D31" s="38"/>
      <c r="G31" s="54"/>
      <c r="I31" s="38"/>
      <c r="J31" s="38"/>
      <c r="K31" s="38"/>
      <c r="L31" s="59"/>
    </row>
    <row r="32" ht="15.75" customHeight="1">
      <c r="D32" s="38"/>
      <c r="G32" s="54"/>
      <c r="I32" s="38"/>
      <c r="J32" s="38"/>
      <c r="K32" s="38"/>
      <c r="L32" s="59"/>
    </row>
    <row r="33" ht="15.75" customHeight="1">
      <c r="D33" s="38"/>
      <c r="G33" s="54"/>
      <c r="I33" s="38"/>
      <c r="J33" s="38"/>
      <c r="K33" s="38"/>
      <c r="L33" s="59"/>
    </row>
    <row r="34" ht="15.75" customHeight="1">
      <c r="D34" s="38"/>
      <c r="G34" s="54"/>
      <c r="I34" s="38"/>
      <c r="J34" s="38"/>
      <c r="K34" s="38"/>
      <c r="L34" s="59"/>
    </row>
    <row r="35" ht="15.75" customHeight="1">
      <c r="D35" s="38"/>
      <c r="G35" s="54"/>
      <c r="I35" s="38"/>
      <c r="J35" s="38"/>
      <c r="K35" s="38"/>
      <c r="L35" s="59"/>
    </row>
    <row r="36" ht="15.75" customHeight="1">
      <c r="D36" s="38"/>
      <c r="G36" s="54"/>
      <c r="I36" s="38"/>
      <c r="J36" s="38"/>
      <c r="K36" s="38"/>
      <c r="L36" s="59"/>
    </row>
    <row r="37" ht="15.75" customHeight="1">
      <c r="D37" s="38"/>
      <c r="G37" s="54"/>
      <c r="I37" s="38"/>
      <c r="J37" s="38"/>
      <c r="K37" s="38"/>
      <c r="L37" s="59"/>
    </row>
    <row r="38" ht="15.75" customHeight="1">
      <c r="D38" s="38"/>
      <c r="G38" s="54"/>
      <c r="I38" s="38"/>
      <c r="J38" s="38"/>
      <c r="K38" s="38"/>
      <c r="L38" s="59"/>
    </row>
    <row r="39" ht="15.75" customHeight="1">
      <c r="D39" s="38"/>
      <c r="G39" s="54"/>
      <c r="I39" s="38"/>
      <c r="J39" s="38"/>
      <c r="K39" s="38"/>
      <c r="L39" s="59"/>
    </row>
    <row r="40" ht="15.75" customHeight="1">
      <c r="D40" s="38"/>
      <c r="G40" s="54"/>
      <c r="I40" s="38"/>
      <c r="J40" s="38"/>
      <c r="K40" s="38"/>
      <c r="L40" s="59"/>
    </row>
    <row r="41" ht="15.75" customHeight="1">
      <c r="D41" s="38"/>
      <c r="G41" s="54"/>
      <c r="I41" s="38"/>
      <c r="J41" s="38"/>
      <c r="K41" s="38"/>
      <c r="L41" s="59"/>
    </row>
    <row r="42" ht="15.75" customHeight="1">
      <c r="D42" s="38"/>
      <c r="G42" s="54"/>
      <c r="I42" s="38"/>
      <c r="J42" s="38"/>
      <c r="K42" s="38"/>
      <c r="L42" s="59"/>
    </row>
    <row r="43" ht="15.75" customHeight="1">
      <c r="D43" s="38"/>
      <c r="G43" s="54"/>
      <c r="I43" s="38"/>
      <c r="J43" s="38"/>
      <c r="K43" s="38"/>
      <c r="L43" s="59"/>
    </row>
    <row r="44" ht="15.75" customHeight="1">
      <c r="D44" s="38"/>
      <c r="G44" s="54"/>
      <c r="I44" s="38"/>
      <c r="J44" s="38"/>
      <c r="K44" s="38"/>
      <c r="L44" s="59"/>
    </row>
    <row r="45" ht="15.75" customHeight="1">
      <c r="D45" s="38"/>
      <c r="G45" s="54"/>
      <c r="I45" s="38"/>
      <c r="J45" s="38"/>
      <c r="K45" s="38"/>
      <c r="L45" s="59"/>
    </row>
    <row r="46" ht="15.75" customHeight="1">
      <c r="D46" s="38"/>
      <c r="G46" s="54"/>
      <c r="I46" s="38"/>
      <c r="J46" s="38"/>
      <c r="K46" s="38"/>
      <c r="L46" s="59"/>
    </row>
    <row r="47" ht="15.75" customHeight="1">
      <c r="D47" s="38"/>
      <c r="G47" s="54"/>
      <c r="I47" s="38"/>
      <c r="J47" s="38"/>
      <c r="K47" s="38"/>
      <c r="L47" s="59"/>
    </row>
    <row r="48" ht="15.75" customHeight="1">
      <c r="D48" s="38"/>
      <c r="G48" s="54"/>
      <c r="I48" s="38"/>
      <c r="J48" s="38"/>
      <c r="K48" s="38"/>
      <c r="L48" s="59"/>
    </row>
    <row r="49" ht="15.75" customHeight="1">
      <c r="D49" s="38"/>
      <c r="G49" s="54"/>
      <c r="I49" s="38"/>
      <c r="J49" s="38"/>
      <c r="K49" s="38"/>
      <c r="L49" s="59"/>
    </row>
    <row r="50" ht="15.75" customHeight="1">
      <c r="D50" s="38"/>
      <c r="G50" s="54"/>
      <c r="I50" s="38"/>
      <c r="J50" s="38"/>
      <c r="K50" s="38"/>
      <c r="L50" s="59"/>
    </row>
    <row r="51" ht="15.75" customHeight="1">
      <c r="D51" s="38"/>
      <c r="G51" s="54"/>
      <c r="I51" s="38"/>
      <c r="J51" s="38"/>
      <c r="K51" s="38"/>
      <c r="L51" s="59"/>
    </row>
    <row r="52" ht="15.75" customHeight="1">
      <c r="D52" s="38"/>
      <c r="G52" s="54"/>
      <c r="I52" s="38"/>
      <c r="J52" s="38"/>
      <c r="K52" s="38"/>
      <c r="L52" s="59"/>
    </row>
    <row r="53" ht="15.75" customHeight="1">
      <c r="D53" s="38"/>
      <c r="G53" s="54"/>
      <c r="I53" s="38"/>
      <c r="J53" s="38"/>
      <c r="K53" s="38"/>
      <c r="L53" s="59"/>
    </row>
    <row r="54" ht="15.75" customHeight="1">
      <c r="D54" s="38"/>
      <c r="G54" s="54"/>
      <c r="I54" s="38"/>
      <c r="J54" s="38"/>
      <c r="K54" s="38"/>
      <c r="L54" s="59"/>
    </row>
    <row r="55" ht="15.75" customHeight="1">
      <c r="D55" s="38"/>
      <c r="G55" s="54"/>
      <c r="I55" s="38"/>
      <c r="J55" s="38"/>
      <c r="K55" s="38"/>
      <c r="L55" s="59"/>
    </row>
    <row r="56" ht="15.75" customHeight="1">
      <c r="D56" s="38"/>
      <c r="G56" s="54"/>
      <c r="I56" s="38"/>
      <c r="J56" s="38"/>
      <c r="K56" s="38"/>
      <c r="L56" s="59"/>
    </row>
    <row r="57" ht="15.75" customHeight="1">
      <c r="D57" s="38"/>
      <c r="G57" s="54"/>
      <c r="I57" s="38"/>
      <c r="J57" s="38"/>
      <c r="K57" s="38"/>
      <c r="L57" s="59"/>
    </row>
    <row r="58" ht="15.75" customHeight="1">
      <c r="D58" s="38"/>
      <c r="G58" s="54"/>
      <c r="I58" s="38"/>
      <c r="J58" s="38"/>
      <c r="K58" s="38"/>
      <c r="L58" s="59"/>
    </row>
    <row r="59" ht="15.75" customHeight="1">
      <c r="D59" s="38"/>
      <c r="G59" s="54"/>
      <c r="I59" s="38"/>
      <c r="J59" s="38"/>
      <c r="K59" s="38"/>
      <c r="L59" s="59"/>
    </row>
    <row r="60" ht="15.75" customHeight="1">
      <c r="D60" s="38"/>
      <c r="G60" s="54"/>
      <c r="I60" s="38"/>
      <c r="J60" s="38"/>
      <c r="K60" s="38"/>
      <c r="L60" s="59"/>
    </row>
    <row r="61" ht="15.75" customHeight="1">
      <c r="D61" s="38"/>
      <c r="G61" s="54"/>
      <c r="I61" s="38"/>
      <c r="J61" s="38"/>
      <c r="K61" s="38"/>
      <c r="L61" s="59"/>
    </row>
    <row r="62" ht="15.75" customHeight="1">
      <c r="D62" s="38"/>
      <c r="G62" s="54"/>
      <c r="I62" s="38"/>
      <c r="J62" s="38"/>
      <c r="K62" s="38"/>
      <c r="L62" s="59"/>
    </row>
    <row r="63" ht="15.75" customHeight="1">
      <c r="D63" s="38"/>
      <c r="G63" s="54"/>
      <c r="I63" s="38"/>
      <c r="J63" s="38"/>
      <c r="K63" s="38"/>
      <c r="L63" s="59"/>
    </row>
    <row r="64" ht="15.75" customHeight="1">
      <c r="D64" s="38"/>
      <c r="G64" s="54"/>
      <c r="I64" s="38"/>
      <c r="J64" s="38"/>
      <c r="K64" s="38"/>
      <c r="L64" s="59"/>
    </row>
    <row r="65" ht="15.75" customHeight="1">
      <c r="D65" s="38"/>
      <c r="G65" s="54"/>
      <c r="I65" s="38"/>
      <c r="J65" s="38"/>
      <c r="K65" s="38"/>
      <c r="L65" s="59"/>
    </row>
    <row r="66" ht="15.75" customHeight="1">
      <c r="D66" s="38"/>
      <c r="G66" s="54"/>
      <c r="I66" s="38"/>
      <c r="J66" s="38"/>
      <c r="K66" s="38"/>
      <c r="L66" s="59"/>
    </row>
    <row r="67" ht="15.75" customHeight="1">
      <c r="D67" s="38"/>
      <c r="G67" s="54"/>
      <c r="I67" s="38"/>
      <c r="J67" s="38"/>
      <c r="K67" s="38"/>
      <c r="L67" s="59"/>
    </row>
    <row r="68" ht="15.75" customHeight="1">
      <c r="D68" s="38"/>
      <c r="G68" s="54"/>
      <c r="I68" s="38"/>
      <c r="J68" s="38"/>
      <c r="K68" s="38"/>
      <c r="L68" s="59"/>
    </row>
    <row r="69" ht="15.75" customHeight="1">
      <c r="D69" s="38"/>
      <c r="G69" s="54"/>
      <c r="I69" s="38"/>
      <c r="J69" s="38"/>
      <c r="K69" s="38"/>
      <c r="L69" s="59"/>
    </row>
    <row r="70" ht="15.75" customHeight="1">
      <c r="D70" s="38"/>
      <c r="G70" s="54"/>
      <c r="I70" s="38"/>
      <c r="J70" s="38"/>
      <c r="K70" s="38"/>
      <c r="L70" s="59"/>
    </row>
    <row r="71" ht="15.75" customHeight="1">
      <c r="D71" s="38"/>
      <c r="G71" s="54"/>
      <c r="I71" s="38"/>
      <c r="J71" s="38"/>
      <c r="K71" s="38"/>
      <c r="L71" s="59"/>
    </row>
    <row r="72" ht="15.75" customHeight="1">
      <c r="D72" s="38"/>
      <c r="G72" s="54"/>
      <c r="I72" s="38"/>
      <c r="J72" s="38"/>
      <c r="K72" s="38"/>
      <c r="L72" s="59"/>
    </row>
    <row r="73" ht="15.75" customHeight="1">
      <c r="D73" s="38"/>
      <c r="G73" s="54"/>
      <c r="I73" s="38"/>
      <c r="J73" s="38"/>
      <c r="K73" s="38"/>
      <c r="L73" s="59"/>
    </row>
    <row r="74" ht="15.75" customHeight="1">
      <c r="D74" s="38"/>
      <c r="G74" s="54"/>
      <c r="I74" s="38"/>
      <c r="J74" s="38"/>
      <c r="K74" s="38"/>
      <c r="L74" s="59"/>
    </row>
    <row r="75" ht="15.75" customHeight="1">
      <c r="D75" s="38"/>
      <c r="G75" s="54"/>
      <c r="I75" s="38"/>
      <c r="J75" s="38"/>
      <c r="K75" s="38"/>
      <c r="L75" s="59"/>
    </row>
    <row r="76" ht="15.75" customHeight="1">
      <c r="D76" s="38"/>
      <c r="G76" s="54"/>
      <c r="I76" s="38"/>
      <c r="J76" s="38"/>
      <c r="K76" s="38"/>
      <c r="L76" s="59"/>
    </row>
    <row r="77" ht="15.75" customHeight="1">
      <c r="D77" s="38"/>
      <c r="G77" s="54"/>
      <c r="I77" s="38"/>
      <c r="J77" s="38"/>
      <c r="K77" s="38"/>
      <c r="L77" s="59"/>
    </row>
    <row r="78" ht="15.75" customHeight="1">
      <c r="D78" s="38"/>
      <c r="G78" s="54"/>
      <c r="I78" s="38"/>
      <c r="J78" s="38"/>
      <c r="K78" s="38"/>
      <c r="L78" s="59"/>
    </row>
    <row r="79" ht="15.75" customHeight="1">
      <c r="D79" s="38"/>
      <c r="G79" s="54"/>
      <c r="I79" s="38"/>
      <c r="J79" s="38"/>
      <c r="K79" s="38"/>
      <c r="L79" s="59"/>
    </row>
    <row r="80" ht="15.75" customHeight="1">
      <c r="D80" s="38"/>
      <c r="G80" s="54"/>
      <c r="I80" s="38"/>
      <c r="J80" s="38"/>
      <c r="K80" s="38"/>
      <c r="L80" s="59"/>
    </row>
    <row r="81" ht="15.75" customHeight="1">
      <c r="D81" s="38"/>
      <c r="G81" s="54"/>
      <c r="I81" s="38"/>
      <c r="J81" s="38"/>
      <c r="K81" s="38"/>
      <c r="L81" s="59"/>
    </row>
    <row r="82" ht="15.75" customHeight="1">
      <c r="D82" s="38"/>
      <c r="G82" s="54"/>
      <c r="I82" s="38"/>
      <c r="J82" s="38"/>
      <c r="K82" s="38"/>
      <c r="L82" s="59"/>
    </row>
    <row r="83" ht="15.75" customHeight="1">
      <c r="D83" s="38"/>
      <c r="G83" s="54"/>
      <c r="I83" s="38"/>
      <c r="J83" s="38"/>
      <c r="K83" s="38"/>
      <c r="L83" s="59"/>
    </row>
    <row r="84" ht="15.75" customHeight="1">
      <c r="D84" s="38"/>
      <c r="G84" s="54"/>
      <c r="I84" s="38"/>
      <c r="J84" s="38"/>
      <c r="K84" s="38"/>
      <c r="L84" s="59"/>
    </row>
    <row r="85" ht="15.75" customHeight="1">
      <c r="D85" s="38"/>
      <c r="G85" s="54"/>
      <c r="I85" s="38"/>
      <c r="J85" s="38"/>
      <c r="K85" s="38"/>
      <c r="L85" s="59"/>
    </row>
    <row r="86" ht="15.75" customHeight="1">
      <c r="D86" s="38"/>
      <c r="G86" s="54"/>
      <c r="I86" s="38"/>
      <c r="J86" s="38"/>
      <c r="K86" s="38"/>
      <c r="L86" s="59"/>
    </row>
    <row r="87" ht="15.75" customHeight="1">
      <c r="D87" s="38"/>
      <c r="G87" s="54"/>
      <c r="I87" s="38"/>
      <c r="J87" s="38"/>
      <c r="K87" s="38"/>
      <c r="L87" s="59"/>
    </row>
    <row r="88" ht="15.75" customHeight="1">
      <c r="D88" s="38"/>
      <c r="G88" s="54"/>
      <c r="I88" s="38"/>
      <c r="J88" s="38"/>
      <c r="K88" s="38"/>
      <c r="L88" s="59"/>
    </row>
    <row r="89" ht="15.75" customHeight="1">
      <c r="D89" s="38"/>
      <c r="G89" s="54"/>
      <c r="I89" s="38"/>
      <c r="J89" s="38"/>
      <c r="K89" s="38"/>
      <c r="L89" s="59"/>
    </row>
    <row r="90" ht="15.75" customHeight="1">
      <c r="D90" s="38"/>
      <c r="G90" s="54"/>
      <c r="I90" s="38"/>
      <c r="J90" s="38"/>
      <c r="K90" s="38"/>
      <c r="L90" s="59"/>
    </row>
    <row r="91" ht="15.75" customHeight="1">
      <c r="D91" s="38"/>
      <c r="G91" s="54"/>
      <c r="I91" s="38"/>
      <c r="J91" s="38"/>
      <c r="K91" s="38"/>
      <c r="L91" s="59"/>
    </row>
    <row r="92" ht="15.75" customHeight="1">
      <c r="D92" s="38"/>
      <c r="G92" s="54"/>
      <c r="I92" s="38"/>
      <c r="J92" s="38"/>
      <c r="K92" s="38"/>
      <c r="L92" s="59"/>
    </row>
    <row r="93" ht="15.75" customHeight="1">
      <c r="D93" s="38"/>
      <c r="G93" s="54"/>
      <c r="I93" s="38"/>
      <c r="J93" s="38"/>
      <c r="K93" s="38"/>
      <c r="L93" s="59"/>
    </row>
    <row r="94" ht="15.75" customHeight="1">
      <c r="D94" s="38"/>
      <c r="G94" s="54"/>
      <c r="I94" s="38"/>
      <c r="J94" s="38"/>
      <c r="K94" s="38"/>
      <c r="L94" s="59"/>
    </row>
    <row r="95" ht="15.75" customHeight="1">
      <c r="D95" s="38"/>
      <c r="G95" s="54"/>
      <c r="I95" s="38"/>
      <c r="J95" s="38"/>
      <c r="K95" s="38"/>
      <c r="L95" s="59"/>
    </row>
    <row r="96" ht="15.75" customHeight="1">
      <c r="D96" s="38"/>
      <c r="G96" s="54"/>
      <c r="I96" s="38"/>
      <c r="J96" s="38"/>
      <c r="K96" s="38"/>
      <c r="L96" s="59"/>
    </row>
    <row r="97" ht="15.75" customHeight="1">
      <c r="D97" s="38"/>
      <c r="G97" s="54"/>
      <c r="I97" s="38"/>
      <c r="J97" s="38"/>
      <c r="K97" s="38"/>
      <c r="L97" s="59"/>
    </row>
    <row r="98" ht="15.75" customHeight="1">
      <c r="D98" s="38"/>
      <c r="G98" s="54"/>
      <c r="I98" s="38"/>
      <c r="J98" s="38"/>
      <c r="K98" s="38"/>
      <c r="L98" s="59"/>
    </row>
    <row r="99" ht="15.75" customHeight="1">
      <c r="D99" s="38"/>
      <c r="G99" s="54"/>
      <c r="I99" s="38"/>
      <c r="J99" s="38"/>
      <c r="K99" s="38"/>
      <c r="L99" s="59"/>
    </row>
    <row r="100" ht="15.75" customHeight="1">
      <c r="D100" s="38"/>
      <c r="G100" s="54"/>
      <c r="I100" s="38"/>
      <c r="J100" s="38"/>
      <c r="K100" s="38"/>
      <c r="L100" s="59"/>
    </row>
    <row r="101" ht="15.75" customHeight="1">
      <c r="D101" s="38"/>
      <c r="G101" s="54"/>
      <c r="I101" s="38"/>
      <c r="J101" s="38"/>
      <c r="K101" s="38"/>
      <c r="L101" s="59"/>
    </row>
    <row r="102" ht="15.75" customHeight="1">
      <c r="D102" s="38"/>
      <c r="G102" s="54"/>
      <c r="I102" s="38"/>
      <c r="J102" s="38"/>
      <c r="K102" s="38"/>
      <c r="L102" s="59"/>
    </row>
    <row r="103" ht="15.75" customHeight="1">
      <c r="D103" s="38"/>
      <c r="G103" s="54"/>
      <c r="I103" s="38"/>
      <c r="J103" s="38"/>
      <c r="K103" s="38"/>
      <c r="L103" s="59"/>
    </row>
    <row r="104" ht="15.75" customHeight="1">
      <c r="D104" s="38"/>
      <c r="G104" s="54"/>
      <c r="I104" s="38"/>
      <c r="J104" s="38"/>
      <c r="K104" s="38"/>
      <c r="L104" s="59"/>
    </row>
    <row r="105" ht="15.75" customHeight="1">
      <c r="D105" s="38"/>
      <c r="G105" s="54"/>
      <c r="I105" s="38"/>
      <c r="J105" s="38"/>
      <c r="K105" s="38"/>
      <c r="L105" s="59"/>
    </row>
    <row r="106" ht="15.75" customHeight="1">
      <c r="D106" s="38"/>
      <c r="G106" s="54"/>
      <c r="I106" s="38"/>
      <c r="J106" s="38"/>
      <c r="K106" s="38"/>
      <c r="L106" s="59"/>
    </row>
    <row r="107" ht="15.75" customHeight="1">
      <c r="D107" s="38"/>
      <c r="G107" s="54"/>
      <c r="I107" s="38"/>
      <c r="J107" s="38"/>
      <c r="K107" s="38"/>
      <c r="L107" s="59"/>
    </row>
    <row r="108" ht="15.75" customHeight="1">
      <c r="D108" s="38"/>
      <c r="G108" s="54"/>
      <c r="I108" s="38"/>
      <c r="J108" s="38"/>
      <c r="K108" s="38"/>
      <c r="L108" s="59"/>
    </row>
    <row r="109" ht="15.75" customHeight="1">
      <c r="D109" s="38"/>
      <c r="G109" s="54"/>
      <c r="I109" s="38"/>
      <c r="J109" s="38"/>
      <c r="K109" s="38"/>
      <c r="L109" s="59"/>
    </row>
    <row r="110" ht="15.75" customHeight="1">
      <c r="D110" s="38"/>
      <c r="G110" s="54"/>
      <c r="I110" s="38"/>
      <c r="J110" s="38"/>
      <c r="K110" s="38"/>
      <c r="L110" s="59"/>
    </row>
    <row r="111" ht="15.75" customHeight="1">
      <c r="D111" s="38"/>
      <c r="G111" s="54"/>
      <c r="I111" s="38"/>
      <c r="J111" s="38"/>
      <c r="K111" s="38"/>
      <c r="L111" s="59"/>
    </row>
    <row r="112" ht="15.75" customHeight="1">
      <c r="D112" s="38"/>
      <c r="G112" s="54"/>
      <c r="I112" s="38"/>
      <c r="J112" s="38"/>
      <c r="K112" s="38"/>
      <c r="L112" s="59"/>
    </row>
    <row r="113" ht="15.75" customHeight="1">
      <c r="D113" s="38"/>
      <c r="G113" s="54"/>
      <c r="I113" s="38"/>
      <c r="J113" s="38"/>
      <c r="K113" s="38"/>
      <c r="L113" s="59"/>
    </row>
    <row r="114" ht="15.75" customHeight="1">
      <c r="D114" s="38"/>
      <c r="G114" s="54"/>
      <c r="I114" s="38"/>
      <c r="J114" s="38"/>
      <c r="K114" s="38"/>
      <c r="L114" s="59"/>
    </row>
    <row r="115" ht="15.75" customHeight="1">
      <c r="D115" s="38"/>
      <c r="G115" s="54"/>
      <c r="I115" s="38"/>
      <c r="J115" s="38"/>
      <c r="K115" s="38"/>
      <c r="L115" s="59"/>
    </row>
    <row r="116" ht="15.75" customHeight="1">
      <c r="D116" s="38"/>
      <c r="G116" s="54"/>
      <c r="I116" s="38"/>
      <c r="J116" s="38"/>
      <c r="K116" s="38"/>
      <c r="L116" s="59"/>
    </row>
    <row r="117" ht="15.75" customHeight="1">
      <c r="D117" s="38"/>
      <c r="G117" s="54"/>
      <c r="I117" s="38"/>
      <c r="J117" s="38"/>
      <c r="K117" s="38"/>
      <c r="L117" s="59"/>
    </row>
    <row r="118" ht="15.75" customHeight="1">
      <c r="D118" s="38"/>
      <c r="G118" s="54"/>
      <c r="I118" s="38"/>
      <c r="J118" s="38"/>
      <c r="K118" s="38"/>
      <c r="L118" s="59"/>
    </row>
    <row r="119" ht="15.75" customHeight="1">
      <c r="D119" s="38"/>
      <c r="G119" s="54"/>
      <c r="I119" s="38"/>
      <c r="J119" s="38"/>
      <c r="K119" s="38"/>
      <c r="L119" s="59"/>
    </row>
    <row r="120" ht="15.75" customHeight="1">
      <c r="D120" s="38"/>
      <c r="G120" s="54"/>
      <c r="I120" s="38"/>
      <c r="J120" s="38"/>
      <c r="K120" s="38"/>
      <c r="L120" s="59"/>
    </row>
    <row r="121" ht="15.75" customHeight="1">
      <c r="D121" s="38"/>
      <c r="G121" s="54"/>
      <c r="I121" s="38"/>
      <c r="J121" s="38"/>
      <c r="K121" s="38"/>
      <c r="L121" s="59"/>
    </row>
    <row r="122" ht="15.75" customHeight="1">
      <c r="D122" s="38"/>
      <c r="G122" s="54"/>
      <c r="I122" s="38"/>
      <c r="J122" s="38"/>
      <c r="K122" s="38"/>
      <c r="L122" s="59"/>
    </row>
    <row r="123" ht="15.75" customHeight="1">
      <c r="D123" s="38"/>
      <c r="G123" s="54"/>
      <c r="I123" s="38"/>
      <c r="J123" s="38"/>
      <c r="K123" s="38"/>
      <c r="L123" s="59"/>
    </row>
    <row r="124" ht="15.75" customHeight="1">
      <c r="D124" s="38"/>
      <c r="G124" s="54"/>
      <c r="I124" s="38"/>
      <c r="J124" s="38"/>
      <c r="K124" s="38"/>
      <c r="L124" s="59"/>
    </row>
    <row r="125" ht="15.75" customHeight="1">
      <c r="D125" s="38"/>
      <c r="G125" s="54"/>
      <c r="I125" s="38"/>
      <c r="J125" s="38"/>
      <c r="K125" s="38"/>
      <c r="L125" s="59"/>
    </row>
    <row r="126" ht="15.75" customHeight="1">
      <c r="D126" s="38"/>
      <c r="G126" s="54"/>
      <c r="I126" s="38"/>
      <c r="J126" s="38"/>
      <c r="K126" s="38"/>
      <c r="L126" s="59"/>
    </row>
    <row r="127" ht="15.75" customHeight="1">
      <c r="D127" s="38"/>
      <c r="G127" s="54"/>
      <c r="I127" s="38"/>
      <c r="J127" s="38"/>
      <c r="K127" s="38"/>
      <c r="L127" s="59"/>
    </row>
    <row r="128" ht="15.75" customHeight="1">
      <c r="D128" s="38"/>
      <c r="G128" s="54"/>
      <c r="I128" s="38"/>
      <c r="J128" s="38"/>
      <c r="K128" s="38"/>
      <c r="L128" s="59"/>
    </row>
    <row r="129" ht="15.75" customHeight="1">
      <c r="D129" s="38"/>
      <c r="G129" s="54"/>
      <c r="I129" s="38"/>
      <c r="J129" s="38"/>
      <c r="K129" s="38"/>
      <c r="L129" s="59"/>
    </row>
    <row r="130" ht="15.75" customHeight="1">
      <c r="D130" s="38"/>
      <c r="G130" s="54"/>
      <c r="I130" s="38"/>
      <c r="J130" s="38"/>
      <c r="K130" s="38"/>
      <c r="L130" s="59"/>
    </row>
    <row r="131" ht="15.75" customHeight="1">
      <c r="D131" s="38"/>
      <c r="G131" s="54"/>
      <c r="I131" s="38"/>
      <c r="J131" s="38"/>
      <c r="K131" s="38"/>
      <c r="L131" s="59"/>
    </row>
    <row r="132" ht="15.75" customHeight="1">
      <c r="D132" s="38"/>
      <c r="G132" s="54"/>
      <c r="I132" s="38"/>
      <c r="J132" s="38"/>
      <c r="K132" s="38"/>
      <c r="L132" s="59"/>
    </row>
    <row r="133" ht="15.75" customHeight="1">
      <c r="D133" s="38"/>
      <c r="G133" s="54"/>
      <c r="I133" s="38"/>
      <c r="J133" s="38"/>
      <c r="K133" s="38"/>
      <c r="L133" s="59"/>
    </row>
    <row r="134" ht="15.75" customHeight="1">
      <c r="D134" s="38"/>
      <c r="G134" s="54"/>
      <c r="I134" s="38"/>
      <c r="J134" s="38"/>
      <c r="K134" s="38"/>
      <c r="L134" s="59"/>
    </row>
    <row r="135" ht="15.75" customHeight="1">
      <c r="D135" s="38"/>
      <c r="G135" s="54"/>
      <c r="I135" s="38"/>
      <c r="J135" s="38"/>
      <c r="K135" s="38"/>
      <c r="L135" s="59"/>
    </row>
    <row r="136" ht="15.75" customHeight="1">
      <c r="D136" s="38"/>
      <c r="G136" s="54"/>
      <c r="I136" s="38"/>
      <c r="J136" s="38"/>
      <c r="K136" s="38"/>
      <c r="L136" s="59"/>
    </row>
    <row r="137" ht="15.75" customHeight="1">
      <c r="D137" s="38"/>
      <c r="G137" s="54"/>
      <c r="I137" s="38"/>
      <c r="J137" s="38"/>
      <c r="K137" s="38"/>
      <c r="L137" s="59"/>
    </row>
    <row r="138" ht="15.75" customHeight="1">
      <c r="D138" s="38"/>
      <c r="G138" s="54"/>
      <c r="I138" s="38"/>
      <c r="J138" s="38"/>
      <c r="K138" s="38"/>
      <c r="L138" s="59"/>
    </row>
    <row r="139" ht="15.75" customHeight="1">
      <c r="D139" s="38"/>
      <c r="G139" s="54"/>
      <c r="I139" s="38"/>
      <c r="J139" s="38"/>
      <c r="K139" s="38"/>
      <c r="L139" s="59"/>
    </row>
    <row r="140" ht="15.75" customHeight="1">
      <c r="D140" s="38"/>
      <c r="G140" s="54"/>
      <c r="I140" s="38"/>
      <c r="J140" s="38"/>
      <c r="K140" s="38"/>
      <c r="L140" s="59"/>
    </row>
    <row r="141" ht="15.75" customHeight="1">
      <c r="D141" s="38"/>
      <c r="G141" s="54"/>
      <c r="I141" s="38"/>
      <c r="J141" s="38"/>
      <c r="K141" s="38"/>
      <c r="L141" s="59"/>
    </row>
    <row r="142" ht="15.75" customHeight="1">
      <c r="D142" s="38"/>
      <c r="G142" s="54"/>
      <c r="I142" s="38"/>
      <c r="J142" s="38"/>
      <c r="K142" s="38"/>
      <c r="L142" s="59"/>
    </row>
    <row r="143" ht="15.75" customHeight="1">
      <c r="D143" s="38"/>
      <c r="G143" s="54"/>
      <c r="I143" s="38"/>
      <c r="J143" s="38"/>
      <c r="K143" s="38"/>
      <c r="L143" s="59"/>
    </row>
    <row r="144" ht="15.75" customHeight="1">
      <c r="D144" s="38"/>
      <c r="G144" s="54"/>
      <c r="I144" s="38"/>
      <c r="J144" s="38"/>
      <c r="K144" s="38"/>
      <c r="L144" s="59"/>
    </row>
    <row r="145" ht="15.75" customHeight="1">
      <c r="D145" s="38"/>
      <c r="G145" s="54"/>
      <c r="I145" s="38"/>
      <c r="J145" s="38"/>
      <c r="K145" s="38"/>
      <c r="L145" s="59"/>
    </row>
    <row r="146" ht="15.75" customHeight="1">
      <c r="D146" s="38"/>
      <c r="G146" s="54"/>
      <c r="I146" s="38"/>
      <c r="J146" s="38"/>
      <c r="K146" s="38"/>
      <c r="L146" s="59"/>
    </row>
    <row r="147" ht="15.75" customHeight="1">
      <c r="D147" s="38"/>
      <c r="G147" s="54"/>
      <c r="I147" s="38"/>
      <c r="J147" s="38"/>
      <c r="K147" s="38"/>
      <c r="L147" s="59"/>
    </row>
    <row r="148" ht="15.75" customHeight="1">
      <c r="D148" s="38"/>
      <c r="G148" s="54"/>
      <c r="I148" s="38"/>
      <c r="J148" s="38"/>
      <c r="K148" s="38"/>
      <c r="L148" s="59"/>
    </row>
    <row r="149" ht="15.75" customHeight="1">
      <c r="D149" s="38"/>
      <c r="G149" s="54"/>
      <c r="I149" s="38"/>
      <c r="J149" s="38"/>
      <c r="K149" s="38"/>
      <c r="L149" s="59"/>
    </row>
    <row r="150" ht="15.75" customHeight="1">
      <c r="D150" s="38"/>
      <c r="G150" s="54"/>
      <c r="I150" s="38"/>
      <c r="J150" s="38"/>
      <c r="K150" s="38"/>
      <c r="L150" s="59"/>
    </row>
    <row r="151" ht="15.75" customHeight="1">
      <c r="D151" s="38"/>
      <c r="G151" s="54"/>
      <c r="I151" s="38"/>
      <c r="J151" s="38"/>
      <c r="K151" s="38"/>
      <c r="L151" s="59"/>
    </row>
    <row r="152" ht="15.75" customHeight="1">
      <c r="D152" s="38"/>
      <c r="G152" s="54"/>
      <c r="I152" s="38"/>
      <c r="J152" s="38"/>
      <c r="K152" s="38"/>
      <c r="L152" s="59"/>
    </row>
    <row r="153" ht="15.75" customHeight="1">
      <c r="D153" s="38"/>
      <c r="G153" s="54"/>
      <c r="I153" s="38"/>
      <c r="J153" s="38"/>
      <c r="K153" s="38"/>
      <c r="L153" s="59"/>
    </row>
    <row r="154" ht="15.75" customHeight="1">
      <c r="D154" s="38"/>
      <c r="G154" s="54"/>
      <c r="I154" s="38"/>
      <c r="J154" s="38"/>
      <c r="K154" s="38"/>
      <c r="L154" s="59"/>
    </row>
    <row r="155" ht="15.75" customHeight="1">
      <c r="D155" s="38"/>
      <c r="G155" s="54"/>
      <c r="I155" s="38"/>
      <c r="J155" s="38"/>
      <c r="K155" s="38"/>
      <c r="L155" s="59"/>
    </row>
    <row r="156" ht="15.75" customHeight="1">
      <c r="D156" s="38"/>
      <c r="G156" s="54"/>
      <c r="I156" s="38"/>
      <c r="J156" s="38"/>
      <c r="K156" s="38"/>
      <c r="L156" s="59"/>
    </row>
    <row r="157" ht="15.75" customHeight="1">
      <c r="D157" s="38"/>
      <c r="G157" s="54"/>
      <c r="I157" s="38"/>
      <c r="J157" s="38"/>
      <c r="K157" s="38"/>
      <c r="L157" s="59"/>
    </row>
    <row r="158" ht="15.75" customHeight="1">
      <c r="D158" s="38"/>
      <c r="G158" s="54"/>
      <c r="I158" s="38"/>
      <c r="J158" s="38"/>
      <c r="K158" s="38"/>
      <c r="L158" s="59"/>
    </row>
    <row r="159" ht="15.75" customHeight="1">
      <c r="D159" s="38"/>
      <c r="G159" s="54"/>
      <c r="I159" s="38"/>
      <c r="J159" s="38"/>
      <c r="K159" s="38"/>
      <c r="L159" s="59"/>
    </row>
    <row r="160" ht="15.75" customHeight="1">
      <c r="D160" s="38"/>
      <c r="G160" s="54"/>
      <c r="I160" s="38"/>
      <c r="J160" s="38"/>
      <c r="K160" s="38"/>
      <c r="L160" s="59"/>
    </row>
    <row r="161" ht="15.75" customHeight="1">
      <c r="D161" s="38"/>
      <c r="G161" s="54"/>
      <c r="I161" s="38"/>
      <c r="J161" s="38"/>
      <c r="K161" s="38"/>
      <c r="L161" s="59"/>
    </row>
    <row r="162" ht="15.75" customHeight="1">
      <c r="D162" s="38"/>
      <c r="G162" s="54"/>
      <c r="I162" s="38"/>
      <c r="J162" s="38"/>
      <c r="K162" s="38"/>
      <c r="L162" s="59"/>
    </row>
    <row r="163" ht="15.75" customHeight="1">
      <c r="D163" s="38"/>
      <c r="G163" s="54"/>
      <c r="I163" s="38"/>
      <c r="J163" s="38"/>
      <c r="K163" s="38"/>
      <c r="L163" s="59"/>
    </row>
    <row r="164" ht="15.75" customHeight="1">
      <c r="D164" s="38"/>
      <c r="G164" s="54"/>
      <c r="I164" s="38"/>
      <c r="J164" s="38"/>
      <c r="K164" s="38"/>
      <c r="L164" s="59"/>
    </row>
    <row r="165" ht="15.75" customHeight="1">
      <c r="D165" s="38"/>
      <c r="G165" s="54"/>
      <c r="I165" s="38"/>
      <c r="J165" s="38"/>
      <c r="K165" s="38"/>
      <c r="L165" s="59"/>
    </row>
    <row r="166" ht="15.75" customHeight="1">
      <c r="D166" s="38"/>
      <c r="G166" s="54"/>
      <c r="I166" s="38"/>
      <c r="J166" s="38"/>
      <c r="K166" s="38"/>
      <c r="L166" s="59"/>
    </row>
    <row r="167" ht="15.75" customHeight="1">
      <c r="D167" s="38"/>
      <c r="G167" s="54"/>
      <c r="I167" s="38"/>
      <c r="J167" s="38"/>
      <c r="K167" s="38"/>
      <c r="L167" s="59"/>
    </row>
    <row r="168" ht="15.75" customHeight="1">
      <c r="D168" s="38"/>
      <c r="G168" s="54"/>
      <c r="I168" s="38"/>
      <c r="J168" s="38"/>
      <c r="K168" s="38"/>
      <c r="L168" s="59"/>
    </row>
    <row r="169" ht="15.75" customHeight="1">
      <c r="D169" s="38"/>
      <c r="G169" s="54"/>
      <c r="I169" s="38"/>
      <c r="J169" s="38"/>
      <c r="K169" s="38"/>
      <c r="L169" s="59"/>
    </row>
    <row r="170" ht="15.75" customHeight="1">
      <c r="D170" s="38"/>
      <c r="G170" s="54"/>
      <c r="I170" s="38"/>
      <c r="J170" s="38"/>
      <c r="K170" s="38"/>
      <c r="L170" s="59"/>
    </row>
    <row r="171" ht="15.75" customHeight="1">
      <c r="D171" s="38"/>
      <c r="G171" s="54"/>
      <c r="I171" s="38"/>
      <c r="J171" s="38"/>
      <c r="K171" s="38"/>
      <c r="L171" s="59"/>
    </row>
    <row r="172" ht="15.75" customHeight="1">
      <c r="D172" s="38"/>
      <c r="G172" s="54"/>
      <c r="I172" s="38"/>
      <c r="J172" s="38"/>
      <c r="K172" s="38"/>
      <c r="L172" s="59"/>
    </row>
    <row r="173" ht="15.75" customHeight="1">
      <c r="D173" s="38"/>
      <c r="G173" s="54"/>
      <c r="I173" s="38"/>
      <c r="J173" s="38"/>
      <c r="K173" s="38"/>
      <c r="L173" s="59"/>
    </row>
    <row r="174" ht="15.75" customHeight="1">
      <c r="D174" s="38"/>
      <c r="G174" s="54"/>
      <c r="I174" s="38"/>
      <c r="J174" s="38"/>
      <c r="K174" s="38"/>
      <c r="L174" s="59"/>
    </row>
    <row r="175" ht="15.75" customHeight="1">
      <c r="D175" s="38"/>
      <c r="G175" s="54"/>
      <c r="I175" s="38"/>
      <c r="J175" s="38"/>
      <c r="K175" s="38"/>
      <c r="L175" s="59"/>
    </row>
    <row r="176" ht="15.75" customHeight="1">
      <c r="D176" s="38"/>
      <c r="G176" s="54"/>
      <c r="I176" s="38"/>
      <c r="J176" s="38"/>
      <c r="K176" s="38"/>
      <c r="L176" s="59"/>
    </row>
    <row r="177" ht="15.75" customHeight="1">
      <c r="D177" s="38"/>
      <c r="G177" s="54"/>
      <c r="I177" s="38"/>
      <c r="J177" s="38"/>
      <c r="K177" s="38"/>
      <c r="L177" s="59"/>
    </row>
    <row r="178" ht="15.75" customHeight="1">
      <c r="D178" s="38"/>
      <c r="G178" s="54"/>
      <c r="I178" s="38"/>
      <c r="J178" s="38"/>
      <c r="K178" s="38"/>
      <c r="L178" s="59"/>
    </row>
    <row r="179" ht="15.75" customHeight="1">
      <c r="D179" s="38"/>
      <c r="G179" s="54"/>
      <c r="I179" s="38"/>
      <c r="J179" s="38"/>
      <c r="K179" s="38"/>
      <c r="L179" s="59"/>
    </row>
    <row r="180" ht="15.75" customHeight="1">
      <c r="D180" s="38"/>
      <c r="G180" s="54"/>
      <c r="I180" s="38"/>
      <c r="J180" s="38"/>
      <c r="K180" s="38"/>
      <c r="L180" s="59"/>
    </row>
    <row r="181" ht="15.75" customHeight="1">
      <c r="D181" s="38"/>
      <c r="G181" s="54"/>
      <c r="I181" s="38"/>
      <c r="J181" s="38"/>
      <c r="K181" s="38"/>
      <c r="L181" s="59"/>
    </row>
    <row r="182" ht="15.75" customHeight="1">
      <c r="D182" s="38"/>
      <c r="G182" s="54"/>
      <c r="I182" s="38"/>
      <c r="J182" s="38"/>
      <c r="K182" s="38"/>
      <c r="L182" s="59"/>
    </row>
    <row r="183" ht="15.75" customHeight="1">
      <c r="D183" s="38"/>
      <c r="G183" s="54"/>
      <c r="I183" s="38"/>
      <c r="J183" s="38"/>
      <c r="K183" s="38"/>
      <c r="L183" s="59"/>
    </row>
    <row r="184" ht="15.75" customHeight="1">
      <c r="D184" s="38"/>
      <c r="G184" s="54"/>
      <c r="I184" s="38"/>
      <c r="J184" s="38"/>
      <c r="K184" s="38"/>
      <c r="L184" s="59"/>
    </row>
    <row r="185" ht="15.75" customHeight="1">
      <c r="D185" s="38"/>
      <c r="G185" s="54"/>
      <c r="I185" s="38"/>
      <c r="J185" s="38"/>
      <c r="K185" s="38"/>
      <c r="L185" s="59"/>
    </row>
    <row r="186" ht="15.75" customHeight="1">
      <c r="D186" s="38"/>
      <c r="G186" s="54"/>
      <c r="I186" s="38"/>
      <c r="J186" s="38"/>
      <c r="K186" s="38"/>
      <c r="L186" s="59"/>
    </row>
    <row r="187" ht="15.75" customHeight="1">
      <c r="D187" s="38"/>
      <c r="G187" s="54"/>
      <c r="I187" s="38"/>
      <c r="J187" s="38"/>
      <c r="K187" s="38"/>
      <c r="L187" s="59"/>
    </row>
    <row r="188" ht="15.75" customHeight="1">
      <c r="D188" s="38"/>
      <c r="G188" s="54"/>
      <c r="I188" s="38"/>
      <c r="J188" s="38"/>
      <c r="K188" s="38"/>
      <c r="L188" s="59"/>
    </row>
    <row r="189" ht="15.75" customHeight="1">
      <c r="D189" s="38"/>
      <c r="G189" s="54"/>
      <c r="I189" s="38"/>
      <c r="J189" s="38"/>
      <c r="K189" s="38"/>
      <c r="L189" s="59"/>
    </row>
    <row r="190" ht="15.75" customHeight="1">
      <c r="D190" s="38"/>
      <c r="G190" s="54"/>
      <c r="I190" s="38"/>
      <c r="J190" s="38"/>
      <c r="K190" s="38"/>
      <c r="L190" s="59"/>
    </row>
    <row r="191" ht="15.75" customHeight="1">
      <c r="D191" s="38"/>
      <c r="G191" s="54"/>
      <c r="I191" s="38"/>
      <c r="J191" s="38"/>
      <c r="K191" s="38"/>
      <c r="L191" s="59"/>
    </row>
    <row r="192" ht="15.75" customHeight="1">
      <c r="D192" s="38"/>
      <c r="G192" s="54"/>
      <c r="I192" s="38"/>
      <c r="J192" s="38"/>
      <c r="K192" s="38"/>
      <c r="L192" s="59"/>
    </row>
    <row r="193" ht="15.75" customHeight="1">
      <c r="D193" s="38"/>
      <c r="G193" s="54"/>
      <c r="I193" s="38"/>
      <c r="J193" s="38"/>
      <c r="K193" s="38"/>
      <c r="L193" s="59"/>
    </row>
    <row r="194" ht="15.75" customHeight="1">
      <c r="D194" s="38"/>
      <c r="G194" s="54"/>
      <c r="I194" s="38"/>
      <c r="J194" s="38"/>
      <c r="K194" s="38"/>
      <c r="L194" s="59"/>
    </row>
    <row r="195" ht="15.75" customHeight="1">
      <c r="D195" s="38"/>
      <c r="G195" s="54"/>
      <c r="I195" s="38"/>
      <c r="J195" s="38"/>
      <c r="K195" s="38"/>
      <c r="L195" s="59"/>
    </row>
    <row r="196" ht="15.75" customHeight="1">
      <c r="D196" s="38"/>
      <c r="G196" s="54"/>
      <c r="I196" s="38"/>
      <c r="J196" s="38"/>
      <c r="K196" s="38"/>
      <c r="L196" s="59"/>
    </row>
    <row r="197" ht="15.75" customHeight="1">
      <c r="D197" s="38"/>
      <c r="G197" s="54"/>
      <c r="I197" s="38"/>
      <c r="J197" s="38"/>
      <c r="K197" s="38"/>
      <c r="L197" s="59"/>
    </row>
    <row r="198" ht="15.75" customHeight="1">
      <c r="D198" s="38"/>
      <c r="G198" s="54"/>
      <c r="I198" s="38"/>
      <c r="J198" s="38"/>
      <c r="K198" s="38"/>
      <c r="L198" s="59"/>
    </row>
    <row r="199" ht="15.75" customHeight="1">
      <c r="D199" s="38"/>
      <c r="G199" s="54"/>
      <c r="I199" s="38"/>
      <c r="J199" s="38"/>
      <c r="K199" s="38"/>
      <c r="L199" s="59"/>
    </row>
    <row r="200" ht="15.75" customHeight="1">
      <c r="D200" s="38"/>
      <c r="G200" s="54"/>
      <c r="I200" s="38"/>
      <c r="J200" s="38"/>
      <c r="K200" s="38"/>
      <c r="L200" s="59"/>
    </row>
    <row r="201" ht="15.75" customHeight="1">
      <c r="D201" s="38"/>
      <c r="G201" s="54"/>
      <c r="I201" s="38"/>
      <c r="J201" s="38"/>
      <c r="K201" s="38"/>
      <c r="L201" s="59"/>
    </row>
    <row r="202" ht="15.75" customHeight="1">
      <c r="D202" s="38"/>
      <c r="G202" s="54"/>
      <c r="I202" s="38"/>
      <c r="J202" s="38"/>
      <c r="K202" s="38"/>
      <c r="L202" s="59"/>
    </row>
    <row r="203" ht="15.75" customHeight="1">
      <c r="D203" s="38"/>
      <c r="G203" s="54"/>
      <c r="I203" s="38"/>
      <c r="J203" s="38"/>
      <c r="K203" s="38"/>
      <c r="L203" s="59"/>
    </row>
    <row r="204" ht="15.75" customHeight="1">
      <c r="D204" s="38"/>
      <c r="G204" s="54"/>
      <c r="I204" s="38"/>
      <c r="J204" s="38"/>
      <c r="K204" s="38"/>
      <c r="L204" s="59"/>
    </row>
    <row r="205" ht="15.75" customHeight="1">
      <c r="D205" s="38"/>
      <c r="G205" s="54"/>
      <c r="I205" s="38"/>
      <c r="J205" s="38"/>
      <c r="K205" s="38"/>
      <c r="L205" s="59"/>
    </row>
    <row r="206" ht="15.75" customHeight="1">
      <c r="D206" s="38"/>
      <c r="G206" s="54"/>
      <c r="I206" s="38"/>
      <c r="J206" s="38"/>
      <c r="K206" s="38"/>
      <c r="L206" s="59"/>
    </row>
    <row r="207" ht="15.75" customHeight="1">
      <c r="D207" s="38"/>
      <c r="G207" s="54"/>
      <c r="I207" s="38"/>
      <c r="J207" s="38"/>
      <c r="K207" s="38"/>
      <c r="L207" s="59"/>
    </row>
    <row r="208" ht="15.75" customHeight="1">
      <c r="D208" s="38"/>
      <c r="G208" s="54"/>
      <c r="I208" s="38"/>
      <c r="J208" s="38"/>
      <c r="K208" s="38"/>
      <c r="L208" s="59"/>
    </row>
    <row r="209" ht="15.75" customHeight="1">
      <c r="D209" s="38"/>
      <c r="G209" s="54"/>
      <c r="I209" s="38"/>
      <c r="J209" s="38"/>
      <c r="K209" s="38"/>
      <c r="L209" s="59"/>
    </row>
    <row r="210" ht="15.75" customHeight="1">
      <c r="D210" s="38"/>
      <c r="G210" s="54"/>
      <c r="I210" s="38"/>
      <c r="J210" s="38"/>
      <c r="K210" s="38"/>
      <c r="L210" s="59"/>
    </row>
    <row r="211" ht="15.75" customHeight="1">
      <c r="D211" s="38"/>
      <c r="G211" s="54"/>
      <c r="I211" s="38"/>
      <c r="J211" s="38"/>
      <c r="K211" s="38"/>
      <c r="L211" s="59"/>
    </row>
    <row r="212" ht="15.75" customHeight="1">
      <c r="D212" s="38"/>
      <c r="G212" s="54"/>
      <c r="I212" s="38"/>
      <c r="J212" s="38"/>
      <c r="K212" s="38"/>
      <c r="L212" s="59"/>
    </row>
    <row r="213" ht="15.75" customHeight="1">
      <c r="D213" s="38"/>
      <c r="G213" s="54"/>
      <c r="I213" s="38"/>
      <c r="J213" s="38"/>
      <c r="K213" s="38"/>
      <c r="L213" s="59"/>
    </row>
    <row r="214" ht="15.75" customHeight="1">
      <c r="D214" s="38"/>
      <c r="G214" s="54"/>
      <c r="I214" s="38"/>
      <c r="J214" s="38"/>
      <c r="K214" s="38"/>
      <c r="L214" s="59"/>
    </row>
    <row r="215" ht="15.75" customHeight="1">
      <c r="D215" s="38"/>
      <c r="G215" s="54"/>
      <c r="I215" s="38"/>
      <c r="J215" s="38"/>
      <c r="K215" s="38"/>
      <c r="L215" s="59"/>
    </row>
    <row r="216" ht="15.75" customHeight="1">
      <c r="D216" s="38"/>
      <c r="G216" s="54"/>
      <c r="I216" s="38"/>
      <c r="J216" s="38"/>
      <c r="K216" s="38"/>
      <c r="L216" s="59"/>
    </row>
    <row r="217" ht="15.75" customHeight="1">
      <c r="D217" s="38"/>
      <c r="G217" s="54"/>
      <c r="I217" s="38"/>
      <c r="J217" s="38"/>
      <c r="K217" s="38"/>
      <c r="L217" s="59"/>
    </row>
    <row r="218" ht="15.75" customHeight="1">
      <c r="D218" s="38"/>
      <c r="G218" s="54"/>
      <c r="I218" s="38"/>
      <c r="J218" s="38"/>
      <c r="K218" s="38"/>
      <c r="L218" s="59"/>
    </row>
    <row r="219" ht="15.75" customHeight="1">
      <c r="D219" s="38"/>
      <c r="G219" s="54"/>
      <c r="I219" s="38"/>
      <c r="J219" s="38"/>
      <c r="K219" s="38"/>
      <c r="L219" s="59"/>
    </row>
    <row r="220" ht="15.75" customHeight="1">
      <c r="D220" s="38"/>
      <c r="G220" s="54"/>
      <c r="I220" s="38"/>
      <c r="J220" s="38"/>
      <c r="K220" s="38"/>
      <c r="L220" s="59"/>
    </row>
    <row r="221" ht="15.75" customHeight="1">
      <c r="D221" s="38"/>
      <c r="G221" s="54"/>
      <c r="I221" s="38"/>
      <c r="J221" s="38"/>
      <c r="K221" s="38"/>
      <c r="L221" s="59"/>
    </row>
    <row r="222" ht="15.75" customHeight="1">
      <c r="D222" s="38"/>
      <c r="G222" s="54"/>
      <c r="I222" s="38"/>
      <c r="J222" s="38"/>
      <c r="K222" s="38"/>
      <c r="L222" s="59"/>
    </row>
    <row r="223" ht="15.75" customHeight="1">
      <c r="D223" s="38"/>
      <c r="G223" s="54"/>
      <c r="I223" s="38"/>
      <c r="J223" s="38"/>
      <c r="K223" s="38"/>
      <c r="L223" s="59"/>
    </row>
    <row r="224" ht="15.75" customHeight="1">
      <c r="D224" s="38"/>
      <c r="G224" s="54"/>
      <c r="I224" s="38"/>
      <c r="J224" s="38"/>
      <c r="K224" s="38"/>
      <c r="L224" s="59"/>
    </row>
    <row r="225" ht="15.75" customHeight="1">
      <c r="D225" s="38"/>
      <c r="G225" s="54"/>
      <c r="I225" s="38"/>
      <c r="J225" s="38"/>
      <c r="K225" s="38"/>
      <c r="L225" s="59"/>
    </row>
    <row r="226" ht="15.75" customHeight="1">
      <c r="D226" s="38"/>
      <c r="G226" s="54"/>
      <c r="I226" s="38"/>
      <c r="J226" s="38"/>
      <c r="K226" s="38"/>
      <c r="L226" s="59"/>
    </row>
    <row r="227" ht="15.75" customHeight="1">
      <c r="D227" s="38"/>
      <c r="G227" s="54"/>
      <c r="I227" s="38"/>
      <c r="J227" s="38"/>
      <c r="K227" s="38"/>
      <c r="L227" s="59"/>
    </row>
    <row r="228" ht="15.75" customHeight="1">
      <c r="D228" s="38"/>
      <c r="G228" s="54"/>
      <c r="I228" s="38"/>
      <c r="J228" s="38"/>
      <c r="K228" s="38"/>
      <c r="L228" s="59"/>
    </row>
    <row r="229" ht="15.75" customHeight="1">
      <c r="D229" s="38"/>
      <c r="G229" s="54"/>
      <c r="I229" s="38"/>
      <c r="J229" s="38"/>
      <c r="K229" s="38"/>
      <c r="L229" s="59"/>
    </row>
    <row r="230" ht="15.75" customHeight="1">
      <c r="D230" s="38"/>
      <c r="G230" s="54"/>
      <c r="I230" s="38"/>
      <c r="J230" s="38"/>
      <c r="K230" s="38"/>
      <c r="L230" s="59"/>
    </row>
    <row r="231" ht="15.75" customHeight="1">
      <c r="D231" s="38"/>
      <c r="G231" s="54"/>
      <c r="I231" s="38"/>
      <c r="J231" s="38"/>
      <c r="K231" s="38"/>
      <c r="L231" s="59"/>
    </row>
    <row r="232" ht="15.75" customHeight="1">
      <c r="D232" s="38"/>
      <c r="G232" s="54"/>
      <c r="I232" s="38"/>
      <c r="J232" s="38"/>
      <c r="K232" s="38"/>
      <c r="L232" s="59"/>
    </row>
    <row r="233" ht="15.75" customHeight="1">
      <c r="D233" s="38"/>
      <c r="G233" s="54"/>
      <c r="I233" s="38"/>
      <c r="J233" s="38"/>
      <c r="K233" s="38"/>
      <c r="L233" s="59"/>
    </row>
    <row r="234" ht="15.75" customHeight="1">
      <c r="D234" s="38"/>
      <c r="G234" s="54"/>
      <c r="I234" s="38"/>
      <c r="J234" s="38"/>
      <c r="K234" s="38"/>
      <c r="L234" s="59"/>
    </row>
    <row r="235" ht="15.75" customHeight="1">
      <c r="D235" s="38"/>
      <c r="G235" s="54"/>
      <c r="I235" s="38"/>
      <c r="J235" s="38"/>
      <c r="K235" s="38"/>
      <c r="L235" s="59"/>
    </row>
    <row r="236" ht="15.75" customHeight="1">
      <c r="D236" s="38"/>
      <c r="G236" s="54"/>
      <c r="I236" s="38"/>
      <c r="J236" s="38"/>
      <c r="K236" s="38"/>
      <c r="L236" s="59"/>
    </row>
    <row r="237" ht="15.75" customHeight="1">
      <c r="D237" s="38"/>
      <c r="G237" s="54"/>
      <c r="I237" s="38"/>
      <c r="J237" s="38"/>
      <c r="K237" s="38"/>
      <c r="L237" s="59"/>
    </row>
    <row r="238" ht="15.75" customHeight="1">
      <c r="D238" s="38"/>
      <c r="G238" s="54"/>
      <c r="I238" s="38"/>
      <c r="J238" s="38"/>
      <c r="K238" s="38"/>
      <c r="L238" s="59"/>
    </row>
    <row r="239" ht="15.75" customHeight="1">
      <c r="D239" s="38"/>
      <c r="G239" s="54"/>
      <c r="I239" s="38"/>
      <c r="J239" s="38"/>
      <c r="K239" s="38"/>
      <c r="L239" s="59"/>
    </row>
    <row r="240" ht="15.75" customHeight="1">
      <c r="D240" s="38"/>
      <c r="G240" s="54"/>
      <c r="I240" s="38"/>
      <c r="J240" s="38"/>
      <c r="K240" s="38"/>
      <c r="L240" s="59"/>
    </row>
    <row r="241" ht="15.75" customHeight="1">
      <c r="D241" s="38"/>
      <c r="G241" s="54"/>
      <c r="I241" s="38"/>
      <c r="J241" s="38"/>
      <c r="K241" s="38"/>
      <c r="L241" s="59"/>
    </row>
    <row r="242" ht="15.75" customHeight="1">
      <c r="D242" s="38"/>
      <c r="G242" s="54"/>
      <c r="I242" s="38"/>
      <c r="J242" s="38"/>
      <c r="K242" s="38"/>
      <c r="L242" s="59"/>
    </row>
    <row r="243" ht="15.75" customHeight="1">
      <c r="D243" s="38"/>
      <c r="G243" s="54"/>
      <c r="I243" s="38"/>
      <c r="J243" s="38"/>
      <c r="K243" s="38"/>
      <c r="L243" s="59"/>
    </row>
    <row r="244" ht="15.75" customHeight="1">
      <c r="D244" s="38"/>
      <c r="G244" s="54"/>
      <c r="I244" s="38"/>
      <c r="J244" s="38"/>
      <c r="K244" s="38"/>
      <c r="L244" s="59"/>
    </row>
    <row r="245" ht="15.75" customHeight="1">
      <c r="D245" s="38"/>
      <c r="G245" s="54"/>
      <c r="I245" s="38"/>
      <c r="J245" s="38"/>
      <c r="K245" s="38"/>
      <c r="L245" s="59"/>
    </row>
    <row r="246" ht="15.75" customHeight="1">
      <c r="D246" s="38"/>
      <c r="G246" s="54"/>
      <c r="I246" s="38"/>
      <c r="J246" s="38"/>
      <c r="K246" s="38"/>
      <c r="L246" s="59"/>
    </row>
    <row r="247" ht="15.75" customHeight="1">
      <c r="D247" s="38"/>
      <c r="G247" s="54"/>
      <c r="I247" s="38"/>
      <c r="J247" s="38"/>
      <c r="K247" s="38"/>
      <c r="L247" s="59"/>
    </row>
    <row r="248" ht="15.75" customHeight="1">
      <c r="D248" s="38"/>
      <c r="G248" s="54"/>
      <c r="I248" s="38"/>
      <c r="J248" s="38"/>
      <c r="K248" s="38"/>
      <c r="L248" s="59"/>
    </row>
    <row r="249" ht="15.75" customHeight="1">
      <c r="D249" s="38"/>
      <c r="G249" s="54"/>
      <c r="I249" s="38"/>
      <c r="J249" s="38"/>
      <c r="K249" s="38"/>
      <c r="L249" s="59"/>
    </row>
    <row r="250" ht="15.75" customHeight="1">
      <c r="D250" s="38"/>
      <c r="G250" s="54"/>
      <c r="I250" s="38"/>
      <c r="J250" s="38"/>
      <c r="K250" s="38"/>
      <c r="L250" s="59"/>
    </row>
    <row r="251" ht="15.75" customHeight="1">
      <c r="D251" s="38"/>
      <c r="G251" s="54"/>
      <c r="I251" s="38"/>
      <c r="J251" s="38"/>
      <c r="K251" s="38"/>
      <c r="L251" s="59"/>
    </row>
    <row r="252" ht="15.75" customHeight="1">
      <c r="D252" s="38"/>
      <c r="G252" s="54"/>
      <c r="I252" s="38"/>
      <c r="J252" s="38"/>
      <c r="K252" s="38"/>
      <c r="L252" s="59"/>
    </row>
    <row r="253" ht="15.75" customHeight="1">
      <c r="D253" s="38"/>
      <c r="G253" s="54"/>
      <c r="I253" s="38"/>
      <c r="J253" s="38"/>
      <c r="K253" s="38"/>
      <c r="L253" s="59"/>
    </row>
    <row r="254" ht="15.75" customHeight="1">
      <c r="D254" s="38"/>
      <c r="G254" s="54"/>
      <c r="I254" s="38"/>
      <c r="J254" s="38"/>
      <c r="K254" s="38"/>
      <c r="L254" s="59"/>
    </row>
    <row r="255" ht="15.75" customHeight="1">
      <c r="D255" s="38"/>
      <c r="G255" s="54"/>
      <c r="I255" s="38"/>
      <c r="J255" s="38"/>
      <c r="K255" s="38"/>
      <c r="L255" s="59"/>
    </row>
    <row r="256" ht="15.75" customHeight="1">
      <c r="D256" s="38"/>
      <c r="G256" s="54"/>
      <c r="I256" s="38"/>
      <c r="J256" s="38"/>
      <c r="K256" s="38"/>
      <c r="L256" s="59"/>
    </row>
    <row r="257" ht="15.75" customHeight="1">
      <c r="D257" s="38"/>
      <c r="G257" s="54"/>
      <c r="I257" s="38"/>
      <c r="J257" s="38"/>
      <c r="K257" s="38"/>
      <c r="L257" s="59"/>
    </row>
    <row r="258" ht="15.75" customHeight="1">
      <c r="D258" s="38"/>
      <c r="G258" s="54"/>
      <c r="I258" s="38"/>
      <c r="J258" s="38"/>
      <c r="K258" s="38"/>
      <c r="L258" s="59"/>
    </row>
    <row r="259" ht="15.75" customHeight="1">
      <c r="D259" s="38"/>
      <c r="G259" s="54"/>
      <c r="I259" s="38"/>
      <c r="J259" s="38"/>
      <c r="K259" s="38"/>
      <c r="L259" s="59"/>
    </row>
    <row r="260" ht="15.75" customHeight="1">
      <c r="D260" s="38"/>
      <c r="G260" s="54"/>
      <c r="I260" s="38"/>
      <c r="J260" s="38"/>
      <c r="K260" s="38"/>
      <c r="L260" s="59"/>
    </row>
    <row r="261" ht="15.75" customHeight="1">
      <c r="D261" s="38"/>
      <c r="G261" s="54"/>
      <c r="I261" s="38"/>
      <c r="J261" s="38"/>
      <c r="K261" s="38"/>
      <c r="L261" s="59"/>
    </row>
    <row r="262" ht="15.75" customHeight="1">
      <c r="D262" s="38"/>
      <c r="G262" s="54"/>
      <c r="I262" s="38"/>
      <c r="J262" s="38"/>
      <c r="K262" s="38"/>
      <c r="L262" s="59"/>
    </row>
    <row r="263" ht="15.75" customHeight="1">
      <c r="D263" s="38"/>
      <c r="G263" s="54"/>
      <c r="I263" s="38"/>
      <c r="J263" s="38"/>
      <c r="K263" s="38"/>
      <c r="L263" s="59"/>
    </row>
    <row r="264" ht="15.75" customHeight="1">
      <c r="D264" s="38"/>
      <c r="G264" s="54"/>
      <c r="I264" s="38"/>
      <c r="J264" s="38"/>
      <c r="K264" s="38"/>
      <c r="L264" s="59"/>
    </row>
    <row r="265" ht="15.75" customHeight="1">
      <c r="D265" s="38"/>
      <c r="G265" s="54"/>
      <c r="I265" s="38"/>
      <c r="J265" s="38"/>
      <c r="K265" s="38"/>
      <c r="L265" s="59"/>
    </row>
    <row r="266" ht="15.75" customHeight="1">
      <c r="D266" s="38"/>
      <c r="G266" s="54"/>
      <c r="I266" s="38"/>
      <c r="J266" s="38"/>
      <c r="K266" s="38"/>
      <c r="L266" s="59"/>
    </row>
    <row r="267" ht="15.75" customHeight="1">
      <c r="D267" s="38"/>
      <c r="G267" s="54"/>
      <c r="I267" s="38"/>
      <c r="J267" s="38"/>
      <c r="K267" s="38"/>
      <c r="L267" s="59"/>
    </row>
    <row r="268" ht="15.75" customHeight="1">
      <c r="D268" s="38"/>
      <c r="G268" s="54"/>
      <c r="I268" s="38"/>
      <c r="J268" s="38"/>
      <c r="K268" s="38"/>
      <c r="L268" s="59"/>
    </row>
    <row r="269" ht="15.75" customHeight="1">
      <c r="D269" s="38"/>
      <c r="G269" s="54"/>
      <c r="I269" s="38"/>
      <c r="J269" s="38"/>
      <c r="K269" s="38"/>
      <c r="L269" s="59"/>
    </row>
    <row r="270" ht="15.75" customHeight="1">
      <c r="D270" s="38"/>
      <c r="G270" s="54"/>
      <c r="I270" s="38"/>
      <c r="J270" s="38"/>
      <c r="K270" s="38"/>
      <c r="L270" s="59"/>
    </row>
    <row r="271" ht="15.75" customHeight="1">
      <c r="D271" s="38"/>
      <c r="G271" s="54"/>
      <c r="I271" s="38"/>
      <c r="J271" s="38"/>
      <c r="K271" s="38"/>
      <c r="L271" s="59"/>
    </row>
    <row r="272" ht="15.75" customHeight="1">
      <c r="D272" s="38"/>
      <c r="G272" s="54"/>
      <c r="I272" s="38"/>
      <c r="J272" s="38"/>
      <c r="K272" s="38"/>
      <c r="L272" s="59"/>
    </row>
    <row r="273" ht="15.75" customHeight="1">
      <c r="D273" s="38"/>
      <c r="G273" s="54"/>
      <c r="I273" s="38"/>
      <c r="J273" s="38"/>
      <c r="K273" s="38"/>
      <c r="L273" s="59"/>
    </row>
    <row r="274" ht="15.75" customHeight="1">
      <c r="D274" s="38"/>
      <c r="G274" s="54"/>
      <c r="I274" s="38"/>
      <c r="J274" s="38"/>
      <c r="K274" s="38"/>
      <c r="L274" s="59"/>
    </row>
    <row r="275" ht="15.75" customHeight="1">
      <c r="D275" s="38"/>
      <c r="G275" s="54"/>
      <c r="I275" s="38"/>
      <c r="J275" s="38"/>
      <c r="K275" s="38"/>
      <c r="L275" s="59"/>
    </row>
    <row r="276" ht="15.75" customHeight="1">
      <c r="D276" s="38"/>
      <c r="G276" s="54"/>
      <c r="I276" s="38"/>
      <c r="J276" s="38"/>
      <c r="K276" s="38"/>
      <c r="L276" s="59"/>
    </row>
    <row r="277" ht="15.75" customHeight="1">
      <c r="D277" s="38"/>
      <c r="G277" s="54"/>
      <c r="I277" s="38"/>
      <c r="J277" s="38"/>
      <c r="K277" s="38"/>
      <c r="L277" s="59"/>
    </row>
    <row r="278" ht="15.75" customHeight="1">
      <c r="D278" s="38"/>
      <c r="G278" s="54"/>
      <c r="I278" s="38"/>
      <c r="J278" s="38"/>
      <c r="K278" s="38"/>
      <c r="L278" s="59"/>
    </row>
    <row r="279" ht="15.75" customHeight="1">
      <c r="D279" s="38"/>
      <c r="G279" s="54"/>
      <c r="I279" s="38"/>
      <c r="J279" s="38"/>
      <c r="K279" s="38"/>
      <c r="L279" s="59"/>
    </row>
    <row r="280" ht="15.75" customHeight="1">
      <c r="D280" s="38"/>
      <c r="G280" s="54"/>
      <c r="I280" s="38"/>
      <c r="J280" s="38"/>
      <c r="K280" s="38"/>
      <c r="L280" s="59"/>
    </row>
    <row r="281" ht="15.75" customHeight="1">
      <c r="D281" s="38"/>
      <c r="G281" s="54"/>
      <c r="I281" s="38"/>
      <c r="J281" s="38"/>
      <c r="K281" s="38"/>
      <c r="L281" s="59"/>
    </row>
    <row r="282" ht="15.75" customHeight="1">
      <c r="D282" s="38"/>
      <c r="G282" s="54"/>
      <c r="I282" s="38"/>
      <c r="J282" s="38"/>
      <c r="K282" s="38"/>
      <c r="L282" s="59"/>
    </row>
    <row r="283" ht="15.75" customHeight="1">
      <c r="D283" s="38"/>
      <c r="G283" s="54"/>
      <c r="I283" s="38"/>
      <c r="J283" s="38"/>
      <c r="K283" s="38"/>
      <c r="L283" s="59"/>
    </row>
    <row r="284" ht="15.75" customHeight="1">
      <c r="D284" s="38"/>
      <c r="G284" s="54"/>
      <c r="I284" s="38"/>
      <c r="J284" s="38"/>
      <c r="K284" s="38"/>
      <c r="L284" s="59"/>
    </row>
    <row r="285" ht="15.75" customHeight="1">
      <c r="D285" s="38"/>
      <c r="G285" s="54"/>
      <c r="I285" s="38"/>
      <c r="J285" s="38"/>
      <c r="K285" s="38"/>
      <c r="L285" s="59"/>
    </row>
    <row r="286" ht="15.75" customHeight="1">
      <c r="D286" s="38"/>
      <c r="G286" s="54"/>
      <c r="I286" s="38"/>
      <c r="J286" s="38"/>
      <c r="K286" s="38"/>
      <c r="L286" s="59"/>
    </row>
    <row r="287" ht="15.75" customHeight="1">
      <c r="D287" s="38"/>
      <c r="G287" s="54"/>
      <c r="I287" s="38"/>
      <c r="J287" s="38"/>
      <c r="K287" s="38"/>
      <c r="L287" s="59"/>
    </row>
    <row r="288" ht="15.75" customHeight="1">
      <c r="D288" s="38"/>
      <c r="G288" s="54"/>
      <c r="I288" s="38"/>
      <c r="J288" s="38"/>
      <c r="K288" s="38"/>
      <c r="L288" s="59"/>
    </row>
    <row r="289" ht="15.75" customHeight="1">
      <c r="D289" s="38"/>
      <c r="G289" s="54"/>
      <c r="I289" s="38"/>
      <c r="J289" s="38"/>
      <c r="K289" s="38"/>
      <c r="L289" s="59"/>
    </row>
    <row r="290" ht="15.75" customHeight="1">
      <c r="D290" s="38"/>
      <c r="G290" s="54"/>
      <c r="I290" s="38"/>
      <c r="J290" s="38"/>
      <c r="K290" s="38"/>
      <c r="L290" s="59"/>
    </row>
    <row r="291" ht="15.75" customHeight="1">
      <c r="D291" s="38"/>
      <c r="G291" s="54"/>
      <c r="I291" s="38"/>
      <c r="J291" s="38"/>
      <c r="K291" s="38"/>
      <c r="L291" s="59"/>
    </row>
    <row r="292" ht="15.75" customHeight="1">
      <c r="D292" s="38"/>
      <c r="G292" s="54"/>
      <c r="I292" s="38"/>
      <c r="J292" s="38"/>
      <c r="K292" s="38"/>
      <c r="L292" s="59"/>
    </row>
    <row r="293" ht="15.75" customHeight="1">
      <c r="D293" s="38"/>
      <c r="G293" s="54"/>
      <c r="I293" s="38"/>
      <c r="J293" s="38"/>
      <c r="K293" s="38"/>
      <c r="L293" s="59"/>
    </row>
    <row r="294" ht="15.75" customHeight="1">
      <c r="D294" s="38"/>
      <c r="G294" s="54"/>
      <c r="I294" s="38"/>
      <c r="J294" s="38"/>
      <c r="K294" s="38"/>
      <c r="L294" s="59"/>
    </row>
    <row r="295" ht="15.75" customHeight="1">
      <c r="D295" s="38"/>
      <c r="G295" s="54"/>
      <c r="I295" s="38"/>
      <c r="J295" s="38"/>
      <c r="K295" s="38"/>
      <c r="L295" s="59"/>
    </row>
    <row r="296" ht="15.75" customHeight="1">
      <c r="D296" s="38"/>
      <c r="G296" s="54"/>
      <c r="I296" s="38"/>
      <c r="J296" s="38"/>
      <c r="K296" s="38"/>
      <c r="L296" s="59"/>
    </row>
    <row r="297" ht="15.75" customHeight="1">
      <c r="D297" s="38"/>
      <c r="G297" s="54"/>
      <c r="I297" s="38"/>
      <c r="J297" s="38"/>
      <c r="K297" s="38"/>
      <c r="L297" s="59"/>
    </row>
    <row r="298" ht="15.75" customHeight="1">
      <c r="D298" s="38"/>
      <c r="G298" s="54"/>
      <c r="I298" s="38"/>
      <c r="J298" s="38"/>
      <c r="K298" s="38"/>
      <c r="L298" s="59"/>
    </row>
    <row r="299" ht="15.75" customHeight="1">
      <c r="D299" s="38"/>
      <c r="G299" s="54"/>
      <c r="I299" s="38"/>
      <c r="J299" s="38"/>
      <c r="K299" s="38"/>
      <c r="L299" s="59"/>
    </row>
    <row r="300" ht="15.75" customHeight="1">
      <c r="D300" s="38"/>
      <c r="G300" s="54"/>
      <c r="I300" s="38"/>
      <c r="J300" s="38"/>
      <c r="K300" s="38"/>
      <c r="L300" s="59"/>
    </row>
    <row r="301" ht="15.75" customHeight="1">
      <c r="D301" s="38"/>
      <c r="G301" s="54"/>
      <c r="I301" s="38"/>
      <c r="J301" s="38"/>
      <c r="K301" s="38"/>
      <c r="L301" s="59"/>
    </row>
    <row r="302" ht="15.75" customHeight="1">
      <c r="D302" s="38"/>
      <c r="G302" s="54"/>
      <c r="I302" s="38"/>
      <c r="J302" s="38"/>
      <c r="K302" s="38"/>
      <c r="L302" s="59"/>
    </row>
    <row r="303" ht="15.75" customHeight="1">
      <c r="D303" s="38"/>
      <c r="G303" s="54"/>
      <c r="I303" s="38"/>
      <c r="J303" s="38"/>
      <c r="K303" s="38"/>
      <c r="L303" s="59"/>
    </row>
    <row r="304" ht="15.75" customHeight="1">
      <c r="D304" s="38"/>
      <c r="G304" s="54"/>
      <c r="I304" s="38"/>
      <c r="J304" s="38"/>
      <c r="K304" s="38"/>
      <c r="L304" s="59"/>
    </row>
    <row r="305" ht="15.75" customHeight="1">
      <c r="D305" s="38"/>
      <c r="G305" s="54"/>
      <c r="I305" s="38"/>
      <c r="J305" s="38"/>
      <c r="K305" s="38"/>
      <c r="L305" s="59"/>
    </row>
    <row r="306" ht="15.75" customHeight="1">
      <c r="D306" s="38"/>
      <c r="G306" s="54"/>
      <c r="I306" s="38"/>
      <c r="J306" s="38"/>
      <c r="K306" s="38"/>
      <c r="L306" s="59"/>
    </row>
    <row r="307" ht="15.75" customHeight="1">
      <c r="D307" s="38"/>
      <c r="G307" s="54"/>
      <c r="I307" s="38"/>
      <c r="J307" s="38"/>
      <c r="K307" s="38"/>
      <c r="L307" s="59"/>
    </row>
    <row r="308" ht="15.75" customHeight="1">
      <c r="D308" s="38"/>
      <c r="G308" s="54"/>
      <c r="I308" s="38"/>
      <c r="J308" s="38"/>
      <c r="K308" s="38"/>
      <c r="L308" s="59"/>
    </row>
    <row r="309" ht="15.75" customHeight="1">
      <c r="D309" s="38"/>
      <c r="G309" s="54"/>
      <c r="I309" s="38"/>
      <c r="J309" s="38"/>
      <c r="K309" s="38"/>
      <c r="L309" s="59"/>
    </row>
    <row r="310" ht="15.75" customHeight="1">
      <c r="D310" s="38"/>
      <c r="G310" s="54"/>
      <c r="I310" s="38"/>
      <c r="J310" s="38"/>
      <c r="K310" s="38"/>
      <c r="L310" s="59"/>
    </row>
    <row r="311" ht="15.75" customHeight="1">
      <c r="D311" s="38"/>
      <c r="G311" s="54"/>
      <c r="I311" s="38"/>
      <c r="J311" s="38"/>
      <c r="K311" s="38"/>
      <c r="L311" s="59"/>
    </row>
    <row r="312" ht="15.75" customHeight="1">
      <c r="D312" s="38"/>
      <c r="G312" s="54"/>
      <c r="I312" s="38"/>
      <c r="J312" s="38"/>
      <c r="K312" s="38"/>
      <c r="L312" s="59"/>
    </row>
    <row r="313" ht="15.75" customHeight="1">
      <c r="D313" s="38"/>
      <c r="G313" s="54"/>
      <c r="I313" s="38"/>
      <c r="J313" s="38"/>
      <c r="K313" s="38"/>
      <c r="L313" s="59"/>
    </row>
    <row r="314" ht="15.75" customHeight="1">
      <c r="D314" s="38"/>
      <c r="G314" s="54"/>
      <c r="I314" s="38"/>
      <c r="J314" s="38"/>
      <c r="K314" s="38"/>
      <c r="L314" s="59"/>
    </row>
    <row r="315" ht="15.75" customHeight="1">
      <c r="D315" s="38"/>
      <c r="G315" s="54"/>
      <c r="I315" s="38"/>
      <c r="J315" s="38"/>
      <c r="K315" s="38"/>
      <c r="L315" s="59"/>
    </row>
    <row r="316" ht="15.75" customHeight="1">
      <c r="D316" s="38"/>
      <c r="G316" s="54"/>
      <c r="I316" s="38"/>
      <c r="J316" s="38"/>
      <c r="K316" s="38"/>
      <c r="L316" s="59"/>
    </row>
    <row r="317" ht="15.75" customHeight="1">
      <c r="D317" s="38"/>
      <c r="G317" s="54"/>
      <c r="I317" s="38"/>
      <c r="J317" s="38"/>
      <c r="K317" s="38"/>
      <c r="L317" s="59"/>
    </row>
    <row r="318" ht="15.75" customHeight="1">
      <c r="D318" s="38"/>
      <c r="G318" s="54"/>
      <c r="I318" s="38"/>
      <c r="J318" s="38"/>
      <c r="K318" s="38"/>
      <c r="L318" s="59"/>
    </row>
    <row r="319" ht="15.75" customHeight="1">
      <c r="D319" s="38"/>
      <c r="G319" s="54"/>
      <c r="I319" s="38"/>
      <c r="J319" s="38"/>
      <c r="K319" s="38"/>
      <c r="L319" s="59"/>
    </row>
    <row r="320" ht="15.75" customHeight="1">
      <c r="D320" s="38"/>
      <c r="G320" s="54"/>
      <c r="I320" s="38"/>
      <c r="J320" s="38"/>
      <c r="K320" s="38"/>
      <c r="L320" s="59"/>
    </row>
    <row r="321" ht="15.75" customHeight="1">
      <c r="D321" s="38"/>
      <c r="G321" s="54"/>
      <c r="I321" s="38"/>
      <c r="J321" s="38"/>
      <c r="K321" s="38"/>
      <c r="L321" s="59"/>
    </row>
    <row r="322" ht="15.75" customHeight="1">
      <c r="D322" s="38"/>
      <c r="G322" s="54"/>
      <c r="I322" s="38"/>
      <c r="J322" s="38"/>
      <c r="K322" s="38"/>
      <c r="L322" s="59"/>
    </row>
    <row r="323" ht="15.75" customHeight="1">
      <c r="D323" s="38"/>
      <c r="G323" s="54"/>
      <c r="I323" s="38"/>
      <c r="J323" s="38"/>
      <c r="K323" s="38"/>
      <c r="L323" s="59"/>
    </row>
    <row r="324" ht="15.75" customHeight="1">
      <c r="D324" s="38"/>
      <c r="G324" s="54"/>
      <c r="I324" s="38"/>
      <c r="J324" s="38"/>
      <c r="K324" s="38"/>
      <c r="L324" s="59"/>
    </row>
    <row r="325" ht="15.75" customHeight="1">
      <c r="D325" s="38"/>
      <c r="G325" s="54"/>
      <c r="I325" s="38"/>
      <c r="J325" s="38"/>
      <c r="K325" s="38"/>
      <c r="L325" s="59"/>
    </row>
    <row r="326" ht="15.75" customHeight="1">
      <c r="D326" s="38"/>
      <c r="G326" s="54"/>
      <c r="I326" s="38"/>
      <c r="J326" s="38"/>
      <c r="K326" s="38"/>
      <c r="L326" s="59"/>
    </row>
    <row r="327" ht="15.75" customHeight="1">
      <c r="D327" s="38"/>
      <c r="G327" s="54"/>
      <c r="I327" s="38"/>
      <c r="J327" s="38"/>
      <c r="K327" s="38"/>
      <c r="L327" s="59"/>
    </row>
    <row r="328" ht="15.75" customHeight="1">
      <c r="D328" s="38"/>
      <c r="G328" s="54"/>
      <c r="I328" s="38"/>
      <c r="J328" s="38"/>
      <c r="K328" s="38"/>
      <c r="L328" s="59"/>
    </row>
    <row r="329" ht="15.75" customHeight="1">
      <c r="D329" s="38"/>
      <c r="G329" s="54"/>
      <c r="I329" s="38"/>
      <c r="J329" s="38"/>
      <c r="K329" s="38"/>
      <c r="L329" s="59"/>
    </row>
    <row r="330" ht="15.75" customHeight="1">
      <c r="D330" s="38"/>
      <c r="G330" s="54"/>
      <c r="I330" s="38"/>
      <c r="J330" s="38"/>
      <c r="K330" s="38"/>
      <c r="L330" s="59"/>
    </row>
    <row r="331" ht="15.75" customHeight="1">
      <c r="D331" s="38"/>
      <c r="G331" s="54"/>
      <c r="I331" s="38"/>
      <c r="J331" s="38"/>
      <c r="K331" s="38"/>
      <c r="L331" s="59"/>
    </row>
    <row r="332" ht="15.75" customHeight="1">
      <c r="D332" s="38"/>
      <c r="G332" s="54"/>
      <c r="I332" s="38"/>
      <c r="J332" s="38"/>
      <c r="K332" s="38"/>
      <c r="L332" s="59"/>
    </row>
    <row r="333" ht="15.75" customHeight="1">
      <c r="D333" s="38"/>
      <c r="G333" s="54"/>
      <c r="I333" s="38"/>
      <c r="J333" s="38"/>
      <c r="K333" s="38"/>
      <c r="L333" s="59"/>
    </row>
    <row r="334" ht="15.75" customHeight="1">
      <c r="D334" s="38"/>
      <c r="G334" s="54"/>
      <c r="I334" s="38"/>
      <c r="J334" s="38"/>
      <c r="K334" s="38"/>
      <c r="L334" s="59"/>
    </row>
    <row r="335" ht="15.75" customHeight="1">
      <c r="D335" s="38"/>
      <c r="G335" s="54"/>
      <c r="I335" s="38"/>
      <c r="J335" s="38"/>
      <c r="K335" s="38"/>
      <c r="L335" s="59"/>
    </row>
    <row r="336" ht="15.75" customHeight="1">
      <c r="D336" s="38"/>
      <c r="G336" s="54"/>
      <c r="I336" s="38"/>
      <c r="J336" s="38"/>
      <c r="K336" s="38"/>
      <c r="L336" s="59"/>
    </row>
    <row r="337" ht="15.75" customHeight="1">
      <c r="D337" s="38"/>
      <c r="G337" s="54"/>
      <c r="I337" s="38"/>
      <c r="J337" s="38"/>
      <c r="K337" s="38"/>
      <c r="L337" s="59"/>
    </row>
    <row r="338" ht="15.75" customHeight="1">
      <c r="D338" s="38"/>
      <c r="G338" s="54"/>
      <c r="I338" s="38"/>
      <c r="J338" s="38"/>
      <c r="K338" s="38"/>
      <c r="L338" s="59"/>
    </row>
    <row r="339" ht="15.75" customHeight="1">
      <c r="D339" s="38"/>
      <c r="G339" s="54"/>
      <c r="I339" s="38"/>
      <c r="J339" s="38"/>
      <c r="K339" s="38"/>
      <c r="L339" s="59"/>
    </row>
    <row r="340" ht="15.75" customHeight="1">
      <c r="D340" s="38"/>
      <c r="G340" s="54"/>
      <c r="I340" s="38"/>
      <c r="J340" s="38"/>
      <c r="K340" s="38"/>
      <c r="L340" s="59"/>
    </row>
    <row r="341" ht="15.75" customHeight="1">
      <c r="D341" s="38"/>
      <c r="G341" s="54"/>
      <c r="I341" s="38"/>
      <c r="J341" s="38"/>
      <c r="K341" s="38"/>
      <c r="L341" s="59"/>
    </row>
    <row r="342" ht="15.75" customHeight="1">
      <c r="D342" s="38"/>
      <c r="G342" s="54"/>
      <c r="I342" s="38"/>
      <c r="J342" s="38"/>
      <c r="K342" s="38"/>
      <c r="L342" s="59"/>
    </row>
    <row r="343" ht="15.75" customHeight="1">
      <c r="D343" s="38"/>
      <c r="G343" s="54"/>
      <c r="I343" s="38"/>
      <c r="J343" s="38"/>
      <c r="K343" s="38"/>
      <c r="L343" s="59"/>
    </row>
    <row r="344" ht="15.75" customHeight="1">
      <c r="D344" s="38"/>
      <c r="G344" s="54"/>
      <c r="I344" s="38"/>
      <c r="J344" s="38"/>
      <c r="K344" s="38"/>
      <c r="L344" s="59"/>
    </row>
    <row r="345" ht="15.75" customHeight="1">
      <c r="D345" s="38"/>
      <c r="G345" s="54"/>
      <c r="I345" s="38"/>
      <c r="J345" s="38"/>
      <c r="K345" s="38"/>
      <c r="L345" s="59"/>
    </row>
    <row r="346" ht="15.75" customHeight="1">
      <c r="D346" s="38"/>
      <c r="G346" s="54"/>
      <c r="I346" s="38"/>
      <c r="J346" s="38"/>
      <c r="K346" s="38"/>
      <c r="L346" s="59"/>
    </row>
    <row r="347" ht="15.75" customHeight="1">
      <c r="D347" s="38"/>
      <c r="G347" s="54"/>
      <c r="I347" s="38"/>
      <c r="J347" s="38"/>
      <c r="K347" s="38"/>
      <c r="L347" s="59"/>
    </row>
    <row r="348" ht="15.75" customHeight="1">
      <c r="D348" s="38"/>
      <c r="G348" s="54"/>
      <c r="I348" s="38"/>
      <c r="J348" s="38"/>
      <c r="K348" s="38"/>
      <c r="L348" s="59"/>
    </row>
    <row r="349" ht="15.75" customHeight="1">
      <c r="D349" s="38"/>
      <c r="G349" s="54"/>
      <c r="I349" s="38"/>
      <c r="J349" s="38"/>
      <c r="K349" s="38"/>
      <c r="L349" s="59"/>
    </row>
    <row r="350" ht="15.75" customHeight="1">
      <c r="D350" s="38"/>
      <c r="G350" s="54"/>
      <c r="I350" s="38"/>
      <c r="J350" s="38"/>
      <c r="K350" s="38"/>
      <c r="L350" s="59"/>
    </row>
    <row r="351" ht="15.75" customHeight="1">
      <c r="D351" s="38"/>
      <c r="G351" s="54"/>
      <c r="I351" s="38"/>
      <c r="J351" s="38"/>
      <c r="K351" s="38"/>
      <c r="L351" s="59"/>
    </row>
    <row r="352" ht="15.75" customHeight="1">
      <c r="D352" s="38"/>
      <c r="G352" s="54"/>
      <c r="I352" s="38"/>
      <c r="J352" s="38"/>
      <c r="K352" s="38"/>
      <c r="L352" s="59"/>
    </row>
    <row r="353" ht="15.75" customHeight="1">
      <c r="D353" s="38"/>
      <c r="G353" s="54"/>
      <c r="I353" s="38"/>
      <c r="J353" s="38"/>
      <c r="K353" s="38"/>
      <c r="L353" s="59"/>
    </row>
    <row r="354" ht="15.75" customHeight="1">
      <c r="D354" s="38"/>
      <c r="G354" s="54"/>
      <c r="I354" s="38"/>
      <c r="J354" s="38"/>
      <c r="K354" s="38"/>
      <c r="L354" s="59"/>
    </row>
    <row r="355" ht="15.75" customHeight="1">
      <c r="D355" s="38"/>
      <c r="G355" s="54"/>
      <c r="I355" s="38"/>
      <c r="J355" s="38"/>
      <c r="K355" s="38"/>
      <c r="L355" s="59"/>
    </row>
    <row r="356" ht="15.75" customHeight="1">
      <c r="D356" s="38"/>
      <c r="G356" s="54"/>
      <c r="I356" s="38"/>
      <c r="J356" s="38"/>
      <c r="K356" s="38"/>
      <c r="L356" s="59"/>
    </row>
    <row r="357" ht="15.75" customHeight="1">
      <c r="D357" s="38"/>
      <c r="G357" s="54"/>
      <c r="I357" s="38"/>
      <c r="J357" s="38"/>
      <c r="K357" s="38"/>
      <c r="L357" s="59"/>
    </row>
    <row r="358" ht="15.75" customHeight="1">
      <c r="D358" s="38"/>
      <c r="G358" s="54"/>
      <c r="I358" s="38"/>
      <c r="J358" s="38"/>
      <c r="K358" s="38"/>
      <c r="L358" s="59"/>
    </row>
    <row r="359" ht="15.75" customHeight="1">
      <c r="D359" s="38"/>
      <c r="G359" s="54"/>
      <c r="I359" s="38"/>
      <c r="J359" s="38"/>
      <c r="K359" s="38"/>
      <c r="L359" s="59"/>
    </row>
    <row r="360" ht="15.75" customHeight="1">
      <c r="D360" s="38"/>
      <c r="G360" s="54"/>
      <c r="I360" s="38"/>
      <c r="J360" s="38"/>
      <c r="K360" s="38"/>
      <c r="L360" s="59"/>
    </row>
    <row r="361" ht="15.75" customHeight="1">
      <c r="D361" s="38"/>
      <c r="G361" s="54"/>
      <c r="I361" s="38"/>
      <c r="J361" s="38"/>
      <c r="K361" s="38"/>
      <c r="L361" s="59"/>
    </row>
    <row r="362" ht="15.75" customHeight="1">
      <c r="D362" s="38"/>
      <c r="G362" s="54"/>
      <c r="I362" s="38"/>
      <c r="J362" s="38"/>
      <c r="K362" s="38"/>
      <c r="L362" s="59"/>
    </row>
    <row r="363" ht="15.75" customHeight="1">
      <c r="D363" s="38"/>
      <c r="G363" s="54"/>
      <c r="I363" s="38"/>
      <c r="J363" s="38"/>
      <c r="K363" s="38"/>
      <c r="L363" s="59"/>
    </row>
    <row r="364" ht="15.75" customHeight="1">
      <c r="D364" s="38"/>
      <c r="G364" s="54"/>
      <c r="I364" s="38"/>
      <c r="J364" s="38"/>
      <c r="K364" s="38"/>
      <c r="L364" s="59"/>
    </row>
    <row r="365" ht="15.75" customHeight="1">
      <c r="D365" s="38"/>
      <c r="G365" s="54"/>
      <c r="I365" s="38"/>
      <c r="J365" s="38"/>
      <c r="K365" s="38"/>
      <c r="L365" s="59"/>
    </row>
    <row r="366" ht="15.75" customHeight="1">
      <c r="D366" s="38"/>
      <c r="G366" s="54"/>
      <c r="I366" s="38"/>
      <c r="J366" s="38"/>
      <c r="K366" s="38"/>
      <c r="L366" s="59"/>
    </row>
    <row r="367" ht="15.75" customHeight="1">
      <c r="D367" s="38"/>
      <c r="G367" s="54"/>
      <c r="I367" s="38"/>
      <c r="J367" s="38"/>
      <c r="K367" s="38"/>
      <c r="L367" s="59"/>
    </row>
    <row r="368" ht="15.75" customHeight="1">
      <c r="D368" s="38"/>
      <c r="G368" s="54"/>
      <c r="I368" s="38"/>
      <c r="J368" s="38"/>
      <c r="K368" s="38"/>
      <c r="L368" s="59"/>
    </row>
    <row r="369" ht="15.75" customHeight="1">
      <c r="D369" s="38"/>
      <c r="G369" s="54"/>
      <c r="I369" s="38"/>
      <c r="J369" s="38"/>
      <c r="K369" s="38"/>
      <c r="L369" s="59"/>
    </row>
    <row r="370" ht="15.75" customHeight="1">
      <c r="D370" s="38"/>
      <c r="G370" s="54"/>
      <c r="I370" s="38"/>
      <c r="J370" s="38"/>
      <c r="K370" s="38"/>
      <c r="L370" s="59"/>
    </row>
    <row r="371" ht="15.75" customHeight="1">
      <c r="D371" s="38"/>
      <c r="G371" s="54"/>
      <c r="I371" s="38"/>
      <c r="J371" s="38"/>
      <c r="K371" s="38"/>
      <c r="L371" s="59"/>
    </row>
    <row r="372" ht="15.75" customHeight="1">
      <c r="D372" s="38"/>
      <c r="G372" s="54"/>
      <c r="I372" s="38"/>
      <c r="J372" s="38"/>
      <c r="K372" s="38"/>
      <c r="L372" s="59"/>
    </row>
    <row r="373" ht="15.75" customHeight="1">
      <c r="D373" s="38"/>
      <c r="G373" s="54"/>
      <c r="I373" s="38"/>
      <c r="J373" s="38"/>
      <c r="K373" s="38"/>
      <c r="L373" s="59"/>
    </row>
    <row r="374" ht="15.75" customHeight="1">
      <c r="D374" s="38"/>
      <c r="G374" s="54"/>
      <c r="I374" s="38"/>
      <c r="J374" s="38"/>
      <c r="K374" s="38"/>
      <c r="L374" s="59"/>
    </row>
    <row r="375" ht="15.75" customHeight="1">
      <c r="D375" s="38"/>
      <c r="G375" s="54"/>
      <c r="I375" s="38"/>
      <c r="J375" s="38"/>
      <c r="K375" s="38"/>
      <c r="L375" s="59"/>
    </row>
    <row r="376" ht="15.75" customHeight="1">
      <c r="D376" s="38"/>
      <c r="G376" s="54"/>
      <c r="I376" s="38"/>
      <c r="J376" s="38"/>
      <c r="K376" s="38"/>
      <c r="L376" s="59"/>
    </row>
    <row r="377" ht="15.75" customHeight="1">
      <c r="D377" s="38"/>
      <c r="G377" s="54"/>
      <c r="I377" s="38"/>
      <c r="J377" s="38"/>
      <c r="K377" s="38"/>
      <c r="L377" s="59"/>
    </row>
    <row r="378" ht="15.75" customHeight="1">
      <c r="D378" s="38"/>
      <c r="G378" s="54"/>
      <c r="I378" s="38"/>
      <c r="J378" s="38"/>
      <c r="K378" s="38"/>
      <c r="L378" s="59"/>
    </row>
    <row r="379" ht="15.75" customHeight="1">
      <c r="D379" s="38"/>
      <c r="G379" s="54"/>
      <c r="I379" s="38"/>
      <c r="J379" s="38"/>
      <c r="K379" s="38"/>
      <c r="L379" s="59"/>
    </row>
    <row r="380" ht="15.75" customHeight="1">
      <c r="D380" s="38"/>
      <c r="G380" s="54"/>
      <c r="I380" s="38"/>
      <c r="J380" s="38"/>
      <c r="K380" s="38"/>
      <c r="L380" s="59"/>
    </row>
    <row r="381" ht="15.75" customHeight="1">
      <c r="D381" s="38"/>
      <c r="G381" s="54"/>
      <c r="I381" s="38"/>
      <c r="J381" s="38"/>
      <c r="K381" s="38"/>
      <c r="L381" s="59"/>
    </row>
    <row r="382" ht="15.75" customHeight="1">
      <c r="D382" s="38"/>
      <c r="G382" s="54"/>
      <c r="I382" s="38"/>
      <c r="J382" s="38"/>
      <c r="K382" s="38"/>
      <c r="L382" s="59"/>
    </row>
    <row r="383" ht="15.75" customHeight="1">
      <c r="D383" s="38"/>
      <c r="G383" s="54"/>
      <c r="I383" s="38"/>
      <c r="J383" s="38"/>
      <c r="K383" s="38"/>
      <c r="L383" s="59"/>
    </row>
    <row r="384" ht="15.75" customHeight="1">
      <c r="D384" s="38"/>
      <c r="G384" s="54"/>
      <c r="I384" s="38"/>
      <c r="J384" s="38"/>
      <c r="K384" s="38"/>
      <c r="L384" s="59"/>
    </row>
    <row r="385" ht="15.75" customHeight="1">
      <c r="D385" s="38"/>
      <c r="G385" s="54"/>
      <c r="I385" s="38"/>
      <c r="J385" s="38"/>
      <c r="K385" s="38"/>
      <c r="L385" s="59"/>
    </row>
    <row r="386" ht="15.75" customHeight="1">
      <c r="D386" s="38"/>
      <c r="G386" s="54"/>
      <c r="I386" s="38"/>
      <c r="J386" s="38"/>
      <c r="K386" s="38"/>
      <c r="L386" s="59"/>
    </row>
    <row r="387" ht="15.75" customHeight="1">
      <c r="D387" s="38"/>
      <c r="G387" s="54"/>
      <c r="I387" s="38"/>
      <c r="J387" s="38"/>
      <c r="K387" s="38"/>
      <c r="L387" s="59"/>
    </row>
    <row r="388" ht="15.75" customHeight="1">
      <c r="D388" s="38"/>
      <c r="G388" s="54"/>
      <c r="I388" s="38"/>
      <c r="J388" s="38"/>
      <c r="K388" s="38"/>
      <c r="L388" s="59"/>
    </row>
    <row r="389" ht="15.75" customHeight="1">
      <c r="D389" s="38"/>
      <c r="G389" s="54"/>
      <c r="I389" s="38"/>
      <c r="J389" s="38"/>
      <c r="K389" s="38"/>
      <c r="L389" s="59"/>
    </row>
    <row r="390" ht="15.75" customHeight="1">
      <c r="D390" s="38"/>
      <c r="G390" s="54"/>
      <c r="I390" s="38"/>
      <c r="J390" s="38"/>
      <c r="K390" s="38"/>
      <c r="L390" s="59"/>
    </row>
    <row r="391" ht="15.75" customHeight="1">
      <c r="D391" s="38"/>
      <c r="G391" s="54"/>
      <c r="I391" s="38"/>
      <c r="J391" s="38"/>
      <c r="K391" s="38"/>
      <c r="L391" s="59"/>
    </row>
    <row r="392" ht="15.75" customHeight="1">
      <c r="D392" s="38"/>
      <c r="G392" s="54"/>
      <c r="I392" s="38"/>
      <c r="J392" s="38"/>
      <c r="K392" s="38"/>
      <c r="L392" s="59"/>
    </row>
    <row r="393" ht="15.75" customHeight="1">
      <c r="D393" s="38"/>
      <c r="G393" s="54"/>
      <c r="I393" s="38"/>
      <c r="J393" s="38"/>
      <c r="K393" s="38"/>
      <c r="L393" s="59"/>
    </row>
    <row r="394" ht="15.75" customHeight="1">
      <c r="D394" s="38"/>
      <c r="G394" s="54"/>
      <c r="I394" s="38"/>
      <c r="J394" s="38"/>
      <c r="K394" s="38"/>
      <c r="L394" s="59"/>
    </row>
    <row r="395" ht="15.75" customHeight="1">
      <c r="D395" s="38"/>
      <c r="G395" s="54"/>
      <c r="I395" s="38"/>
      <c r="J395" s="38"/>
      <c r="K395" s="38"/>
      <c r="L395" s="59"/>
    </row>
    <row r="396" ht="15.75" customHeight="1">
      <c r="D396" s="38"/>
      <c r="G396" s="54"/>
      <c r="I396" s="38"/>
      <c r="J396" s="38"/>
      <c r="K396" s="38"/>
      <c r="L396" s="59"/>
    </row>
    <row r="397" ht="15.75" customHeight="1">
      <c r="D397" s="38"/>
      <c r="G397" s="54"/>
      <c r="I397" s="38"/>
      <c r="J397" s="38"/>
      <c r="K397" s="38"/>
      <c r="L397" s="59"/>
    </row>
    <row r="398" ht="15.75" customHeight="1">
      <c r="D398" s="38"/>
      <c r="G398" s="54"/>
      <c r="I398" s="38"/>
      <c r="J398" s="38"/>
      <c r="K398" s="38"/>
      <c r="L398" s="59"/>
    </row>
    <row r="399" ht="15.75" customHeight="1">
      <c r="D399" s="38"/>
      <c r="G399" s="54"/>
      <c r="I399" s="38"/>
      <c r="J399" s="38"/>
      <c r="K399" s="38"/>
      <c r="L399" s="59"/>
    </row>
    <row r="400" ht="15.75" customHeight="1">
      <c r="D400" s="38"/>
      <c r="G400" s="54"/>
      <c r="I400" s="38"/>
      <c r="J400" s="38"/>
      <c r="K400" s="38"/>
      <c r="L400" s="59"/>
    </row>
    <row r="401" ht="15.75" customHeight="1">
      <c r="D401" s="38"/>
      <c r="G401" s="54"/>
      <c r="I401" s="38"/>
      <c r="J401" s="38"/>
      <c r="K401" s="38"/>
      <c r="L401" s="59"/>
    </row>
    <row r="402" ht="15.75" customHeight="1">
      <c r="D402" s="38"/>
      <c r="G402" s="54"/>
      <c r="I402" s="38"/>
      <c r="J402" s="38"/>
      <c r="K402" s="38"/>
      <c r="L402" s="59"/>
    </row>
    <row r="403" ht="15.75" customHeight="1">
      <c r="D403" s="38"/>
      <c r="G403" s="54"/>
      <c r="I403" s="38"/>
      <c r="J403" s="38"/>
      <c r="K403" s="38"/>
      <c r="L403" s="59"/>
    </row>
    <row r="404" ht="15.75" customHeight="1">
      <c r="D404" s="38"/>
      <c r="G404" s="54"/>
      <c r="I404" s="38"/>
      <c r="J404" s="38"/>
      <c r="K404" s="38"/>
      <c r="L404" s="59"/>
    </row>
    <row r="405" ht="15.75" customHeight="1">
      <c r="D405" s="38"/>
      <c r="G405" s="54"/>
      <c r="I405" s="38"/>
      <c r="J405" s="38"/>
      <c r="K405" s="38"/>
      <c r="L405" s="59"/>
    </row>
    <row r="406" ht="15.75" customHeight="1">
      <c r="D406" s="38"/>
      <c r="G406" s="54"/>
      <c r="I406" s="38"/>
      <c r="J406" s="38"/>
      <c r="K406" s="38"/>
      <c r="L406" s="59"/>
    </row>
    <row r="407" ht="15.75" customHeight="1">
      <c r="D407" s="38"/>
      <c r="G407" s="54"/>
      <c r="I407" s="38"/>
      <c r="J407" s="38"/>
      <c r="K407" s="38"/>
      <c r="L407" s="59"/>
    </row>
    <row r="408" ht="15.75" customHeight="1">
      <c r="D408" s="38"/>
      <c r="G408" s="54"/>
      <c r="I408" s="38"/>
      <c r="J408" s="38"/>
      <c r="K408" s="38"/>
      <c r="L408" s="59"/>
    </row>
    <row r="409" ht="15.75" customHeight="1">
      <c r="D409" s="38"/>
      <c r="G409" s="54"/>
      <c r="I409" s="38"/>
      <c r="J409" s="38"/>
      <c r="K409" s="38"/>
      <c r="L409" s="59"/>
    </row>
    <row r="410" ht="15.75" customHeight="1">
      <c r="D410" s="38"/>
      <c r="G410" s="54"/>
      <c r="I410" s="38"/>
      <c r="J410" s="38"/>
      <c r="K410" s="38"/>
      <c r="L410" s="59"/>
    </row>
    <row r="411" ht="15.75" customHeight="1">
      <c r="D411" s="38"/>
      <c r="G411" s="54"/>
      <c r="I411" s="38"/>
      <c r="J411" s="38"/>
      <c r="K411" s="38"/>
      <c r="L411" s="59"/>
    </row>
    <row r="412" ht="15.75" customHeight="1">
      <c r="D412" s="38"/>
      <c r="G412" s="54"/>
      <c r="I412" s="38"/>
      <c r="J412" s="38"/>
      <c r="K412" s="38"/>
      <c r="L412" s="59"/>
    </row>
    <row r="413" ht="15.75" customHeight="1">
      <c r="D413" s="38"/>
      <c r="G413" s="54"/>
      <c r="I413" s="38"/>
      <c r="J413" s="38"/>
      <c r="K413" s="38"/>
      <c r="L413" s="59"/>
    </row>
    <row r="414" ht="15.75" customHeight="1">
      <c r="D414" s="38"/>
      <c r="G414" s="54"/>
      <c r="I414" s="38"/>
      <c r="J414" s="38"/>
      <c r="K414" s="38"/>
      <c r="L414" s="59"/>
    </row>
    <row r="415" ht="15.75" customHeight="1">
      <c r="D415" s="38"/>
      <c r="G415" s="54"/>
      <c r="I415" s="38"/>
      <c r="J415" s="38"/>
      <c r="K415" s="38"/>
      <c r="L415" s="59"/>
    </row>
    <row r="416" ht="15.75" customHeight="1">
      <c r="D416" s="38"/>
      <c r="G416" s="54"/>
      <c r="I416" s="38"/>
      <c r="J416" s="38"/>
      <c r="K416" s="38"/>
      <c r="L416" s="59"/>
    </row>
    <row r="417" ht="15.75" customHeight="1">
      <c r="D417" s="38"/>
      <c r="G417" s="54"/>
      <c r="I417" s="38"/>
      <c r="J417" s="38"/>
      <c r="K417" s="38"/>
      <c r="L417" s="59"/>
    </row>
    <row r="418" ht="15.75" customHeight="1">
      <c r="D418" s="38"/>
      <c r="G418" s="54"/>
      <c r="I418" s="38"/>
      <c r="J418" s="38"/>
      <c r="K418" s="38"/>
      <c r="L418" s="59"/>
    </row>
    <row r="419" ht="15.75" customHeight="1">
      <c r="D419" s="38"/>
      <c r="G419" s="54"/>
      <c r="I419" s="38"/>
      <c r="J419" s="38"/>
      <c r="K419" s="38"/>
      <c r="L419" s="59"/>
    </row>
    <row r="420" ht="15.75" customHeight="1">
      <c r="D420" s="38"/>
      <c r="G420" s="54"/>
      <c r="I420" s="38"/>
      <c r="J420" s="38"/>
      <c r="K420" s="38"/>
      <c r="L420" s="59"/>
    </row>
    <row r="421" ht="15.75" customHeight="1">
      <c r="D421" s="38"/>
      <c r="G421" s="54"/>
      <c r="I421" s="38"/>
      <c r="J421" s="38"/>
      <c r="K421" s="38"/>
      <c r="L421" s="59"/>
    </row>
    <row r="422" ht="15.75" customHeight="1">
      <c r="D422" s="38"/>
      <c r="G422" s="54"/>
      <c r="I422" s="38"/>
      <c r="J422" s="38"/>
      <c r="K422" s="38"/>
      <c r="L422" s="59"/>
    </row>
    <row r="423" ht="15.75" customHeight="1">
      <c r="D423" s="38"/>
      <c r="G423" s="54"/>
      <c r="I423" s="38"/>
      <c r="J423" s="38"/>
      <c r="K423" s="38"/>
      <c r="L423" s="59"/>
    </row>
    <row r="424" ht="15.75" customHeight="1">
      <c r="D424" s="38"/>
      <c r="G424" s="54"/>
      <c r="I424" s="38"/>
      <c r="J424" s="38"/>
      <c r="K424" s="38"/>
      <c r="L424" s="59"/>
    </row>
    <row r="425" ht="15.75" customHeight="1">
      <c r="D425" s="38"/>
      <c r="G425" s="54"/>
      <c r="I425" s="38"/>
      <c r="J425" s="38"/>
      <c r="K425" s="38"/>
      <c r="L425" s="59"/>
    </row>
    <row r="426" ht="15.75" customHeight="1">
      <c r="D426" s="38"/>
      <c r="G426" s="54"/>
      <c r="I426" s="38"/>
      <c r="J426" s="38"/>
      <c r="K426" s="38"/>
      <c r="L426" s="59"/>
    </row>
    <row r="427" ht="15.75" customHeight="1">
      <c r="D427" s="38"/>
      <c r="G427" s="54"/>
      <c r="I427" s="38"/>
      <c r="J427" s="38"/>
      <c r="K427" s="38"/>
      <c r="L427" s="59"/>
    </row>
    <row r="428" ht="15.75" customHeight="1">
      <c r="D428" s="38"/>
      <c r="G428" s="54"/>
      <c r="I428" s="38"/>
      <c r="J428" s="38"/>
      <c r="K428" s="38"/>
      <c r="L428" s="59"/>
    </row>
    <row r="429" ht="15.75" customHeight="1">
      <c r="D429" s="38"/>
      <c r="G429" s="54"/>
      <c r="I429" s="38"/>
      <c r="J429" s="38"/>
      <c r="K429" s="38"/>
      <c r="L429" s="59"/>
    </row>
    <row r="430" ht="15.75" customHeight="1">
      <c r="D430" s="38"/>
      <c r="G430" s="54"/>
      <c r="I430" s="38"/>
      <c r="J430" s="38"/>
      <c r="K430" s="38"/>
      <c r="L430" s="59"/>
    </row>
    <row r="431" ht="15.75" customHeight="1">
      <c r="D431" s="38"/>
      <c r="G431" s="54"/>
      <c r="I431" s="38"/>
      <c r="J431" s="38"/>
      <c r="K431" s="38"/>
      <c r="L431" s="59"/>
    </row>
    <row r="432" ht="15.75" customHeight="1">
      <c r="D432" s="38"/>
      <c r="G432" s="54"/>
      <c r="I432" s="38"/>
      <c r="J432" s="38"/>
      <c r="K432" s="38"/>
      <c r="L432" s="59"/>
    </row>
    <row r="433" ht="15.75" customHeight="1">
      <c r="D433" s="38"/>
      <c r="G433" s="54"/>
      <c r="I433" s="38"/>
      <c r="J433" s="38"/>
      <c r="K433" s="38"/>
      <c r="L433" s="59"/>
    </row>
    <row r="434" ht="15.75" customHeight="1">
      <c r="D434" s="38"/>
      <c r="G434" s="54"/>
      <c r="I434" s="38"/>
      <c r="J434" s="38"/>
      <c r="K434" s="38"/>
      <c r="L434" s="59"/>
    </row>
    <row r="435" ht="15.75" customHeight="1">
      <c r="D435" s="38"/>
      <c r="G435" s="54"/>
      <c r="I435" s="38"/>
      <c r="J435" s="38"/>
      <c r="K435" s="38"/>
      <c r="L435" s="59"/>
    </row>
    <row r="436" ht="15.75" customHeight="1">
      <c r="D436" s="38"/>
      <c r="G436" s="54"/>
      <c r="I436" s="38"/>
      <c r="J436" s="38"/>
      <c r="K436" s="38"/>
      <c r="L436" s="59"/>
    </row>
    <row r="437" ht="15.75" customHeight="1">
      <c r="D437" s="38"/>
      <c r="G437" s="54"/>
      <c r="I437" s="38"/>
      <c r="J437" s="38"/>
      <c r="K437" s="38"/>
      <c r="L437" s="59"/>
    </row>
    <row r="438" ht="15.75" customHeight="1">
      <c r="D438" s="38"/>
      <c r="G438" s="54"/>
      <c r="I438" s="38"/>
      <c r="J438" s="38"/>
      <c r="K438" s="38"/>
      <c r="L438" s="59"/>
    </row>
    <row r="439" ht="15.75" customHeight="1">
      <c r="D439" s="38"/>
      <c r="G439" s="54"/>
      <c r="I439" s="38"/>
      <c r="J439" s="38"/>
      <c r="K439" s="38"/>
      <c r="L439" s="59"/>
    </row>
    <row r="440" ht="15.75" customHeight="1">
      <c r="D440" s="38"/>
      <c r="G440" s="54"/>
      <c r="I440" s="38"/>
      <c r="J440" s="38"/>
      <c r="K440" s="38"/>
      <c r="L440" s="59"/>
    </row>
    <row r="441" ht="15.75" customHeight="1">
      <c r="D441" s="38"/>
      <c r="G441" s="54"/>
      <c r="I441" s="38"/>
      <c r="J441" s="38"/>
      <c r="K441" s="38"/>
      <c r="L441" s="59"/>
    </row>
    <row r="442" ht="15.75" customHeight="1">
      <c r="D442" s="38"/>
      <c r="G442" s="54"/>
      <c r="I442" s="38"/>
      <c r="J442" s="38"/>
      <c r="K442" s="38"/>
      <c r="L442" s="59"/>
    </row>
    <row r="443" ht="15.75" customHeight="1">
      <c r="D443" s="38"/>
      <c r="G443" s="54"/>
      <c r="I443" s="38"/>
      <c r="J443" s="38"/>
      <c r="K443" s="38"/>
      <c r="L443" s="59"/>
    </row>
    <row r="444" ht="15.75" customHeight="1">
      <c r="D444" s="38"/>
      <c r="G444" s="54"/>
      <c r="I444" s="38"/>
      <c r="J444" s="38"/>
      <c r="K444" s="38"/>
      <c r="L444" s="59"/>
    </row>
    <row r="445" ht="15.75" customHeight="1">
      <c r="D445" s="38"/>
      <c r="G445" s="54"/>
      <c r="I445" s="38"/>
      <c r="J445" s="38"/>
      <c r="K445" s="38"/>
      <c r="L445" s="59"/>
    </row>
    <row r="446" ht="15.75" customHeight="1">
      <c r="D446" s="38"/>
      <c r="G446" s="54"/>
      <c r="I446" s="38"/>
      <c r="J446" s="38"/>
      <c r="K446" s="38"/>
      <c r="L446" s="59"/>
    </row>
    <row r="447" ht="15.75" customHeight="1">
      <c r="D447" s="38"/>
      <c r="G447" s="54"/>
      <c r="I447" s="38"/>
      <c r="J447" s="38"/>
      <c r="K447" s="38"/>
      <c r="L447" s="59"/>
    </row>
    <row r="448" ht="15.75" customHeight="1">
      <c r="D448" s="38"/>
      <c r="G448" s="54"/>
      <c r="I448" s="38"/>
      <c r="J448" s="38"/>
      <c r="K448" s="38"/>
      <c r="L448" s="59"/>
    </row>
    <row r="449" ht="15.75" customHeight="1">
      <c r="D449" s="38"/>
      <c r="G449" s="54"/>
      <c r="I449" s="38"/>
      <c r="J449" s="38"/>
      <c r="K449" s="38"/>
      <c r="L449" s="59"/>
    </row>
    <row r="450" ht="15.75" customHeight="1">
      <c r="D450" s="38"/>
      <c r="G450" s="54"/>
      <c r="I450" s="38"/>
      <c r="J450" s="38"/>
      <c r="K450" s="38"/>
      <c r="L450" s="59"/>
    </row>
    <row r="451" ht="15.75" customHeight="1">
      <c r="D451" s="38"/>
      <c r="G451" s="54"/>
      <c r="I451" s="38"/>
      <c r="J451" s="38"/>
      <c r="K451" s="38"/>
      <c r="L451" s="59"/>
    </row>
    <row r="452" ht="15.75" customHeight="1">
      <c r="D452" s="38"/>
      <c r="G452" s="54"/>
      <c r="I452" s="38"/>
      <c r="J452" s="38"/>
      <c r="K452" s="38"/>
      <c r="L452" s="59"/>
    </row>
    <row r="453" ht="15.75" customHeight="1">
      <c r="D453" s="38"/>
      <c r="G453" s="54"/>
      <c r="I453" s="38"/>
      <c r="J453" s="38"/>
      <c r="K453" s="38"/>
      <c r="L453" s="59"/>
    </row>
    <row r="454" ht="15.75" customHeight="1">
      <c r="D454" s="38"/>
      <c r="G454" s="54"/>
      <c r="I454" s="38"/>
      <c r="J454" s="38"/>
      <c r="K454" s="38"/>
      <c r="L454" s="59"/>
    </row>
    <row r="455" ht="15.75" customHeight="1">
      <c r="D455" s="38"/>
      <c r="G455" s="54"/>
      <c r="I455" s="38"/>
      <c r="J455" s="38"/>
      <c r="K455" s="38"/>
      <c r="L455" s="59"/>
    </row>
    <row r="456" ht="15.75" customHeight="1">
      <c r="D456" s="38"/>
      <c r="G456" s="54"/>
      <c r="I456" s="38"/>
      <c r="J456" s="38"/>
      <c r="K456" s="38"/>
      <c r="L456" s="59"/>
    </row>
    <row r="457" ht="15.75" customHeight="1">
      <c r="D457" s="38"/>
      <c r="G457" s="54"/>
      <c r="I457" s="38"/>
      <c r="J457" s="38"/>
      <c r="K457" s="38"/>
      <c r="L457" s="59"/>
    </row>
    <row r="458" ht="15.75" customHeight="1">
      <c r="D458" s="38"/>
      <c r="G458" s="54"/>
      <c r="I458" s="38"/>
      <c r="J458" s="38"/>
      <c r="K458" s="38"/>
      <c r="L458" s="59"/>
    </row>
    <row r="459" ht="15.75" customHeight="1">
      <c r="D459" s="38"/>
      <c r="G459" s="54"/>
      <c r="I459" s="38"/>
      <c r="J459" s="38"/>
      <c r="K459" s="38"/>
      <c r="L459" s="59"/>
    </row>
    <row r="460" ht="15.75" customHeight="1">
      <c r="D460" s="38"/>
      <c r="G460" s="54"/>
      <c r="I460" s="38"/>
      <c r="J460" s="38"/>
      <c r="K460" s="38"/>
      <c r="L460" s="59"/>
    </row>
    <row r="461" ht="15.75" customHeight="1">
      <c r="D461" s="38"/>
      <c r="G461" s="54"/>
      <c r="I461" s="38"/>
      <c r="J461" s="38"/>
      <c r="K461" s="38"/>
      <c r="L461" s="59"/>
    </row>
    <row r="462" ht="15.75" customHeight="1">
      <c r="D462" s="38"/>
      <c r="G462" s="54"/>
      <c r="I462" s="38"/>
      <c r="J462" s="38"/>
      <c r="K462" s="38"/>
      <c r="L462" s="59"/>
    </row>
    <row r="463" ht="15.75" customHeight="1">
      <c r="D463" s="38"/>
      <c r="G463" s="54"/>
      <c r="I463" s="38"/>
      <c r="J463" s="38"/>
      <c r="K463" s="38"/>
      <c r="L463" s="59"/>
    </row>
    <row r="464" ht="15.75" customHeight="1">
      <c r="D464" s="38"/>
      <c r="G464" s="54"/>
      <c r="I464" s="38"/>
      <c r="J464" s="38"/>
      <c r="K464" s="38"/>
      <c r="L464" s="59"/>
    </row>
    <row r="465" ht="15.75" customHeight="1">
      <c r="D465" s="38"/>
      <c r="G465" s="54"/>
      <c r="I465" s="38"/>
      <c r="J465" s="38"/>
      <c r="K465" s="38"/>
      <c r="L465" s="59"/>
    </row>
    <row r="466" ht="15.75" customHeight="1">
      <c r="D466" s="38"/>
      <c r="G466" s="54"/>
      <c r="I466" s="38"/>
      <c r="J466" s="38"/>
      <c r="K466" s="38"/>
      <c r="L466" s="59"/>
    </row>
    <row r="467" ht="15.75" customHeight="1">
      <c r="D467" s="38"/>
      <c r="G467" s="54"/>
      <c r="I467" s="38"/>
      <c r="J467" s="38"/>
      <c r="K467" s="38"/>
      <c r="L467" s="59"/>
    </row>
    <row r="468" ht="15.75" customHeight="1">
      <c r="D468" s="38"/>
      <c r="G468" s="54"/>
      <c r="I468" s="38"/>
      <c r="J468" s="38"/>
      <c r="K468" s="38"/>
      <c r="L468" s="59"/>
    </row>
    <row r="469" ht="15.75" customHeight="1">
      <c r="D469" s="38"/>
      <c r="G469" s="54"/>
      <c r="I469" s="38"/>
      <c r="J469" s="38"/>
      <c r="K469" s="38"/>
      <c r="L469" s="59"/>
    </row>
    <row r="470" ht="15.75" customHeight="1">
      <c r="D470" s="38"/>
      <c r="G470" s="54"/>
      <c r="I470" s="38"/>
      <c r="J470" s="38"/>
      <c r="K470" s="38"/>
      <c r="L470" s="59"/>
    </row>
    <row r="471" ht="15.75" customHeight="1">
      <c r="D471" s="38"/>
      <c r="G471" s="54"/>
      <c r="I471" s="38"/>
      <c r="J471" s="38"/>
      <c r="K471" s="38"/>
      <c r="L471" s="59"/>
    </row>
    <row r="472" ht="15.75" customHeight="1">
      <c r="D472" s="38"/>
      <c r="G472" s="54"/>
      <c r="I472" s="38"/>
      <c r="J472" s="38"/>
      <c r="K472" s="38"/>
      <c r="L472" s="59"/>
    </row>
    <row r="473" ht="15.75" customHeight="1">
      <c r="D473" s="38"/>
      <c r="G473" s="54"/>
      <c r="I473" s="38"/>
      <c r="J473" s="38"/>
      <c r="K473" s="38"/>
      <c r="L473" s="59"/>
    </row>
    <row r="474" ht="15.75" customHeight="1">
      <c r="D474" s="38"/>
      <c r="G474" s="54"/>
      <c r="I474" s="38"/>
      <c r="J474" s="38"/>
      <c r="K474" s="38"/>
      <c r="L474" s="59"/>
    </row>
    <row r="475" ht="15.75" customHeight="1">
      <c r="D475" s="38"/>
      <c r="G475" s="54"/>
      <c r="I475" s="38"/>
      <c r="J475" s="38"/>
      <c r="K475" s="38"/>
      <c r="L475" s="59"/>
    </row>
    <row r="476" ht="15.75" customHeight="1">
      <c r="D476" s="38"/>
      <c r="G476" s="54"/>
      <c r="I476" s="38"/>
      <c r="J476" s="38"/>
      <c r="K476" s="38"/>
      <c r="L476" s="59"/>
    </row>
    <row r="477" ht="15.75" customHeight="1">
      <c r="D477" s="38"/>
      <c r="G477" s="54"/>
      <c r="I477" s="38"/>
      <c r="J477" s="38"/>
      <c r="K477" s="38"/>
      <c r="L477" s="59"/>
    </row>
    <row r="478" ht="15.75" customHeight="1">
      <c r="D478" s="38"/>
      <c r="G478" s="54"/>
      <c r="I478" s="38"/>
      <c r="J478" s="38"/>
      <c r="K478" s="38"/>
      <c r="L478" s="59"/>
    </row>
    <row r="479" ht="15.75" customHeight="1">
      <c r="D479" s="38"/>
      <c r="G479" s="54"/>
      <c r="I479" s="38"/>
      <c r="J479" s="38"/>
      <c r="K479" s="38"/>
      <c r="L479" s="59"/>
    </row>
    <row r="480" ht="15.75" customHeight="1">
      <c r="D480" s="38"/>
      <c r="G480" s="54"/>
      <c r="I480" s="38"/>
      <c r="J480" s="38"/>
      <c r="K480" s="38"/>
      <c r="L480" s="59"/>
    </row>
    <row r="481" ht="15.75" customHeight="1">
      <c r="D481" s="38"/>
      <c r="G481" s="54"/>
      <c r="I481" s="38"/>
      <c r="J481" s="38"/>
      <c r="K481" s="38"/>
      <c r="L481" s="59"/>
    </row>
    <row r="482" ht="15.75" customHeight="1">
      <c r="D482" s="38"/>
      <c r="G482" s="54"/>
      <c r="I482" s="38"/>
      <c r="J482" s="38"/>
      <c r="K482" s="38"/>
      <c r="L482" s="59"/>
    </row>
    <row r="483" ht="15.75" customHeight="1">
      <c r="D483" s="38"/>
      <c r="G483" s="54"/>
      <c r="I483" s="38"/>
      <c r="J483" s="38"/>
      <c r="K483" s="38"/>
      <c r="L483" s="59"/>
    </row>
    <row r="484" ht="15.75" customHeight="1">
      <c r="D484" s="38"/>
      <c r="G484" s="54"/>
      <c r="I484" s="38"/>
      <c r="J484" s="38"/>
      <c r="K484" s="38"/>
      <c r="L484" s="59"/>
    </row>
    <row r="485" ht="15.75" customHeight="1">
      <c r="D485" s="38"/>
      <c r="G485" s="54"/>
      <c r="I485" s="38"/>
      <c r="J485" s="38"/>
      <c r="K485" s="38"/>
      <c r="L485" s="59"/>
    </row>
    <row r="486" ht="15.75" customHeight="1">
      <c r="D486" s="38"/>
      <c r="G486" s="54"/>
      <c r="I486" s="38"/>
      <c r="J486" s="38"/>
      <c r="K486" s="38"/>
      <c r="L486" s="59"/>
    </row>
    <row r="487" ht="15.75" customHeight="1">
      <c r="D487" s="38"/>
      <c r="G487" s="54"/>
      <c r="I487" s="38"/>
      <c r="J487" s="38"/>
      <c r="K487" s="38"/>
      <c r="L487" s="59"/>
    </row>
    <row r="488" ht="15.75" customHeight="1">
      <c r="D488" s="38"/>
      <c r="G488" s="54"/>
      <c r="I488" s="38"/>
      <c r="J488" s="38"/>
      <c r="K488" s="38"/>
      <c r="L488" s="59"/>
    </row>
    <row r="489" ht="15.75" customHeight="1">
      <c r="D489" s="38"/>
      <c r="G489" s="54"/>
      <c r="I489" s="38"/>
      <c r="J489" s="38"/>
      <c r="K489" s="38"/>
      <c r="L489" s="59"/>
    </row>
    <row r="490" ht="15.75" customHeight="1">
      <c r="D490" s="38"/>
      <c r="G490" s="54"/>
      <c r="I490" s="38"/>
      <c r="J490" s="38"/>
      <c r="K490" s="38"/>
      <c r="L490" s="59"/>
    </row>
    <row r="491" ht="15.75" customHeight="1">
      <c r="D491" s="38"/>
      <c r="G491" s="54"/>
      <c r="I491" s="38"/>
      <c r="J491" s="38"/>
      <c r="K491" s="38"/>
      <c r="L491" s="59"/>
    </row>
    <row r="492" ht="15.75" customHeight="1">
      <c r="D492" s="38"/>
      <c r="G492" s="54"/>
      <c r="I492" s="38"/>
      <c r="J492" s="38"/>
      <c r="K492" s="38"/>
      <c r="L492" s="59"/>
    </row>
    <row r="493" ht="15.75" customHeight="1">
      <c r="D493" s="38"/>
      <c r="G493" s="54"/>
      <c r="I493" s="38"/>
      <c r="J493" s="38"/>
      <c r="K493" s="38"/>
      <c r="L493" s="59"/>
    </row>
    <row r="494" ht="15.75" customHeight="1">
      <c r="D494" s="38"/>
      <c r="G494" s="54"/>
      <c r="I494" s="38"/>
      <c r="J494" s="38"/>
      <c r="K494" s="38"/>
      <c r="L494" s="59"/>
    </row>
    <row r="495" ht="15.75" customHeight="1">
      <c r="D495" s="38"/>
      <c r="G495" s="54"/>
      <c r="I495" s="38"/>
      <c r="J495" s="38"/>
      <c r="K495" s="38"/>
      <c r="L495" s="59"/>
    </row>
    <row r="496" ht="15.75" customHeight="1">
      <c r="D496" s="38"/>
      <c r="G496" s="54"/>
      <c r="I496" s="38"/>
      <c r="J496" s="38"/>
      <c r="K496" s="38"/>
      <c r="L496" s="59"/>
    </row>
    <row r="497" ht="15.75" customHeight="1">
      <c r="D497" s="38"/>
      <c r="G497" s="54"/>
      <c r="I497" s="38"/>
      <c r="J497" s="38"/>
      <c r="K497" s="38"/>
      <c r="L497" s="59"/>
    </row>
    <row r="498" ht="15.75" customHeight="1">
      <c r="D498" s="38"/>
      <c r="G498" s="54"/>
      <c r="I498" s="38"/>
      <c r="J498" s="38"/>
      <c r="K498" s="38"/>
      <c r="L498" s="59"/>
    </row>
    <row r="499" ht="15.75" customHeight="1">
      <c r="D499" s="38"/>
      <c r="G499" s="54"/>
      <c r="I499" s="38"/>
      <c r="J499" s="38"/>
      <c r="K499" s="38"/>
      <c r="L499" s="59"/>
    </row>
    <row r="500" ht="15.75" customHeight="1">
      <c r="D500" s="38"/>
      <c r="G500" s="54"/>
      <c r="I500" s="38"/>
      <c r="J500" s="38"/>
      <c r="K500" s="38"/>
      <c r="L500" s="59"/>
    </row>
    <row r="501" ht="15.75" customHeight="1">
      <c r="D501" s="38"/>
      <c r="G501" s="54"/>
      <c r="I501" s="38"/>
      <c r="J501" s="38"/>
      <c r="K501" s="38"/>
      <c r="L501" s="59"/>
    </row>
    <row r="502" ht="15.75" customHeight="1">
      <c r="D502" s="38"/>
      <c r="G502" s="54"/>
      <c r="I502" s="38"/>
      <c r="J502" s="38"/>
      <c r="K502" s="38"/>
      <c r="L502" s="59"/>
    </row>
    <row r="503" ht="15.75" customHeight="1">
      <c r="D503" s="38"/>
      <c r="G503" s="54"/>
      <c r="I503" s="38"/>
      <c r="J503" s="38"/>
      <c r="K503" s="38"/>
      <c r="L503" s="59"/>
    </row>
    <row r="504" ht="15.75" customHeight="1">
      <c r="D504" s="38"/>
      <c r="G504" s="54"/>
      <c r="I504" s="38"/>
      <c r="J504" s="38"/>
      <c r="K504" s="38"/>
      <c r="L504" s="59"/>
    </row>
    <row r="505" ht="15.75" customHeight="1">
      <c r="D505" s="38"/>
      <c r="G505" s="54"/>
      <c r="I505" s="38"/>
      <c r="J505" s="38"/>
      <c r="K505" s="38"/>
      <c r="L505" s="59"/>
    </row>
    <row r="506" ht="15.75" customHeight="1">
      <c r="D506" s="38"/>
      <c r="G506" s="54"/>
      <c r="I506" s="38"/>
      <c r="J506" s="38"/>
      <c r="K506" s="38"/>
      <c r="L506" s="59"/>
    </row>
    <row r="507" ht="15.75" customHeight="1">
      <c r="D507" s="38"/>
      <c r="G507" s="54"/>
      <c r="I507" s="38"/>
      <c r="J507" s="38"/>
      <c r="K507" s="38"/>
      <c r="L507" s="59"/>
    </row>
    <row r="508" ht="15.75" customHeight="1">
      <c r="D508" s="38"/>
      <c r="G508" s="54"/>
      <c r="I508" s="38"/>
      <c r="J508" s="38"/>
      <c r="K508" s="38"/>
      <c r="L508" s="59"/>
    </row>
    <row r="509" ht="15.75" customHeight="1">
      <c r="D509" s="38"/>
      <c r="G509" s="54"/>
      <c r="I509" s="38"/>
      <c r="J509" s="38"/>
      <c r="K509" s="38"/>
      <c r="L509" s="59"/>
    </row>
    <row r="510" ht="15.75" customHeight="1">
      <c r="D510" s="38"/>
      <c r="G510" s="54"/>
      <c r="I510" s="38"/>
      <c r="J510" s="38"/>
      <c r="K510" s="38"/>
      <c r="L510" s="59"/>
    </row>
    <row r="511" ht="15.75" customHeight="1">
      <c r="D511" s="38"/>
      <c r="G511" s="54"/>
      <c r="I511" s="38"/>
      <c r="J511" s="38"/>
      <c r="K511" s="38"/>
      <c r="L511" s="59"/>
    </row>
    <row r="512" ht="15.75" customHeight="1">
      <c r="D512" s="38"/>
      <c r="G512" s="54"/>
      <c r="I512" s="38"/>
      <c r="J512" s="38"/>
      <c r="K512" s="38"/>
      <c r="L512" s="59"/>
    </row>
    <row r="513" ht="15.75" customHeight="1">
      <c r="D513" s="38"/>
      <c r="G513" s="54"/>
      <c r="I513" s="38"/>
      <c r="J513" s="38"/>
      <c r="K513" s="38"/>
      <c r="L513" s="59"/>
    </row>
    <row r="514" ht="15.75" customHeight="1">
      <c r="D514" s="38"/>
      <c r="G514" s="54"/>
      <c r="I514" s="38"/>
      <c r="J514" s="38"/>
      <c r="K514" s="38"/>
      <c r="L514" s="59"/>
    </row>
    <row r="515" ht="15.75" customHeight="1">
      <c r="D515" s="38"/>
      <c r="G515" s="54"/>
      <c r="I515" s="38"/>
      <c r="J515" s="38"/>
      <c r="K515" s="38"/>
      <c r="L515" s="59"/>
    </row>
    <row r="516" ht="15.75" customHeight="1">
      <c r="D516" s="38"/>
      <c r="G516" s="54"/>
      <c r="I516" s="38"/>
      <c r="J516" s="38"/>
      <c r="K516" s="38"/>
      <c r="L516" s="59"/>
    </row>
    <row r="517" ht="15.75" customHeight="1">
      <c r="D517" s="38"/>
      <c r="G517" s="54"/>
      <c r="I517" s="38"/>
      <c r="J517" s="38"/>
      <c r="K517" s="38"/>
      <c r="L517" s="59"/>
    </row>
    <row r="518" ht="15.75" customHeight="1">
      <c r="D518" s="38"/>
      <c r="G518" s="54"/>
      <c r="I518" s="38"/>
      <c r="J518" s="38"/>
      <c r="K518" s="38"/>
      <c r="L518" s="59"/>
    </row>
    <row r="519" ht="15.75" customHeight="1">
      <c r="D519" s="38"/>
      <c r="G519" s="54"/>
      <c r="I519" s="38"/>
      <c r="J519" s="38"/>
      <c r="K519" s="38"/>
      <c r="L519" s="59"/>
    </row>
    <row r="520" ht="15.75" customHeight="1">
      <c r="D520" s="38"/>
      <c r="G520" s="54"/>
      <c r="I520" s="38"/>
      <c r="J520" s="38"/>
      <c r="K520" s="38"/>
      <c r="L520" s="59"/>
    </row>
    <row r="521" ht="15.75" customHeight="1">
      <c r="D521" s="38"/>
      <c r="G521" s="54"/>
      <c r="I521" s="38"/>
      <c r="J521" s="38"/>
      <c r="K521" s="38"/>
      <c r="L521" s="59"/>
    </row>
    <row r="522" ht="15.75" customHeight="1">
      <c r="D522" s="38"/>
      <c r="G522" s="54"/>
      <c r="I522" s="38"/>
      <c r="J522" s="38"/>
      <c r="K522" s="38"/>
      <c r="L522" s="59"/>
    </row>
    <row r="523" ht="15.75" customHeight="1">
      <c r="D523" s="38"/>
      <c r="G523" s="54"/>
      <c r="I523" s="38"/>
      <c r="J523" s="38"/>
      <c r="K523" s="38"/>
      <c r="L523" s="59"/>
    </row>
    <row r="524" ht="15.75" customHeight="1">
      <c r="D524" s="38"/>
      <c r="G524" s="54"/>
      <c r="I524" s="38"/>
      <c r="J524" s="38"/>
      <c r="K524" s="38"/>
      <c r="L524" s="59"/>
    </row>
    <row r="525" ht="15.75" customHeight="1">
      <c r="D525" s="38"/>
      <c r="G525" s="54"/>
      <c r="I525" s="38"/>
      <c r="J525" s="38"/>
      <c r="K525" s="38"/>
      <c r="L525" s="59"/>
    </row>
    <row r="526" ht="15.75" customHeight="1">
      <c r="D526" s="38"/>
      <c r="G526" s="54"/>
      <c r="I526" s="38"/>
      <c r="J526" s="38"/>
      <c r="K526" s="38"/>
      <c r="L526" s="59"/>
    </row>
    <row r="527" ht="15.75" customHeight="1">
      <c r="D527" s="38"/>
      <c r="G527" s="54"/>
      <c r="I527" s="38"/>
      <c r="J527" s="38"/>
      <c r="K527" s="38"/>
      <c r="L527" s="59"/>
    </row>
    <row r="528" ht="15.75" customHeight="1">
      <c r="D528" s="38"/>
      <c r="G528" s="54"/>
      <c r="I528" s="38"/>
      <c r="J528" s="38"/>
      <c r="K528" s="38"/>
      <c r="L528" s="59"/>
    </row>
    <row r="529" ht="15.75" customHeight="1">
      <c r="D529" s="38"/>
      <c r="G529" s="54"/>
      <c r="I529" s="38"/>
      <c r="J529" s="38"/>
      <c r="K529" s="38"/>
      <c r="L529" s="59"/>
    </row>
    <row r="530" ht="15.75" customHeight="1">
      <c r="D530" s="38"/>
      <c r="G530" s="54"/>
      <c r="I530" s="38"/>
      <c r="J530" s="38"/>
      <c r="K530" s="38"/>
      <c r="L530" s="59"/>
    </row>
    <row r="531" ht="15.75" customHeight="1">
      <c r="D531" s="38"/>
      <c r="G531" s="54"/>
      <c r="I531" s="38"/>
      <c r="J531" s="38"/>
      <c r="K531" s="38"/>
      <c r="L531" s="59"/>
    </row>
    <row r="532" ht="15.75" customHeight="1">
      <c r="D532" s="38"/>
      <c r="G532" s="54"/>
      <c r="I532" s="38"/>
      <c r="J532" s="38"/>
      <c r="K532" s="38"/>
      <c r="L532" s="59"/>
    </row>
    <row r="533" ht="15.75" customHeight="1">
      <c r="D533" s="38"/>
      <c r="G533" s="54"/>
      <c r="I533" s="38"/>
      <c r="J533" s="38"/>
      <c r="K533" s="38"/>
      <c r="L533" s="59"/>
    </row>
    <row r="534" ht="15.75" customHeight="1">
      <c r="D534" s="38"/>
      <c r="G534" s="54"/>
      <c r="I534" s="38"/>
      <c r="J534" s="38"/>
      <c r="K534" s="38"/>
      <c r="L534" s="59"/>
    </row>
    <row r="535" ht="15.75" customHeight="1">
      <c r="D535" s="38"/>
      <c r="G535" s="54"/>
      <c r="I535" s="38"/>
      <c r="J535" s="38"/>
      <c r="K535" s="38"/>
      <c r="L535" s="59"/>
    </row>
    <row r="536" ht="15.75" customHeight="1">
      <c r="D536" s="38"/>
      <c r="G536" s="54"/>
      <c r="I536" s="38"/>
      <c r="J536" s="38"/>
      <c r="K536" s="38"/>
      <c r="L536" s="59"/>
    </row>
    <row r="537" ht="15.75" customHeight="1">
      <c r="D537" s="38"/>
      <c r="G537" s="54"/>
      <c r="I537" s="38"/>
      <c r="J537" s="38"/>
      <c r="K537" s="38"/>
      <c r="L537" s="59"/>
    </row>
    <row r="538" ht="15.75" customHeight="1">
      <c r="D538" s="38"/>
      <c r="G538" s="54"/>
      <c r="I538" s="38"/>
      <c r="J538" s="38"/>
      <c r="K538" s="38"/>
      <c r="L538" s="59"/>
    </row>
    <row r="539" ht="15.75" customHeight="1">
      <c r="D539" s="38"/>
      <c r="G539" s="54"/>
      <c r="I539" s="38"/>
      <c r="J539" s="38"/>
      <c r="K539" s="38"/>
      <c r="L539" s="59"/>
    </row>
    <row r="540" ht="15.75" customHeight="1">
      <c r="D540" s="38"/>
      <c r="G540" s="54"/>
      <c r="I540" s="38"/>
      <c r="J540" s="38"/>
      <c r="K540" s="38"/>
      <c r="L540" s="59"/>
    </row>
    <row r="541" ht="15.75" customHeight="1">
      <c r="D541" s="38"/>
      <c r="G541" s="54"/>
      <c r="I541" s="38"/>
      <c r="J541" s="38"/>
      <c r="K541" s="38"/>
      <c r="L541" s="59"/>
    </row>
    <row r="542" ht="15.75" customHeight="1">
      <c r="D542" s="38"/>
      <c r="G542" s="54"/>
      <c r="I542" s="38"/>
      <c r="J542" s="38"/>
      <c r="K542" s="38"/>
      <c r="L542" s="59"/>
    </row>
    <row r="543" ht="15.75" customHeight="1">
      <c r="D543" s="38"/>
      <c r="G543" s="54"/>
      <c r="I543" s="38"/>
      <c r="J543" s="38"/>
      <c r="K543" s="38"/>
      <c r="L543" s="59"/>
    </row>
    <row r="544" ht="15.75" customHeight="1">
      <c r="D544" s="38"/>
      <c r="G544" s="54"/>
      <c r="I544" s="38"/>
      <c r="J544" s="38"/>
      <c r="K544" s="38"/>
      <c r="L544" s="59"/>
    </row>
    <row r="545" ht="15.75" customHeight="1">
      <c r="D545" s="38"/>
      <c r="G545" s="54"/>
      <c r="I545" s="38"/>
      <c r="J545" s="38"/>
      <c r="K545" s="38"/>
      <c r="L545" s="59"/>
    </row>
    <row r="546" ht="15.75" customHeight="1">
      <c r="D546" s="38"/>
      <c r="G546" s="54"/>
      <c r="I546" s="38"/>
      <c r="J546" s="38"/>
      <c r="K546" s="38"/>
      <c r="L546" s="59"/>
    </row>
    <row r="547" ht="15.75" customHeight="1">
      <c r="D547" s="38"/>
      <c r="G547" s="54"/>
      <c r="I547" s="38"/>
      <c r="J547" s="38"/>
      <c r="K547" s="38"/>
      <c r="L547" s="59"/>
    </row>
    <row r="548" ht="15.75" customHeight="1">
      <c r="D548" s="38"/>
      <c r="G548" s="54"/>
      <c r="I548" s="38"/>
      <c r="J548" s="38"/>
      <c r="K548" s="38"/>
      <c r="L548" s="59"/>
    </row>
    <row r="549" ht="15.75" customHeight="1">
      <c r="D549" s="38"/>
      <c r="G549" s="54"/>
      <c r="I549" s="38"/>
      <c r="J549" s="38"/>
      <c r="K549" s="38"/>
      <c r="L549" s="59"/>
    </row>
    <row r="550" ht="15.75" customHeight="1">
      <c r="D550" s="38"/>
      <c r="G550" s="54"/>
      <c r="I550" s="38"/>
      <c r="J550" s="38"/>
      <c r="K550" s="38"/>
      <c r="L550" s="59"/>
    </row>
    <row r="551" ht="15.75" customHeight="1">
      <c r="D551" s="38"/>
      <c r="G551" s="54"/>
      <c r="I551" s="38"/>
      <c r="J551" s="38"/>
      <c r="K551" s="38"/>
      <c r="L551" s="59"/>
    </row>
    <row r="552" ht="15.75" customHeight="1">
      <c r="D552" s="38"/>
      <c r="G552" s="54"/>
      <c r="I552" s="38"/>
      <c r="J552" s="38"/>
      <c r="K552" s="38"/>
      <c r="L552" s="59"/>
    </row>
    <row r="553" ht="15.75" customHeight="1">
      <c r="D553" s="38"/>
      <c r="G553" s="54"/>
      <c r="I553" s="38"/>
      <c r="J553" s="38"/>
      <c r="K553" s="38"/>
      <c r="L553" s="59"/>
    </row>
    <row r="554" ht="15.75" customHeight="1">
      <c r="D554" s="38"/>
      <c r="G554" s="54"/>
      <c r="I554" s="38"/>
      <c r="J554" s="38"/>
      <c r="K554" s="38"/>
      <c r="L554" s="59"/>
    </row>
    <row r="555" ht="15.75" customHeight="1">
      <c r="D555" s="38"/>
      <c r="G555" s="54"/>
      <c r="I555" s="38"/>
      <c r="J555" s="38"/>
      <c r="K555" s="38"/>
      <c r="L555" s="59"/>
    </row>
    <row r="556" ht="15.75" customHeight="1">
      <c r="D556" s="38"/>
      <c r="G556" s="54"/>
      <c r="I556" s="38"/>
      <c r="J556" s="38"/>
      <c r="K556" s="38"/>
      <c r="L556" s="59"/>
    </row>
    <row r="557" ht="15.75" customHeight="1">
      <c r="D557" s="38"/>
      <c r="G557" s="54"/>
      <c r="I557" s="38"/>
      <c r="J557" s="38"/>
      <c r="K557" s="38"/>
      <c r="L557" s="59"/>
    </row>
    <row r="558" ht="15.75" customHeight="1">
      <c r="D558" s="38"/>
      <c r="G558" s="54"/>
      <c r="I558" s="38"/>
      <c r="J558" s="38"/>
      <c r="K558" s="38"/>
      <c r="L558" s="59"/>
    </row>
    <row r="559" ht="15.75" customHeight="1">
      <c r="D559" s="38"/>
      <c r="G559" s="54"/>
      <c r="I559" s="38"/>
      <c r="J559" s="38"/>
      <c r="K559" s="38"/>
      <c r="L559" s="59"/>
    </row>
    <row r="560" ht="15.75" customHeight="1">
      <c r="D560" s="38"/>
      <c r="G560" s="54"/>
      <c r="I560" s="38"/>
      <c r="J560" s="38"/>
      <c r="K560" s="38"/>
      <c r="L560" s="59"/>
    </row>
    <row r="561" ht="15.75" customHeight="1">
      <c r="D561" s="38"/>
      <c r="G561" s="54"/>
      <c r="I561" s="38"/>
      <c r="J561" s="38"/>
      <c r="K561" s="38"/>
      <c r="L561" s="59"/>
    </row>
    <row r="562" ht="15.75" customHeight="1">
      <c r="D562" s="38"/>
      <c r="G562" s="54"/>
      <c r="I562" s="38"/>
      <c r="J562" s="38"/>
      <c r="K562" s="38"/>
      <c r="L562" s="59"/>
    </row>
    <row r="563" ht="15.75" customHeight="1">
      <c r="D563" s="38"/>
      <c r="G563" s="54"/>
      <c r="I563" s="38"/>
      <c r="J563" s="38"/>
      <c r="K563" s="38"/>
      <c r="L563" s="59"/>
    </row>
    <row r="564" ht="15.75" customHeight="1">
      <c r="D564" s="38"/>
      <c r="G564" s="54"/>
      <c r="I564" s="38"/>
      <c r="J564" s="38"/>
      <c r="K564" s="38"/>
      <c r="L564" s="59"/>
    </row>
    <row r="565" ht="15.75" customHeight="1">
      <c r="D565" s="38"/>
      <c r="G565" s="54"/>
      <c r="I565" s="38"/>
      <c r="J565" s="38"/>
      <c r="K565" s="38"/>
      <c r="L565" s="59"/>
    </row>
    <row r="566" ht="15.75" customHeight="1">
      <c r="D566" s="38"/>
      <c r="G566" s="54"/>
      <c r="I566" s="38"/>
      <c r="J566" s="38"/>
      <c r="K566" s="38"/>
      <c r="L566" s="59"/>
    </row>
    <row r="567" ht="15.75" customHeight="1">
      <c r="D567" s="38"/>
      <c r="G567" s="54"/>
      <c r="I567" s="38"/>
      <c r="J567" s="38"/>
      <c r="K567" s="38"/>
      <c r="L567" s="59"/>
    </row>
    <row r="568" ht="15.75" customHeight="1">
      <c r="D568" s="38"/>
      <c r="G568" s="54"/>
      <c r="I568" s="38"/>
      <c r="J568" s="38"/>
      <c r="K568" s="38"/>
      <c r="L568" s="59"/>
    </row>
    <row r="569" ht="15.75" customHeight="1">
      <c r="D569" s="38"/>
      <c r="G569" s="54"/>
      <c r="I569" s="38"/>
      <c r="J569" s="38"/>
      <c r="K569" s="38"/>
      <c r="L569" s="59"/>
    </row>
    <row r="570" ht="15.75" customHeight="1">
      <c r="D570" s="38"/>
      <c r="G570" s="54"/>
      <c r="I570" s="38"/>
      <c r="J570" s="38"/>
      <c r="K570" s="38"/>
      <c r="L570" s="59"/>
    </row>
    <row r="571" ht="15.75" customHeight="1">
      <c r="D571" s="38"/>
      <c r="G571" s="54"/>
      <c r="I571" s="38"/>
      <c r="J571" s="38"/>
      <c r="K571" s="38"/>
      <c r="L571" s="59"/>
    </row>
    <row r="572" ht="15.75" customHeight="1">
      <c r="D572" s="38"/>
      <c r="G572" s="54"/>
      <c r="I572" s="38"/>
      <c r="J572" s="38"/>
      <c r="K572" s="38"/>
      <c r="L572" s="59"/>
    </row>
    <row r="573" ht="15.75" customHeight="1">
      <c r="D573" s="38"/>
      <c r="G573" s="54"/>
      <c r="I573" s="38"/>
      <c r="J573" s="38"/>
      <c r="K573" s="38"/>
      <c r="L573" s="59"/>
    </row>
    <row r="574" ht="15.75" customHeight="1">
      <c r="D574" s="38"/>
      <c r="G574" s="54"/>
      <c r="I574" s="38"/>
      <c r="J574" s="38"/>
      <c r="K574" s="38"/>
      <c r="L574" s="59"/>
    </row>
    <row r="575" ht="15.75" customHeight="1">
      <c r="D575" s="38"/>
      <c r="G575" s="54"/>
      <c r="I575" s="38"/>
      <c r="J575" s="38"/>
      <c r="K575" s="38"/>
      <c r="L575" s="59"/>
    </row>
    <row r="576" ht="15.75" customHeight="1">
      <c r="D576" s="38"/>
      <c r="G576" s="54"/>
      <c r="I576" s="38"/>
      <c r="J576" s="38"/>
      <c r="K576" s="38"/>
      <c r="L576" s="59"/>
    </row>
    <row r="577" ht="15.75" customHeight="1">
      <c r="D577" s="38"/>
      <c r="G577" s="54"/>
      <c r="I577" s="38"/>
      <c r="J577" s="38"/>
      <c r="K577" s="38"/>
      <c r="L577" s="59"/>
    </row>
    <row r="578" ht="15.75" customHeight="1">
      <c r="D578" s="38"/>
      <c r="G578" s="54"/>
      <c r="I578" s="38"/>
      <c r="J578" s="38"/>
      <c r="K578" s="38"/>
      <c r="L578" s="59"/>
    </row>
    <row r="579" ht="15.75" customHeight="1">
      <c r="D579" s="38"/>
      <c r="G579" s="54"/>
      <c r="I579" s="38"/>
      <c r="J579" s="38"/>
      <c r="K579" s="38"/>
      <c r="L579" s="59"/>
    </row>
    <row r="580" ht="15.75" customHeight="1">
      <c r="D580" s="38"/>
      <c r="G580" s="54"/>
      <c r="I580" s="38"/>
      <c r="J580" s="38"/>
      <c r="K580" s="38"/>
      <c r="L580" s="59"/>
    </row>
    <row r="581" ht="15.75" customHeight="1">
      <c r="D581" s="38"/>
      <c r="G581" s="54"/>
      <c r="I581" s="38"/>
      <c r="J581" s="38"/>
      <c r="K581" s="38"/>
      <c r="L581" s="59"/>
    </row>
    <row r="582" ht="15.75" customHeight="1">
      <c r="D582" s="38"/>
      <c r="G582" s="54"/>
      <c r="I582" s="38"/>
      <c r="J582" s="38"/>
      <c r="K582" s="38"/>
      <c r="L582" s="59"/>
    </row>
    <row r="583" ht="15.75" customHeight="1">
      <c r="D583" s="38"/>
      <c r="G583" s="54"/>
      <c r="I583" s="38"/>
      <c r="J583" s="38"/>
      <c r="K583" s="38"/>
      <c r="L583" s="59"/>
    </row>
    <row r="584" ht="15.75" customHeight="1">
      <c r="D584" s="38"/>
      <c r="G584" s="54"/>
      <c r="I584" s="38"/>
      <c r="J584" s="38"/>
      <c r="K584" s="38"/>
      <c r="L584" s="59"/>
    </row>
    <row r="585" ht="15.75" customHeight="1">
      <c r="D585" s="38"/>
      <c r="G585" s="54"/>
      <c r="I585" s="38"/>
      <c r="J585" s="38"/>
      <c r="K585" s="38"/>
      <c r="L585" s="59"/>
    </row>
    <row r="586" ht="15.75" customHeight="1">
      <c r="D586" s="38"/>
      <c r="G586" s="54"/>
      <c r="I586" s="38"/>
      <c r="J586" s="38"/>
      <c r="K586" s="38"/>
      <c r="L586" s="59"/>
    </row>
    <row r="587" ht="15.75" customHeight="1">
      <c r="D587" s="38"/>
      <c r="G587" s="54"/>
      <c r="I587" s="38"/>
      <c r="J587" s="38"/>
      <c r="K587" s="38"/>
      <c r="L587" s="59"/>
    </row>
    <row r="588" ht="15.75" customHeight="1">
      <c r="D588" s="38"/>
      <c r="G588" s="54"/>
      <c r="I588" s="38"/>
      <c r="J588" s="38"/>
      <c r="K588" s="38"/>
      <c r="L588" s="59"/>
    </row>
    <row r="589" ht="15.75" customHeight="1">
      <c r="D589" s="38"/>
      <c r="G589" s="54"/>
      <c r="I589" s="38"/>
      <c r="J589" s="38"/>
      <c r="K589" s="38"/>
      <c r="L589" s="59"/>
    </row>
    <row r="590" ht="15.75" customHeight="1">
      <c r="D590" s="38"/>
      <c r="G590" s="54"/>
      <c r="I590" s="38"/>
      <c r="J590" s="38"/>
      <c r="K590" s="38"/>
      <c r="L590" s="59"/>
    </row>
    <row r="591" ht="15.75" customHeight="1">
      <c r="D591" s="38"/>
      <c r="G591" s="54"/>
      <c r="I591" s="38"/>
      <c r="J591" s="38"/>
      <c r="K591" s="38"/>
      <c r="L591" s="59"/>
    </row>
    <row r="592" ht="15.75" customHeight="1">
      <c r="D592" s="38"/>
      <c r="G592" s="54"/>
      <c r="I592" s="38"/>
      <c r="J592" s="38"/>
      <c r="K592" s="38"/>
      <c r="L592" s="59"/>
    </row>
    <row r="593" ht="15.75" customHeight="1">
      <c r="D593" s="38"/>
      <c r="G593" s="54"/>
      <c r="I593" s="38"/>
      <c r="J593" s="38"/>
      <c r="K593" s="38"/>
      <c r="L593" s="59"/>
    </row>
    <row r="594" ht="15.75" customHeight="1">
      <c r="D594" s="38"/>
      <c r="G594" s="54"/>
      <c r="I594" s="38"/>
      <c r="J594" s="38"/>
      <c r="K594" s="38"/>
      <c r="L594" s="59"/>
    </row>
    <row r="595" ht="15.75" customHeight="1">
      <c r="D595" s="38"/>
      <c r="G595" s="54"/>
      <c r="I595" s="38"/>
      <c r="J595" s="38"/>
      <c r="K595" s="38"/>
      <c r="L595" s="59"/>
    </row>
    <row r="596" ht="15.75" customHeight="1">
      <c r="D596" s="38"/>
      <c r="G596" s="54"/>
      <c r="I596" s="38"/>
      <c r="J596" s="38"/>
      <c r="K596" s="38"/>
      <c r="L596" s="59"/>
    </row>
    <row r="597" ht="15.75" customHeight="1">
      <c r="D597" s="38"/>
      <c r="G597" s="54"/>
      <c r="I597" s="38"/>
      <c r="J597" s="38"/>
      <c r="K597" s="38"/>
      <c r="L597" s="59"/>
    </row>
    <row r="598" ht="15.75" customHeight="1">
      <c r="D598" s="38"/>
      <c r="G598" s="54"/>
      <c r="I598" s="38"/>
      <c r="J598" s="38"/>
      <c r="K598" s="38"/>
      <c r="L598" s="59"/>
    </row>
    <row r="599" ht="15.75" customHeight="1">
      <c r="D599" s="38"/>
      <c r="G599" s="54"/>
      <c r="I599" s="38"/>
      <c r="J599" s="38"/>
      <c r="K599" s="38"/>
      <c r="L599" s="59"/>
    </row>
    <row r="600" ht="15.75" customHeight="1">
      <c r="D600" s="38"/>
      <c r="G600" s="54"/>
      <c r="I600" s="38"/>
      <c r="J600" s="38"/>
      <c r="K600" s="38"/>
      <c r="L600" s="59"/>
    </row>
    <row r="601" ht="15.75" customHeight="1">
      <c r="D601" s="38"/>
      <c r="G601" s="54"/>
      <c r="I601" s="38"/>
      <c r="J601" s="38"/>
      <c r="K601" s="38"/>
      <c r="L601" s="59"/>
    </row>
    <row r="602" ht="15.75" customHeight="1">
      <c r="D602" s="38"/>
      <c r="G602" s="54"/>
      <c r="I602" s="38"/>
      <c r="J602" s="38"/>
      <c r="K602" s="38"/>
      <c r="L602" s="59"/>
    </row>
    <row r="603" ht="15.75" customHeight="1">
      <c r="D603" s="38"/>
      <c r="G603" s="54"/>
      <c r="I603" s="38"/>
      <c r="J603" s="38"/>
      <c r="K603" s="38"/>
      <c r="L603" s="59"/>
    </row>
    <row r="604" ht="15.75" customHeight="1">
      <c r="D604" s="38"/>
      <c r="G604" s="54"/>
      <c r="I604" s="38"/>
      <c r="J604" s="38"/>
      <c r="K604" s="38"/>
      <c r="L604" s="59"/>
    </row>
    <row r="605" ht="15.75" customHeight="1">
      <c r="D605" s="38"/>
      <c r="G605" s="54"/>
      <c r="I605" s="38"/>
      <c r="J605" s="38"/>
      <c r="K605" s="38"/>
      <c r="L605" s="59"/>
    </row>
    <row r="606" ht="15.75" customHeight="1">
      <c r="D606" s="38"/>
      <c r="G606" s="54"/>
      <c r="I606" s="38"/>
      <c r="J606" s="38"/>
      <c r="K606" s="38"/>
      <c r="L606" s="59"/>
    </row>
    <row r="607" ht="15.75" customHeight="1">
      <c r="D607" s="38"/>
      <c r="G607" s="54"/>
      <c r="I607" s="38"/>
      <c r="J607" s="38"/>
      <c r="K607" s="38"/>
      <c r="L607" s="59"/>
    </row>
    <row r="608" ht="15.75" customHeight="1">
      <c r="D608" s="38"/>
      <c r="G608" s="54"/>
      <c r="I608" s="38"/>
      <c r="J608" s="38"/>
      <c r="K608" s="38"/>
      <c r="L608" s="59"/>
    </row>
    <row r="609" ht="15.75" customHeight="1">
      <c r="D609" s="38"/>
      <c r="G609" s="54"/>
      <c r="I609" s="38"/>
      <c r="J609" s="38"/>
      <c r="K609" s="38"/>
      <c r="L609" s="59"/>
    </row>
    <row r="610" ht="15.75" customHeight="1">
      <c r="D610" s="38"/>
      <c r="G610" s="54"/>
      <c r="I610" s="38"/>
      <c r="J610" s="38"/>
      <c r="K610" s="38"/>
      <c r="L610" s="59"/>
    </row>
    <row r="611" ht="15.75" customHeight="1">
      <c r="D611" s="38"/>
      <c r="G611" s="54"/>
      <c r="I611" s="38"/>
      <c r="J611" s="38"/>
      <c r="K611" s="38"/>
      <c r="L611" s="59"/>
    </row>
    <row r="612" ht="15.75" customHeight="1">
      <c r="D612" s="38"/>
      <c r="G612" s="54"/>
      <c r="I612" s="38"/>
      <c r="J612" s="38"/>
      <c r="K612" s="38"/>
      <c r="L612" s="59"/>
    </row>
    <row r="613" ht="15.75" customHeight="1">
      <c r="D613" s="38"/>
      <c r="G613" s="54"/>
      <c r="I613" s="38"/>
      <c r="J613" s="38"/>
      <c r="K613" s="38"/>
      <c r="L613" s="59"/>
    </row>
    <row r="614" ht="15.75" customHeight="1">
      <c r="D614" s="38"/>
      <c r="G614" s="54"/>
      <c r="I614" s="38"/>
      <c r="J614" s="38"/>
      <c r="K614" s="38"/>
      <c r="L614" s="59"/>
    </row>
    <row r="615" ht="15.75" customHeight="1">
      <c r="D615" s="38"/>
      <c r="G615" s="54"/>
      <c r="I615" s="38"/>
      <c r="J615" s="38"/>
      <c r="K615" s="38"/>
      <c r="L615" s="59"/>
    </row>
    <row r="616" ht="15.75" customHeight="1">
      <c r="D616" s="38"/>
      <c r="G616" s="54"/>
      <c r="I616" s="38"/>
      <c r="J616" s="38"/>
      <c r="K616" s="38"/>
      <c r="L616" s="59"/>
    </row>
    <row r="617" ht="15.75" customHeight="1">
      <c r="D617" s="38"/>
      <c r="G617" s="54"/>
      <c r="I617" s="38"/>
      <c r="J617" s="38"/>
      <c r="K617" s="38"/>
      <c r="L617" s="59"/>
    </row>
    <row r="618" ht="15.75" customHeight="1">
      <c r="D618" s="38"/>
      <c r="G618" s="54"/>
      <c r="I618" s="38"/>
      <c r="J618" s="38"/>
      <c r="K618" s="38"/>
      <c r="L618" s="59"/>
    </row>
    <row r="619" ht="15.75" customHeight="1">
      <c r="D619" s="38"/>
      <c r="G619" s="54"/>
      <c r="I619" s="38"/>
      <c r="J619" s="38"/>
      <c r="K619" s="38"/>
      <c r="L619" s="59"/>
    </row>
    <row r="620" ht="15.75" customHeight="1">
      <c r="D620" s="38"/>
      <c r="G620" s="54"/>
      <c r="I620" s="38"/>
      <c r="J620" s="38"/>
      <c r="K620" s="38"/>
      <c r="L620" s="59"/>
    </row>
    <row r="621" ht="15.75" customHeight="1">
      <c r="D621" s="38"/>
      <c r="G621" s="54"/>
      <c r="I621" s="38"/>
      <c r="J621" s="38"/>
      <c r="K621" s="38"/>
      <c r="L621" s="59"/>
    </row>
    <row r="622" ht="15.75" customHeight="1">
      <c r="D622" s="38"/>
      <c r="G622" s="54"/>
      <c r="I622" s="38"/>
      <c r="J622" s="38"/>
      <c r="K622" s="38"/>
      <c r="L622" s="59"/>
    </row>
    <row r="623" ht="15.75" customHeight="1">
      <c r="D623" s="38"/>
      <c r="G623" s="54"/>
      <c r="I623" s="38"/>
      <c r="J623" s="38"/>
      <c r="K623" s="38"/>
      <c r="L623" s="59"/>
    </row>
    <row r="624" ht="15.75" customHeight="1">
      <c r="D624" s="38"/>
      <c r="G624" s="54"/>
      <c r="I624" s="38"/>
      <c r="J624" s="38"/>
      <c r="K624" s="38"/>
      <c r="L624" s="59"/>
    </row>
    <row r="625" ht="15.75" customHeight="1">
      <c r="D625" s="38"/>
      <c r="G625" s="54"/>
      <c r="I625" s="38"/>
      <c r="J625" s="38"/>
      <c r="K625" s="38"/>
      <c r="L625" s="59"/>
    </row>
    <row r="626" ht="15.75" customHeight="1">
      <c r="D626" s="38"/>
      <c r="G626" s="54"/>
      <c r="I626" s="38"/>
      <c r="J626" s="38"/>
      <c r="K626" s="38"/>
      <c r="L626" s="59"/>
    </row>
    <row r="627" ht="15.75" customHeight="1">
      <c r="D627" s="38"/>
      <c r="G627" s="54"/>
      <c r="I627" s="38"/>
      <c r="J627" s="38"/>
      <c r="K627" s="38"/>
      <c r="L627" s="59"/>
    </row>
    <row r="628" ht="15.75" customHeight="1">
      <c r="D628" s="38"/>
      <c r="G628" s="54"/>
      <c r="I628" s="38"/>
      <c r="J628" s="38"/>
      <c r="K628" s="38"/>
      <c r="L628" s="59"/>
    </row>
    <row r="629" ht="15.75" customHeight="1">
      <c r="D629" s="38"/>
      <c r="G629" s="54"/>
      <c r="I629" s="38"/>
      <c r="J629" s="38"/>
      <c r="K629" s="38"/>
      <c r="L629" s="59"/>
    </row>
    <row r="630" ht="15.75" customHeight="1">
      <c r="D630" s="38"/>
      <c r="G630" s="54"/>
      <c r="I630" s="38"/>
      <c r="J630" s="38"/>
      <c r="K630" s="38"/>
      <c r="L630" s="59"/>
    </row>
    <row r="631" ht="15.75" customHeight="1">
      <c r="D631" s="38"/>
      <c r="G631" s="54"/>
      <c r="I631" s="38"/>
      <c r="J631" s="38"/>
      <c r="K631" s="38"/>
      <c r="L631" s="59"/>
    </row>
    <row r="632" ht="15.75" customHeight="1">
      <c r="D632" s="38"/>
      <c r="G632" s="54"/>
      <c r="I632" s="38"/>
      <c r="J632" s="38"/>
      <c r="K632" s="38"/>
      <c r="L632" s="59"/>
    </row>
    <row r="633" ht="15.75" customHeight="1">
      <c r="D633" s="38"/>
      <c r="G633" s="54"/>
      <c r="I633" s="38"/>
      <c r="J633" s="38"/>
      <c r="K633" s="38"/>
      <c r="L633" s="59"/>
    </row>
    <row r="634" ht="15.75" customHeight="1">
      <c r="D634" s="38"/>
      <c r="G634" s="54"/>
      <c r="I634" s="38"/>
      <c r="J634" s="38"/>
      <c r="K634" s="38"/>
      <c r="L634" s="59"/>
    </row>
    <row r="635" ht="15.75" customHeight="1">
      <c r="D635" s="38"/>
      <c r="G635" s="54"/>
      <c r="I635" s="38"/>
      <c r="J635" s="38"/>
      <c r="K635" s="38"/>
      <c r="L635" s="59"/>
    </row>
    <row r="636" ht="15.75" customHeight="1">
      <c r="D636" s="38"/>
      <c r="G636" s="54"/>
      <c r="I636" s="38"/>
      <c r="J636" s="38"/>
      <c r="K636" s="38"/>
      <c r="L636" s="59"/>
    </row>
    <row r="637" ht="15.75" customHeight="1">
      <c r="D637" s="38"/>
      <c r="G637" s="54"/>
      <c r="I637" s="38"/>
      <c r="J637" s="38"/>
      <c r="K637" s="38"/>
      <c r="L637" s="59"/>
    </row>
    <row r="638" ht="15.75" customHeight="1">
      <c r="D638" s="38"/>
      <c r="G638" s="54"/>
      <c r="I638" s="38"/>
      <c r="J638" s="38"/>
      <c r="K638" s="38"/>
      <c r="L638" s="59"/>
    </row>
    <row r="639" ht="15.75" customHeight="1">
      <c r="D639" s="38"/>
      <c r="G639" s="54"/>
      <c r="I639" s="38"/>
      <c r="J639" s="38"/>
      <c r="K639" s="38"/>
      <c r="L639" s="59"/>
    </row>
    <row r="640" ht="15.75" customHeight="1">
      <c r="D640" s="38"/>
      <c r="G640" s="54"/>
      <c r="I640" s="38"/>
      <c r="J640" s="38"/>
      <c r="K640" s="38"/>
      <c r="L640" s="59"/>
    </row>
    <row r="641" ht="15.75" customHeight="1">
      <c r="D641" s="38"/>
      <c r="G641" s="54"/>
      <c r="I641" s="38"/>
      <c r="J641" s="38"/>
      <c r="K641" s="38"/>
      <c r="L641" s="59"/>
    </row>
    <row r="642" ht="15.75" customHeight="1">
      <c r="D642" s="38"/>
      <c r="G642" s="54"/>
      <c r="I642" s="38"/>
      <c r="J642" s="38"/>
      <c r="K642" s="38"/>
      <c r="L642" s="59"/>
    </row>
    <row r="643" ht="15.75" customHeight="1">
      <c r="D643" s="38"/>
      <c r="G643" s="54"/>
      <c r="I643" s="38"/>
      <c r="J643" s="38"/>
      <c r="K643" s="38"/>
      <c r="L643" s="59"/>
    </row>
    <row r="644" ht="15.75" customHeight="1">
      <c r="D644" s="38"/>
      <c r="G644" s="54"/>
      <c r="I644" s="38"/>
      <c r="J644" s="38"/>
      <c r="K644" s="38"/>
      <c r="L644" s="59"/>
    </row>
    <row r="645" ht="15.75" customHeight="1">
      <c r="D645" s="38"/>
      <c r="G645" s="54"/>
      <c r="I645" s="38"/>
      <c r="J645" s="38"/>
      <c r="K645" s="38"/>
      <c r="L645" s="59"/>
    </row>
    <row r="646" ht="15.75" customHeight="1">
      <c r="D646" s="38"/>
      <c r="G646" s="54"/>
      <c r="I646" s="38"/>
      <c r="J646" s="38"/>
      <c r="K646" s="38"/>
      <c r="L646" s="59"/>
    </row>
    <row r="647" ht="15.75" customHeight="1">
      <c r="D647" s="38"/>
      <c r="G647" s="54"/>
      <c r="I647" s="38"/>
      <c r="J647" s="38"/>
      <c r="K647" s="38"/>
      <c r="L647" s="59"/>
    </row>
    <row r="648" ht="15.75" customHeight="1">
      <c r="D648" s="38"/>
      <c r="G648" s="54"/>
      <c r="I648" s="38"/>
      <c r="J648" s="38"/>
      <c r="K648" s="38"/>
      <c r="L648" s="59"/>
    </row>
    <row r="649" ht="15.75" customHeight="1">
      <c r="D649" s="38"/>
      <c r="G649" s="54"/>
      <c r="I649" s="38"/>
      <c r="J649" s="38"/>
      <c r="K649" s="38"/>
      <c r="L649" s="59"/>
    </row>
    <row r="650" ht="15.75" customHeight="1">
      <c r="D650" s="38"/>
      <c r="G650" s="54"/>
      <c r="I650" s="38"/>
      <c r="J650" s="38"/>
      <c r="K650" s="38"/>
      <c r="L650" s="59"/>
    </row>
    <row r="651" ht="15.75" customHeight="1">
      <c r="D651" s="38"/>
      <c r="G651" s="54"/>
      <c r="I651" s="38"/>
      <c r="J651" s="38"/>
      <c r="K651" s="38"/>
      <c r="L651" s="59"/>
    </row>
    <row r="652" ht="15.75" customHeight="1">
      <c r="D652" s="38"/>
      <c r="G652" s="54"/>
      <c r="I652" s="38"/>
      <c r="J652" s="38"/>
      <c r="K652" s="38"/>
      <c r="L652" s="59"/>
    </row>
    <row r="653" ht="15.75" customHeight="1">
      <c r="D653" s="38"/>
      <c r="G653" s="54"/>
      <c r="I653" s="38"/>
      <c r="J653" s="38"/>
      <c r="K653" s="38"/>
      <c r="L653" s="59"/>
    </row>
    <row r="654" ht="15.75" customHeight="1">
      <c r="D654" s="38"/>
      <c r="G654" s="54"/>
      <c r="I654" s="38"/>
      <c r="J654" s="38"/>
      <c r="K654" s="38"/>
      <c r="L654" s="59"/>
    </row>
    <row r="655" ht="15.75" customHeight="1">
      <c r="D655" s="38"/>
      <c r="G655" s="54"/>
      <c r="I655" s="38"/>
      <c r="J655" s="38"/>
      <c r="K655" s="38"/>
      <c r="L655" s="59"/>
    </row>
    <row r="656" ht="15.75" customHeight="1">
      <c r="D656" s="38"/>
      <c r="G656" s="54"/>
      <c r="I656" s="38"/>
      <c r="J656" s="38"/>
      <c r="K656" s="38"/>
      <c r="L656" s="59"/>
    </row>
    <row r="657" ht="15.75" customHeight="1">
      <c r="D657" s="38"/>
      <c r="G657" s="54"/>
      <c r="I657" s="38"/>
      <c r="J657" s="38"/>
      <c r="K657" s="38"/>
      <c r="L657" s="59"/>
    </row>
    <row r="658" ht="15.75" customHeight="1">
      <c r="D658" s="38"/>
      <c r="G658" s="54"/>
      <c r="I658" s="38"/>
      <c r="J658" s="38"/>
      <c r="K658" s="38"/>
      <c r="L658" s="59"/>
    </row>
    <row r="659" ht="15.75" customHeight="1">
      <c r="D659" s="38"/>
      <c r="G659" s="54"/>
      <c r="I659" s="38"/>
      <c r="J659" s="38"/>
      <c r="K659" s="38"/>
      <c r="L659" s="59"/>
    </row>
    <row r="660" ht="15.75" customHeight="1">
      <c r="D660" s="38"/>
      <c r="G660" s="54"/>
      <c r="I660" s="38"/>
      <c r="J660" s="38"/>
      <c r="K660" s="38"/>
      <c r="L660" s="59"/>
    </row>
    <row r="661" ht="15.75" customHeight="1">
      <c r="D661" s="38"/>
      <c r="G661" s="54"/>
      <c r="I661" s="38"/>
      <c r="J661" s="38"/>
      <c r="K661" s="38"/>
      <c r="L661" s="59"/>
    </row>
    <row r="662" ht="15.75" customHeight="1">
      <c r="D662" s="38"/>
      <c r="G662" s="54"/>
      <c r="I662" s="38"/>
      <c r="J662" s="38"/>
      <c r="K662" s="38"/>
      <c r="L662" s="59"/>
    </row>
    <row r="663" ht="15.75" customHeight="1">
      <c r="D663" s="38"/>
      <c r="G663" s="54"/>
      <c r="I663" s="38"/>
      <c r="J663" s="38"/>
      <c r="K663" s="38"/>
      <c r="L663" s="59"/>
    </row>
    <row r="664" ht="15.75" customHeight="1">
      <c r="D664" s="38"/>
      <c r="G664" s="54"/>
      <c r="I664" s="38"/>
      <c r="J664" s="38"/>
      <c r="K664" s="38"/>
      <c r="L664" s="59"/>
    </row>
    <row r="665" ht="15.75" customHeight="1">
      <c r="D665" s="38"/>
      <c r="G665" s="54"/>
      <c r="I665" s="38"/>
      <c r="J665" s="38"/>
      <c r="K665" s="38"/>
      <c r="L665" s="59"/>
    </row>
    <row r="666" ht="15.75" customHeight="1">
      <c r="D666" s="38"/>
      <c r="G666" s="54"/>
      <c r="I666" s="38"/>
      <c r="J666" s="38"/>
      <c r="K666" s="38"/>
      <c r="L666" s="59"/>
    </row>
    <row r="667" ht="15.75" customHeight="1">
      <c r="D667" s="38"/>
      <c r="G667" s="54"/>
      <c r="I667" s="38"/>
      <c r="J667" s="38"/>
      <c r="K667" s="38"/>
      <c r="L667" s="59"/>
    </row>
    <row r="668" ht="15.75" customHeight="1">
      <c r="D668" s="38"/>
      <c r="G668" s="54"/>
      <c r="I668" s="38"/>
      <c r="J668" s="38"/>
      <c r="K668" s="38"/>
      <c r="L668" s="59"/>
    </row>
    <row r="669" ht="15.75" customHeight="1">
      <c r="D669" s="38"/>
      <c r="G669" s="54"/>
      <c r="I669" s="38"/>
      <c r="J669" s="38"/>
      <c r="K669" s="38"/>
      <c r="L669" s="59"/>
    </row>
    <row r="670" ht="15.75" customHeight="1">
      <c r="D670" s="38"/>
      <c r="G670" s="54"/>
      <c r="I670" s="38"/>
      <c r="J670" s="38"/>
      <c r="K670" s="38"/>
      <c r="L670" s="59"/>
    </row>
    <row r="671" ht="15.75" customHeight="1">
      <c r="D671" s="38"/>
      <c r="G671" s="54"/>
      <c r="I671" s="38"/>
      <c r="J671" s="38"/>
      <c r="K671" s="38"/>
      <c r="L671" s="59"/>
    </row>
    <row r="672" ht="15.75" customHeight="1">
      <c r="D672" s="38"/>
      <c r="G672" s="54"/>
      <c r="I672" s="38"/>
      <c r="J672" s="38"/>
      <c r="K672" s="38"/>
      <c r="L672" s="59"/>
    </row>
    <row r="673" ht="15.75" customHeight="1">
      <c r="D673" s="38"/>
      <c r="G673" s="54"/>
      <c r="I673" s="38"/>
      <c r="J673" s="38"/>
      <c r="K673" s="38"/>
      <c r="L673" s="59"/>
    </row>
    <row r="674" ht="15.75" customHeight="1">
      <c r="D674" s="38"/>
      <c r="G674" s="54"/>
      <c r="I674" s="38"/>
      <c r="J674" s="38"/>
      <c r="K674" s="38"/>
      <c r="L674" s="59"/>
    </row>
    <row r="675" ht="15.75" customHeight="1">
      <c r="D675" s="38"/>
      <c r="G675" s="54"/>
      <c r="I675" s="38"/>
      <c r="J675" s="38"/>
      <c r="K675" s="38"/>
      <c r="L675" s="59"/>
    </row>
    <row r="676" ht="15.75" customHeight="1">
      <c r="D676" s="38"/>
      <c r="G676" s="54"/>
      <c r="I676" s="38"/>
      <c r="J676" s="38"/>
      <c r="K676" s="38"/>
      <c r="L676" s="59"/>
    </row>
    <row r="677" ht="15.75" customHeight="1">
      <c r="D677" s="38"/>
      <c r="G677" s="54"/>
      <c r="I677" s="38"/>
      <c r="J677" s="38"/>
      <c r="K677" s="38"/>
      <c r="L677" s="59"/>
    </row>
    <row r="678" ht="15.75" customHeight="1">
      <c r="D678" s="38"/>
      <c r="G678" s="54"/>
      <c r="I678" s="38"/>
      <c r="J678" s="38"/>
      <c r="K678" s="38"/>
      <c r="L678" s="59"/>
    </row>
    <row r="679" ht="15.75" customHeight="1">
      <c r="D679" s="38"/>
      <c r="G679" s="54"/>
      <c r="I679" s="38"/>
      <c r="J679" s="38"/>
      <c r="K679" s="38"/>
      <c r="L679" s="59"/>
    </row>
    <row r="680" ht="15.75" customHeight="1">
      <c r="D680" s="38"/>
      <c r="G680" s="54"/>
      <c r="I680" s="38"/>
      <c r="J680" s="38"/>
      <c r="K680" s="38"/>
      <c r="L680" s="59"/>
    </row>
    <row r="681" ht="15.75" customHeight="1">
      <c r="D681" s="38"/>
      <c r="G681" s="54"/>
      <c r="I681" s="38"/>
      <c r="J681" s="38"/>
      <c r="K681" s="38"/>
      <c r="L681" s="59"/>
    </row>
    <row r="682" ht="15.75" customHeight="1">
      <c r="D682" s="38"/>
      <c r="G682" s="54"/>
      <c r="I682" s="38"/>
      <c r="J682" s="38"/>
      <c r="K682" s="38"/>
      <c r="L682" s="59"/>
    </row>
    <row r="683" ht="15.75" customHeight="1">
      <c r="D683" s="38"/>
      <c r="G683" s="54"/>
      <c r="I683" s="38"/>
      <c r="J683" s="38"/>
      <c r="K683" s="38"/>
      <c r="L683" s="59"/>
    </row>
    <row r="684" ht="15.75" customHeight="1">
      <c r="D684" s="38"/>
      <c r="G684" s="54"/>
      <c r="I684" s="38"/>
      <c r="J684" s="38"/>
      <c r="K684" s="38"/>
      <c r="L684" s="59"/>
    </row>
    <row r="685" ht="15.75" customHeight="1">
      <c r="D685" s="38"/>
      <c r="G685" s="54"/>
      <c r="I685" s="38"/>
      <c r="J685" s="38"/>
      <c r="K685" s="38"/>
      <c r="L685" s="59"/>
    </row>
    <row r="686" ht="15.75" customHeight="1">
      <c r="D686" s="38"/>
      <c r="G686" s="54"/>
      <c r="I686" s="38"/>
      <c r="J686" s="38"/>
      <c r="K686" s="38"/>
      <c r="L686" s="59"/>
    </row>
    <row r="687" ht="15.75" customHeight="1">
      <c r="D687" s="38"/>
      <c r="G687" s="54"/>
      <c r="I687" s="38"/>
      <c r="J687" s="38"/>
      <c r="K687" s="38"/>
      <c r="L687" s="59"/>
    </row>
    <row r="688" ht="15.75" customHeight="1">
      <c r="D688" s="38"/>
      <c r="G688" s="54"/>
      <c r="I688" s="38"/>
      <c r="J688" s="38"/>
      <c r="K688" s="38"/>
      <c r="L688" s="59"/>
    </row>
    <row r="689" ht="15.75" customHeight="1">
      <c r="D689" s="38"/>
      <c r="G689" s="54"/>
      <c r="I689" s="38"/>
      <c r="J689" s="38"/>
      <c r="K689" s="38"/>
      <c r="L689" s="59"/>
    </row>
    <row r="690" ht="15.75" customHeight="1">
      <c r="D690" s="38"/>
      <c r="G690" s="54"/>
      <c r="I690" s="38"/>
      <c r="J690" s="38"/>
      <c r="K690" s="38"/>
      <c r="L690" s="59"/>
    </row>
    <row r="691" ht="15.75" customHeight="1">
      <c r="D691" s="38"/>
      <c r="G691" s="54"/>
      <c r="I691" s="38"/>
      <c r="J691" s="38"/>
      <c r="K691" s="38"/>
      <c r="L691" s="59"/>
    </row>
    <row r="692" ht="15.75" customHeight="1">
      <c r="D692" s="38"/>
      <c r="G692" s="54"/>
      <c r="I692" s="38"/>
      <c r="J692" s="38"/>
      <c r="K692" s="38"/>
      <c r="L692" s="59"/>
    </row>
    <row r="693" ht="15.75" customHeight="1">
      <c r="D693" s="38"/>
      <c r="G693" s="54"/>
      <c r="I693" s="38"/>
      <c r="J693" s="38"/>
      <c r="K693" s="38"/>
      <c r="L693" s="59"/>
    </row>
    <row r="694" ht="15.75" customHeight="1">
      <c r="D694" s="38"/>
      <c r="G694" s="54"/>
      <c r="I694" s="38"/>
      <c r="J694" s="38"/>
      <c r="K694" s="38"/>
      <c r="L694" s="59"/>
    </row>
    <row r="695" ht="15.75" customHeight="1">
      <c r="D695" s="38"/>
      <c r="G695" s="54"/>
      <c r="I695" s="38"/>
      <c r="J695" s="38"/>
      <c r="K695" s="38"/>
      <c r="L695" s="59"/>
    </row>
    <row r="696" ht="15.75" customHeight="1">
      <c r="D696" s="38"/>
      <c r="G696" s="54"/>
      <c r="I696" s="38"/>
      <c r="J696" s="38"/>
      <c r="K696" s="38"/>
      <c r="L696" s="59"/>
    </row>
    <row r="697" ht="15.75" customHeight="1">
      <c r="D697" s="38"/>
      <c r="G697" s="54"/>
      <c r="I697" s="38"/>
      <c r="J697" s="38"/>
      <c r="K697" s="38"/>
      <c r="L697" s="59"/>
    </row>
    <row r="698" ht="15.75" customHeight="1">
      <c r="D698" s="38"/>
      <c r="G698" s="54"/>
      <c r="I698" s="38"/>
      <c r="J698" s="38"/>
      <c r="K698" s="38"/>
      <c r="L698" s="59"/>
    </row>
    <row r="699" ht="15.75" customHeight="1">
      <c r="D699" s="38"/>
      <c r="G699" s="54"/>
      <c r="I699" s="38"/>
      <c r="J699" s="38"/>
      <c r="K699" s="38"/>
      <c r="L699" s="59"/>
    </row>
    <row r="700" ht="15.75" customHeight="1">
      <c r="D700" s="38"/>
      <c r="G700" s="54"/>
      <c r="I700" s="38"/>
      <c r="J700" s="38"/>
      <c r="K700" s="38"/>
      <c r="L700" s="59"/>
    </row>
    <row r="701" ht="15.75" customHeight="1">
      <c r="D701" s="38"/>
      <c r="G701" s="54"/>
      <c r="I701" s="38"/>
      <c r="J701" s="38"/>
      <c r="K701" s="38"/>
      <c r="L701" s="59"/>
    </row>
    <row r="702" ht="15.75" customHeight="1">
      <c r="D702" s="38"/>
      <c r="G702" s="54"/>
      <c r="I702" s="38"/>
      <c r="J702" s="38"/>
      <c r="K702" s="38"/>
      <c r="L702" s="59"/>
    </row>
    <row r="703" ht="15.75" customHeight="1">
      <c r="D703" s="38"/>
      <c r="G703" s="54"/>
      <c r="I703" s="38"/>
      <c r="J703" s="38"/>
      <c r="K703" s="38"/>
      <c r="L703" s="59"/>
    </row>
    <row r="704" ht="15.75" customHeight="1">
      <c r="D704" s="38"/>
      <c r="G704" s="54"/>
      <c r="I704" s="38"/>
      <c r="J704" s="38"/>
      <c r="K704" s="38"/>
      <c r="L704" s="59"/>
    </row>
    <row r="705" ht="15.75" customHeight="1">
      <c r="D705" s="38"/>
      <c r="G705" s="54"/>
      <c r="I705" s="38"/>
      <c r="J705" s="38"/>
      <c r="K705" s="38"/>
      <c r="L705" s="59"/>
    </row>
    <row r="706" ht="15.75" customHeight="1">
      <c r="D706" s="38"/>
      <c r="G706" s="54"/>
      <c r="I706" s="38"/>
      <c r="J706" s="38"/>
      <c r="K706" s="38"/>
      <c r="L706" s="59"/>
    </row>
    <row r="707" ht="15.75" customHeight="1">
      <c r="D707" s="38"/>
      <c r="G707" s="54"/>
      <c r="I707" s="38"/>
      <c r="J707" s="38"/>
      <c r="K707" s="38"/>
      <c r="L707" s="59"/>
    </row>
    <row r="708" ht="15.75" customHeight="1">
      <c r="D708" s="38"/>
      <c r="G708" s="54"/>
      <c r="I708" s="38"/>
      <c r="J708" s="38"/>
      <c r="K708" s="38"/>
      <c r="L708" s="59"/>
    </row>
    <row r="709" ht="15.75" customHeight="1">
      <c r="D709" s="38"/>
      <c r="G709" s="54"/>
      <c r="I709" s="38"/>
      <c r="J709" s="38"/>
      <c r="K709" s="38"/>
      <c r="L709" s="59"/>
    </row>
    <row r="710" ht="15.75" customHeight="1">
      <c r="D710" s="38"/>
      <c r="G710" s="54"/>
      <c r="I710" s="38"/>
      <c r="J710" s="38"/>
      <c r="K710" s="38"/>
      <c r="L710" s="59"/>
    </row>
    <row r="711" ht="15.75" customHeight="1">
      <c r="D711" s="38"/>
      <c r="G711" s="54"/>
      <c r="I711" s="38"/>
      <c r="J711" s="38"/>
      <c r="K711" s="38"/>
      <c r="L711" s="59"/>
    </row>
    <row r="712" ht="15.75" customHeight="1">
      <c r="D712" s="38"/>
      <c r="G712" s="54"/>
      <c r="I712" s="38"/>
      <c r="J712" s="38"/>
      <c r="K712" s="38"/>
      <c r="L712" s="59"/>
    </row>
    <row r="713" ht="15.75" customHeight="1">
      <c r="D713" s="38"/>
      <c r="G713" s="54"/>
      <c r="I713" s="38"/>
      <c r="J713" s="38"/>
      <c r="K713" s="38"/>
      <c r="L713" s="59"/>
    </row>
    <row r="714" ht="15.75" customHeight="1">
      <c r="D714" s="38"/>
      <c r="G714" s="54"/>
      <c r="I714" s="38"/>
      <c r="J714" s="38"/>
      <c r="K714" s="38"/>
      <c r="L714" s="59"/>
    </row>
    <row r="715" ht="15.75" customHeight="1">
      <c r="D715" s="38"/>
      <c r="G715" s="54"/>
      <c r="I715" s="38"/>
      <c r="J715" s="38"/>
      <c r="K715" s="38"/>
      <c r="L715" s="59"/>
    </row>
    <row r="716" ht="15.75" customHeight="1">
      <c r="D716" s="38"/>
      <c r="G716" s="54"/>
      <c r="I716" s="38"/>
      <c r="J716" s="38"/>
      <c r="K716" s="38"/>
      <c r="L716" s="59"/>
    </row>
    <row r="717" ht="15.75" customHeight="1">
      <c r="D717" s="38"/>
      <c r="G717" s="54"/>
      <c r="I717" s="38"/>
      <c r="J717" s="38"/>
      <c r="K717" s="38"/>
      <c r="L717" s="59"/>
    </row>
    <row r="718" ht="15.75" customHeight="1">
      <c r="D718" s="38"/>
      <c r="G718" s="54"/>
      <c r="I718" s="38"/>
      <c r="J718" s="38"/>
      <c r="K718" s="38"/>
      <c r="L718" s="59"/>
    </row>
    <row r="719" ht="15.75" customHeight="1">
      <c r="D719" s="38"/>
      <c r="G719" s="54"/>
      <c r="I719" s="38"/>
      <c r="J719" s="38"/>
      <c r="K719" s="38"/>
      <c r="L719" s="59"/>
    </row>
    <row r="720" ht="15.75" customHeight="1">
      <c r="D720" s="38"/>
      <c r="G720" s="54"/>
      <c r="I720" s="38"/>
      <c r="J720" s="38"/>
      <c r="K720" s="38"/>
      <c r="L720" s="59"/>
    </row>
    <row r="721" ht="15.75" customHeight="1">
      <c r="D721" s="38"/>
      <c r="G721" s="54"/>
      <c r="I721" s="38"/>
      <c r="J721" s="38"/>
      <c r="K721" s="38"/>
      <c r="L721" s="59"/>
    </row>
    <row r="722" ht="15.75" customHeight="1">
      <c r="D722" s="38"/>
      <c r="G722" s="54"/>
      <c r="I722" s="38"/>
      <c r="J722" s="38"/>
      <c r="K722" s="38"/>
      <c r="L722" s="59"/>
    </row>
    <row r="723" ht="15.75" customHeight="1">
      <c r="D723" s="38"/>
      <c r="G723" s="54"/>
      <c r="I723" s="38"/>
      <c r="J723" s="38"/>
      <c r="K723" s="38"/>
      <c r="L723" s="59"/>
    </row>
    <row r="724" ht="15.75" customHeight="1">
      <c r="D724" s="38"/>
      <c r="G724" s="54"/>
      <c r="I724" s="38"/>
      <c r="J724" s="38"/>
      <c r="K724" s="38"/>
      <c r="L724" s="59"/>
    </row>
    <row r="725" ht="15.75" customHeight="1">
      <c r="D725" s="38"/>
      <c r="G725" s="54"/>
      <c r="I725" s="38"/>
      <c r="J725" s="38"/>
      <c r="K725" s="38"/>
      <c r="L725" s="59"/>
    </row>
    <row r="726" ht="15.75" customHeight="1">
      <c r="D726" s="38"/>
      <c r="G726" s="54"/>
      <c r="I726" s="38"/>
      <c r="J726" s="38"/>
      <c r="K726" s="38"/>
      <c r="L726" s="59"/>
    </row>
    <row r="727" ht="15.75" customHeight="1">
      <c r="D727" s="38"/>
      <c r="G727" s="54"/>
      <c r="I727" s="38"/>
      <c r="J727" s="38"/>
      <c r="K727" s="38"/>
      <c r="L727" s="59"/>
    </row>
    <row r="728" ht="15.75" customHeight="1">
      <c r="D728" s="38"/>
      <c r="G728" s="54"/>
      <c r="I728" s="38"/>
      <c r="J728" s="38"/>
      <c r="K728" s="38"/>
      <c r="L728" s="59"/>
    </row>
    <row r="729" ht="15.75" customHeight="1">
      <c r="D729" s="38"/>
      <c r="G729" s="54"/>
      <c r="I729" s="38"/>
      <c r="J729" s="38"/>
      <c r="K729" s="38"/>
      <c r="L729" s="59"/>
    </row>
    <row r="730" ht="15.75" customHeight="1">
      <c r="D730" s="38"/>
      <c r="G730" s="54"/>
      <c r="I730" s="38"/>
      <c r="J730" s="38"/>
      <c r="K730" s="38"/>
      <c r="L730" s="59"/>
    </row>
    <row r="731" ht="15.75" customHeight="1">
      <c r="D731" s="38"/>
      <c r="G731" s="54"/>
      <c r="I731" s="38"/>
      <c r="J731" s="38"/>
      <c r="K731" s="38"/>
      <c r="L731" s="59"/>
    </row>
    <row r="732" ht="15.75" customHeight="1">
      <c r="D732" s="38"/>
      <c r="G732" s="54"/>
      <c r="I732" s="38"/>
      <c r="J732" s="38"/>
      <c r="K732" s="38"/>
      <c r="L732" s="59"/>
    </row>
    <row r="733" ht="15.75" customHeight="1">
      <c r="D733" s="38"/>
      <c r="G733" s="54"/>
      <c r="I733" s="38"/>
      <c r="J733" s="38"/>
      <c r="K733" s="38"/>
      <c r="L733" s="59"/>
    </row>
    <row r="734" ht="15.75" customHeight="1">
      <c r="D734" s="38"/>
      <c r="G734" s="54"/>
      <c r="I734" s="38"/>
      <c r="J734" s="38"/>
      <c r="K734" s="38"/>
      <c r="L734" s="59"/>
    </row>
    <row r="735" ht="15.75" customHeight="1">
      <c r="D735" s="38"/>
      <c r="G735" s="54"/>
      <c r="I735" s="38"/>
      <c r="J735" s="38"/>
      <c r="K735" s="38"/>
      <c r="L735" s="59"/>
    </row>
    <row r="736" ht="15.75" customHeight="1">
      <c r="D736" s="38"/>
      <c r="G736" s="54"/>
      <c r="I736" s="38"/>
      <c r="J736" s="38"/>
      <c r="K736" s="38"/>
      <c r="L736" s="59"/>
    </row>
    <row r="737" ht="15.75" customHeight="1">
      <c r="D737" s="38"/>
      <c r="G737" s="54"/>
      <c r="I737" s="38"/>
      <c r="J737" s="38"/>
      <c r="K737" s="38"/>
      <c r="L737" s="59"/>
    </row>
    <row r="738" ht="15.75" customHeight="1">
      <c r="D738" s="38"/>
      <c r="G738" s="54"/>
      <c r="I738" s="38"/>
      <c r="J738" s="38"/>
      <c r="K738" s="38"/>
      <c r="L738" s="59"/>
    </row>
    <row r="739" ht="15.75" customHeight="1">
      <c r="D739" s="38"/>
      <c r="G739" s="54"/>
      <c r="I739" s="38"/>
      <c r="J739" s="38"/>
      <c r="K739" s="38"/>
      <c r="L739" s="59"/>
    </row>
    <row r="740" ht="15.75" customHeight="1">
      <c r="D740" s="38"/>
      <c r="G740" s="54"/>
      <c r="I740" s="38"/>
      <c r="J740" s="38"/>
      <c r="K740" s="38"/>
      <c r="L740" s="59"/>
    </row>
    <row r="741" ht="15.75" customHeight="1">
      <c r="D741" s="38"/>
      <c r="G741" s="54"/>
      <c r="I741" s="38"/>
      <c r="J741" s="38"/>
      <c r="K741" s="38"/>
      <c r="L741" s="59"/>
    </row>
    <row r="742" ht="15.75" customHeight="1">
      <c r="D742" s="38"/>
      <c r="G742" s="54"/>
      <c r="I742" s="38"/>
      <c r="J742" s="38"/>
      <c r="K742" s="38"/>
      <c r="L742" s="59"/>
    </row>
    <row r="743" ht="15.75" customHeight="1">
      <c r="D743" s="38"/>
      <c r="G743" s="54"/>
      <c r="I743" s="38"/>
      <c r="J743" s="38"/>
      <c r="K743" s="38"/>
      <c r="L743" s="59"/>
    </row>
    <row r="744" ht="15.75" customHeight="1">
      <c r="D744" s="38"/>
      <c r="G744" s="54"/>
      <c r="I744" s="38"/>
      <c r="J744" s="38"/>
      <c r="K744" s="38"/>
      <c r="L744" s="59"/>
    </row>
    <row r="745" ht="15.75" customHeight="1">
      <c r="D745" s="38"/>
      <c r="G745" s="54"/>
      <c r="I745" s="38"/>
      <c r="J745" s="38"/>
      <c r="K745" s="38"/>
      <c r="L745" s="59"/>
    </row>
    <row r="746" ht="15.75" customHeight="1">
      <c r="D746" s="38"/>
      <c r="G746" s="54"/>
      <c r="I746" s="38"/>
      <c r="J746" s="38"/>
      <c r="K746" s="38"/>
      <c r="L746" s="59"/>
    </row>
    <row r="747" ht="15.75" customHeight="1">
      <c r="D747" s="38"/>
      <c r="G747" s="54"/>
      <c r="I747" s="38"/>
      <c r="J747" s="38"/>
      <c r="K747" s="38"/>
      <c r="L747" s="59"/>
    </row>
    <row r="748" ht="15.75" customHeight="1">
      <c r="D748" s="38"/>
      <c r="G748" s="54"/>
      <c r="I748" s="38"/>
      <c r="J748" s="38"/>
      <c r="K748" s="38"/>
      <c r="L748" s="59"/>
    </row>
    <row r="749" ht="15.75" customHeight="1">
      <c r="D749" s="38"/>
      <c r="G749" s="54"/>
      <c r="I749" s="38"/>
      <c r="J749" s="38"/>
      <c r="K749" s="38"/>
      <c r="L749" s="59"/>
    </row>
    <row r="750" ht="15.75" customHeight="1">
      <c r="D750" s="38"/>
      <c r="G750" s="54"/>
      <c r="I750" s="38"/>
      <c r="J750" s="38"/>
      <c r="K750" s="38"/>
      <c r="L750" s="59"/>
    </row>
    <row r="751" ht="15.75" customHeight="1">
      <c r="D751" s="38"/>
      <c r="G751" s="54"/>
      <c r="I751" s="38"/>
      <c r="J751" s="38"/>
      <c r="K751" s="38"/>
      <c r="L751" s="59"/>
    </row>
    <row r="752" ht="15.75" customHeight="1">
      <c r="D752" s="38"/>
      <c r="G752" s="54"/>
      <c r="I752" s="38"/>
      <c r="J752" s="38"/>
      <c r="K752" s="38"/>
      <c r="L752" s="59"/>
    </row>
    <row r="753" ht="15.75" customHeight="1">
      <c r="D753" s="38"/>
      <c r="G753" s="54"/>
      <c r="I753" s="38"/>
      <c r="J753" s="38"/>
      <c r="K753" s="38"/>
      <c r="L753" s="59"/>
    </row>
    <row r="754" ht="15.75" customHeight="1">
      <c r="D754" s="38"/>
      <c r="G754" s="54"/>
      <c r="I754" s="38"/>
      <c r="J754" s="38"/>
      <c r="K754" s="38"/>
      <c r="L754" s="59"/>
    </row>
    <row r="755" ht="15.75" customHeight="1">
      <c r="D755" s="38"/>
      <c r="G755" s="54"/>
      <c r="I755" s="38"/>
      <c r="J755" s="38"/>
      <c r="K755" s="38"/>
      <c r="L755" s="59"/>
    </row>
    <row r="756" ht="15.75" customHeight="1">
      <c r="D756" s="38"/>
      <c r="G756" s="54"/>
      <c r="I756" s="38"/>
      <c r="J756" s="38"/>
      <c r="K756" s="38"/>
      <c r="L756" s="59"/>
    </row>
    <row r="757" ht="15.75" customHeight="1">
      <c r="D757" s="38"/>
      <c r="G757" s="54"/>
      <c r="I757" s="38"/>
      <c r="J757" s="38"/>
      <c r="K757" s="38"/>
      <c r="L757" s="59"/>
    </row>
    <row r="758" ht="15.75" customHeight="1">
      <c r="D758" s="38"/>
      <c r="G758" s="54"/>
      <c r="I758" s="38"/>
      <c r="J758" s="38"/>
      <c r="K758" s="38"/>
      <c r="L758" s="59"/>
    </row>
    <row r="759" ht="15.75" customHeight="1">
      <c r="D759" s="38"/>
      <c r="G759" s="54"/>
      <c r="I759" s="38"/>
      <c r="J759" s="38"/>
      <c r="K759" s="38"/>
      <c r="L759" s="59"/>
    </row>
    <row r="760" ht="15.75" customHeight="1">
      <c r="D760" s="38"/>
      <c r="G760" s="54"/>
      <c r="I760" s="38"/>
      <c r="J760" s="38"/>
      <c r="K760" s="38"/>
      <c r="L760" s="59"/>
    </row>
    <row r="761" ht="15.75" customHeight="1">
      <c r="D761" s="38"/>
      <c r="G761" s="54"/>
      <c r="I761" s="38"/>
      <c r="J761" s="38"/>
      <c r="K761" s="38"/>
      <c r="L761" s="59"/>
    </row>
    <row r="762" ht="15.75" customHeight="1">
      <c r="D762" s="38"/>
      <c r="G762" s="54"/>
      <c r="I762" s="38"/>
      <c r="J762" s="38"/>
      <c r="K762" s="38"/>
      <c r="L762" s="59"/>
    </row>
    <row r="763" ht="15.75" customHeight="1">
      <c r="D763" s="38"/>
      <c r="G763" s="54"/>
      <c r="I763" s="38"/>
      <c r="J763" s="38"/>
      <c r="K763" s="38"/>
      <c r="L763" s="59"/>
    </row>
    <row r="764" ht="15.75" customHeight="1">
      <c r="D764" s="38"/>
      <c r="G764" s="54"/>
      <c r="I764" s="38"/>
      <c r="J764" s="38"/>
      <c r="K764" s="38"/>
      <c r="L764" s="59"/>
    </row>
    <row r="765" ht="15.75" customHeight="1">
      <c r="D765" s="38"/>
      <c r="G765" s="54"/>
      <c r="I765" s="38"/>
      <c r="J765" s="38"/>
      <c r="K765" s="38"/>
      <c r="L765" s="59"/>
    </row>
    <row r="766" ht="15.75" customHeight="1">
      <c r="D766" s="38"/>
      <c r="G766" s="54"/>
      <c r="I766" s="38"/>
      <c r="J766" s="38"/>
      <c r="K766" s="38"/>
      <c r="L766" s="59"/>
    </row>
    <row r="767" ht="15.75" customHeight="1">
      <c r="D767" s="38"/>
      <c r="G767" s="54"/>
      <c r="I767" s="38"/>
      <c r="J767" s="38"/>
      <c r="K767" s="38"/>
      <c r="L767" s="59"/>
    </row>
    <row r="768" ht="15.75" customHeight="1">
      <c r="D768" s="38"/>
      <c r="G768" s="54"/>
      <c r="I768" s="38"/>
      <c r="J768" s="38"/>
      <c r="K768" s="38"/>
      <c r="L768" s="59"/>
    </row>
    <row r="769" ht="15.75" customHeight="1">
      <c r="D769" s="38"/>
      <c r="G769" s="54"/>
      <c r="I769" s="38"/>
      <c r="J769" s="38"/>
      <c r="K769" s="38"/>
      <c r="L769" s="59"/>
    </row>
    <row r="770" ht="15.75" customHeight="1">
      <c r="D770" s="38"/>
      <c r="G770" s="54"/>
      <c r="I770" s="38"/>
      <c r="J770" s="38"/>
      <c r="K770" s="38"/>
      <c r="L770" s="59"/>
    </row>
    <row r="771" ht="15.75" customHeight="1">
      <c r="D771" s="38"/>
      <c r="G771" s="54"/>
      <c r="I771" s="38"/>
      <c r="J771" s="38"/>
      <c r="K771" s="38"/>
      <c r="L771" s="59"/>
    </row>
    <row r="772" ht="15.75" customHeight="1">
      <c r="D772" s="38"/>
      <c r="G772" s="54"/>
      <c r="I772" s="38"/>
      <c r="J772" s="38"/>
      <c r="K772" s="38"/>
      <c r="L772" s="59"/>
    </row>
    <row r="773" ht="15.75" customHeight="1">
      <c r="D773" s="38"/>
      <c r="G773" s="54"/>
      <c r="I773" s="38"/>
      <c r="J773" s="38"/>
      <c r="K773" s="38"/>
      <c r="L773" s="59"/>
    </row>
    <row r="774" ht="15.75" customHeight="1">
      <c r="D774" s="38"/>
      <c r="G774" s="54"/>
      <c r="I774" s="38"/>
      <c r="J774" s="38"/>
      <c r="K774" s="38"/>
      <c r="L774" s="59"/>
    </row>
    <row r="775" ht="15.75" customHeight="1">
      <c r="D775" s="38"/>
      <c r="G775" s="54"/>
      <c r="I775" s="38"/>
      <c r="J775" s="38"/>
      <c r="K775" s="38"/>
      <c r="L775" s="59"/>
    </row>
    <row r="776" ht="15.75" customHeight="1">
      <c r="D776" s="38"/>
      <c r="G776" s="54"/>
      <c r="I776" s="38"/>
      <c r="J776" s="38"/>
      <c r="K776" s="38"/>
      <c r="L776" s="59"/>
    </row>
    <row r="777" ht="15.75" customHeight="1">
      <c r="D777" s="38"/>
      <c r="G777" s="54"/>
      <c r="I777" s="38"/>
      <c r="J777" s="38"/>
      <c r="K777" s="38"/>
      <c r="L777" s="59"/>
    </row>
    <row r="778" ht="15.75" customHeight="1">
      <c r="D778" s="38"/>
      <c r="G778" s="54"/>
      <c r="I778" s="38"/>
      <c r="J778" s="38"/>
      <c r="K778" s="38"/>
      <c r="L778" s="59"/>
    </row>
    <row r="779" ht="15.75" customHeight="1">
      <c r="D779" s="38"/>
      <c r="G779" s="54"/>
      <c r="I779" s="38"/>
      <c r="J779" s="38"/>
      <c r="K779" s="38"/>
      <c r="L779" s="59"/>
    </row>
    <row r="780" ht="15.75" customHeight="1">
      <c r="D780" s="38"/>
      <c r="G780" s="54"/>
      <c r="I780" s="38"/>
      <c r="J780" s="38"/>
      <c r="K780" s="38"/>
      <c r="L780" s="59"/>
    </row>
    <row r="781" ht="15.75" customHeight="1">
      <c r="D781" s="38"/>
      <c r="G781" s="54"/>
      <c r="I781" s="38"/>
      <c r="J781" s="38"/>
      <c r="K781" s="38"/>
      <c r="L781" s="59"/>
    </row>
    <row r="782" ht="15.75" customHeight="1">
      <c r="D782" s="38"/>
      <c r="G782" s="54"/>
      <c r="I782" s="38"/>
      <c r="J782" s="38"/>
      <c r="K782" s="38"/>
      <c r="L782" s="59"/>
    </row>
    <row r="783" ht="15.75" customHeight="1">
      <c r="D783" s="38"/>
      <c r="G783" s="54"/>
      <c r="I783" s="38"/>
      <c r="J783" s="38"/>
      <c r="K783" s="38"/>
      <c r="L783" s="59"/>
    </row>
    <row r="784" ht="15.75" customHeight="1">
      <c r="D784" s="38"/>
      <c r="G784" s="54"/>
      <c r="I784" s="38"/>
      <c r="J784" s="38"/>
      <c r="K784" s="38"/>
      <c r="L784" s="59"/>
    </row>
    <row r="785" ht="15.75" customHeight="1">
      <c r="D785" s="38"/>
      <c r="G785" s="54"/>
      <c r="I785" s="38"/>
      <c r="J785" s="38"/>
      <c r="K785" s="38"/>
      <c r="L785" s="59"/>
    </row>
    <row r="786" ht="15.75" customHeight="1">
      <c r="D786" s="38"/>
      <c r="G786" s="54"/>
      <c r="I786" s="38"/>
      <c r="J786" s="38"/>
      <c r="K786" s="38"/>
      <c r="L786" s="59"/>
    </row>
    <row r="787" ht="15.75" customHeight="1">
      <c r="D787" s="38"/>
      <c r="G787" s="54"/>
      <c r="I787" s="38"/>
      <c r="J787" s="38"/>
      <c r="K787" s="38"/>
      <c r="L787" s="59"/>
    </row>
    <row r="788" ht="15.75" customHeight="1">
      <c r="D788" s="38"/>
      <c r="G788" s="54"/>
      <c r="I788" s="38"/>
      <c r="J788" s="38"/>
      <c r="K788" s="38"/>
      <c r="L788" s="59"/>
    </row>
    <row r="789" ht="15.75" customHeight="1">
      <c r="D789" s="38"/>
      <c r="G789" s="54"/>
      <c r="I789" s="38"/>
      <c r="J789" s="38"/>
      <c r="K789" s="38"/>
      <c r="L789" s="59"/>
    </row>
    <row r="790" ht="15.75" customHeight="1">
      <c r="D790" s="38"/>
      <c r="G790" s="54"/>
      <c r="I790" s="38"/>
      <c r="J790" s="38"/>
      <c r="K790" s="38"/>
      <c r="L790" s="59"/>
    </row>
    <row r="791" ht="15.75" customHeight="1">
      <c r="D791" s="38"/>
      <c r="G791" s="54"/>
      <c r="I791" s="38"/>
      <c r="J791" s="38"/>
      <c r="K791" s="38"/>
      <c r="L791" s="59"/>
    </row>
    <row r="792" ht="15.75" customHeight="1">
      <c r="D792" s="38"/>
      <c r="G792" s="54"/>
      <c r="I792" s="38"/>
      <c r="J792" s="38"/>
      <c r="K792" s="38"/>
      <c r="L792" s="59"/>
    </row>
    <row r="793" ht="15.75" customHeight="1">
      <c r="D793" s="38"/>
      <c r="G793" s="54"/>
      <c r="I793" s="38"/>
      <c r="J793" s="38"/>
      <c r="K793" s="38"/>
      <c r="L793" s="59"/>
    </row>
    <row r="794" ht="15.75" customHeight="1">
      <c r="D794" s="38"/>
      <c r="G794" s="54"/>
      <c r="I794" s="38"/>
      <c r="J794" s="38"/>
      <c r="K794" s="38"/>
      <c r="L794" s="59"/>
    </row>
    <row r="795" ht="15.75" customHeight="1">
      <c r="D795" s="38"/>
      <c r="G795" s="54"/>
      <c r="I795" s="38"/>
      <c r="J795" s="38"/>
      <c r="K795" s="38"/>
      <c r="L795" s="59"/>
    </row>
    <row r="796" ht="15.75" customHeight="1">
      <c r="D796" s="38"/>
      <c r="G796" s="54"/>
      <c r="I796" s="38"/>
      <c r="J796" s="38"/>
      <c r="K796" s="38"/>
      <c r="L796" s="59"/>
    </row>
    <row r="797" ht="15.75" customHeight="1">
      <c r="D797" s="38"/>
      <c r="G797" s="54"/>
      <c r="I797" s="38"/>
      <c r="J797" s="38"/>
      <c r="K797" s="38"/>
      <c r="L797" s="59"/>
    </row>
    <row r="798" ht="15.75" customHeight="1">
      <c r="D798" s="38"/>
      <c r="G798" s="54"/>
      <c r="I798" s="38"/>
      <c r="J798" s="38"/>
      <c r="K798" s="38"/>
      <c r="L798" s="59"/>
    </row>
    <row r="799" ht="15.75" customHeight="1">
      <c r="D799" s="38"/>
      <c r="G799" s="54"/>
      <c r="I799" s="38"/>
      <c r="J799" s="38"/>
      <c r="K799" s="38"/>
      <c r="L799" s="59"/>
    </row>
    <row r="800" ht="15.75" customHeight="1">
      <c r="D800" s="38"/>
      <c r="G800" s="54"/>
      <c r="I800" s="38"/>
      <c r="J800" s="38"/>
      <c r="K800" s="38"/>
      <c r="L800" s="59"/>
    </row>
    <row r="801" ht="15.75" customHeight="1">
      <c r="D801" s="38"/>
      <c r="G801" s="54"/>
      <c r="I801" s="38"/>
      <c r="J801" s="38"/>
      <c r="K801" s="38"/>
      <c r="L801" s="59"/>
    </row>
    <row r="802" ht="15.75" customHeight="1">
      <c r="D802" s="38"/>
      <c r="G802" s="54"/>
      <c r="I802" s="38"/>
      <c r="J802" s="38"/>
      <c r="K802" s="38"/>
      <c r="L802" s="59"/>
    </row>
    <row r="803" ht="15.75" customHeight="1">
      <c r="D803" s="38"/>
      <c r="G803" s="54"/>
      <c r="I803" s="38"/>
      <c r="J803" s="38"/>
      <c r="K803" s="38"/>
      <c r="L803" s="59"/>
    </row>
    <row r="804" ht="15.75" customHeight="1">
      <c r="D804" s="38"/>
      <c r="G804" s="54"/>
      <c r="I804" s="38"/>
      <c r="J804" s="38"/>
      <c r="K804" s="38"/>
      <c r="L804" s="59"/>
    </row>
    <row r="805" ht="15.75" customHeight="1">
      <c r="D805" s="38"/>
      <c r="G805" s="54"/>
      <c r="I805" s="38"/>
      <c r="J805" s="38"/>
      <c r="K805" s="38"/>
      <c r="L805" s="59"/>
    </row>
    <row r="806" ht="15.75" customHeight="1">
      <c r="D806" s="38"/>
      <c r="G806" s="54"/>
      <c r="I806" s="38"/>
      <c r="J806" s="38"/>
      <c r="K806" s="38"/>
      <c r="L806" s="59"/>
    </row>
    <row r="807" ht="15.75" customHeight="1">
      <c r="D807" s="38"/>
      <c r="G807" s="54"/>
      <c r="I807" s="38"/>
      <c r="J807" s="38"/>
      <c r="K807" s="38"/>
      <c r="L807" s="59"/>
    </row>
    <row r="808" ht="15.75" customHeight="1">
      <c r="D808" s="38"/>
      <c r="G808" s="54"/>
      <c r="I808" s="38"/>
      <c r="J808" s="38"/>
      <c r="K808" s="38"/>
      <c r="L808" s="59"/>
    </row>
    <row r="809" ht="15.75" customHeight="1">
      <c r="D809" s="38"/>
      <c r="G809" s="54"/>
      <c r="I809" s="38"/>
      <c r="J809" s="38"/>
      <c r="K809" s="38"/>
      <c r="L809" s="59"/>
    </row>
    <row r="810" ht="15.75" customHeight="1">
      <c r="D810" s="38"/>
      <c r="G810" s="54"/>
      <c r="I810" s="38"/>
      <c r="J810" s="38"/>
      <c r="K810" s="38"/>
      <c r="L810" s="59"/>
    </row>
    <row r="811" ht="15.75" customHeight="1">
      <c r="D811" s="38"/>
      <c r="G811" s="54"/>
      <c r="I811" s="38"/>
      <c r="J811" s="38"/>
      <c r="K811" s="38"/>
      <c r="L811" s="59"/>
    </row>
    <row r="812" ht="15.75" customHeight="1">
      <c r="D812" s="38"/>
      <c r="G812" s="54"/>
      <c r="I812" s="38"/>
      <c r="J812" s="38"/>
      <c r="K812" s="38"/>
      <c r="L812" s="59"/>
    </row>
    <row r="813" ht="15.75" customHeight="1">
      <c r="D813" s="38"/>
      <c r="G813" s="54"/>
      <c r="I813" s="38"/>
      <c r="J813" s="38"/>
      <c r="K813" s="38"/>
      <c r="L813" s="59"/>
    </row>
    <row r="814" ht="15.75" customHeight="1">
      <c r="D814" s="38"/>
      <c r="G814" s="54"/>
      <c r="I814" s="38"/>
      <c r="J814" s="38"/>
      <c r="K814" s="38"/>
      <c r="L814" s="59"/>
    </row>
    <row r="815" ht="15.75" customHeight="1">
      <c r="D815" s="38"/>
      <c r="G815" s="54"/>
      <c r="I815" s="38"/>
      <c r="J815" s="38"/>
      <c r="K815" s="38"/>
      <c r="L815" s="59"/>
    </row>
    <row r="816" ht="15.75" customHeight="1">
      <c r="D816" s="38"/>
      <c r="G816" s="54"/>
      <c r="I816" s="38"/>
      <c r="J816" s="38"/>
      <c r="K816" s="38"/>
      <c r="L816" s="59"/>
    </row>
    <row r="817" ht="15.75" customHeight="1">
      <c r="D817" s="38"/>
      <c r="G817" s="54"/>
      <c r="I817" s="38"/>
      <c r="J817" s="38"/>
      <c r="K817" s="38"/>
      <c r="L817" s="59"/>
    </row>
    <row r="818" ht="15.75" customHeight="1">
      <c r="D818" s="38"/>
      <c r="G818" s="54"/>
      <c r="I818" s="38"/>
      <c r="J818" s="38"/>
      <c r="K818" s="38"/>
      <c r="L818" s="59"/>
    </row>
    <row r="819" ht="15.75" customHeight="1">
      <c r="D819" s="38"/>
      <c r="G819" s="54"/>
      <c r="I819" s="38"/>
      <c r="J819" s="38"/>
      <c r="K819" s="38"/>
      <c r="L819" s="59"/>
    </row>
    <row r="820" ht="15.75" customHeight="1">
      <c r="D820" s="38"/>
      <c r="G820" s="54"/>
      <c r="I820" s="38"/>
      <c r="J820" s="38"/>
      <c r="K820" s="38"/>
      <c r="L820" s="59"/>
    </row>
    <row r="821" ht="15.75" customHeight="1">
      <c r="D821" s="38"/>
      <c r="G821" s="54"/>
      <c r="I821" s="38"/>
      <c r="J821" s="38"/>
      <c r="K821" s="38"/>
      <c r="L821" s="59"/>
    </row>
    <row r="822" ht="15.75" customHeight="1">
      <c r="D822" s="38"/>
      <c r="G822" s="54"/>
      <c r="I822" s="38"/>
      <c r="J822" s="38"/>
      <c r="K822" s="38"/>
      <c r="L822" s="59"/>
    </row>
    <row r="823" ht="15.75" customHeight="1">
      <c r="D823" s="38"/>
      <c r="G823" s="54"/>
      <c r="I823" s="38"/>
      <c r="J823" s="38"/>
      <c r="K823" s="38"/>
      <c r="L823" s="59"/>
    </row>
    <row r="824" ht="15.75" customHeight="1">
      <c r="D824" s="38"/>
      <c r="G824" s="54"/>
      <c r="I824" s="38"/>
      <c r="J824" s="38"/>
      <c r="K824" s="38"/>
      <c r="L824" s="59"/>
    </row>
    <row r="825" ht="15.75" customHeight="1">
      <c r="D825" s="38"/>
      <c r="G825" s="54"/>
      <c r="I825" s="38"/>
      <c r="J825" s="38"/>
      <c r="K825" s="38"/>
      <c r="L825" s="59"/>
    </row>
    <row r="826" ht="15.75" customHeight="1">
      <c r="D826" s="38"/>
      <c r="G826" s="54"/>
      <c r="I826" s="38"/>
      <c r="J826" s="38"/>
      <c r="K826" s="38"/>
      <c r="L826" s="59"/>
    </row>
    <row r="827" ht="15.75" customHeight="1">
      <c r="D827" s="38"/>
      <c r="G827" s="54"/>
      <c r="I827" s="38"/>
      <c r="J827" s="38"/>
      <c r="K827" s="38"/>
      <c r="L827" s="59"/>
    </row>
    <row r="828" ht="15.75" customHeight="1">
      <c r="D828" s="38"/>
      <c r="G828" s="54"/>
      <c r="I828" s="38"/>
      <c r="J828" s="38"/>
      <c r="K828" s="38"/>
      <c r="L828" s="59"/>
    </row>
    <row r="829" ht="15.75" customHeight="1">
      <c r="D829" s="38"/>
      <c r="G829" s="54"/>
      <c r="I829" s="38"/>
      <c r="J829" s="38"/>
      <c r="K829" s="38"/>
      <c r="L829" s="59"/>
    </row>
    <row r="830" ht="15.75" customHeight="1">
      <c r="D830" s="38"/>
      <c r="G830" s="54"/>
      <c r="I830" s="38"/>
      <c r="J830" s="38"/>
      <c r="K830" s="38"/>
      <c r="L830" s="59"/>
    </row>
    <row r="831" ht="15.75" customHeight="1">
      <c r="D831" s="38"/>
      <c r="G831" s="54"/>
      <c r="I831" s="38"/>
      <c r="J831" s="38"/>
      <c r="K831" s="38"/>
      <c r="L831" s="59"/>
    </row>
    <row r="832" ht="15.75" customHeight="1">
      <c r="D832" s="38"/>
      <c r="G832" s="54"/>
      <c r="I832" s="38"/>
      <c r="J832" s="38"/>
      <c r="K832" s="38"/>
      <c r="L832" s="59"/>
    </row>
    <row r="833" ht="15.75" customHeight="1">
      <c r="D833" s="38"/>
      <c r="G833" s="54"/>
      <c r="I833" s="38"/>
      <c r="J833" s="38"/>
      <c r="K833" s="38"/>
      <c r="L833" s="59"/>
    </row>
    <row r="834" ht="15.75" customHeight="1">
      <c r="D834" s="38"/>
      <c r="G834" s="54"/>
      <c r="I834" s="38"/>
      <c r="J834" s="38"/>
      <c r="K834" s="38"/>
      <c r="L834" s="59"/>
    </row>
    <row r="835" ht="15.75" customHeight="1">
      <c r="D835" s="38"/>
      <c r="G835" s="54"/>
      <c r="I835" s="38"/>
      <c r="J835" s="38"/>
      <c r="K835" s="38"/>
      <c r="L835" s="59"/>
    </row>
    <row r="836" ht="15.75" customHeight="1">
      <c r="D836" s="38"/>
      <c r="G836" s="54"/>
      <c r="I836" s="38"/>
      <c r="J836" s="38"/>
      <c r="K836" s="38"/>
      <c r="L836" s="59"/>
    </row>
    <row r="837" ht="15.75" customHeight="1">
      <c r="D837" s="38"/>
      <c r="G837" s="54"/>
      <c r="I837" s="38"/>
      <c r="J837" s="38"/>
      <c r="K837" s="38"/>
      <c r="L837" s="59"/>
    </row>
    <row r="838" ht="15.75" customHeight="1">
      <c r="D838" s="38"/>
      <c r="G838" s="54"/>
      <c r="I838" s="38"/>
      <c r="J838" s="38"/>
      <c r="K838" s="38"/>
      <c r="L838" s="59"/>
    </row>
    <row r="839" ht="15.75" customHeight="1">
      <c r="D839" s="38"/>
      <c r="G839" s="54"/>
      <c r="I839" s="38"/>
      <c r="J839" s="38"/>
      <c r="K839" s="38"/>
      <c r="L839" s="59"/>
    </row>
    <row r="840" ht="15.75" customHeight="1">
      <c r="D840" s="38"/>
      <c r="G840" s="54"/>
      <c r="I840" s="38"/>
      <c r="J840" s="38"/>
      <c r="K840" s="38"/>
      <c r="L840" s="59"/>
    </row>
    <row r="841" ht="15.75" customHeight="1">
      <c r="D841" s="38"/>
      <c r="G841" s="54"/>
      <c r="I841" s="38"/>
      <c r="J841" s="38"/>
      <c r="K841" s="38"/>
      <c r="L841" s="59"/>
    </row>
    <row r="842" ht="15.75" customHeight="1">
      <c r="D842" s="38"/>
      <c r="G842" s="54"/>
      <c r="I842" s="38"/>
      <c r="J842" s="38"/>
      <c r="K842" s="38"/>
      <c r="L842" s="59"/>
    </row>
    <row r="843" ht="15.75" customHeight="1">
      <c r="D843" s="38"/>
      <c r="G843" s="54"/>
      <c r="I843" s="38"/>
      <c r="J843" s="38"/>
      <c r="K843" s="38"/>
      <c r="L843" s="59"/>
    </row>
    <row r="844" ht="15.75" customHeight="1">
      <c r="D844" s="38"/>
      <c r="G844" s="54"/>
      <c r="I844" s="38"/>
      <c r="J844" s="38"/>
      <c r="K844" s="38"/>
      <c r="L844" s="59"/>
    </row>
    <row r="845" ht="15.75" customHeight="1">
      <c r="D845" s="38"/>
      <c r="G845" s="54"/>
      <c r="I845" s="38"/>
      <c r="J845" s="38"/>
      <c r="K845" s="38"/>
      <c r="L845" s="59"/>
    </row>
    <row r="846" ht="15.75" customHeight="1">
      <c r="D846" s="38"/>
      <c r="G846" s="54"/>
      <c r="I846" s="38"/>
      <c r="J846" s="38"/>
      <c r="K846" s="38"/>
      <c r="L846" s="59"/>
    </row>
    <row r="847" ht="15.75" customHeight="1">
      <c r="D847" s="38"/>
      <c r="G847" s="54"/>
      <c r="I847" s="38"/>
      <c r="J847" s="38"/>
      <c r="K847" s="38"/>
      <c r="L847" s="59"/>
    </row>
    <row r="848" ht="15.75" customHeight="1">
      <c r="D848" s="38"/>
      <c r="G848" s="54"/>
      <c r="I848" s="38"/>
      <c r="J848" s="38"/>
      <c r="K848" s="38"/>
      <c r="L848" s="59"/>
    </row>
    <row r="849" ht="15.75" customHeight="1">
      <c r="D849" s="38"/>
      <c r="G849" s="54"/>
      <c r="I849" s="38"/>
      <c r="J849" s="38"/>
      <c r="K849" s="38"/>
      <c r="L849" s="59"/>
    </row>
    <row r="850" ht="15.75" customHeight="1">
      <c r="D850" s="38"/>
      <c r="G850" s="54"/>
      <c r="I850" s="38"/>
      <c r="J850" s="38"/>
      <c r="K850" s="38"/>
      <c r="L850" s="59"/>
    </row>
    <row r="851" ht="15.75" customHeight="1">
      <c r="D851" s="38"/>
      <c r="G851" s="54"/>
      <c r="I851" s="38"/>
      <c r="J851" s="38"/>
      <c r="K851" s="38"/>
      <c r="L851" s="59"/>
    </row>
    <row r="852" ht="15.75" customHeight="1">
      <c r="D852" s="38"/>
      <c r="G852" s="54"/>
      <c r="I852" s="38"/>
      <c r="J852" s="38"/>
      <c r="K852" s="38"/>
      <c r="L852" s="59"/>
    </row>
    <row r="853" ht="15.75" customHeight="1">
      <c r="D853" s="38"/>
      <c r="G853" s="54"/>
      <c r="I853" s="38"/>
      <c r="J853" s="38"/>
      <c r="K853" s="38"/>
      <c r="L853" s="59"/>
    </row>
    <row r="854" ht="15.75" customHeight="1">
      <c r="D854" s="38"/>
      <c r="G854" s="54"/>
      <c r="I854" s="38"/>
      <c r="J854" s="38"/>
      <c r="K854" s="38"/>
      <c r="L854" s="59"/>
    </row>
    <row r="855" ht="15.75" customHeight="1">
      <c r="D855" s="38"/>
      <c r="G855" s="54"/>
      <c r="I855" s="38"/>
      <c r="J855" s="38"/>
      <c r="K855" s="38"/>
      <c r="L855" s="59"/>
    </row>
    <row r="856" ht="15.75" customHeight="1">
      <c r="D856" s="38"/>
      <c r="G856" s="54"/>
      <c r="I856" s="38"/>
      <c r="J856" s="38"/>
      <c r="K856" s="38"/>
      <c r="L856" s="59"/>
    </row>
    <row r="857" ht="15.75" customHeight="1">
      <c r="D857" s="38"/>
      <c r="G857" s="54"/>
      <c r="I857" s="38"/>
      <c r="J857" s="38"/>
      <c r="K857" s="38"/>
      <c r="L857" s="59"/>
    </row>
    <row r="858" ht="15.75" customHeight="1">
      <c r="D858" s="38"/>
      <c r="G858" s="54"/>
      <c r="I858" s="38"/>
      <c r="J858" s="38"/>
      <c r="K858" s="38"/>
      <c r="L858" s="59"/>
    </row>
    <row r="859" ht="15.75" customHeight="1">
      <c r="D859" s="38"/>
      <c r="G859" s="54"/>
      <c r="I859" s="38"/>
      <c r="J859" s="38"/>
      <c r="K859" s="38"/>
      <c r="L859" s="59"/>
    </row>
    <row r="860" ht="15.75" customHeight="1">
      <c r="D860" s="38"/>
      <c r="G860" s="54"/>
      <c r="I860" s="38"/>
      <c r="J860" s="38"/>
      <c r="K860" s="38"/>
      <c r="L860" s="59"/>
    </row>
    <row r="861" ht="15.75" customHeight="1">
      <c r="D861" s="38"/>
      <c r="G861" s="54"/>
      <c r="I861" s="38"/>
      <c r="J861" s="38"/>
      <c r="K861" s="38"/>
      <c r="L861" s="59"/>
    </row>
    <row r="862" ht="15.75" customHeight="1">
      <c r="D862" s="38"/>
      <c r="G862" s="54"/>
      <c r="I862" s="38"/>
      <c r="J862" s="38"/>
      <c r="K862" s="38"/>
      <c r="L862" s="59"/>
    </row>
    <row r="863" ht="15.75" customHeight="1">
      <c r="D863" s="38"/>
      <c r="G863" s="54"/>
      <c r="I863" s="38"/>
      <c r="J863" s="38"/>
      <c r="K863" s="38"/>
      <c r="L863" s="59"/>
    </row>
    <row r="864" ht="15.75" customHeight="1">
      <c r="D864" s="38"/>
      <c r="G864" s="54"/>
      <c r="I864" s="38"/>
      <c r="J864" s="38"/>
      <c r="K864" s="38"/>
      <c r="L864" s="59"/>
    </row>
    <row r="865" ht="15.75" customHeight="1">
      <c r="D865" s="38"/>
      <c r="G865" s="54"/>
      <c r="I865" s="38"/>
      <c r="J865" s="38"/>
      <c r="K865" s="38"/>
      <c r="L865" s="59"/>
    </row>
    <row r="866" ht="15.75" customHeight="1">
      <c r="D866" s="38"/>
      <c r="G866" s="54"/>
      <c r="I866" s="38"/>
      <c r="J866" s="38"/>
      <c r="K866" s="38"/>
      <c r="L866" s="59"/>
    </row>
    <row r="867" ht="15.75" customHeight="1">
      <c r="D867" s="38"/>
      <c r="G867" s="54"/>
      <c r="I867" s="38"/>
      <c r="J867" s="38"/>
      <c r="K867" s="38"/>
      <c r="L867" s="59"/>
    </row>
    <row r="868" ht="15.75" customHeight="1">
      <c r="D868" s="38"/>
      <c r="G868" s="54"/>
      <c r="I868" s="38"/>
      <c r="J868" s="38"/>
      <c r="K868" s="38"/>
      <c r="L868" s="59"/>
    </row>
    <row r="869" ht="15.75" customHeight="1">
      <c r="D869" s="38"/>
      <c r="G869" s="54"/>
      <c r="I869" s="38"/>
      <c r="J869" s="38"/>
      <c r="K869" s="38"/>
      <c r="L869" s="59"/>
    </row>
    <row r="870" ht="15.75" customHeight="1">
      <c r="D870" s="38"/>
      <c r="G870" s="54"/>
      <c r="I870" s="38"/>
      <c r="J870" s="38"/>
      <c r="K870" s="38"/>
      <c r="L870" s="59"/>
    </row>
    <row r="871" ht="15.75" customHeight="1">
      <c r="D871" s="38"/>
      <c r="G871" s="54"/>
      <c r="I871" s="38"/>
      <c r="J871" s="38"/>
      <c r="K871" s="38"/>
      <c r="L871" s="59"/>
    </row>
    <row r="872" ht="15.75" customHeight="1">
      <c r="D872" s="38"/>
      <c r="G872" s="54"/>
      <c r="I872" s="38"/>
      <c r="J872" s="38"/>
      <c r="K872" s="38"/>
      <c r="L872" s="59"/>
    </row>
    <row r="873" ht="15.75" customHeight="1">
      <c r="D873" s="38"/>
      <c r="G873" s="54"/>
      <c r="I873" s="38"/>
      <c r="J873" s="38"/>
      <c r="K873" s="38"/>
      <c r="L873" s="59"/>
    </row>
    <row r="874" ht="15.75" customHeight="1">
      <c r="D874" s="38"/>
      <c r="G874" s="54"/>
      <c r="I874" s="38"/>
      <c r="J874" s="38"/>
      <c r="K874" s="38"/>
      <c r="L874" s="59"/>
    </row>
    <row r="875" ht="15.75" customHeight="1">
      <c r="D875" s="38"/>
      <c r="G875" s="54"/>
      <c r="I875" s="38"/>
      <c r="J875" s="38"/>
      <c r="K875" s="38"/>
      <c r="L875" s="59"/>
    </row>
    <row r="876" ht="15.75" customHeight="1">
      <c r="D876" s="38"/>
      <c r="G876" s="54"/>
      <c r="I876" s="38"/>
      <c r="J876" s="38"/>
      <c r="K876" s="38"/>
      <c r="L876" s="59"/>
    </row>
    <row r="877" ht="15.75" customHeight="1">
      <c r="D877" s="38"/>
      <c r="G877" s="54"/>
      <c r="I877" s="38"/>
      <c r="J877" s="38"/>
      <c r="K877" s="38"/>
      <c r="L877" s="59"/>
    </row>
    <row r="878" ht="15.75" customHeight="1">
      <c r="D878" s="38"/>
      <c r="G878" s="54"/>
      <c r="I878" s="38"/>
      <c r="J878" s="38"/>
      <c r="K878" s="38"/>
      <c r="L878" s="59"/>
    </row>
    <row r="879" ht="15.75" customHeight="1">
      <c r="D879" s="38"/>
      <c r="G879" s="54"/>
      <c r="I879" s="38"/>
      <c r="J879" s="38"/>
      <c r="K879" s="38"/>
      <c r="L879" s="59"/>
    </row>
    <row r="880" ht="15.75" customHeight="1">
      <c r="D880" s="38"/>
      <c r="G880" s="54"/>
      <c r="I880" s="38"/>
      <c r="J880" s="38"/>
      <c r="K880" s="38"/>
      <c r="L880" s="59"/>
    </row>
    <row r="881" ht="15.75" customHeight="1">
      <c r="D881" s="38"/>
      <c r="G881" s="54"/>
      <c r="I881" s="38"/>
      <c r="J881" s="38"/>
      <c r="K881" s="38"/>
      <c r="L881" s="59"/>
    </row>
    <row r="882" ht="15.75" customHeight="1">
      <c r="D882" s="38"/>
      <c r="G882" s="54"/>
      <c r="I882" s="38"/>
      <c r="J882" s="38"/>
      <c r="K882" s="38"/>
      <c r="L882" s="59"/>
    </row>
    <row r="883" ht="15.75" customHeight="1">
      <c r="D883" s="38"/>
      <c r="G883" s="54"/>
      <c r="I883" s="38"/>
      <c r="J883" s="38"/>
      <c r="K883" s="38"/>
      <c r="L883" s="59"/>
    </row>
    <row r="884" ht="15.75" customHeight="1">
      <c r="D884" s="38"/>
      <c r="G884" s="54"/>
      <c r="I884" s="38"/>
      <c r="J884" s="38"/>
      <c r="K884" s="38"/>
      <c r="L884" s="59"/>
    </row>
    <row r="885" ht="15.75" customHeight="1">
      <c r="D885" s="38"/>
      <c r="G885" s="54"/>
      <c r="I885" s="38"/>
      <c r="J885" s="38"/>
      <c r="K885" s="38"/>
      <c r="L885" s="59"/>
    </row>
    <row r="886" ht="15.75" customHeight="1">
      <c r="D886" s="38"/>
      <c r="G886" s="54"/>
      <c r="I886" s="38"/>
      <c r="J886" s="38"/>
      <c r="K886" s="38"/>
      <c r="L886" s="59"/>
    </row>
    <row r="887" ht="15.75" customHeight="1">
      <c r="D887" s="38"/>
      <c r="G887" s="54"/>
      <c r="I887" s="38"/>
      <c r="J887" s="38"/>
      <c r="K887" s="38"/>
      <c r="L887" s="59"/>
    </row>
    <row r="888" ht="15.75" customHeight="1">
      <c r="D888" s="38"/>
      <c r="G888" s="54"/>
      <c r="I888" s="38"/>
      <c r="J888" s="38"/>
      <c r="K888" s="38"/>
      <c r="L888" s="59"/>
    </row>
    <row r="889" ht="15.75" customHeight="1">
      <c r="D889" s="38"/>
      <c r="G889" s="54"/>
      <c r="I889" s="38"/>
      <c r="J889" s="38"/>
      <c r="K889" s="38"/>
      <c r="L889" s="59"/>
    </row>
    <row r="890" ht="15.75" customHeight="1">
      <c r="D890" s="38"/>
      <c r="G890" s="54"/>
      <c r="I890" s="38"/>
      <c r="J890" s="38"/>
      <c r="K890" s="38"/>
      <c r="L890" s="59"/>
    </row>
    <row r="891" ht="15.75" customHeight="1">
      <c r="D891" s="38"/>
      <c r="G891" s="54"/>
      <c r="I891" s="38"/>
      <c r="J891" s="38"/>
      <c r="K891" s="38"/>
      <c r="L891" s="59"/>
    </row>
    <row r="892" ht="15.75" customHeight="1">
      <c r="D892" s="38"/>
      <c r="G892" s="54"/>
      <c r="I892" s="38"/>
      <c r="J892" s="38"/>
      <c r="K892" s="38"/>
      <c r="L892" s="59"/>
    </row>
    <row r="893" ht="15.75" customHeight="1">
      <c r="D893" s="38"/>
      <c r="G893" s="54"/>
      <c r="I893" s="38"/>
      <c r="J893" s="38"/>
      <c r="K893" s="38"/>
      <c r="L893" s="59"/>
    </row>
    <row r="894" ht="15.75" customHeight="1">
      <c r="D894" s="38"/>
      <c r="G894" s="54"/>
      <c r="I894" s="38"/>
      <c r="J894" s="38"/>
      <c r="K894" s="38"/>
      <c r="L894" s="59"/>
    </row>
    <row r="895" ht="15.75" customHeight="1">
      <c r="D895" s="38"/>
      <c r="G895" s="54"/>
      <c r="I895" s="38"/>
      <c r="J895" s="38"/>
      <c r="K895" s="38"/>
      <c r="L895" s="59"/>
    </row>
    <row r="896" ht="15.75" customHeight="1">
      <c r="D896" s="38"/>
      <c r="G896" s="54"/>
      <c r="I896" s="38"/>
      <c r="J896" s="38"/>
      <c r="K896" s="38"/>
      <c r="L896" s="59"/>
    </row>
    <row r="897" ht="15.75" customHeight="1">
      <c r="D897" s="38"/>
      <c r="G897" s="54"/>
      <c r="I897" s="38"/>
      <c r="J897" s="38"/>
      <c r="K897" s="38"/>
      <c r="L897" s="59"/>
    </row>
    <row r="898" ht="15.75" customHeight="1">
      <c r="D898" s="38"/>
      <c r="G898" s="54"/>
      <c r="I898" s="38"/>
      <c r="J898" s="38"/>
      <c r="K898" s="38"/>
      <c r="L898" s="59"/>
    </row>
    <row r="899" ht="15.75" customHeight="1">
      <c r="D899" s="38"/>
      <c r="G899" s="54"/>
      <c r="I899" s="38"/>
      <c r="J899" s="38"/>
      <c r="K899" s="38"/>
      <c r="L899" s="59"/>
    </row>
    <row r="900" ht="15.75" customHeight="1">
      <c r="D900" s="38"/>
      <c r="G900" s="54"/>
      <c r="I900" s="38"/>
      <c r="J900" s="38"/>
      <c r="K900" s="38"/>
      <c r="L900" s="59"/>
    </row>
    <row r="901" ht="15.75" customHeight="1">
      <c r="D901" s="38"/>
      <c r="G901" s="54"/>
      <c r="I901" s="38"/>
      <c r="J901" s="38"/>
      <c r="K901" s="38"/>
      <c r="L901" s="59"/>
    </row>
    <row r="902" ht="15.75" customHeight="1">
      <c r="D902" s="38"/>
      <c r="G902" s="54"/>
      <c r="I902" s="38"/>
      <c r="J902" s="38"/>
      <c r="K902" s="38"/>
      <c r="L902" s="59"/>
    </row>
    <row r="903" ht="15.75" customHeight="1">
      <c r="D903" s="38"/>
      <c r="G903" s="54"/>
      <c r="I903" s="38"/>
      <c r="J903" s="38"/>
      <c r="K903" s="38"/>
      <c r="L903" s="59"/>
    </row>
    <row r="904" ht="15.75" customHeight="1">
      <c r="D904" s="38"/>
      <c r="G904" s="54"/>
      <c r="I904" s="38"/>
      <c r="J904" s="38"/>
      <c r="K904" s="38"/>
      <c r="L904" s="59"/>
    </row>
    <row r="905" ht="15.75" customHeight="1">
      <c r="D905" s="38"/>
      <c r="G905" s="54"/>
      <c r="I905" s="38"/>
      <c r="J905" s="38"/>
      <c r="K905" s="38"/>
      <c r="L905" s="59"/>
    </row>
    <row r="906" ht="15.75" customHeight="1">
      <c r="D906" s="38"/>
      <c r="G906" s="54"/>
      <c r="I906" s="38"/>
      <c r="J906" s="38"/>
      <c r="K906" s="38"/>
      <c r="L906" s="59"/>
    </row>
    <row r="907" ht="15.75" customHeight="1">
      <c r="D907" s="38"/>
      <c r="G907" s="54"/>
      <c r="I907" s="38"/>
      <c r="J907" s="38"/>
      <c r="K907" s="38"/>
      <c r="L907" s="59"/>
    </row>
    <row r="908" ht="15.75" customHeight="1">
      <c r="D908" s="38"/>
      <c r="G908" s="54"/>
      <c r="I908" s="38"/>
      <c r="J908" s="38"/>
      <c r="K908" s="38"/>
      <c r="L908" s="59"/>
    </row>
    <row r="909" ht="15.75" customHeight="1">
      <c r="D909" s="38"/>
      <c r="G909" s="54"/>
      <c r="I909" s="38"/>
      <c r="J909" s="38"/>
      <c r="K909" s="38"/>
      <c r="L909" s="59"/>
    </row>
    <row r="910" ht="15.75" customHeight="1">
      <c r="D910" s="38"/>
      <c r="G910" s="54"/>
      <c r="I910" s="38"/>
      <c r="J910" s="38"/>
      <c r="K910" s="38"/>
      <c r="L910" s="59"/>
    </row>
    <row r="911" ht="15.75" customHeight="1">
      <c r="D911" s="38"/>
      <c r="G911" s="54"/>
      <c r="I911" s="38"/>
      <c r="J911" s="38"/>
      <c r="K911" s="38"/>
      <c r="L911" s="59"/>
    </row>
    <row r="912" ht="15.75" customHeight="1">
      <c r="D912" s="38"/>
      <c r="G912" s="54"/>
      <c r="I912" s="38"/>
      <c r="J912" s="38"/>
      <c r="K912" s="38"/>
      <c r="L912" s="59"/>
    </row>
    <row r="913" ht="15.75" customHeight="1">
      <c r="D913" s="38"/>
      <c r="G913" s="54"/>
      <c r="I913" s="38"/>
      <c r="J913" s="38"/>
      <c r="K913" s="38"/>
      <c r="L913" s="59"/>
    </row>
    <row r="914" ht="15.75" customHeight="1">
      <c r="D914" s="38"/>
      <c r="G914" s="54"/>
      <c r="I914" s="38"/>
      <c r="J914" s="38"/>
      <c r="K914" s="38"/>
      <c r="L914" s="59"/>
    </row>
    <row r="915" ht="15.75" customHeight="1">
      <c r="D915" s="38"/>
      <c r="G915" s="54"/>
      <c r="I915" s="38"/>
      <c r="J915" s="38"/>
      <c r="K915" s="38"/>
      <c r="L915" s="59"/>
    </row>
    <row r="916" ht="15.75" customHeight="1">
      <c r="D916" s="38"/>
      <c r="G916" s="54"/>
      <c r="I916" s="38"/>
      <c r="J916" s="38"/>
      <c r="K916" s="38"/>
      <c r="L916" s="59"/>
    </row>
    <row r="917" ht="15.75" customHeight="1">
      <c r="D917" s="38"/>
      <c r="G917" s="54"/>
      <c r="I917" s="38"/>
      <c r="J917" s="38"/>
      <c r="K917" s="38"/>
      <c r="L917" s="59"/>
    </row>
    <row r="918" ht="15.75" customHeight="1">
      <c r="D918" s="38"/>
      <c r="G918" s="54"/>
      <c r="I918" s="38"/>
      <c r="J918" s="38"/>
      <c r="K918" s="38"/>
      <c r="L918" s="59"/>
    </row>
    <row r="919" ht="15.75" customHeight="1">
      <c r="D919" s="38"/>
      <c r="G919" s="54"/>
      <c r="I919" s="38"/>
      <c r="J919" s="38"/>
      <c r="K919" s="38"/>
      <c r="L919" s="59"/>
    </row>
    <row r="920" ht="15.75" customHeight="1">
      <c r="D920" s="38"/>
      <c r="G920" s="54"/>
      <c r="I920" s="38"/>
      <c r="J920" s="38"/>
      <c r="K920" s="38"/>
      <c r="L920" s="59"/>
    </row>
    <row r="921" ht="15.75" customHeight="1">
      <c r="D921" s="38"/>
      <c r="G921" s="54"/>
      <c r="I921" s="38"/>
      <c r="J921" s="38"/>
      <c r="K921" s="38"/>
      <c r="L921" s="59"/>
    </row>
    <row r="922" ht="15.75" customHeight="1">
      <c r="D922" s="38"/>
      <c r="G922" s="54"/>
      <c r="I922" s="38"/>
      <c r="J922" s="38"/>
      <c r="K922" s="38"/>
      <c r="L922" s="59"/>
    </row>
    <row r="923" ht="15.75" customHeight="1">
      <c r="D923" s="38"/>
      <c r="G923" s="54"/>
      <c r="I923" s="38"/>
      <c r="J923" s="38"/>
      <c r="K923" s="38"/>
      <c r="L923" s="59"/>
    </row>
    <row r="924" ht="15.75" customHeight="1">
      <c r="D924" s="38"/>
      <c r="G924" s="54"/>
      <c r="I924" s="38"/>
      <c r="J924" s="38"/>
      <c r="K924" s="38"/>
      <c r="L924" s="59"/>
    </row>
    <row r="925" ht="15.75" customHeight="1">
      <c r="D925" s="38"/>
      <c r="G925" s="54"/>
      <c r="I925" s="38"/>
      <c r="J925" s="38"/>
      <c r="K925" s="38"/>
      <c r="L925" s="59"/>
    </row>
    <row r="926" ht="15.75" customHeight="1">
      <c r="D926" s="38"/>
      <c r="G926" s="54"/>
      <c r="I926" s="38"/>
      <c r="J926" s="38"/>
      <c r="K926" s="38"/>
      <c r="L926" s="59"/>
    </row>
    <row r="927" ht="15.75" customHeight="1">
      <c r="D927" s="38"/>
      <c r="G927" s="54"/>
      <c r="I927" s="38"/>
      <c r="J927" s="38"/>
      <c r="K927" s="38"/>
      <c r="L927" s="59"/>
    </row>
    <row r="928" ht="15.75" customHeight="1">
      <c r="D928" s="38"/>
      <c r="G928" s="54"/>
      <c r="I928" s="38"/>
      <c r="J928" s="38"/>
      <c r="K928" s="38"/>
      <c r="L928" s="59"/>
    </row>
    <row r="929" ht="15.75" customHeight="1">
      <c r="D929" s="38"/>
      <c r="G929" s="54"/>
      <c r="I929" s="38"/>
      <c r="J929" s="38"/>
      <c r="K929" s="38"/>
      <c r="L929" s="59"/>
    </row>
    <row r="930" ht="15.75" customHeight="1">
      <c r="D930" s="38"/>
      <c r="G930" s="54"/>
      <c r="I930" s="38"/>
      <c r="J930" s="38"/>
      <c r="K930" s="38"/>
      <c r="L930" s="59"/>
    </row>
    <row r="931" ht="15.75" customHeight="1">
      <c r="D931" s="38"/>
      <c r="G931" s="54"/>
      <c r="I931" s="38"/>
      <c r="J931" s="38"/>
      <c r="K931" s="38"/>
      <c r="L931" s="59"/>
    </row>
    <row r="932" ht="15.75" customHeight="1">
      <c r="D932" s="38"/>
      <c r="G932" s="54"/>
      <c r="I932" s="38"/>
      <c r="J932" s="38"/>
      <c r="K932" s="38"/>
      <c r="L932" s="59"/>
    </row>
    <row r="933" ht="15.75" customHeight="1">
      <c r="D933" s="38"/>
      <c r="G933" s="54"/>
      <c r="I933" s="38"/>
      <c r="J933" s="38"/>
      <c r="K933" s="38"/>
      <c r="L933" s="59"/>
    </row>
    <row r="934" ht="15.75" customHeight="1">
      <c r="D934" s="38"/>
      <c r="G934" s="54"/>
      <c r="I934" s="38"/>
      <c r="J934" s="38"/>
      <c r="K934" s="38"/>
      <c r="L934" s="59"/>
    </row>
    <row r="935" ht="15.75" customHeight="1">
      <c r="D935" s="38"/>
      <c r="G935" s="54"/>
      <c r="I935" s="38"/>
      <c r="J935" s="38"/>
      <c r="K935" s="38"/>
      <c r="L935" s="59"/>
    </row>
    <row r="936" ht="15.75" customHeight="1">
      <c r="D936" s="38"/>
      <c r="G936" s="54"/>
      <c r="I936" s="38"/>
      <c r="J936" s="38"/>
      <c r="K936" s="38"/>
      <c r="L936" s="59"/>
    </row>
    <row r="937" ht="15.75" customHeight="1">
      <c r="D937" s="38"/>
      <c r="G937" s="54"/>
      <c r="I937" s="38"/>
      <c r="J937" s="38"/>
      <c r="K937" s="38"/>
      <c r="L937" s="59"/>
    </row>
    <row r="938" ht="15.75" customHeight="1">
      <c r="D938" s="38"/>
      <c r="G938" s="54"/>
      <c r="I938" s="38"/>
      <c r="J938" s="38"/>
      <c r="K938" s="38"/>
      <c r="L938" s="59"/>
    </row>
    <row r="939" ht="15.75" customHeight="1">
      <c r="D939" s="38"/>
      <c r="G939" s="54"/>
      <c r="I939" s="38"/>
      <c r="J939" s="38"/>
      <c r="K939" s="38"/>
      <c r="L939" s="59"/>
    </row>
    <row r="940" ht="15.75" customHeight="1">
      <c r="D940" s="38"/>
      <c r="G940" s="54"/>
      <c r="I940" s="38"/>
      <c r="J940" s="38"/>
      <c r="K940" s="38"/>
      <c r="L940" s="59"/>
    </row>
    <row r="941" ht="15.75" customHeight="1">
      <c r="D941" s="38"/>
      <c r="G941" s="54"/>
      <c r="I941" s="38"/>
      <c r="J941" s="38"/>
      <c r="K941" s="38"/>
      <c r="L941" s="59"/>
    </row>
    <row r="942" ht="15.75" customHeight="1">
      <c r="D942" s="38"/>
      <c r="G942" s="54"/>
      <c r="I942" s="38"/>
      <c r="J942" s="38"/>
      <c r="K942" s="38"/>
      <c r="L942" s="59"/>
    </row>
    <row r="943" ht="15.75" customHeight="1">
      <c r="D943" s="38"/>
      <c r="G943" s="54"/>
      <c r="I943" s="38"/>
      <c r="J943" s="38"/>
      <c r="K943" s="38"/>
      <c r="L943" s="59"/>
    </row>
    <row r="944" ht="15.75" customHeight="1">
      <c r="D944" s="38"/>
      <c r="G944" s="54"/>
      <c r="I944" s="38"/>
      <c r="J944" s="38"/>
      <c r="K944" s="38"/>
      <c r="L944" s="59"/>
    </row>
    <row r="945" ht="15.75" customHeight="1">
      <c r="D945" s="38"/>
      <c r="G945" s="54"/>
      <c r="I945" s="38"/>
      <c r="J945" s="38"/>
      <c r="K945" s="38"/>
      <c r="L945" s="59"/>
    </row>
    <row r="946" ht="15.75" customHeight="1">
      <c r="D946" s="38"/>
      <c r="G946" s="54"/>
      <c r="I946" s="38"/>
      <c r="J946" s="38"/>
      <c r="K946" s="38"/>
      <c r="L946" s="59"/>
    </row>
    <row r="947" ht="15.75" customHeight="1">
      <c r="D947" s="38"/>
      <c r="G947" s="54"/>
      <c r="I947" s="38"/>
      <c r="J947" s="38"/>
      <c r="K947" s="38"/>
      <c r="L947" s="59"/>
    </row>
    <row r="948" ht="15.75" customHeight="1">
      <c r="D948" s="38"/>
      <c r="G948" s="54"/>
      <c r="I948" s="38"/>
      <c r="J948" s="38"/>
      <c r="K948" s="38"/>
      <c r="L948" s="59"/>
    </row>
    <row r="949" ht="15.75" customHeight="1">
      <c r="D949" s="38"/>
      <c r="G949" s="54"/>
      <c r="I949" s="38"/>
      <c r="J949" s="38"/>
      <c r="K949" s="38"/>
      <c r="L949" s="59"/>
    </row>
    <row r="950" ht="15.75" customHeight="1">
      <c r="D950" s="38"/>
      <c r="G950" s="54"/>
      <c r="I950" s="38"/>
      <c r="J950" s="38"/>
      <c r="K950" s="38"/>
      <c r="L950" s="59"/>
    </row>
    <row r="951" ht="15.75" customHeight="1">
      <c r="D951" s="38"/>
      <c r="G951" s="54"/>
      <c r="I951" s="38"/>
      <c r="J951" s="38"/>
      <c r="K951" s="38"/>
      <c r="L951" s="59"/>
    </row>
    <row r="952" ht="15.75" customHeight="1">
      <c r="D952" s="38"/>
      <c r="G952" s="54"/>
      <c r="I952" s="38"/>
      <c r="J952" s="38"/>
      <c r="K952" s="38"/>
      <c r="L952" s="59"/>
    </row>
    <row r="953" ht="15.75" customHeight="1">
      <c r="D953" s="38"/>
      <c r="G953" s="54"/>
      <c r="I953" s="38"/>
      <c r="J953" s="38"/>
      <c r="K953" s="38"/>
      <c r="L953" s="59"/>
    </row>
    <row r="954" ht="15.75" customHeight="1">
      <c r="D954" s="38"/>
      <c r="G954" s="54"/>
      <c r="I954" s="38"/>
      <c r="J954" s="38"/>
      <c r="K954" s="38"/>
      <c r="L954" s="59"/>
    </row>
    <row r="955" ht="15.75" customHeight="1">
      <c r="D955" s="38"/>
      <c r="G955" s="54"/>
      <c r="I955" s="38"/>
      <c r="J955" s="38"/>
      <c r="K955" s="38"/>
      <c r="L955" s="59"/>
    </row>
    <row r="956" ht="15.75" customHeight="1">
      <c r="D956" s="38"/>
      <c r="G956" s="54"/>
      <c r="I956" s="38"/>
      <c r="J956" s="38"/>
      <c r="K956" s="38"/>
      <c r="L956" s="59"/>
    </row>
    <row r="957" ht="15.75" customHeight="1">
      <c r="D957" s="38"/>
      <c r="G957" s="54"/>
      <c r="I957" s="38"/>
      <c r="J957" s="38"/>
      <c r="K957" s="38"/>
      <c r="L957" s="59"/>
    </row>
    <row r="958" ht="15.75" customHeight="1">
      <c r="D958" s="38"/>
      <c r="G958" s="54"/>
      <c r="I958" s="38"/>
      <c r="J958" s="38"/>
      <c r="K958" s="38"/>
      <c r="L958" s="59"/>
    </row>
    <row r="959" ht="15.75" customHeight="1">
      <c r="D959" s="38"/>
      <c r="G959" s="54"/>
      <c r="I959" s="38"/>
      <c r="J959" s="38"/>
      <c r="K959" s="38"/>
      <c r="L959" s="59"/>
    </row>
    <row r="960" ht="15.75" customHeight="1">
      <c r="D960" s="38"/>
      <c r="G960" s="54"/>
      <c r="I960" s="38"/>
      <c r="J960" s="38"/>
      <c r="K960" s="38"/>
      <c r="L960" s="59"/>
    </row>
    <row r="961" ht="15.75" customHeight="1">
      <c r="D961" s="38"/>
      <c r="G961" s="54"/>
      <c r="I961" s="38"/>
      <c r="J961" s="38"/>
      <c r="K961" s="38"/>
      <c r="L961" s="59"/>
    </row>
    <row r="962" ht="15.75" customHeight="1">
      <c r="D962" s="38"/>
      <c r="G962" s="54"/>
      <c r="I962" s="38"/>
      <c r="J962" s="38"/>
      <c r="K962" s="38"/>
      <c r="L962" s="59"/>
    </row>
    <row r="963" ht="15.75" customHeight="1">
      <c r="D963" s="38"/>
      <c r="G963" s="54"/>
      <c r="I963" s="38"/>
      <c r="J963" s="38"/>
      <c r="K963" s="38"/>
      <c r="L963" s="59"/>
    </row>
    <row r="964" ht="15.75" customHeight="1">
      <c r="D964" s="38"/>
      <c r="G964" s="54"/>
      <c r="I964" s="38"/>
      <c r="J964" s="38"/>
      <c r="K964" s="38"/>
      <c r="L964" s="59"/>
    </row>
    <row r="965" ht="15.75" customHeight="1">
      <c r="D965" s="38"/>
      <c r="G965" s="54"/>
      <c r="I965" s="38"/>
      <c r="J965" s="38"/>
      <c r="K965" s="38"/>
      <c r="L965" s="59"/>
    </row>
    <row r="966" ht="15.75" customHeight="1">
      <c r="D966" s="38"/>
      <c r="G966" s="54"/>
      <c r="I966" s="38"/>
      <c r="J966" s="38"/>
      <c r="K966" s="38"/>
      <c r="L966" s="59"/>
    </row>
    <row r="967" ht="15.75" customHeight="1">
      <c r="D967" s="38"/>
      <c r="G967" s="54"/>
      <c r="I967" s="38"/>
      <c r="J967" s="38"/>
      <c r="K967" s="38"/>
      <c r="L967" s="59"/>
    </row>
    <row r="968" ht="15.75" customHeight="1">
      <c r="D968" s="38"/>
      <c r="G968" s="54"/>
      <c r="I968" s="38"/>
      <c r="J968" s="38"/>
      <c r="K968" s="38"/>
      <c r="L968" s="59"/>
    </row>
    <row r="969" ht="15.75" customHeight="1">
      <c r="D969" s="38"/>
      <c r="G969" s="54"/>
      <c r="I969" s="38"/>
      <c r="J969" s="38"/>
      <c r="K969" s="38"/>
      <c r="L969" s="59"/>
    </row>
    <row r="970" ht="15.75" customHeight="1">
      <c r="D970" s="38"/>
      <c r="G970" s="54"/>
      <c r="I970" s="38"/>
      <c r="J970" s="38"/>
      <c r="K970" s="38"/>
      <c r="L970" s="59"/>
    </row>
    <row r="971" ht="15.75" customHeight="1">
      <c r="D971" s="38"/>
      <c r="G971" s="54"/>
      <c r="I971" s="38"/>
      <c r="J971" s="38"/>
      <c r="K971" s="38"/>
      <c r="L971" s="59"/>
    </row>
    <row r="972" ht="15.75" customHeight="1">
      <c r="D972" s="38"/>
      <c r="G972" s="54"/>
      <c r="I972" s="38"/>
      <c r="J972" s="38"/>
      <c r="K972" s="38"/>
      <c r="L972" s="59"/>
    </row>
    <row r="973" ht="15.75" customHeight="1">
      <c r="D973" s="38"/>
      <c r="G973" s="54"/>
      <c r="I973" s="38"/>
      <c r="J973" s="38"/>
      <c r="K973" s="38"/>
      <c r="L973" s="59"/>
    </row>
    <row r="974" ht="15.75" customHeight="1">
      <c r="D974" s="38"/>
      <c r="G974" s="54"/>
      <c r="I974" s="38"/>
      <c r="J974" s="38"/>
      <c r="K974" s="38"/>
      <c r="L974" s="59"/>
    </row>
    <row r="975" ht="15.75" customHeight="1">
      <c r="D975" s="38"/>
      <c r="G975" s="54"/>
      <c r="I975" s="38"/>
      <c r="J975" s="38"/>
      <c r="K975" s="38"/>
      <c r="L975" s="59"/>
    </row>
    <row r="976" ht="15.75" customHeight="1">
      <c r="D976" s="38"/>
      <c r="G976" s="54"/>
      <c r="I976" s="38"/>
      <c r="J976" s="38"/>
      <c r="K976" s="38"/>
      <c r="L976" s="59"/>
    </row>
    <row r="977" ht="15.75" customHeight="1">
      <c r="D977" s="38"/>
      <c r="G977" s="54"/>
      <c r="I977" s="38"/>
      <c r="J977" s="38"/>
      <c r="K977" s="38"/>
      <c r="L977" s="59"/>
    </row>
    <row r="978" ht="15.75" customHeight="1">
      <c r="D978" s="38"/>
      <c r="G978" s="54"/>
      <c r="I978" s="38"/>
      <c r="J978" s="38"/>
      <c r="K978" s="38"/>
      <c r="L978" s="59"/>
    </row>
    <row r="979" ht="15.75" customHeight="1">
      <c r="D979" s="38"/>
      <c r="G979" s="54"/>
      <c r="I979" s="38"/>
      <c r="J979" s="38"/>
      <c r="K979" s="38"/>
      <c r="L979" s="59"/>
    </row>
    <row r="980" ht="15.75" customHeight="1">
      <c r="D980" s="38"/>
      <c r="G980" s="54"/>
      <c r="I980" s="38"/>
      <c r="J980" s="38"/>
      <c r="K980" s="38"/>
      <c r="L980" s="59"/>
    </row>
    <row r="981" ht="15.75" customHeight="1">
      <c r="D981" s="38"/>
      <c r="G981" s="54"/>
      <c r="I981" s="38"/>
      <c r="J981" s="38"/>
      <c r="K981" s="38"/>
      <c r="L981" s="59"/>
    </row>
    <row r="982" ht="15.75" customHeight="1">
      <c r="D982" s="38"/>
      <c r="G982" s="54"/>
      <c r="I982" s="38"/>
      <c r="J982" s="38"/>
      <c r="K982" s="38"/>
      <c r="L982" s="59"/>
    </row>
    <row r="983" ht="15.75" customHeight="1">
      <c r="D983" s="38"/>
      <c r="G983" s="54"/>
      <c r="I983" s="38"/>
      <c r="J983" s="38"/>
      <c r="K983" s="38"/>
      <c r="L983" s="59"/>
    </row>
    <row r="984" ht="15.75" customHeight="1">
      <c r="D984" s="38"/>
      <c r="G984" s="54"/>
      <c r="I984" s="38"/>
      <c r="J984" s="38"/>
      <c r="K984" s="38"/>
      <c r="L984" s="59"/>
    </row>
    <row r="985" ht="15.75" customHeight="1">
      <c r="D985" s="38"/>
      <c r="G985" s="54"/>
      <c r="I985" s="38"/>
      <c r="J985" s="38"/>
      <c r="K985" s="38"/>
      <c r="L985" s="59"/>
    </row>
    <row r="986" ht="15.75" customHeight="1">
      <c r="D986" s="38"/>
      <c r="G986" s="54"/>
      <c r="I986" s="38"/>
      <c r="J986" s="38"/>
      <c r="K986" s="38"/>
      <c r="L986" s="59"/>
    </row>
    <row r="987" ht="15.75" customHeight="1">
      <c r="D987" s="38"/>
      <c r="G987" s="54"/>
      <c r="I987" s="38"/>
      <c r="J987" s="38"/>
      <c r="K987" s="38"/>
      <c r="L987" s="59"/>
    </row>
    <row r="988" ht="15.75" customHeight="1">
      <c r="D988" s="38"/>
      <c r="G988" s="54"/>
      <c r="I988" s="38"/>
      <c r="J988" s="38"/>
      <c r="K988" s="38"/>
      <c r="L988" s="59"/>
    </row>
    <row r="989" ht="15.75" customHeight="1">
      <c r="D989" s="38"/>
      <c r="G989" s="54"/>
      <c r="I989" s="38"/>
      <c r="J989" s="38"/>
      <c r="K989" s="38"/>
      <c r="L989" s="59"/>
    </row>
    <row r="990" ht="15.75" customHeight="1">
      <c r="D990" s="38"/>
      <c r="G990" s="54"/>
      <c r="I990" s="38"/>
      <c r="J990" s="38"/>
      <c r="K990" s="38"/>
      <c r="L990" s="59"/>
    </row>
    <row r="991" ht="15.75" customHeight="1">
      <c r="D991" s="38"/>
      <c r="G991" s="54"/>
      <c r="I991" s="38"/>
      <c r="J991" s="38"/>
      <c r="K991" s="38"/>
      <c r="L991" s="59"/>
    </row>
    <row r="992" ht="15.75" customHeight="1">
      <c r="D992" s="38"/>
      <c r="G992" s="54"/>
      <c r="I992" s="38"/>
      <c r="J992" s="38"/>
      <c r="K992" s="38"/>
      <c r="L992" s="59"/>
    </row>
    <row r="993" ht="15.75" customHeight="1">
      <c r="D993" s="38"/>
      <c r="G993" s="54"/>
      <c r="I993" s="38"/>
      <c r="J993" s="38"/>
      <c r="K993" s="38"/>
      <c r="L993" s="59"/>
    </row>
    <row r="994" ht="15.75" customHeight="1">
      <c r="D994" s="38"/>
      <c r="G994" s="54"/>
      <c r="I994" s="38"/>
      <c r="J994" s="38"/>
      <c r="K994" s="38"/>
      <c r="L994" s="59"/>
    </row>
    <row r="995" ht="15.75" customHeight="1">
      <c r="D995" s="38"/>
      <c r="G995" s="54"/>
      <c r="I995" s="38"/>
      <c r="J995" s="38"/>
      <c r="K995" s="38"/>
      <c r="L995" s="59"/>
    </row>
    <row r="996" ht="15.75" customHeight="1">
      <c r="D996" s="38"/>
      <c r="G996" s="54"/>
      <c r="I996" s="38"/>
      <c r="J996" s="38"/>
      <c r="K996" s="38"/>
      <c r="L996" s="59"/>
    </row>
    <row r="997" ht="15.75" customHeight="1">
      <c r="D997" s="38"/>
      <c r="G997" s="54"/>
      <c r="I997" s="38"/>
      <c r="J997" s="38"/>
      <c r="K997" s="38"/>
      <c r="L997" s="59"/>
    </row>
    <row r="998" ht="15.75" customHeight="1">
      <c r="D998" s="38"/>
      <c r="G998" s="54"/>
      <c r="I998" s="38"/>
      <c r="J998" s="38"/>
      <c r="K998" s="38"/>
      <c r="L998" s="59"/>
    </row>
    <row r="999" ht="15.75" customHeight="1">
      <c r="D999" s="38"/>
      <c r="G999" s="54"/>
      <c r="I999" s="38"/>
      <c r="J999" s="38"/>
      <c r="K999" s="38"/>
      <c r="L999" s="59"/>
    </row>
    <row r="1000" ht="15.75" customHeight="1">
      <c r="D1000" s="38"/>
      <c r="G1000" s="54"/>
      <c r="I1000" s="38"/>
      <c r="J1000" s="38"/>
      <c r="K1000" s="38"/>
      <c r="L1000" s="59"/>
    </row>
  </sheetData>
  <mergeCells count="8">
    <mergeCell ref="B1:F7"/>
    <mergeCell ref="H1:K1"/>
    <mergeCell ref="H2:H3"/>
    <mergeCell ref="I2:K2"/>
    <mergeCell ref="B10:C10"/>
    <mergeCell ref="E10:E11"/>
    <mergeCell ref="F10:F11"/>
    <mergeCell ref="B17:F19"/>
  </mergeCells>
  <dataValidations>
    <dataValidation type="list" allowBlank="1" showErrorMessage="1" sqref="D10">
      <formula1>$H$4:$H$20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5.0" topLeftCell="C6" activePane="bottomRight" state="frozen"/>
      <selection activeCell="C1" sqref="C1" pane="topRight"/>
      <selection activeCell="A6" sqref="A6" pane="bottomLeft"/>
      <selection activeCell="C6" sqref="C6" pane="bottomRight"/>
    </sheetView>
  </sheetViews>
  <sheetFormatPr customHeight="1" defaultColWidth="12.63" defaultRowHeight="15.0"/>
  <cols>
    <col customWidth="1" min="1" max="1" width="10.75"/>
    <col customWidth="1" min="2" max="2" width="53.63"/>
    <col customWidth="1" min="3" max="3" width="10.0"/>
    <col customWidth="1" min="4" max="4" width="7.63"/>
    <col customWidth="1" min="5" max="5" width="21.63"/>
    <col customWidth="1" min="6" max="6" width="13.63"/>
    <col customWidth="1" min="7" max="26" width="8.63"/>
  </cols>
  <sheetData>
    <row r="1" ht="18.75" customHeight="1">
      <c r="A1" s="1" t="s">
        <v>0</v>
      </c>
      <c r="B1" s="2"/>
      <c r="C1" s="103" t="s">
        <v>394</v>
      </c>
      <c r="D1" s="21"/>
      <c r="E1" s="104" t="s">
        <v>395</v>
      </c>
      <c r="F1" s="105" t="s">
        <v>396</v>
      </c>
    </row>
    <row r="2" ht="27.75" customHeight="1">
      <c r="A2" s="10"/>
      <c r="B2" s="11"/>
      <c r="C2" s="106"/>
      <c r="D2" s="12"/>
      <c r="E2" s="107"/>
      <c r="F2" s="108"/>
    </row>
    <row r="3" ht="27.75" customHeight="1">
      <c r="A3" s="15"/>
      <c r="B3" s="16"/>
      <c r="C3" s="25"/>
      <c r="D3" s="18"/>
      <c r="E3" s="109" t="s">
        <v>397</v>
      </c>
      <c r="F3" s="108"/>
    </row>
    <row r="4" ht="12.75" customHeight="1">
      <c r="A4" s="22" t="s">
        <v>4</v>
      </c>
      <c r="B4" s="23" t="s">
        <v>5</v>
      </c>
      <c r="C4" s="110" t="s">
        <v>398</v>
      </c>
      <c r="D4" s="111" t="s">
        <v>8</v>
      </c>
      <c r="E4" s="112" t="s">
        <v>10</v>
      </c>
      <c r="F4" s="108"/>
    </row>
    <row r="5" ht="12.75" customHeight="1">
      <c r="A5" s="26"/>
      <c r="B5" s="27"/>
      <c r="C5" s="26"/>
      <c r="D5" s="26"/>
      <c r="E5" s="113" t="s">
        <v>399</v>
      </c>
      <c r="F5" s="114"/>
      <c r="G5" s="115"/>
      <c r="H5" s="115"/>
      <c r="I5" s="115"/>
      <c r="J5" s="115"/>
      <c r="K5" s="115"/>
      <c r="L5" s="115"/>
      <c r="M5" s="115"/>
      <c r="N5" s="115"/>
      <c r="O5" s="115"/>
      <c r="P5" s="115"/>
      <c r="Q5" s="115"/>
      <c r="R5" s="115"/>
      <c r="S5" s="115"/>
      <c r="T5" s="115"/>
      <c r="U5" s="115"/>
      <c r="V5" s="115"/>
      <c r="W5" s="115"/>
      <c r="X5" s="115"/>
      <c r="Y5" s="115"/>
      <c r="Z5" s="115"/>
    </row>
    <row r="6" ht="12.75" customHeight="1">
      <c r="C6" s="116" t="s">
        <v>7</v>
      </c>
      <c r="D6" s="117" t="s">
        <v>9</v>
      </c>
      <c r="E6" s="118" t="s">
        <v>10</v>
      </c>
      <c r="F6" s="119"/>
    </row>
    <row r="7" ht="12.75" customHeight="1">
      <c r="A7" s="42" t="s">
        <v>12</v>
      </c>
      <c r="B7" s="43" t="s">
        <v>13</v>
      </c>
      <c r="D7" s="38"/>
      <c r="E7" s="119"/>
      <c r="F7" s="119"/>
    </row>
    <row r="8" ht="12.75" customHeight="1">
      <c r="B8" s="44" t="s">
        <v>14</v>
      </c>
      <c r="C8" s="120">
        <v>20.0</v>
      </c>
      <c r="D8" s="38" t="str">
        <f>CALCULATIONS!T8</f>
        <v>SQ.M.</v>
      </c>
      <c r="E8" s="119">
        <f>IF($E$4="LOW",'LABOR PRODUCTIVITY'!I8,IF($E$4="AVERAGE",'LABOR PRODUCTIVITY'!K8,'LABOR PRODUCTIVITY'!M8))</f>
        <v>93.88888889</v>
      </c>
      <c r="F8" s="119">
        <f t="shared" ref="F8:F372" si="1">C8*E8</f>
        <v>1877.777778</v>
      </c>
    </row>
    <row r="9" ht="12.75" customHeight="1">
      <c r="B9" s="44" t="s">
        <v>15</v>
      </c>
      <c r="C9" s="120">
        <v>20.0</v>
      </c>
      <c r="D9" s="38" t="str">
        <f>CALCULATIONS!T9</f>
        <v>SQ.M.</v>
      </c>
      <c r="E9" s="119">
        <f>IF($E$4="LOW",'LABOR PRODUCTIVITY'!I9,IF($E$4="AVERAGE",'LABOR PRODUCTIVITY'!K9,'LABOR PRODUCTIVITY'!M9))</f>
        <v>110.3194444</v>
      </c>
      <c r="F9" s="119">
        <f t="shared" si="1"/>
        <v>2206.388889</v>
      </c>
    </row>
    <row r="10" ht="12.75" customHeight="1">
      <c r="B10" s="44" t="s">
        <v>16</v>
      </c>
      <c r="D10" s="38" t="str">
        <f>CALCULATIONS!T10</f>
        <v>SQ.M.</v>
      </c>
      <c r="E10" s="119">
        <f>IF($E$4="LOW",'LABOR PRODUCTIVITY'!I10,IF($E$4="AVERAGE",'LABOR PRODUCTIVITY'!K10,'LABOR PRODUCTIVITY'!M10))</f>
        <v>144.3541667</v>
      </c>
      <c r="F10" s="119">
        <f t="shared" si="1"/>
        <v>0</v>
      </c>
    </row>
    <row r="11" ht="12.75" customHeight="1">
      <c r="B11" s="44" t="s">
        <v>17</v>
      </c>
      <c r="D11" s="38" t="str">
        <f>CALCULATIONS!T11</f>
        <v>SQ.M.</v>
      </c>
      <c r="E11" s="119">
        <f>IF($E$4="LOW",'LABOR PRODUCTIVITY'!I11,IF($E$4="AVERAGE",'LABOR PRODUCTIVITY'!K11,'LABOR PRODUCTIVITY'!M11))</f>
        <v>110.3194444</v>
      </c>
      <c r="F11" s="119">
        <f t="shared" si="1"/>
        <v>0</v>
      </c>
    </row>
    <row r="12" ht="12.75" customHeight="1">
      <c r="B12" s="44" t="s">
        <v>18</v>
      </c>
      <c r="D12" s="38" t="str">
        <f>CALCULATIONS!T12</f>
        <v/>
      </c>
      <c r="E12" s="119">
        <f>IF($E$4="LOW",'LABOR PRODUCTIVITY'!I12,IF($E$4="AVERAGE",'LABOR PRODUCTIVITY'!K12,'LABOR PRODUCTIVITY'!M12))</f>
        <v>0</v>
      </c>
      <c r="F12" s="119">
        <f t="shared" si="1"/>
        <v>0</v>
      </c>
    </row>
    <row r="13" ht="12.75" customHeight="1">
      <c r="B13" s="44" t="s">
        <v>19</v>
      </c>
      <c r="D13" s="38" t="str">
        <f>CALCULATIONS!T13</f>
        <v>SQ.M.</v>
      </c>
      <c r="E13" s="119">
        <f>IF($E$4="LOW",'LABOR PRODUCTIVITY'!I13,IF($E$4="AVERAGE",'LABOR PRODUCTIVITY'!K13,'LABOR PRODUCTIVITY'!M13))</f>
        <v>78.63194444</v>
      </c>
      <c r="F13" s="119">
        <f t="shared" si="1"/>
        <v>0</v>
      </c>
    </row>
    <row r="14" ht="12.75" customHeight="1">
      <c r="B14" s="44" t="s">
        <v>20</v>
      </c>
      <c r="D14" s="38" t="str">
        <f>CALCULATIONS!T14</f>
        <v>SQ.M.</v>
      </c>
      <c r="E14" s="119">
        <f>IF($E$4="LOW",'LABOR PRODUCTIVITY'!I14,IF($E$4="AVERAGE",'LABOR PRODUCTIVITY'!K14,'LABOR PRODUCTIVITY'!M14))</f>
        <v>156.0902778</v>
      </c>
      <c r="F14" s="119">
        <f t="shared" si="1"/>
        <v>0</v>
      </c>
    </row>
    <row r="15" ht="12.75" customHeight="1">
      <c r="B15" s="44" t="s">
        <v>21</v>
      </c>
      <c r="D15" s="38" t="str">
        <f>CALCULATIONS!T15</f>
        <v/>
      </c>
      <c r="E15" s="119">
        <f>IF($E$4="LOW",'LABOR PRODUCTIVITY'!I15,IF($E$4="AVERAGE",'LABOR PRODUCTIVITY'!K15,'LABOR PRODUCTIVITY'!M15))</f>
        <v>0</v>
      </c>
      <c r="F15" s="119">
        <f t="shared" si="1"/>
        <v>0</v>
      </c>
    </row>
    <row r="16" ht="12.75" customHeight="1">
      <c r="B16" s="44" t="s">
        <v>22</v>
      </c>
      <c r="D16" s="38" t="str">
        <f>CALCULATIONS!T16</f>
        <v>SQ.M.</v>
      </c>
      <c r="E16" s="119">
        <f>IF($E$4="LOW",'LABOR PRODUCTIVITY'!I16,IF($E$4="AVERAGE",'LABOR PRODUCTIVITY'!K16,'LABOR PRODUCTIVITY'!M16))</f>
        <v>403.7222222</v>
      </c>
      <c r="F16" s="119">
        <f t="shared" si="1"/>
        <v>0</v>
      </c>
    </row>
    <row r="17" ht="12.75" customHeight="1">
      <c r="B17" s="44" t="s">
        <v>23</v>
      </c>
      <c r="D17" s="38" t="str">
        <f>CALCULATIONS!T17</f>
        <v>SQ.M.</v>
      </c>
      <c r="E17" s="119">
        <f>IF($E$4="LOW",'LABOR PRODUCTIVITY'!I17,IF($E$4="AVERAGE",'LABOR PRODUCTIVITY'!K17,'LABOR PRODUCTIVITY'!M17))</f>
        <v>516.3888889</v>
      </c>
      <c r="F17" s="119">
        <f t="shared" si="1"/>
        <v>0</v>
      </c>
    </row>
    <row r="18" ht="12.75" customHeight="1">
      <c r="B18" s="44" t="s">
        <v>24</v>
      </c>
      <c r="D18" s="38" t="str">
        <f>CALCULATIONS!T18</f>
        <v>SQ.M.</v>
      </c>
      <c r="E18" s="119">
        <f>IF($E$4="LOW",'LABOR PRODUCTIVITY'!I18,IF($E$4="AVERAGE",'LABOR PRODUCTIVITY'!K18,'LABOR PRODUCTIVITY'!M18))</f>
        <v>23.47222222</v>
      </c>
      <c r="F18" s="119">
        <f t="shared" si="1"/>
        <v>0</v>
      </c>
    </row>
    <row r="19" ht="12.75" customHeight="1">
      <c r="D19" s="38" t="str">
        <f>CALCULATIONS!T19</f>
        <v/>
      </c>
      <c r="E19" s="119">
        <f>IF($E$4="LOW",'LABOR PRODUCTIVITY'!I19,IF($E$4="AVERAGE",'LABOR PRODUCTIVITY'!K19,'LABOR PRODUCTIVITY'!M19))</f>
        <v>0</v>
      </c>
      <c r="F19" s="119">
        <f t="shared" si="1"/>
        <v>0</v>
      </c>
    </row>
    <row r="20" ht="12.75" customHeight="1">
      <c r="A20" s="42" t="s">
        <v>25</v>
      </c>
      <c r="B20" s="43" t="s">
        <v>26</v>
      </c>
      <c r="D20" s="38" t="str">
        <f>CALCULATIONS!T20</f>
        <v>SQ.M.</v>
      </c>
      <c r="E20" s="119">
        <f>IF($E$4="LOW",'LABOR PRODUCTIVITY'!I20,IF($E$4="AVERAGE",'LABOR PRODUCTIVITY'!K20,'LABOR PRODUCTIVITY'!M20))</f>
        <v>50.46527778</v>
      </c>
      <c r="F20" s="119">
        <f t="shared" si="1"/>
        <v>0</v>
      </c>
    </row>
    <row r="21" ht="12.75" customHeight="1">
      <c r="D21" s="38" t="str">
        <f>CALCULATIONS!T21</f>
        <v/>
      </c>
      <c r="E21" s="119">
        <f>IF($E$4="LOW",'LABOR PRODUCTIVITY'!I21,IF($E$4="AVERAGE",'LABOR PRODUCTIVITY'!K21,'LABOR PRODUCTIVITY'!M21))</f>
        <v>0</v>
      </c>
      <c r="F21" s="119">
        <f t="shared" si="1"/>
        <v>0</v>
      </c>
    </row>
    <row r="22" ht="12.75" customHeight="1">
      <c r="A22" s="42" t="s">
        <v>27</v>
      </c>
      <c r="B22" s="43" t="s">
        <v>28</v>
      </c>
      <c r="D22" s="38" t="str">
        <f>CALCULATIONS!T22</f>
        <v/>
      </c>
      <c r="E22" s="119">
        <f>IF($E$4="LOW",'LABOR PRODUCTIVITY'!I22,IF($E$4="AVERAGE",'LABOR PRODUCTIVITY'!K22,'LABOR PRODUCTIVITY'!M22))</f>
        <v>0</v>
      </c>
      <c r="F22" s="119">
        <f t="shared" si="1"/>
        <v>0</v>
      </c>
    </row>
    <row r="23" ht="12.75" customHeight="1">
      <c r="B23" s="44" t="s">
        <v>29</v>
      </c>
      <c r="D23" s="38" t="str">
        <f>CALCULATIONS!T23</f>
        <v>SQ.M.</v>
      </c>
      <c r="E23" s="119">
        <f>IF($E$4="LOW",'LABOR PRODUCTIVITY'!I23,IF($E$4="AVERAGE",'LABOR PRODUCTIVITY'!K23,'LABOR PRODUCTIVITY'!M23))</f>
        <v>11.73611111</v>
      </c>
      <c r="F23" s="119">
        <f t="shared" si="1"/>
        <v>0</v>
      </c>
    </row>
    <row r="24" ht="12.75" customHeight="1">
      <c r="B24" s="44" t="s">
        <v>30</v>
      </c>
      <c r="D24" s="38" t="str">
        <f>CALCULATIONS!T24</f>
        <v>SQ.M.</v>
      </c>
      <c r="E24" s="119">
        <f>IF($E$4="LOW",'LABOR PRODUCTIVITY'!I24,IF($E$4="AVERAGE",'LABOR PRODUCTIVITY'!K24,'LABOR PRODUCTIVITY'!M24))</f>
        <v>60.44097222</v>
      </c>
      <c r="F24" s="119">
        <f t="shared" si="1"/>
        <v>0</v>
      </c>
    </row>
    <row r="25" ht="12.75" customHeight="1">
      <c r="B25" s="44" t="s">
        <v>16</v>
      </c>
      <c r="D25" s="38" t="str">
        <f>CALCULATIONS!T25</f>
        <v>SQ.M.</v>
      </c>
      <c r="E25" s="119">
        <f>IF($E$4="LOW",'LABOR PRODUCTIVITY'!I25,IF($E$4="AVERAGE",'LABOR PRODUCTIVITY'!K25,'LABOR PRODUCTIVITY'!M25))</f>
        <v>48.11805556</v>
      </c>
      <c r="F25" s="119">
        <f t="shared" si="1"/>
        <v>0</v>
      </c>
    </row>
    <row r="26" ht="12.75" customHeight="1">
      <c r="B26" s="44" t="s">
        <v>31</v>
      </c>
      <c r="D26" s="38" t="str">
        <f>CALCULATIONS!T26</f>
        <v>SQ.M.</v>
      </c>
      <c r="E26" s="119">
        <f>IF($E$4="LOW",'LABOR PRODUCTIVITY'!I26,IF($E$4="AVERAGE",'LABOR PRODUCTIVITY'!K26,'LABOR PRODUCTIVITY'!M26))</f>
        <v>39.90277778</v>
      </c>
      <c r="F26" s="119">
        <f t="shared" si="1"/>
        <v>0</v>
      </c>
    </row>
    <row r="27" ht="12.75" customHeight="1">
      <c r="B27" s="44" t="s">
        <v>18</v>
      </c>
      <c r="D27" s="38" t="str">
        <f>CALCULATIONS!T27</f>
        <v>SQ.M.</v>
      </c>
      <c r="E27" s="119">
        <f>IF($E$4="LOW",'LABOR PRODUCTIVITY'!I27,IF($E$4="AVERAGE",'LABOR PRODUCTIVITY'!K27,'LABOR PRODUCTIVITY'!M27))</f>
        <v>0</v>
      </c>
      <c r="F27" s="119">
        <f t="shared" si="1"/>
        <v>0</v>
      </c>
    </row>
    <row r="28" ht="12.75" customHeight="1">
      <c r="B28" s="44" t="s">
        <v>19</v>
      </c>
      <c r="D28" s="38" t="str">
        <f>CALCULATIONS!T28</f>
        <v>SQ.M.</v>
      </c>
      <c r="E28" s="119">
        <f>IF($E$4="LOW",'LABOR PRODUCTIVITY'!I28,IF($E$4="AVERAGE",'LABOR PRODUCTIVITY'!K28,'LABOR PRODUCTIVITY'!M28))</f>
        <v>39.31597222</v>
      </c>
      <c r="F28" s="119">
        <f t="shared" si="1"/>
        <v>0</v>
      </c>
    </row>
    <row r="29" ht="12.75" customHeight="1">
      <c r="B29" s="44" t="s">
        <v>20</v>
      </c>
      <c r="D29" s="38" t="str">
        <f>CALCULATIONS!T29</f>
        <v>SQ.M.</v>
      </c>
      <c r="E29" s="119">
        <f>IF($E$4="LOW",'LABOR PRODUCTIVITY'!I29,IF($E$4="AVERAGE",'LABOR PRODUCTIVITY'!K29,'LABOR PRODUCTIVITY'!M29))</f>
        <v>50.46527778</v>
      </c>
      <c r="F29" s="119">
        <f t="shared" si="1"/>
        <v>0</v>
      </c>
    </row>
    <row r="30" ht="12.75" customHeight="1">
      <c r="B30" s="44" t="s">
        <v>21</v>
      </c>
      <c r="D30" s="38" t="str">
        <f>CALCULATIONS!T30</f>
        <v>SQ.M.</v>
      </c>
      <c r="E30" s="119">
        <f>IF($E$4="LOW",'LABOR PRODUCTIVITY'!I30,IF($E$4="AVERAGE",'LABOR PRODUCTIVITY'!K30,'LABOR PRODUCTIVITY'!M30))</f>
        <v>0</v>
      </c>
      <c r="F30" s="119">
        <f t="shared" si="1"/>
        <v>0</v>
      </c>
    </row>
    <row r="31" ht="12.75" customHeight="1">
      <c r="B31" s="44" t="s">
        <v>32</v>
      </c>
      <c r="D31" s="38" t="str">
        <f>CALCULATIONS!T31</f>
        <v>SQ.M.</v>
      </c>
      <c r="E31" s="119">
        <f>IF($E$4="LOW",'LABOR PRODUCTIVITY'!I31,IF($E$4="AVERAGE",'LABOR PRODUCTIVITY'!K31,'LABOR PRODUCTIVITY'!M31))</f>
        <v>164.3055556</v>
      </c>
      <c r="F31" s="119">
        <f t="shared" si="1"/>
        <v>0</v>
      </c>
    </row>
    <row r="32" ht="12.75" customHeight="1">
      <c r="B32" s="44" t="s">
        <v>33</v>
      </c>
      <c r="D32" s="38" t="str">
        <f>CALCULATIONS!T32</f>
        <v>SQ.M.</v>
      </c>
      <c r="E32" s="119" t="str">
        <f>IF($E$4="LOW",'LABOR PRODUCTIVITY'!I32,IF($E$4="AVERAGE",'LABOR PRODUCTIVITY'!K32,'LABOR PRODUCTIVITY'!M32))</f>
        <v> </v>
      </c>
      <c r="F32" s="119" t="str">
        <f t="shared" si="1"/>
        <v>#VALUE!</v>
      </c>
    </row>
    <row r="33" ht="12.75" customHeight="1">
      <c r="D33" s="38" t="str">
        <f>CALCULATIONS!T33</f>
        <v/>
      </c>
      <c r="E33" s="119">
        <f>IF($E$4="LOW",'LABOR PRODUCTIVITY'!I33,IF($E$4="AVERAGE",'LABOR PRODUCTIVITY'!K33,'LABOR PRODUCTIVITY'!M33))</f>
        <v>0</v>
      </c>
      <c r="F33" s="119">
        <f t="shared" si="1"/>
        <v>0</v>
      </c>
    </row>
    <row r="34" ht="12.75" customHeight="1">
      <c r="A34" s="42" t="s">
        <v>35</v>
      </c>
      <c r="B34" s="43" t="s">
        <v>36</v>
      </c>
      <c r="D34" s="38" t="str">
        <f>CALCULATIONS!T34</f>
        <v/>
      </c>
      <c r="E34" s="119">
        <f>IF($E$4="LOW",'LABOR PRODUCTIVITY'!I34,IF($E$4="AVERAGE",'LABOR PRODUCTIVITY'!K34,'LABOR PRODUCTIVITY'!M34))</f>
        <v>0</v>
      </c>
      <c r="F34" s="119">
        <f t="shared" si="1"/>
        <v>0</v>
      </c>
    </row>
    <row r="35" ht="12.75" customHeight="1">
      <c r="B35" s="44" t="s">
        <v>37</v>
      </c>
      <c r="D35" s="38" t="str">
        <f>CALCULATIONS!T35</f>
        <v>PC</v>
      </c>
      <c r="E35" s="119">
        <f>IF($E$4="LOW",'LABOR PRODUCTIVITY'!I35,IF($E$4="AVERAGE",'LABOR PRODUCTIVITY'!K35,'LABOR PRODUCTIVITY'!M35))</f>
        <v>46.94444444</v>
      </c>
      <c r="F35" s="119">
        <f t="shared" si="1"/>
        <v>0</v>
      </c>
    </row>
    <row r="36" ht="12.75" customHeight="1">
      <c r="B36" s="44" t="s">
        <v>38</v>
      </c>
      <c r="D36" s="38" t="str">
        <f>CALCULATIONS!T36</f>
        <v>B.F.</v>
      </c>
      <c r="E36" s="119">
        <f>IF($E$4="LOW",'LABOR PRODUCTIVITY'!I36,IF($E$4="AVERAGE",'LABOR PRODUCTIVITY'!K36,'LABOR PRODUCTIVITY'!M36))</f>
        <v>6.454861111</v>
      </c>
      <c r="F36" s="119">
        <f t="shared" si="1"/>
        <v>0</v>
      </c>
    </row>
    <row r="37" ht="12.75" customHeight="1">
      <c r="B37" s="44" t="s">
        <v>39</v>
      </c>
      <c r="D37" s="38" t="str">
        <f>CALCULATIONS!T37</f>
        <v>B.F.</v>
      </c>
      <c r="E37" s="119">
        <f>IF($E$4="LOW",'LABOR PRODUCTIVITY'!I37,IF($E$4="AVERAGE",'LABOR PRODUCTIVITY'!K37,'LABOR PRODUCTIVITY'!M37))</f>
        <v>17.01736111</v>
      </c>
      <c r="F37" s="119">
        <f t="shared" si="1"/>
        <v>0</v>
      </c>
    </row>
    <row r="38" ht="12.75" customHeight="1">
      <c r="B38" s="44" t="s">
        <v>40</v>
      </c>
      <c r="D38" s="38" t="str">
        <f>CALCULATIONS!T38</f>
        <v>B.F.</v>
      </c>
      <c r="E38" s="119">
        <f>IF($E$4="LOW",'LABOR PRODUCTIVITY'!I38,IF($E$4="AVERAGE",'LABOR PRODUCTIVITY'!K38,'LABOR PRODUCTIVITY'!M38))</f>
        <v>12.32291667</v>
      </c>
      <c r="F38" s="119">
        <f t="shared" si="1"/>
        <v>0</v>
      </c>
    </row>
    <row r="39" ht="12.75" customHeight="1">
      <c r="B39" s="44" t="s">
        <v>41</v>
      </c>
      <c r="D39" s="38" t="str">
        <f>CALCULATIONS!T39</f>
        <v>B.F.</v>
      </c>
      <c r="E39" s="119">
        <f>IF($E$4="LOW",'LABOR PRODUCTIVITY'!I39,IF($E$4="AVERAGE",'LABOR PRODUCTIVITY'!K39,'LABOR PRODUCTIVITY'!M39))</f>
        <v>45.18402778</v>
      </c>
      <c r="F39" s="119">
        <f t="shared" si="1"/>
        <v>0</v>
      </c>
    </row>
    <row r="40" ht="12.75" customHeight="1">
      <c r="B40" s="44" t="s">
        <v>42</v>
      </c>
      <c r="D40" s="38" t="str">
        <f>CALCULATIONS!T40</f>
        <v>B.F.</v>
      </c>
      <c r="E40" s="119">
        <f>IF($E$4="LOW",'LABOR PRODUCTIVITY'!I40,IF($E$4="AVERAGE",'LABOR PRODUCTIVITY'!K40,'LABOR PRODUCTIVITY'!M40))</f>
        <v>19.95138889</v>
      </c>
      <c r="F40" s="119">
        <f t="shared" si="1"/>
        <v>0</v>
      </c>
    </row>
    <row r="41" ht="12.75" customHeight="1">
      <c r="B41" s="44" t="s">
        <v>43</v>
      </c>
      <c r="D41" s="38" t="str">
        <f>CALCULATIONS!T41</f>
        <v>B.F.</v>
      </c>
      <c r="E41" s="119">
        <f>IF($E$4="LOW",'LABOR PRODUCTIVITY'!I41,IF($E$4="AVERAGE",'LABOR PRODUCTIVITY'!K41,'LABOR PRODUCTIVITY'!M41))</f>
        <v>16.43055556</v>
      </c>
      <c r="F41" s="119">
        <f t="shared" si="1"/>
        <v>0</v>
      </c>
    </row>
    <row r="42" ht="12.75" customHeight="1">
      <c r="B42" s="44" t="s">
        <v>44</v>
      </c>
      <c r="D42" s="38" t="str">
        <f>CALCULATIONS!T42</f>
        <v>B.F.</v>
      </c>
      <c r="E42" s="119">
        <f>IF($E$4="LOW",'LABOR PRODUCTIVITY'!I42,IF($E$4="AVERAGE",'LABOR PRODUCTIVITY'!K42,'LABOR PRODUCTIVITY'!M42))</f>
        <v>37.55555556</v>
      </c>
      <c r="F42" s="119">
        <f t="shared" si="1"/>
        <v>0</v>
      </c>
    </row>
    <row r="43" ht="12.75" customHeight="1">
      <c r="B43" s="44" t="s">
        <v>45</v>
      </c>
      <c r="D43" s="38" t="str">
        <f>CALCULATIONS!T43</f>
        <v>B.F.</v>
      </c>
      <c r="E43" s="119">
        <f>IF($E$4="LOW",'LABOR PRODUCTIVITY'!I43,IF($E$4="AVERAGE",'LABOR PRODUCTIVITY'!K43,'LABOR PRODUCTIVITY'!M43))</f>
        <v>9.975694444</v>
      </c>
      <c r="F43" s="119">
        <f t="shared" si="1"/>
        <v>0</v>
      </c>
    </row>
    <row r="44" ht="12.75" customHeight="1">
      <c r="B44" s="44" t="s">
        <v>46</v>
      </c>
      <c r="D44" s="38" t="str">
        <f>CALCULATIONS!T44</f>
        <v>B.F.</v>
      </c>
      <c r="E44" s="119">
        <f>IF($E$4="LOW",'LABOR PRODUCTIVITY'!I44,IF($E$4="AVERAGE",'LABOR PRODUCTIVITY'!K44,'LABOR PRODUCTIVITY'!M44))</f>
        <v>6.454861111</v>
      </c>
      <c r="F44" s="119">
        <f t="shared" si="1"/>
        <v>0</v>
      </c>
    </row>
    <row r="45" ht="12.75" customHeight="1">
      <c r="B45" s="44" t="s">
        <v>47</v>
      </c>
      <c r="D45" s="38" t="str">
        <f>CALCULATIONS!T45</f>
        <v>B.F.</v>
      </c>
      <c r="E45" s="119">
        <f>IF($E$4="LOW",'LABOR PRODUCTIVITY'!I45,IF($E$4="AVERAGE",'LABOR PRODUCTIVITY'!K45,'LABOR PRODUCTIVITY'!M45))</f>
        <v>5.868055556</v>
      </c>
      <c r="F45" s="119">
        <f t="shared" si="1"/>
        <v>0</v>
      </c>
    </row>
    <row r="46" ht="12.75" customHeight="1">
      <c r="B46" s="44" t="s">
        <v>48</v>
      </c>
      <c r="D46" s="38" t="str">
        <f>CALCULATIONS!T46</f>
        <v>B.F.</v>
      </c>
      <c r="E46" s="119">
        <f>IF($E$4="LOW",'LABOR PRODUCTIVITY'!I46,IF($E$4="AVERAGE",'LABOR PRODUCTIVITY'!K46,'LABOR PRODUCTIVITY'!M46))</f>
        <v>21.125</v>
      </c>
      <c r="F46" s="119">
        <f t="shared" si="1"/>
        <v>0</v>
      </c>
    </row>
    <row r="47" ht="12.75" customHeight="1">
      <c r="B47" s="44" t="s">
        <v>49</v>
      </c>
      <c r="D47" s="38" t="str">
        <f>CALCULATIONS!T47</f>
        <v/>
      </c>
      <c r="E47" s="119">
        <f>IF($E$4="LOW",'LABOR PRODUCTIVITY'!I47,IF($E$4="AVERAGE",'LABOR PRODUCTIVITY'!K47,'LABOR PRODUCTIVITY'!M47))</f>
        <v>0</v>
      </c>
      <c r="F47" s="119">
        <f t="shared" si="1"/>
        <v>0</v>
      </c>
    </row>
    <row r="48" ht="12.75" customHeight="1">
      <c r="B48" s="44" t="s">
        <v>50</v>
      </c>
      <c r="D48" s="38" t="str">
        <f>CALCULATIONS!T48</f>
        <v>PC</v>
      </c>
      <c r="E48" s="119">
        <f>IF($E$4="LOW",'LABOR PRODUCTIVITY'!I48,IF($E$4="AVERAGE",'LABOR PRODUCTIVITY'!K48,'LABOR PRODUCTIVITY'!M48))</f>
        <v>46.94444444</v>
      </c>
      <c r="F48" s="119">
        <f t="shared" si="1"/>
        <v>0</v>
      </c>
    </row>
    <row r="49" ht="12.75" customHeight="1">
      <c r="B49" s="44" t="s">
        <v>51</v>
      </c>
      <c r="D49" s="38" t="str">
        <f>CALCULATIONS!T49</f>
        <v>S.F.</v>
      </c>
      <c r="E49" s="119">
        <f>IF($E$4="LOW",'LABOR PRODUCTIVITY'!I49,IF($E$4="AVERAGE",'LABOR PRODUCTIVITY'!K49,'LABOR PRODUCTIVITY'!M49))</f>
        <v>19.36458333</v>
      </c>
      <c r="F49" s="119">
        <f t="shared" si="1"/>
        <v>0</v>
      </c>
    </row>
    <row r="50" ht="12.75" customHeight="1">
      <c r="B50" s="44" t="s">
        <v>52</v>
      </c>
      <c r="D50" s="38" t="str">
        <f>CALCULATIONS!T50</f>
        <v/>
      </c>
      <c r="E50" s="119">
        <f>IF($E$4="LOW",'LABOR PRODUCTIVITY'!I50,IF($E$4="AVERAGE",'LABOR PRODUCTIVITY'!K50,'LABOR PRODUCTIVITY'!M50))</f>
        <v>0</v>
      </c>
      <c r="F50" s="119">
        <f t="shared" si="1"/>
        <v>0</v>
      </c>
    </row>
    <row r="51" ht="12.75" customHeight="1">
      <c r="B51" s="44" t="s">
        <v>53</v>
      </c>
      <c r="D51" s="38" t="str">
        <f>CALCULATIONS!T51</f>
        <v>SQ.M.</v>
      </c>
      <c r="E51" s="119">
        <f>IF($E$4="LOW",'LABOR PRODUCTIVITY'!I51,IF($E$4="AVERAGE",'LABOR PRODUCTIVITY'!K51,'LABOR PRODUCTIVITY'!M51))</f>
        <v>62.20138889</v>
      </c>
      <c r="F51" s="119">
        <f t="shared" si="1"/>
        <v>0</v>
      </c>
    </row>
    <row r="52" ht="12.75" customHeight="1">
      <c r="B52" s="44" t="s">
        <v>54</v>
      </c>
      <c r="D52" s="38" t="str">
        <f>CALCULATIONS!T52</f>
        <v>SQ.M.</v>
      </c>
      <c r="E52" s="119">
        <f>IF($E$4="LOW",'LABOR PRODUCTIVITY'!I52,IF($E$4="AVERAGE",'LABOR PRODUCTIVITY'!K52,'LABOR PRODUCTIVITY'!M52))</f>
        <v>52.8125</v>
      </c>
      <c r="F52" s="119">
        <f t="shared" si="1"/>
        <v>0</v>
      </c>
    </row>
    <row r="53" ht="12.75" customHeight="1">
      <c r="B53" s="44" t="s">
        <v>55</v>
      </c>
      <c r="D53" s="38" t="str">
        <f>CALCULATIONS!T53</f>
        <v>B.F.</v>
      </c>
      <c r="E53" s="119">
        <f>IF($E$4="LOW",'LABOR PRODUCTIVITY'!I53,IF($E$4="AVERAGE",'LABOR PRODUCTIVITY'!K53,'LABOR PRODUCTIVITY'!M53))</f>
        <v>5.868055556</v>
      </c>
      <c r="F53" s="119">
        <f t="shared" si="1"/>
        <v>0</v>
      </c>
    </row>
    <row r="54" ht="12.75" customHeight="1">
      <c r="B54" s="44" t="s">
        <v>56</v>
      </c>
      <c r="D54" s="38" t="str">
        <f>CALCULATIONS!T54</f>
        <v>B.F.</v>
      </c>
      <c r="E54" s="119">
        <f>IF($E$4="LOW",'LABOR PRODUCTIVITY'!I54,IF($E$4="AVERAGE",'LABOR PRODUCTIVITY'!K54,'LABOR PRODUCTIVITY'!M54))</f>
        <v>8.215277778</v>
      </c>
      <c r="F54" s="119">
        <f t="shared" si="1"/>
        <v>0</v>
      </c>
    </row>
    <row r="55" ht="12.75" customHeight="1">
      <c r="B55" s="44" t="s">
        <v>57</v>
      </c>
      <c r="D55" s="38" t="str">
        <f>CALCULATIONS!T55</f>
        <v>SQ.M.</v>
      </c>
      <c r="E55" s="119">
        <f>IF($E$4="LOW",'LABOR PRODUCTIVITY'!I55,IF($E$4="AVERAGE",'LABOR PRODUCTIVITY'!K55,'LABOR PRODUCTIVITY'!M55))</f>
        <v>23.47222222</v>
      </c>
      <c r="F55" s="119">
        <f t="shared" si="1"/>
        <v>0</v>
      </c>
    </row>
    <row r="56" ht="12.75" customHeight="1">
      <c r="B56" s="44" t="s">
        <v>58</v>
      </c>
      <c r="D56" s="38" t="str">
        <f>CALCULATIONS!T56</f>
        <v>SQ.M.</v>
      </c>
      <c r="E56" s="119">
        <f>IF($E$4="LOW",'LABOR PRODUCTIVITY'!I56,IF($E$4="AVERAGE",'LABOR PRODUCTIVITY'!K56,'LABOR PRODUCTIVITY'!M56))</f>
        <v>328.6111111</v>
      </c>
      <c r="F56" s="119">
        <f t="shared" si="1"/>
        <v>0</v>
      </c>
    </row>
    <row r="57" ht="12.75" customHeight="1">
      <c r="B57" s="44" t="s">
        <v>59</v>
      </c>
      <c r="D57" s="38" t="str">
        <f>CALCULATIONS!T57</f>
        <v>SQ.M.</v>
      </c>
      <c r="E57" s="119">
        <f>IF($E$4="LOW",'LABOR PRODUCTIVITY'!I57,IF($E$4="AVERAGE",'LABOR PRODUCTIVITY'!K57,'LABOR PRODUCTIVITY'!M57))</f>
        <v>211.25</v>
      </c>
      <c r="F57" s="119">
        <f t="shared" si="1"/>
        <v>0</v>
      </c>
    </row>
    <row r="58" ht="12.75" customHeight="1">
      <c r="B58" s="44" t="s">
        <v>60</v>
      </c>
      <c r="D58" s="38" t="str">
        <f>CALCULATIONS!T58</f>
        <v>SQ.M.</v>
      </c>
      <c r="E58" s="119">
        <f>IF($E$4="LOW",'LABOR PRODUCTIVITY'!I58,IF($E$4="AVERAGE",'LABOR PRODUCTIVITY'!K58,'LABOR PRODUCTIVITY'!M58))</f>
        <v>164.3055556</v>
      </c>
      <c r="F58" s="119">
        <f t="shared" si="1"/>
        <v>0</v>
      </c>
    </row>
    <row r="59" ht="12.75" customHeight="1">
      <c r="D59" s="38" t="str">
        <f>CALCULATIONS!T59</f>
        <v/>
      </c>
      <c r="E59" s="119">
        <f>IF($E$4="LOW",'LABOR PRODUCTIVITY'!I59,IF($E$4="AVERAGE",'LABOR PRODUCTIVITY'!K59,'LABOR PRODUCTIVITY'!M59))</f>
        <v>0</v>
      </c>
      <c r="F59" s="119">
        <f t="shared" si="1"/>
        <v>0</v>
      </c>
    </row>
    <row r="60" ht="12.75" customHeight="1">
      <c r="A60" s="45" t="s">
        <v>61</v>
      </c>
      <c r="B60" s="46" t="s">
        <v>62</v>
      </c>
      <c r="D60" s="38" t="str">
        <f>CALCULATIONS!T60</f>
        <v/>
      </c>
      <c r="E60" s="119">
        <f>IF($E$4="LOW",'LABOR PRODUCTIVITY'!I60,IF($E$4="AVERAGE",'LABOR PRODUCTIVITY'!K60,'LABOR PRODUCTIVITY'!M60))</f>
        <v>0</v>
      </c>
      <c r="F60" s="119">
        <f t="shared" si="1"/>
        <v>0</v>
      </c>
    </row>
    <row r="61" ht="12.75" customHeight="1">
      <c r="B61" s="44" t="s">
        <v>63</v>
      </c>
      <c r="D61" s="38" t="str">
        <f>CALCULATIONS!T61</f>
        <v>PC.</v>
      </c>
      <c r="E61" s="119">
        <f>IF($E$4="LOW",'LABOR PRODUCTIVITY'!I61,IF($E$4="AVERAGE",'LABOR PRODUCTIVITY'!K61,'LABOR PRODUCTIVITY'!M61))</f>
        <v>18.77777778</v>
      </c>
      <c r="F61" s="119">
        <f t="shared" si="1"/>
        <v>0</v>
      </c>
    </row>
    <row r="62" ht="12.75" customHeight="1">
      <c r="B62" s="44" t="s">
        <v>64</v>
      </c>
      <c r="D62" s="38" t="str">
        <f>CALCULATIONS!T62</f>
        <v>PC.</v>
      </c>
      <c r="E62" s="119">
        <f>IF($E$4="LOW",'LABOR PRODUCTIVITY'!I62,IF($E$4="AVERAGE",'LABOR PRODUCTIVITY'!K62,'LABOR PRODUCTIVITY'!M62))</f>
        <v>93.88888889</v>
      </c>
      <c r="F62" s="119">
        <f t="shared" si="1"/>
        <v>0</v>
      </c>
    </row>
    <row r="63" ht="12.75" customHeight="1">
      <c r="B63" s="44" t="s">
        <v>65</v>
      </c>
      <c r="D63" s="38" t="str">
        <f>CALCULATIONS!T63</f>
        <v/>
      </c>
      <c r="E63" s="119">
        <f>IF($E$4="LOW",'LABOR PRODUCTIVITY'!I63,IF($E$4="AVERAGE",'LABOR PRODUCTIVITY'!K63,'LABOR PRODUCTIVITY'!M63))</f>
        <v>0</v>
      </c>
      <c r="F63" s="119">
        <f t="shared" si="1"/>
        <v>0</v>
      </c>
    </row>
    <row r="64" ht="12.75" customHeight="1">
      <c r="B64" s="44" t="s">
        <v>66</v>
      </c>
      <c r="D64" s="38" t="str">
        <f>CALCULATIONS!T64</f>
        <v>SQ.M.</v>
      </c>
      <c r="E64" s="119">
        <f>IF($E$4="LOW",'LABOR PRODUCTIVITY'!I64,IF($E$4="AVERAGE",'LABOR PRODUCTIVITY'!K64,'LABOR PRODUCTIVITY'!M64))</f>
        <v>217.1180556</v>
      </c>
      <c r="F64" s="119">
        <f t="shared" si="1"/>
        <v>0</v>
      </c>
    </row>
    <row r="65" ht="12.75" customHeight="1">
      <c r="B65" s="44" t="s">
        <v>67</v>
      </c>
      <c r="D65" s="38" t="str">
        <f>CALCULATIONS!T65</f>
        <v>SQ.M.</v>
      </c>
      <c r="E65" s="119">
        <f>IF($E$4="LOW",'LABOR PRODUCTIVITY'!I65,IF($E$4="AVERAGE",'LABOR PRODUCTIVITY'!K65,'LABOR PRODUCTIVITY'!M65))</f>
        <v>146.7013889</v>
      </c>
      <c r="F65" s="119">
        <f t="shared" si="1"/>
        <v>0</v>
      </c>
    </row>
    <row r="66" ht="12.75" customHeight="1">
      <c r="B66" s="44" t="s">
        <v>68</v>
      </c>
      <c r="D66" s="38" t="str">
        <f>CALCULATIONS!T66</f>
        <v>SQ.M.</v>
      </c>
      <c r="E66" s="119">
        <f>IF($E$4="LOW",'LABOR PRODUCTIVITY'!I66,IF($E$4="AVERAGE",'LABOR PRODUCTIVITY'!K66,'LABOR PRODUCTIVITY'!M66))</f>
        <v>217.1180556</v>
      </c>
      <c r="F66" s="119">
        <f t="shared" si="1"/>
        <v>0</v>
      </c>
    </row>
    <row r="67" ht="12.75" customHeight="1">
      <c r="B67" s="44" t="s">
        <v>69</v>
      </c>
      <c r="D67" s="38" t="str">
        <f>CALCULATIONS!T67</f>
        <v>SQ.M.</v>
      </c>
      <c r="E67" s="119">
        <f>IF($E$4="LOW",'LABOR PRODUCTIVITY'!I67,IF($E$4="AVERAGE",'LABOR PRODUCTIVITY'!K67,'LABOR PRODUCTIVITY'!M67))</f>
        <v>146.7013889</v>
      </c>
      <c r="F67" s="119">
        <f t="shared" si="1"/>
        <v>0</v>
      </c>
    </row>
    <row r="68" ht="12.75" customHeight="1">
      <c r="B68" s="44" t="s">
        <v>70</v>
      </c>
      <c r="D68" s="38" t="str">
        <f>CALCULATIONS!T68</f>
        <v>SQ.M.</v>
      </c>
      <c r="E68" s="119">
        <f>IF($E$4="LOW",'LABOR PRODUCTIVITY'!I68,IF($E$4="AVERAGE",'LABOR PRODUCTIVITY'!K68,'LABOR PRODUCTIVITY'!M68))</f>
        <v>158.4375</v>
      </c>
      <c r="F68" s="119">
        <f t="shared" si="1"/>
        <v>0</v>
      </c>
    </row>
    <row r="69" ht="12.75" customHeight="1">
      <c r="B69" s="44" t="s">
        <v>71</v>
      </c>
      <c r="D69" s="38" t="str">
        <f>CALCULATIONS!T69</f>
        <v>EACH</v>
      </c>
      <c r="E69" s="119">
        <f>IF($E$4="LOW",'LABOR PRODUCTIVITY'!I69,IF($E$4="AVERAGE",'LABOR PRODUCTIVITY'!K69,'LABOR PRODUCTIVITY'!M69))</f>
        <v>469.4444444</v>
      </c>
      <c r="F69" s="119">
        <f t="shared" si="1"/>
        <v>0</v>
      </c>
    </row>
    <row r="70" ht="12.75" customHeight="1">
      <c r="B70" s="44" t="s">
        <v>72</v>
      </c>
      <c r="D70" s="38" t="str">
        <f>CALCULATIONS!T70</f>
        <v>EACH</v>
      </c>
      <c r="E70" s="119">
        <f>IF($E$4="LOW",'LABOR PRODUCTIVITY'!I70,IF($E$4="AVERAGE",'LABOR PRODUCTIVITY'!K70,'LABOR PRODUCTIVITY'!M70))</f>
        <v>563.3333333</v>
      </c>
      <c r="F70" s="119">
        <f t="shared" si="1"/>
        <v>0</v>
      </c>
    </row>
    <row r="71" ht="12.75" customHeight="1">
      <c r="B71" s="44" t="s">
        <v>73</v>
      </c>
      <c r="D71" s="38" t="str">
        <f>CALCULATIONS!T71</f>
        <v>EACH</v>
      </c>
      <c r="E71" s="119">
        <f>IF($E$4="LOW",'LABOR PRODUCTIVITY'!I71,IF($E$4="AVERAGE",'LABOR PRODUCTIVITY'!K71,'LABOR PRODUCTIVITY'!M71))</f>
        <v>469.4444444</v>
      </c>
      <c r="F71" s="119">
        <f t="shared" si="1"/>
        <v>0</v>
      </c>
    </row>
    <row r="72" ht="12.75" customHeight="1">
      <c r="B72" s="44" t="s">
        <v>74</v>
      </c>
      <c r="D72" s="38" t="str">
        <f>CALCULATIONS!T72</f>
        <v>EACH</v>
      </c>
      <c r="E72" s="119">
        <f>IF($E$4="LOW",'LABOR PRODUCTIVITY'!I72,IF($E$4="AVERAGE",'LABOR PRODUCTIVITY'!K72,'LABOR PRODUCTIVITY'!M72))</f>
        <v>1173.611111</v>
      </c>
      <c r="F72" s="119">
        <f t="shared" si="1"/>
        <v>0</v>
      </c>
    </row>
    <row r="73" ht="12.75" customHeight="1">
      <c r="B73" s="44" t="s">
        <v>75</v>
      </c>
      <c r="D73" s="38" t="str">
        <f>CALCULATIONS!T73</f>
        <v>S.F.</v>
      </c>
      <c r="E73" s="119">
        <f>IF($E$4="LOW",'LABOR PRODUCTIVITY'!I73,IF($E$4="AVERAGE",'LABOR PRODUCTIVITY'!K73,'LABOR PRODUCTIVITY'!M73))</f>
        <v>14.67013889</v>
      </c>
      <c r="F73" s="119">
        <f t="shared" si="1"/>
        <v>0</v>
      </c>
    </row>
    <row r="74" ht="12.75" customHeight="1">
      <c r="B74" s="44" t="s">
        <v>76</v>
      </c>
      <c r="D74" s="38" t="str">
        <f>CALCULATIONS!T74</f>
        <v>SET</v>
      </c>
      <c r="E74" s="119">
        <f>IF($E$4="LOW",'LABOR PRODUCTIVITY'!I74,IF($E$4="AVERAGE",'LABOR PRODUCTIVITY'!K74,'LABOR PRODUCTIVITY'!M74))</f>
        <v>75.11111111</v>
      </c>
      <c r="F74" s="119">
        <f t="shared" si="1"/>
        <v>0</v>
      </c>
    </row>
    <row r="75" ht="12.75" customHeight="1">
      <c r="B75" s="44" t="s">
        <v>77</v>
      </c>
      <c r="D75" s="38" t="str">
        <f>CALCULATIONS!T75</f>
        <v>B.F.</v>
      </c>
      <c r="E75" s="119">
        <f>IF($E$4="LOW",'LABOR PRODUCTIVITY'!I75,IF($E$4="AVERAGE",'LABOR PRODUCTIVITY'!K75,'LABOR PRODUCTIVITY'!M75))</f>
        <v>10.5625</v>
      </c>
      <c r="F75" s="119">
        <f t="shared" si="1"/>
        <v>0</v>
      </c>
    </row>
    <row r="76" ht="12.75" customHeight="1">
      <c r="B76" s="44" t="s">
        <v>78</v>
      </c>
      <c r="D76" s="38" t="str">
        <f>CALCULATIONS!T76</f>
        <v>B.F.</v>
      </c>
      <c r="E76" s="119">
        <f>IF($E$4="LOW",'LABOR PRODUCTIVITY'!I76,IF($E$4="AVERAGE",'LABOR PRODUCTIVITY'!K76,'LABOR PRODUCTIVITY'!M76))</f>
        <v>15.25694444</v>
      </c>
      <c r="F76" s="119">
        <f t="shared" si="1"/>
        <v>0</v>
      </c>
    </row>
    <row r="77" ht="12.75" customHeight="1">
      <c r="B77" s="44" t="s">
        <v>79</v>
      </c>
      <c r="D77" s="38" t="str">
        <f>CALCULATIONS!T77</f>
        <v>SQ.M.</v>
      </c>
      <c r="E77" s="119">
        <f>IF($E$4="LOW",'LABOR PRODUCTIVITY'!I77,IF($E$4="AVERAGE",'LABOR PRODUCTIVITY'!K77,'LABOR PRODUCTIVITY'!M77))</f>
        <v>146.7013889</v>
      </c>
      <c r="F77" s="119">
        <f t="shared" si="1"/>
        <v>0</v>
      </c>
    </row>
    <row r="78" ht="12.75" customHeight="1">
      <c r="D78" s="38" t="str">
        <f>CALCULATIONS!T78</f>
        <v/>
      </c>
      <c r="E78" s="119">
        <f>IF($E$4="LOW",'LABOR PRODUCTIVITY'!I78,IF($E$4="AVERAGE",'LABOR PRODUCTIVITY'!K78,'LABOR PRODUCTIVITY'!M78))</f>
        <v>0</v>
      </c>
      <c r="F78" s="119">
        <f t="shared" si="1"/>
        <v>0</v>
      </c>
    </row>
    <row r="79" ht="12.75" customHeight="1">
      <c r="A79" s="45" t="s">
        <v>80</v>
      </c>
      <c r="B79" s="46" t="s">
        <v>81</v>
      </c>
      <c r="D79" s="38" t="str">
        <f>CALCULATIONS!T79</f>
        <v/>
      </c>
      <c r="E79" s="119">
        <f>IF($E$4="LOW",'LABOR PRODUCTIVITY'!I79,IF($E$4="AVERAGE",'LABOR PRODUCTIVITY'!K79,'LABOR PRODUCTIVITY'!M79))</f>
        <v>0</v>
      </c>
      <c r="F79" s="119">
        <f t="shared" si="1"/>
        <v>0</v>
      </c>
    </row>
    <row r="80" ht="12.75" customHeight="1">
      <c r="B80" s="44" t="s">
        <v>82</v>
      </c>
      <c r="D80" s="38" t="str">
        <f>CALCULATIONS!T80</f>
        <v>SQ.M.</v>
      </c>
      <c r="E80" s="119">
        <f>IF($E$4="LOW",'LABOR PRODUCTIVITY'!I80,IF($E$4="AVERAGE",'LABOR PRODUCTIVITY'!K80,'LABOR PRODUCTIVITY'!M80))</f>
        <v>78.63194444</v>
      </c>
      <c r="F80" s="119">
        <f t="shared" si="1"/>
        <v>0</v>
      </c>
    </row>
    <row r="81" ht="12.75" customHeight="1">
      <c r="B81" s="44" t="s">
        <v>83</v>
      </c>
      <c r="D81" s="38" t="str">
        <f>CALCULATIONS!T81</f>
        <v>SQ.M.</v>
      </c>
      <c r="E81" s="119">
        <f>IF($E$4="LOW",'LABOR PRODUCTIVITY'!I81,IF($E$4="AVERAGE",'LABOR PRODUCTIVITY'!K81,'LABOR PRODUCTIVITY'!M81))</f>
        <v>78.63194444</v>
      </c>
      <c r="F81" s="119">
        <f t="shared" si="1"/>
        <v>0</v>
      </c>
    </row>
    <row r="82" ht="12.75" customHeight="1">
      <c r="B82" s="44" t="s">
        <v>84</v>
      </c>
      <c r="D82" s="38" t="str">
        <f>CALCULATIONS!T82</f>
        <v>SQ.M.</v>
      </c>
      <c r="E82" s="119">
        <f>IF($E$4="LOW",'LABOR PRODUCTIVITY'!I82,IF($E$4="AVERAGE",'LABOR PRODUCTIVITY'!K82,'LABOR PRODUCTIVITY'!M82))</f>
        <v>93.88888889</v>
      </c>
      <c r="F82" s="119">
        <f t="shared" si="1"/>
        <v>0</v>
      </c>
    </row>
    <row r="83" ht="12.75" customHeight="1">
      <c r="B83" s="44" t="s">
        <v>85</v>
      </c>
      <c r="D83" s="38" t="str">
        <f>CALCULATIONS!T83</f>
        <v>SQ.M.</v>
      </c>
      <c r="E83" s="119">
        <f>IF($E$4="LOW",'LABOR PRODUCTIVITY'!I83,IF($E$4="AVERAGE",'LABOR PRODUCTIVITY'!K83,'LABOR PRODUCTIVITY'!M83))</f>
        <v>234.7222222</v>
      </c>
      <c r="F83" s="119">
        <f t="shared" si="1"/>
        <v>0</v>
      </c>
    </row>
    <row r="84" ht="12.75" customHeight="1">
      <c r="B84" s="44" t="s">
        <v>86</v>
      </c>
      <c r="D84" s="38" t="str">
        <f>CALCULATIONS!T84</f>
        <v>SQ.M.</v>
      </c>
      <c r="E84" s="119">
        <f>IF($E$4="LOW",'LABOR PRODUCTIVITY'!I84,IF($E$4="AVERAGE",'LABOR PRODUCTIVITY'!K84,'LABOR PRODUCTIVITY'!M84))</f>
        <v>494.0902778</v>
      </c>
      <c r="F84" s="119">
        <f t="shared" si="1"/>
        <v>0</v>
      </c>
    </row>
    <row r="85" ht="12.75" customHeight="1">
      <c r="B85" s="44" t="s">
        <v>87</v>
      </c>
      <c r="D85" s="38" t="str">
        <f>CALCULATIONS!T85</f>
        <v>SQ.M.</v>
      </c>
      <c r="E85" s="119">
        <f>IF($E$4="LOW",'LABOR PRODUCTIVITY'!I85,IF($E$4="AVERAGE",'LABOR PRODUCTIVITY'!K85,'LABOR PRODUCTIVITY'!M85))</f>
        <v>204.2083333</v>
      </c>
      <c r="F85" s="119">
        <f t="shared" si="1"/>
        <v>0</v>
      </c>
    </row>
    <row r="86" ht="12.75" customHeight="1">
      <c r="B86" s="44" t="s">
        <v>88</v>
      </c>
      <c r="D86" s="38" t="str">
        <f>CALCULATIONS!T86</f>
        <v>SQ.M.</v>
      </c>
      <c r="E86" s="119">
        <f>IF($E$4="LOW",'LABOR PRODUCTIVITY'!I86,IF($E$4="AVERAGE",'LABOR PRODUCTIVITY'!K86,'LABOR PRODUCTIVITY'!M86))</f>
        <v>140.8333333</v>
      </c>
      <c r="F86" s="119">
        <f t="shared" si="1"/>
        <v>0</v>
      </c>
    </row>
    <row r="87" ht="12.75" customHeight="1">
      <c r="B87" s="44" t="s">
        <v>89</v>
      </c>
      <c r="D87" s="38" t="str">
        <f>CALCULATIONS!T87</f>
        <v>SQ.M.</v>
      </c>
      <c r="E87" s="119">
        <f>IF($E$4="LOW",'LABOR PRODUCTIVITY'!I87,IF($E$4="AVERAGE",'LABOR PRODUCTIVITY'!K87,'LABOR PRODUCTIVITY'!M87))</f>
        <v>211.25</v>
      </c>
      <c r="F87" s="119">
        <f t="shared" si="1"/>
        <v>0</v>
      </c>
    </row>
    <row r="88" ht="12.75" customHeight="1">
      <c r="B88" s="44" t="s">
        <v>90</v>
      </c>
      <c r="D88" s="38" t="str">
        <f>CALCULATIONS!T88</f>
        <v>SQ.M.</v>
      </c>
      <c r="E88" s="119">
        <f>IF($E$4="LOW",'LABOR PRODUCTIVITY'!I88,IF($E$4="AVERAGE",'LABOR PRODUCTIVITY'!K88,'LABOR PRODUCTIVITY'!M88))</f>
        <v>187.7777778</v>
      </c>
      <c r="F88" s="119">
        <f t="shared" si="1"/>
        <v>0</v>
      </c>
    </row>
    <row r="89" ht="12.75" customHeight="1">
      <c r="B89" s="44" t="s">
        <v>91</v>
      </c>
      <c r="D89" s="38" t="str">
        <f>CALCULATIONS!T89</f>
        <v>SQ.M.</v>
      </c>
      <c r="E89" s="119">
        <f>IF($E$4="LOW",'LABOR PRODUCTIVITY'!I89,IF($E$4="AVERAGE",'LABOR PRODUCTIVITY'!K89,'LABOR PRODUCTIVITY'!M89))</f>
        <v>23.47222222</v>
      </c>
      <c r="F89" s="119">
        <f t="shared" si="1"/>
        <v>0</v>
      </c>
    </row>
    <row r="90" ht="12.75" customHeight="1">
      <c r="B90" s="44" t="s">
        <v>92</v>
      </c>
      <c r="D90" s="38" t="str">
        <f>CALCULATIONS!T90</f>
        <v>SQ.M.</v>
      </c>
      <c r="E90" s="119">
        <f>IF($E$4="LOW",'LABOR PRODUCTIVITY'!I90,IF($E$4="AVERAGE",'LABOR PRODUCTIVITY'!K90,'LABOR PRODUCTIVITY'!M90))</f>
        <v>199.5138889</v>
      </c>
      <c r="F90" s="119">
        <f t="shared" si="1"/>
        <v>0</v>
      </c>
    </row>
    <row r="91" ht="12.75" customHeight="1">
      <c r="B91" s="44" t="s">
        <v>93</v>
      </c>
      <c r="D91" s="38" t="str">
        <f>CALCULATIONS!T91</f>
        <v>SQ.M.</v>
      </c>
      <c r="E91" s="119">
        <f>IF($E$4="LOW",'LABOR PRODUCTIVITY'!I91,IF($E$4="AVERAGE",'LABOR PRODUCTIVITY'!K91,'LABOR PRODUCTIVITY'!M91))</f>
        <v>93.88888889</v>
      </c>
      <c r="F91" s="119">
        <f t="shared" si="1"/>
        <v>0</v>
      </c>
    </row>
    <row r="92" ht="12.75" customHeight="1">
      <c r="B92" s="44" t="s">
        <v>94</v>
      </c>
      <c r="D92" s="38" t="str">
        <f>CALCULATIONS!T92</f>
        <v>SQ.M.</v>
      </c>
      <c r="E92" s="119">
        <f>IF($E$4="LOW",'LABOR PRODUCTIVITY'!I92,IF($E$4="AVERAGE",'LABOR PRODUCTIVITY'!K92,'LABOR PRODUCTIVITY'!M92))</f>
        <v>56.33333333</v>
      </c>
      <c r="F92" s="119">
        <f t="shared" si="1"/>
        <v>0</v>
      </c>
    </row>
    <row r="93" ht="12.75" customHeight="1">
      <c r="B93" s="44" t="s">
        <v>95</v>
      </c>
      <c r="D93" s="38" t="str">
        <f>CALCULATIONS!T93</f>
        <v>SQ.M.</v>
      </c>
      <c r="E93" s="119">
        <f>IF($E$4="LOW",'LABOR PRODUCTIVITY'!I93,IF($E$4="AVERAGE",'LABOR PRODUCTIVITY'!K93,'LABOR PRODUCTIVITY'!M93))</f>
        <v>84.5</v>
      </c>
      <c r="F93" s="119">
        <f t="shared" si="1"/>
        <v>0</v>
      </c>
    </row>
    <row r="94" ht="12.75" customHeight="1">
      <c r="B94" s="44" t="s">
        <v>96</v>
      </c>
      <c r="D94" s="38" t="str">
        <f>CALCULATIONS!T94</f>
        <v>SQ.M.</v>
      </c>
      <c r="E94" s="119">
        <f>IF($E$4="LOW",'LABOR PRODUCTIVITY'!I94,IF($E$4="AVERAGE",'LABOR PRODUCTIVITY'!K94,'LABOR PRODUCTIVITY'!M94))</f>
        <v>399.0277778</v>
      </c>
      <c r="F94" s="119">
        <f t="shared" si="1"/>
        <v>0</v>
      </c>
    </row>
    <row r="95" ht="12.75" customHeight="1">
      <c r="B95" s="44" t="s">
        <v>97</v>
      </c>
      <c r="D95" s="38" t="str">
        <f>CALCULATIONS!T95</f>
        <v>SQ.M.</v>
      </c>
      <c r="E95" s="119">
        <f>IF($E$4="LOW",'LABOR PRODUCTIVITY'!I95,IF($E$4="AVERAGE",'LABOR PRODUCTIVITY'!K95,'LABOR PRODUCTIVITY'!M95))</f>
        <v>53.39930556</v>
      </c>
      <c r="F95" s="119">
        <f t="shared" si="1"/>
        <v>0</v>
      </c>
    </row>
    <row r="96" ht="12.75" customHeight="1">
      <c r="B96" s="44" t="s">
        <v>98</v>
      </c>
      <c r="D96" s="38" t="str">
        <f>CALCULATIONS!T96</f>
        <v>SQ.M.</v>
      </c>
      <c r="E96" s="119">
        <f>IF($E$4="LOW",'LABOR PRODUCTIVITY'!I96,IF($E$4="AVERAGE",'LABOR PRODUCTIVITY'!K96,'LABOR PRODUCTIVITY'!M96))</f>
        <v>33.44791667</v>
      </c>
      <c r="F96" s="119">
        <f t="shared" si="1"/>
        <v>0</v>
      </c>
    </row>
    <row r="97" ht="12.75" customHeight="1">
      <c r="B97" s="44" t="s">
        <v>99</v>
      </c>
      <c r="D97" s="38" t="str">
        <f>CALCULATIONS!T97</f>
        <v/>
      </c>
      <c r="E97" s="119">
        <f>IF($E$4="LOW",'LABOR PRODUCTIVITY'!I97,IF($E$4="AVERAGE",'LABOR PRODUCTIVITY'!K97,'LABOR PRODUCTIVITY'!M97))</f>
        <v>0</v>
      </c>
      <c r="F97" s="119">
        <f t="shared" si="1"/>
        <v>0</v>
      </c>
    </row>
    <row r="98" ht="12.75" customHeight="1">
      <c r="B98" s="44" t="s">
        <v>100</v>
      </c>
      <c r="D98" s="38" t="str">
        <f>CALCULATIONS!T98</f>
        <v>SQ.M.</v>
      </c>
      <c r="E98" s="119">
        <f>IF($E$4="LOW",'LABOR PRODUCTIVITY'!I98,IF($E$4="AVERAGE",'LABOR PRODUCTIVITY'!K98,'LABOR PRODUCTIVITY'!M98))</f>
        <v>75.11111111</v>
      </c>
      <c r="F98" s="119">
        <f t="shared" si="1"/>
        <v>0</v>
      </c>
    </row>
    <row r="99" ht="12.75" customHeight="1">
      <c r="B99" s="44" t="s">
        <v>101</v>
      </c>
      <c r="C99" s="44">
        <v>161.7</v>
      </c>
      <c r="D99" s="38" t="str">
        <f>CALCULATIONS!T99</f>
        <v>SQ.M.</v>
      </c>
      <c r="E99" s="119">
        <f>IF($E$4="LOW",'LABOR PRODUCTIVITY'!I99,IF($E$4="AVERAGE",'LABOR PRODUCTIVITY'!K99,'LABOR PRODUCTIVITY'!M99))</f>
        <v>62.20138889</v>
      </c>
      <c r="F99" s="119">
        <f t="shared" si="1"/>
        <v>10057.96458</v>
      </c>
    </row>
    <row r="100" ht="12.75" customHeight="1">
      <c r="B100" s="44" t="s">
        <v>102</v>
      </c>
      <c r="D100" s="38" t="str">
        <f>CALCULATIONS!T100</f>
        <v>SQ.M.</v>
      </c>
      <c r="E100" s="119">
        <f>IF($E$4="LOW",'LABOR PRODUCTIVITY'!I100,IF($E$4="AVERAGE",'LABOR PRODUCTIVITY'!K100,'LABOR PRODUCTIVITY'!M100))</f>
        <v>93.88888889</v>
      </c>
      <c r="F100" s="119">
        <f t="shared" si="1"/>
        <v>0</v>
      </c>
    </row>
    <row r="101" ht="12.75" customHeight="1">
      <c r="B101" s="44" t="s">
        <v>103</v>
      </c>
      <c r="D101" s="38" t="str">
        <f>CALCULATIONS!T101</f>
        <v>SQ.M.</v>
      </c>
      <c r="E101" s="119">
        <f>IF($E$4="LOW",'LABOR PRODUCTIVITY'!I101,IF($E$4="AVERAGE",'LABOR PRODUCTIVITY'!K101,'LABOR PRODUCTIVITY'!M101))</f>
        <v>249.9791667</v>
      </c>
      <c r="F101" s="119">
        <f t="shared" si="1"/>
        <v>0</v>
      </c>
    </row>
    <row r="102" ht="12.75" customHeight="1">
      <c r="B102" s="44" t="s">
        <v>104</v>
      </c>
      <c r="D102" s="38" t="str">
        <f>CALCULATIONS!T102</f>
        <v>SQ.M.</v>
      </c>
      <c r="E102" s="119">
        <f>IF($E$4="LOW",'LABOR PRODUCTIVITY'!I102,IF($E$4="AVERAGE",'LABOR PRODUCTIVITY'!K102,'LABOR PRODUCTIVITY'!M102))</f>
        <v>280.4930556</v>
      </c>
      <c r="F102" s="119">
        <f t="shared" si="1"/>
        <v>0</v>
      </c>
    </row>
    <row r="103" ht="12.75" customHeight="1">
      <c r="D103" s="38" t="str">
        <f>CALCULATIONS!T103</f>
        <v/>
      </c>
      <c r="E103" s="119">
        <f>IF($E$4="LOW",'LABOR PRODUCTIVITY'!I103,IF($E$4="AVERAGE",'LABOR PRODUCTIVITY'!K103,'LABOR PRODUCTIVITY'!M103))</f>
        <v>0</v>
      </c>
      <c r="F103" s="119">
        <f t="shared" si="1"/>
        <v>0</v>
      </c>
    </row>
    <row r="104" ht="12.75" customHeight="1">
      <c r="A104" s="45" t="s">
        <v>105</v>
      </c>
      <c r="B104" s="46" t="s">
        <v>106</v>
      </c>
      <c r="D104" s="38" t="str">
        <f>CALCULATIONS!T104</f>
        <v/>
      </c>
      <c r="E104" s="119">
        <f>IF($E$4="LOW",'LABOR PRODUCTIVITY'!I104,IF($E$4="AVERAGE",'LABOR PRODUCTIVITY'!K104,'LABOR PRODUCTIVITY'!M104))</f>
        <v>0</v>
      </c>
      <c r="F104" s="119">
        <f t="shared" si="1"/>
        <v>0</v>
      </c>
    </row>
    <row r="105" ht="12.75" customHeight="1">
      <c r="B105" s="44" t="s">
        <v>107</v>
      </c>
      <c r="D105" s="38" t="str">
        <f>CALCULATIONS!T105</f>
        <v/>
      </c>
      <c r="E105" s="119">
        <f>IF($E$4="LOW",'LABOR PRODUCTIVITY'!I105,IF($E$4="AVERAGE",'LABOR PRODUCTIVITY'!K105,'LABOR PRODUCTIVITY'!M105))</f>
        <v>0</v>
      </c>
      <c r="F105" s="119">
        <f t="shared" si="1"/>
        <v>0</v>
      </c>
    </row>
    <row r="106" ht="12.75" customHeight="1">
      <c r="B106" s="44" t="s">
        <v>108</v>
      </c>
      <c r="D106" s="38" t="str">
        <f>CALCULATIONS!T106</f>
        <v>SQ.M.</v>
      </c>
      <c r="E106" s="119">
        <f>IF($E$4="LOW",'LABOR PRODUCTIVITY'!I106,IF($E$4="AVERAGE",'LABOR PRODUCTIVITY'!K106,'LABOR PRODUCTIVITY'!M106))</f>
        <v>50.46527778</v>
      </c>
      <c r="F106" s="119">
        <f t="shared" si="1"/>
        <v>0</v>
      </c>
    </row>
    <row r="107" ht="12.75" customHeight="1">
      <c r="B107" s="44" t="s">
        <v>109</v>
      </c>
      <c r="D107" s="38" t="str">
        <f>CALCULATIONS!T107</f>
        <v>SQ.M.</v>
      </c>
      <c r="E107" s="119">
        <f>IF($E$4="LOW",'LABOR PRODUCTIVITY'!I107,IF($E$4="AVERAGE",'LABOR PRODUCTIVITY'!K107,'LABOR PRODUCTIVITY'!M107))</f>
        <v>143.7673611</v>
      </c>
      <c r="F107" s="119">
        <f t="shared" si="1"/>
        <v>0</v>
      </c>
    </row>
    <row r="108" ht="12.75" customHeight="1">
      <c r="B108" s="44" t="s">
        <v>110</v>
      </c>
      <c r="D108" s="38" t="str">
        <f>CALCULATIONS!T108</f>
        <v>SHT.</v>
      </c>
      <c r="E108" s="119">
        <f>IF($E$4="LOW",'LABOR PRODUCTIVITY'!I108,IF($E$4="AVERAGE",'LABOR PRODUCTIVITY'!K108,'LABOR PRODUCTIVITY'!M108))</f>
        <v>46.94444444</v>
      </c>
      <c r="F108" s="119">
        <f t="shared" si="1"/>
        <v>0</v>
      </c>
    </row>
    <row r="109" ht="12.75" customHeight="1">
      <c r="B109" s="44" t="s">
        <v>111</v>
      </c>
      <c r="D109" s="38" t="str">
        <f>CALCULATIONS!T109</f>
        <v>SHT.</v>
      </c>
      <c r="E109" s="119">
        <f>IF($E$4="LOW",'LABOR PRODUCTIVITY'!I109,IF($E$4="AVERAGE",'LABOR PRODUCTIVITY'!K109,'LABOR PRODUCTIVITY'!M109))</f>
        <v>37.55555556</v>
      </c>
      <c r="F109" s="119">
        <f t="shared" si="1"/>
        <v>0</v>
      </c>
    </row>
    <row r="110" ht="12.75" customHeight="1">
      <c r="B110" s="44" t="s">
        <v>112</v>
      </c>
      <c r="D110" s="38" t="str">
        <f>CALCULATIONS!T110</f>
        <v>L.M.</v>
      </c>
      <c r="E110" s="119">
        <f>IF($E$4="LOW",'LABOR PRODUCTIVITY'!I110,IF($E$4="AVERAGE",'LABOR PRODUCTIVITY'!K110,'LABOR PRODUCTIVITY'!M110))</f>
        <v>23.47222222</v>
      </c>
      <c r="F110" s="119">
        <f t="shared" si="1"/>
        <v>0</v>
      </c>
    </row>
    <row r="111" ht="12.75" customHeight="1">
      <c r="B111" s="44" t="s">
        <v>113</v>
      </c>
      <c r="D111" s="38" t="str">
        <f>CALCULATIONS!T111</f>
        <v>SHT.</v>
      </c>
      <c r="E111" s="119">
        <f>IF($E$4="LOW",'LABOR PRODUCTIVITY'!I111,IF($E$4="AVERAGE",'LABOR PRODUCTIVITY'!K111,'LABOR PRODUCTIVITY'!M111))</f>
        <v>163.1319444</v>
      </c>
      <c r="F111" s="119">
        <f t="shared" si="1"/>
        <v>0</v>
      </c>
    </row>
    <row r="112" ht="12.75" customHeight="1">
      <c r="B112" s="44" t="s">
        <v>114</v>
      </c>
      <c r="D112" s="38" t="str">
        <f>CALCULATIONS!T112</f>
        <v>SHT.</v>
      </c>
      <c r="E112" s="119">
        <f>IF($E$4="LOW",'LABOR PRODUCTIVITY'!I112,IF($E$4="AVERAGE",'LABOR PRODUCTIVITY'!K112,'LABOR PRODUCTIVITY'!M112))</f>
        <v>38.72916667</v>
      </c>
      <c r="F112" s="119">
        <f t="shared" si="1"/>
        <v>0</v>
      </c>
    </row>
    <row r="113" ht="12.75" customHeight="1">
      <c r="B113" s="44" t="s">
        <v>115</v>
      </c>
      <c r="D113" s="38" t="str">
        <f>CALCULATIONS!T113</f>
        <v>L.M.</v>
      </c>
      <c r="E113" s="119">
        <f>IF($E$4="LOW",'LABOR PRODUCTIVITY'!I113,IF($E$4="AVERAGE",'LABOR PRODUCTIVITY'!K113,'LABOR PRODUCTIVITY'!M113))</f>
        <v>24.64583333</v>
      </c>
      <c r="F113" s="119">
        <f t="shared" si="1"/>
        <v>0</v>
      </c>
    </row>
    <row r="114" ht="12.75" customHeight="1">
      <c r="B114" s="44" t="s">
        <v>116</v>
      </c>
      <c r="D114" s="38" t="str">
        <f>CALCULATIONS!T114</f>
        <v>L.M.</v>
      </c>
      <c r="E114" s="119">
        <f>IF($E$4="LOW",'LABOR PRODUCTIVITY'!I114,IF($E$4="AVERAGE",'LABOR PRODUCTIVITY'!K114,'LABOR PRODUCTIVITY'!M114))</f>
        <v>104.4513889</v>
      </c>
      <c r="F114" s="119">
        <f t="shared" si="1"/>
        <v>0</v>
      </c>
    </row>
    <row r="115" ht="12.75" customHeight="1">
      <c r="B115" s="44" t="s">
        <v>117</v>
      </c>
      <c r="D115" s="38" t="str">
        <f>CALCULATIONS!T115</f>
        <v>L.M.</v>
      </c>
      <c r="E115" s="119">
        <f>IF($E$4="LOW",'LABOR PRODUCTIVITY'!I115,IF($E$4="AVERAGE",'LABOR PRODUCTIVITY'!K115,'LABOR PRODUCTIVITY'!M115))</f>
        <v>7.628472222</v>
      </c>
      <c r="F115" s="119">
        <f t="shared" si="1"/>
        <v>0</v>
      </c>
    </row>
    <row r="116" ht="12.75" customHeight="1">
      <c r="B116" s="44" t="s">
        <v>118</v>
      </c>
      <c r="D116" s="38" t="str">
        <f>CALCULATIONS!T116</f>
        <v>L.M.</v>
      </c>
      <c r="E116" s="119">
        <f>IF($E$4="LOW",'LABOR PRODUCTIVITY'!I116,IF($E$4="AVERAGE",'LABOR PRODUCTIVITY'!K116,'LABOR PRODUCTIVITY'!M116))</f>
        <v>41.66319444</v>
      </c>
      <c r="F116" s="119">
        <f t="shared" si="1"/>
        <v>0</v>
      </c>
    </row>
    <row r="117" ht="12.75" customHeight="1">
      <c r="B117" s="44" t="s">
        <v>119</v>
      </c>
      <c r="D117" s="38" t="str">
        <f>CALCULATIONS!T117</f>
        <v>L.M.</v>
      </c>
      <c r="E117" s="119">
        <f>IF($E$4="LOW",'LABOR PRODUCTIVITY'!I117,IF($E$4="AVERAGE",'LABOR PRODUCTIVITY'!K117,'LABOR PRODUCTIVITY'!M117))</f>
        <v>14.08333333</v>
      </c>
      <c r="F117" s="119">
        <f t="shared" si="1"/>
        <v>0</v>
      </c>
    </row>
    <row r="118" ht="12.75" customHeight="1">
      <c r="B118" s="44" t="s">
        <v>120</v>
      </c>
      <c r="D118" s="38" t="str">
        <f>CALCULATIONS!T118</f>
        <v>L.M.</v>
      </c>
      <c r="E118" s="119">
        <f>IF($E$4="LOW",'LABOR PRODUCTIVITY'!I118,IF($E$4="AVERAGE",'LABOR PRODUCTIVITY'!K118,'LABOR PRODUCTIVITY'!M118))</f>
        <v>6.454861111</v>
      </c>
      <c r="F118" s="119">
        <f t="shared" si="1"/>
        <v>0</v>
      </c>
    </row>
    <row r="119" ht="12.75" customHeight="1">
      <c r="B119" s="44" t="s">
        <v>121</v>
      </c>
      <c r="D119" s="38" t="str">
        <f>CALCULATIONS!T119</f>
        <v>SQ.M.</v>
      </c>
      <c r="E119" s="119">
        <f>IF($E$4="LOW",'LABOR PRODUCTIVITY'!I119,IF($E$4="AVERAGE",'LABOR PRODUCTIVITY'!K119,'LABOR PRODUCTIVITY'!M119))</f>
        <v>84.5</v>
      </c>
      <c r="F119" s="119">
        <f t="shared" si="1"/>
        <v>0</v>
      </c>
    </row>
    <row r="120" ht="12.75" customHeight="1">
      <c r="B120" s="44" t="s">
        <v>122</v>
      </c>
      <c r="D120" s="38" t="str">
        <f>CALCULATIONS!T120</f>
        <v>SQ.M.</v>
      </c>
      <c r="E120" s="119">
        <f>IF($E$4="LOW",'LABOR PRODUCTIVITY'!I120,IF($E$4="AVERAGE",'LABOR PRODUCTIVITY'!K120,'LABOR PRODUCTIVITY'!M120))</f>
        <v>84.5</v>
      </c>
      <c r="F120" s="119">
        <f t="shared" si="1"/>
        <v>0</v>
      </c>
    </row>
    <row r="121" ht="12.75" customHeight="1">
      <c r="B121" s="44" t="s">
        <v>123</v>
      </c>
      <c r="D121" s="38" t="str">
        <f>CALCULATIONS!T121</f>
        <v>SQ.M.</v>
      </c>
      <c r="E121" s="119">
        <f>IF($E$4="LOW",'LABOR PRODUCTIVITY'!I121,IF($E$4="AVERAGE",'LABOR PRODUCTIVITY'!K121,'LABOR PRODUCTIVITY'!M121))</f>
        <v>399.0277778</v>
      </c>
      <c r="F121" s="119">
        <f t="shared" si="1"/>
        <v>0</v>
      </c>
    </row>
    <row r="122" ht="12.75" customHeight="1">
      <c r="B122" s="44" t="s">
        <v>124</v>
      </c>
      <c r="D122" s="38" t="str">
        <f>CALCULATIONS!T122</f>
        <v>SQ.M.</v>
      </c>
      <c r="E122" s="119">
        <f>IF($E$4="LOW",'LABOR PRODUCTIVITY'!I122,IF($E$4="AVERAGE",'LABOR PRODUCTIVITY'!K122,'LABOR PRODUCTIVITY'!M122))</f>
        <v>93.88888889</v>
      </c>
      <c r="F122" s="119">
        <f t="shared" si="1"/>
        <v>0</v>
      </c>
    </row>
    <row r="123" ht="12.75" customHeight="1">
      <c r="B123" s="44" t="s">
        <v>125</v>
      </c>
      <c r="D123" s="38" t="str">
        <f>CALCULATIONS!T123</f>
        <v>SQ.M.</v>
      </c>
      <c r="E123" s="119">
        <f>IF($E$4="LOW",'LABOR PRODUCTIVITY'!I123,IF($E$4="AVERAGE",'LABOR PRODUCTIVITY'!K123,'LABOR PRODUCTIVITY'!M123))</f>
        <v>79.80555556</v>
      </c>
      <c r="F123" s="119">
        <f t="shared" si="1"/>
        <v>0</v>
      </c>
    </row>
    <row r="124" ht="12.75" customHeight="1">
      <c r="B124" s="44" t="s">
        <v>126</v>
      </c>
      <c r="D124" s="38" t="str">
        <f>CALCULATIONS!T124</f>
        <v>SQ.M.</v>
      </c>
      <c r="E124" s="119">
        <f>IF($E$4="LOW",'LABOR PRODUCTIVITY'!I124,IF($E$4="AVERAGE",'LABOR PRODUCTIVITY'!K124,'LABOR PRODUCTIVITY'!M124))</f>
        <v>28.16666667</v>
      </c>
      <c r="F124" s="119">
        <f t="shared" si="1"/>
        <v>0</v>
      </c>
    </row>
    <row r="125" ht="12.75" customHeight="1">
      <c r="D125" s="38" t="str">
        <f>CALCULATIONS!T125</f>
        <v/>
      </c>
      <c r="E125" s="119">
        <f>IF($E$4="LOW",'LABOR PRODUCTIVITY'!I125,IF($E$4="AVERAGE",'LABOR PRODUCTIVITY'!K125,'LABOR PRODUCTIVITY'!M125))</f>
        <v>0</v>
      </c>
      <c r="F125" s="119">
        <f t="shared" si="1"/>
        <v>0</v>
      </c>
    </row>
    <row r="126" ht="12.75" customHeight="1">
      <c r="A126" s="45" t="s">
        <v>127</v>
      </c>
      <c r="B126" s="46" t="s">
        <v>128</v>
      </c>
      <c r="D126" s="38" t="str">
        <f>CALCULATIONS!T126</f>
        <v/>
      </c>
      <c r="E126" s="119">
        <f>IF($E$4="LOW",'LABOR PRODUCTIVITY'!I126,IF($E$4="AVERAGE",'LABOR PRODUCTIVITY'!K126,'LABOR PRODUCTIVITY'!M126))</f>
        <v>0</v>
      </c>
      <c r="F126" s="119">
        <f t="shared" si="1"/>
        <v>0</v>
      </c>
    </row>
    <row r="127" ht="12.75" customHeight="1">
      <c r="B127" s="46" t="s">
        <v>129</v>
      </c>
      <c r="D127" s="38" t="str">
        <f>CALCULATIONS!T127</f>
        <v/>
      </c>
      <c r="E127" s="119">
        <f>IF($E$4="LOW",'LABOR PRODUCTIVITY'!I127,IF($E$4="AVERAGE",'LABOR PRODUCTIVITY'!K127,'LABOR PRODUCTIVITY'!M127))</f>
        <v>0</v>
      </c>
      <c r="F127" s="119">
        <f t="shared" si="1"/>
        <v>0</v>
      </c>
    </row>
    <row r="128" ht="12.75" customHeight="1">
      <c r="B128" s="44" t="s">
        <v>130</v>
      </c>
      <c r="D128" s="38" t="str">
        <f>CALCULATIONS!T128</f>
        <v>CU.M.</v>
      </c>
      <c r="E128" s="119">
        <f>IF($E$4="LOW",'LABOR PRODUCTIVITY'!I128,IF($E$4="AVERAGE",'LABOR PRODUCTIVITY'!K128,'LABOR PRODUCTIVITY'!M128))</f>
        <v>234.7222222</v>
      </c>
      <c r="F128" s="119">
        <f t="shared" si="1"/>
        <v>0</v>
      </c>
    </row>
    <row r="129" ht="12.75" customHeight="1">
      <c r="B129" s="44" t="s">
        <v>131</v>
      </c>
      <c r="D129" s="38" t="str">
        <f>CALCULATIONS!T129</f>
        <v>CU.M.</v>
      </c>
      <c r="E129" s="119">
        <f>IF($E$4="LOW",'LABOR PRODUCTIVITY'!I129,IF($E$4="AVERAGE",'LABOR PRODUCTIVITY'!K129,'LABOR PRODUCTIVITY'!M129))</f>
        <v>1173.611111</v>
      </c>
      <c r="F129" s="119">
        <f t="shared" si="1"/>
        <v>0</v>
      </c>
    </row>
    <row r="130" ht="12.75" customHeight="1">
      <c r="B130" s="44" t="s">
        <v>132</v>
      </c>
      <c r="D130" s="38" t="str">
        <f>CALCULATIONS!T130</f>
        <v>SQ.M.</v>
      </c>
      <c r="E130" s="119">
        <f>IF($E$4="LOW",'LABOR PRODUCTIVITY'!I130,IF($E$4="AVERAGE",'LABOR PRODUCTIVITY'!K130,'LABOR PRODUCTIVITY'!M130))</f>
        <v>46.94444444</v>
      </c>
      <c r="F130" s="119">
        <f t="shared" si="1"/>
        <v>0</v>
      </c>
    </row>
    <row r="131" ht="12.75" customHeight="1">
      <c r="B131" s="44" t="s">
        <v>133</v>
      </c>
      <c r="D131" s="38" t="str">
        <f>CALCULATIONS!T131</f>
        <v>SQ.M.</v>
      </c>
      <c r="E131" s="119">
        <f>IF($E$4="LOW",'LABOR PRODUCTIVITY'!I131,IF($E$4="AVERAGE",'LABOR PRODUCTIVITY'!K131,'LABOR PRODUCTIVITY'!M131))</f>
        <v>66.89583333</v>
      </c>
      <c r="F131" s="119">
        <f t="shared" si="1"/>
        <v>0</v>
      </c>
    </row>
    <row r="132" ht="12.75" customHeight="1">
      <c r="B132" s="46" t="s">
        <v>134</v>
      </c>
      <c r="D132" s="38" t="str">
        <f>CALCULATIONS!T132</f>
        <v/>
      </c>
      <c r="E132" s="119">
        <f>IF($E$4="LOW",'LABOR PRODUCTIVITY'!I132,IF($E$4="AVERAGE",'LABOR PRODUCTIVITY'!K132,'LABOR PRODUCTIVITY'!M132))</f>
        <v>0</v>
      </c>
      <c r="F132" s="119">
        <f t="shared" si="1"/>
        <v>0</v>
      </c>
    </row>
    <row r="133" ht="12.75" customHeight="1">
      <c r="B133" s="44" t="s">
        <v>135</v>
      </c>
      <c r="D133" s="38" t="str">
        <f>CALCULATIONS!T133</f>
        <v>KGS</v>
      </c>
      <c r="E133" s="119">
        <f>IF($E$4="LOW",'LABOR PRODUCTIVITY'!I133,IF($E$4="AVERAGE",'LABOR PRODUCTIVITY'!K133,'LABOR PRODUCTIVITY'!M133))</f>
        <v>3.520833333</v>
      </c>
      <c r="F133" s="119">
        <f t="shared" si="1"/>
        <v>0</v>
      </c>
    </row>
    <row r="134" ht="12.75" customHeight="1">
      <c r="B134" s="44" t="s">
        <v>136</v>
      </c>
      <c r="D134" s="38" t="str">
        <f>CALCULATIONS!T134</f>
        <v>KGS</v>
      </c>
      <c r="E134" s="119">
        <f>IF($E$4="LOW",'LABOR PRODUCTIVITY'!I134,IF($E$4="AVERAGE",'LABOR PRODUCTIVITY'!K134,'LABOR PRODUCTIVITY'!M134))</f>
        <v>3.520833333</v>
      </c>
      <c r="F134" s="119">
        <f t="shared" si="1"/>
        <v>0</v>
      </c>
    </row>
    <row r="135" ht="12.75" customHeight="1">
      <c r="B135" s="44" t="s">
        <v>137</v>
      </c>
      <c r="D135" s="38" t="str">
        <f>CALCULATIONS!T135</f>
        <v>KGS</v>
      </c>
      <c r="E135" s="119">
        <f>IF($E$4="LOW",'LABOR PRODUCTIVITY'!I135,IF($E$4="AVERAGE",'LABOR PRODUCTIVITY'!K135,'LABOR PRODUCTIVITY'!M135))</f>
        <v>4.694444444</v>
      </c>
      <c r="F135" s="119">
        <f t="shared" si="1"/>
        <v>0</v>
      </c>
    </row>
    <row r="136" ht="12.75" customHeight="1">
      <c r="B136" s="44" t="s">
        <v>138</v>
      </c>
      <c r="D136" s="38" t="str">
        <f>CALCULATIONS!T136</f>
        <v>CU.M.</v>
      </c>
      <c r="E136" s="119">
        <f>IF($E$4="LOW",'LABOR PRODUCTIVITY'!I136,IF($E$4="AVERAGE",'LABOR PRODUCTIVITY'!K136,'LABOR PRODUCTIVITY'!M136))</f>
        <v>751.1111111</v>
      </c>
      <c r="F136" s="119">
        <f t="shared" si="1"/>
        <v>0</v>
      </c>
    </row>
    <row r="137" ht="12.75" customHeight="1">
      <c r="B137" s="44" t="s">
        <v>139</v>
      </c>
      <c r="D137" s="38" t="str">
        <f>CALCULATIONS!T137</f>
        <v>CU.M.</v>
      </c>
      <c r="E137" s="119">
        <f>IF($E$4="LOW",'LABOR PRODUCTIVITY'!I137,IF($E$4="AVERAGE",'LABOR PRODUCTIVITY'!K137,'LABOR PRODUCTIVITY'!M137))</f>
        <v>84.5</v>
      </c>
      <c r="F137" s="119">
        <f t="shared" si="1"/>
        <v>0</v>
      </c>
    </row>
    <row r="138" ht="12.75" customHeight="1">
      <c r="B138" s="46" t="s">
        <v>140</v>
      </c>
      <c r="D138" s="38" t="str">
        <f>CALCULATIONS!T138</f>
        <v/>
      </c>
      <c r="E138" s="119">
        <f>IF($E$4="LOW",'LABOR PRODUCTIVITY'!I138,IF($E$4="AVERAGE",'LABOR PRODUCTIVITY'!K138,'LABOR PRODUCTIVITY'!M138))</f>
        <v>0</v>
      </c>
      <c r="F138" s="119">
        <f t="shared" si="1"/>
        <v>0</v>
      </c>
    </row>
    <row r="139" ht="12.75" customHeight="1">
      <c r="B139" s="44" t="s">
        <v>141</v>
      </c>
      <c r="D139" s="38" t="str">
        <f>CALCULATIONS!T139</f>
        <v>CU.M.</v>
      </c>
      <c r="E139" s="119">
        <f>IF($E$4="LOW",'LABOR PRODUCTIVITY'!I139,IF($E$4="AVERAGE",'LABOR PRODUCTIVITY'!K139,'LABOR PRODUCTIVITY'!M139))</f>
        <v>328.6111111</v>
      </c>
      <c r="F139" s="119">
        <f t="shared" si="1"/>
        <v>0</v>
      </c>
    </row>
    <row r="140" ht="12.75" customHeight="1">
      <c r="B140" s="44" t="s">
        <v>142</v>
      </c>
      <c r="D140" s="38" t="str">
        <f>CALCULATIONS!T140</f>
        <v>CU.M.</v>
      </c>
      <c r="E140" s="119">
        <f>IF($E$4="LOW",'LABOR PRODUCTIVITY'!I140,IF($E$4="AVERAGE",'LABOR PRODUCTIVITY'!K140,'LABOR PRODUCTIVITY'!M140))</f>
        <v>657.2222222</v>
      </c>
      <c r="F140" s="119">
        <f t="shared" si="1"/>
        <v>0</v>
      </c>
    </row>
    <row r="141" ht="12.75" customHeight="1">
      <c r="B141" s="44" t="s">
        <v>143</v>
      </c>
      <c r="D141" s="38" t="str">
        <f>CALCULATIONS!T141</f>
        <v>CU.M.</v>
      </c>
      <c r="E141" s="119">
        <f>IF($E$4="LOW",'LABOR PRODUCTIVITY'!I141,IF($E$4="AVERAGE",'LABOR PRODUCTIVITY'!K141,'LABOR PRODUCTIVITY'!M141))</f>
        <v>1267.5</v>
      </c>
      <c r="F141" s="119">
        <f t="shared" si="1"/>
        <v>0</v>
      </c>
    </row>
    <row r="142" ht="12.75" customHeight="1">
      <c r="B142" s="44" t="s">
        <v>144</v>
      </c>
      <c r="D142" s="38" t="str">
        <f>CALCULATIONS!T142</f>
        <v>SQ.M.</v>
      </c>
      <c r="E142" s="119">
        <f>IF($E$4="LOW",'LABOR PRODUCTIVITY'!I142,IF($E$4="AVERAGE",'LABOR PRODUCTIVITY'!K142,'LABOR PRODUCTIVITY'!M142))</f>
        <v>131.4444444</v>
      </c>
      <c r="F142" s="119">
        <f t="shared" si="1"/>
        <v>0</v>
      </c>
    </row>
    <row r="143" ht="12.75" customHeight="1">
      <c r="B143" s="46" t="s">
        <v>145</v>
      </c>
      <c r="D143" s="38" t="str">
        <f>CALCULATIONS!T143</f>
        <v/>
      </c>
      <c r="E143" s="119">
        <f>IF($E$4="LOW",'LABOR PRODUCTIVITY'!I143,IF($E$4="AVERAGE",'LABOR PRODUCTIVITY'!K143,'LABOR PRODUCTIVITY'!M143))</f>
        <v>0</v>
      </c>
      <c r="F143" s="119">
        <f t="shared" si="1"/>
        <v>0</v>
      </c>
    </row>
    <row r="144" ht="12.75" customHeight="1">
      <c r="B144" s="44" t="s">
        <v>146</v>
      </c>
      <c r="D144" s="38" t="str">
        <f>CALCULATIONS!T144</f>
        <v>CU.M.</v>
      </c>
      <c r="E144" s="119">
        <f>IF($E$4="LOW",'LABOR PRODUCTIVITY'!I144,IF($E$4="AVERAGE",'LABOR PRODUCTIVITY'!K144,'LABOR PRODUCTIVITY'!M144))</f>
        <v>985.8333333</v>
      </c>
      <c r="F144" s="119">
        <f t="shared" si="1"/>
        <v>0</v>
      </c>
    </row>
    <row r="145" ht="12.75" customHeight="1">
      <c r="B145" s="44" t="s">
        <v>147</v>
      </c>
      <c r="D145" s="38" t="str">
        <f>CALCULATIONS!T145</f>
        <v>KGS</v>
      </c>
      <c r="E145" s="119">
        <f>IF($E$4="LOW",'LABOR PRODUCTIVITY'!I145,IF($E$4="AVERAGE",'LABOR PRODUCTIVITY'!K145,'LABOR PRODUCTIVITY'!M145))</f>
        <v>24.64583333</v>
      </c>
      <c r="F145" s="119">
        <f t="shared" si="1"/>
        <v>0</v>
      </c>
    </row>
    <row r="146" ht="12.75" customHeight="1">
      <c r="B146" s="44" t="s">
        <v>148</v>
      </c>
      <c r="D146" s="38" t="str">
        <f>CALCULATIONS!T146</f>
        <v>KGS</v>
      </c>
      <c r="E146" s="119">
        <f>IF($E$4="LOW",'LABOR PRODUCTIVITY'!I146,IF($E$4="AVERAGE",'LABOR PRODUCTIVITY'!K146,'LABOR PRODUCTIVITY'!M146))</f>
        <v>15.25694444</v>
      </c>
      <c r="F146" s="119">
        <f t="shared" si="1"/>
        <v>0</v>
      </c>
    </row>
    <row r="147" ht="12.75" customHeight="1">
      <c r="D147" s="38" t="str">
        <f>CALCULATIONS!T147</f>
        <v/>
      </c>
      <c r="E147" s="119">
        <f>IF($E$4="LOW",'LABOR PRODUCTIVITY'!I147,IF($E$4="AVERAGE",'LABOR PRODUCTIVITY'!K147,'LABOR PRODUCTIVITY'!M147))</f>
        <v>0</v>
      </c>
      <c r="F147" s="119">
        <f t="shared" si="1"/>
        <v>0</v>
      </c>
    </row>
    <row r="148" ht="12.75" customHeight="1">
      <c r="A148" s="45" t="s">
        <v>149</v>
      </c>
      <c r="B148" s="46" t="s">
        <v>150</v>
      </c>
      <c r="D148" s="38" t="str">
        <f>CALCULATIONS!T148</f>
        <v/>
      </c>
      <c r="E148" s="119">
        <f>IF($E$4="LOW",'LABOR PRODUCTIVITY'!I148,IF($E$4="AVERAGE",'LABOR PRODUCTIVITY'!K148,'LABOR PRODUCTIVITY'!M148))</f>
        <v>0</v>
      </c>
      <c r="F148" s="119">
        <f t="shared" si="1"/>
        <v>0</v>
      </c>
    </row>
    <row r="149" ht="12.75" customHeight="1">
      <c r="B149" s="47" t="s">
        <v>151</v>
      </c>
      <c r="D149" s="38" t="str">
        <f>CALCULATIONS!T149</f>
        <v/>
      </c>
      <c r="E149" s="119">
        <f>IF($E$4="LOW",'LABOR PRODUCTIVITY'!I149,IF($E$4="AVERAGE",'LABOR PRODUCTIVITY'!K149,'LABOR PRODUCTIVITY'!M149))</f>
        <v>0</v>
      </c>
      <c r="F149" s="119">
        <f t="shared" si="1"/>
        <v>0</v>
      </c>
    </row>
    <row r="150" ht="12.75" customHeight="1">
      <c r="B150" s="44" t="s">
        <v>152</v>
      </c>
      <c r="D150" s="38" t="str">
        <f>CALCULATIONS!T150</f>
        <v>CU.M.</v>
      </c>
      <c r="E150" s="119">
        <f>IF($E$4="LOW",'LABOR PRODUCTIVITY'!I150,IF($E$4="AVERAGE",'LABOR PRODUCTIVITY'!K150,'LABOR PRODUCTIVITY'!M150))</f>
        <v>28.16666667</v>
      </c>
      <c r="F150" s="119">
        <f t="shared" si="1"/>
        <v>0</v>
      </c>
    </row>
    <row r="151" ht="12.75" customHeight="1">
      <c r="B151" s="44" t="s">
        <v>153</v>
      </c>
      <c r="D151" s="38" t="str">
        <f>CALCULATIONS!T151</f>
        <v>CU.M.</v>
      </c>
      <c r="E151" s="119">
        <f>IF($E$4="LOW",'LABOR PRODUCTIVITY'!I151,IF($E$4="AVERAGE",'LABOR PRODUCTIVITY'!K151,'LABOR PRODUCTIVITY'!M151))</f>
        <v>37.55555556</v>
      </c>
      <c r="F151" s="119">
        <f t="shared" si="1"/>
        <v>0</v>
      </c>
    </row>
    <row r="152" ht="12.75" customHeight="1">
      <c r="B152" s="44" t="s">
        <v>154</v>
      </c>
      <c r="D152" s="38" t="str">
        <f>CALCULATIONS!T152</f>
        <v>CU.M.</v>
      </c>
      <c r="E152" s="119">
        <f>IF($E$4="LOW",'LABOR PRODUCTIVITY'!I152,IF($E$4="AVERAGE",'LABOR PRODUCTIVITY'!K152,'LABOR PRODUCTIVITY'!M152))</f>
        <v>51.63888889</v>
      </c>
      <c r="F152" s="119">
        <f t="shared" si="1"/>
        <v>0</v>
      </c>
    </row>
    <row r="153" ht="12.75" customHeight="1">
      <c r="B153" s="44" t="s">
        <v>155</v>
      </c>
      <c r="D153" s="38" t="str">
        <f>CALCULATIONS!T153</f>
        <v>CU.M.</v>
      </c>
      <c r="E153" s="119">
        <f>IF($E$4="LOW",'LABOR PRODUCTIVITY'!I153,IF($E$4="AVERAGE",'LABOR PRODUCTIVITY'!K153,'LABOR PRODUCTIVITY'!M153))</f>
        <v>56.33333333</v>
      </c>
      <c r="F153" s="119">
        <f t="shared" si="1"/>
        <v>0</v>
      </c>
    </row>
    <row r="154" ht="12.75" customHeight="1">
      <c r="B154" s="44" t="s">
        <v>156</v>
      </c>
      <c r="D154" s="38" t="str">
        <f>CALCULATIONS!T154</f>
        <v>CU.M.</v>
      </c>
      <c r="E154" s="119">
        <f>IF($E$4="LOW",'LABOR PRODUCTIVITY'!I154,IF($E$4="AVERAGE",'LABOR PRODUCTIVITY'!K154,'LABOR PRODUCTIVITY'!M154))</f>
        <v>70.41666667</v>
      </c>
      <c r="F154" s="119">
        <f t="shared" si="1"/>
        <v>0</v>
      </c>
    </row>
    <row r="155" ht="12.75" customHeight="1">
      <c r="B155" s="47" t="s">
        <v>157</v>
      </c>
      <c r="D155" s="38" t="str">
        <f>CALCULATIONS!T155</f>
        <v/>
      </c>
      <c r="E155" s="119">
        <f>IF($E$4="LOW",'LABOR PRODUCTIVITY'!I155,IF($E$4="AVERAGE",'LABOR PRODUCTIVITY'!K155,'LABOR PRODUCTIVITY'!M155))</f>
        <v>0</v>
      </c>
      <c r="F155" s="119">
        <f t="shared" si="1"/>
        <v>0</v>
      </c>
    </row>
    <row r="156" ht="12.75" customHeight="1">
      <c r="B156" s="44" t="s">
        <v>152</v>
      </c>
      <c r="D156" s="38" t="str">
        <f>CALCULATIONS!T156</f>
        <v>CU.M.</v>
      </c>
      <c r="E156" s="119">
        <f>IF($E$4="LOW",'LABOR PRODUCTIVITY'!I156,IF($E$4="AVERAGE",'LABOR PRODUCTIVITY'!K156,'LABOR PRODUCTIVITY'!M156))</f>
        <v>187.7777778</v>
      </c>
      <c r="F156" s="119">
        <f t="shared" si="1"/>
        <v>0</v>
      </c>
    </row>
    <row r="157" ht="12.75" customHeight="1">
      <c r="B157" s="44" t="s">
        <v>158</v>
      </c>
      <c r="D157" s="38" t="str">
        <f>CALCULATIONS!T157</f>
        <v>CU.M.</v>
      </c>
      <c r="E157" s="119">
        <f>IF($E$4="LOW",'LABOR PRODUCTIVITY'!I157,IF($E$4="AVERAGE",'LABOR PRODUCTIVITY'!K157,'LABOR PRODUCTIVITY'!M157))</f>
        <v>305.1388889</v>
      </c>
      <c r="F157" s="119">
        <f t="shared" si="1"/>
        <v>0</v>
      </c>
    </row>
    <row r="158" ht="12.75" customHeight="1">
      <c r="B158" s="44" t="s">
        <v>159</v>
      </c>
      <c r="D158" s="38" t="str">
        <f>CALCULATIONS!T158</f>
        <v>CU.M.</v>
      </c>
      <c r="E158" s="119">
        <f>IF($E$4="LOW",'LABOR PRODUCTIVITY'!I158,IF($E$4="AVERAGE",'LABOR PRODUCTIVITY'!K158,'LABOR PRODUCTIVITY'!M158))</f>
        <v>492.9166667</v>
      </c>
      <c r="F158" s="119">
        <f t="shared" si="1"/>
        <v>0</v>
      </c>
    </row>
    <row r="159" ht="12.75" customHeight="1">
      <c r="B159" s="44" t="s">
        <v>160</v>
      </c>
      <c r="D159" s="38" t="str">
        <f>CALCULATIONS!T159</f>
        <v>CU.M.</v>
      </c>
      <c r="E159" s="119">
        <f>IF($E$4="LOW",'LABOR PRODUCTIVITY'!I159,IF($E$4="AVERAGE",'LABOR PRODUCTIVITY'!K159,'LABOR PRODUCTIVITY'!M159))</f>
        <v>258.1944444</v>
      </c>
      <c r="F159" s="119">
        <f t="shared" si="1"/>
        <v>0</v>
      </c>
    </row>
    <row r="160" ht="12.75" customHeight="1">
      <c r="B160" s="44" t="s">
        <v>161</v>
      </c>
      <c r="D160" s="38" t="str">
        <f>CALCULATIONS!T160</f>
        <v>CU.M.</v>
      </c>
      <c r="E160" s="119">
        <f>IF($E$4="LOW",'LABOR PRODUCTIVITY'!I160,IF($E$4="AVERAGE",'LABOR PRODUCTIVITY'!K160,'LABOR PRODUCTIVITY'!M160))</f>
        <v>375.5555556</v>
      </c>
      <c r="F160" s="119">
        <f t="shared" si="1"/>
        <v>0</v>
      </c>
    </row>
    <row r="161" ht="12.75" customHeight="1">
      <c r="B161" s="44" t="s">
        <v>162</v>
      </c>
      <c r="D161" s="38" t="str">
        <f>CALCULATIONS!T161</f>
        <v>CU.M.</v>
      </c>
      <c r="E161" s="119">
        <f>IF($E$4="LOW",'LABOR PRODUCTIVITY'!I161,IF($E$4="AVERAGE",'LABOR PRODUCTIVITY'!K161,'LABOR PRODUCTIVITY'!M161))</f>
        <v>563.3333333</v>
      </c>
      <c r="F161" s="119">
        <f t="shared" si="1"/>
        <v>0</v>
      </c>
    </row>
    <row r="162" ht="12.75" customHeight="1">
      <c r="B162" s="44" t="s">
        <v>163</v>
      </c>
      <c r="D162" s="38" t="str">
        <f>CALCULATIONS!T162</f>
        <v/>
      </c>
      <c r="E162" s="119">
        <f>IF($E$4="LOW",'LABOR PRODUCTIVITY'!I162,IF($E$4="AVERAGE",'LABOR PRODUCTIVITY'!K162,'LABOR PRODUCTIVITY'!M162))</f>
        <v>0</v>
      </c>
      <c r="F162" s="119">
        <f t="shared" si="1"/>
        <v>0</v>
      </c>
    </row>
    <row r="163" ht="12.75" customHeight="1">
      <c r="B163" s="44" t="s">
        <v>164</v>
      </c>
      <c r="D163" s="38" t="str">
        <f>CALCULATIONS!T163</f>
        <v>SQ.M.</v>
      </c>
      <c r="E163" s="119">
        <f>IF($E$4="LOW",'LABOR PRODUCTIVITY'!I163,IF($E$4="AVERAGE",'LABOR PRODUCTIVITY'!K163,'LABOR PRODUCTIVITY'!M163))</f>
        <v>61.02777778</v>
      </c>
      <c r="F163" s="119">
        <f t="shared" si="1"/>
        <v>0</v>
      </c>
    </row>
    <row r="164" ht="12.75" customHeight="1">
      <c r="B164" s="44" t="s">
        <v>165</v>
      </c>
      <c r="D164" s="38" t="str">
        <f>CALCULATIONS!T164</f>
        <v>CU.M.</v>
      </c>
      <c r="E164" s="119">
        <f>IF($E$4="LOW",'LABOR PRODUCTIVITY'!I164,IF($E$4="AVERAGE",'LABOR PRODUCTIVITY'!K164,'LABOR PRODUCTIVITY'!M164))</f>
        <v>845</v>
      </c>
      <c r="F164" s="119">
        <f t="shared" si="1"/>
        <v>0</v>
      </c>
    </row>
    <row r="165" ht="12.75" customHeight="1">
      <c r="B165" s="44" t="s">
        <v>166</v>
      </c>
      <c r="D165" s="38" t="str">
        <f>CALCULATIONS!T165</f>
        <v/>
      </c>
      <c r="E165" s="119">
        <f>IF($E$4="LOW",'LABOR PRODUCTIVITY'!I165,IF($E$4="AVERAGE",'LABOR PRODUCTIVITY'!K165,'LABOR PRODUCTIVITY'!M165))</f>
        <v>0</v>
      </c>
      <c r="F165" s="119">
        <f t="shared" si="1"/>
        <v>0</v>
      </c>
    </row>
    <row r="166" ht="12.75" customHeight="1">
      <c r="B166" s="44" t="s">
        <v>164</v>
      </c>
      <c r="D166" s="38" t="str">
        <f>CALCULATIONS!T166</f>
        <v>SQ.M.</v>
      </c>
      <c r="E166" s="119">
        <f>IF($E$4="LOW",'LABOR PRODUCTIVITY'!I166,IF($E$4="AVERAGE",'LABOR PRODUCTIVITY'!K166,'LABOR PRODUCTIVITY'!M166))</f>
        <v>21.125</v>
      </c>
      <c r="F166" s="119">
        <f t="shared" si="1"/>
        <v>0</v>
      </c>
    </row>
    <row r="167" ht="12.75" customHeight="1">
      <c r="B167" s="44" t="s">
        <v>167</v>
      </c>
      <c r="D167" s="38" t="str">
        <f>CALCULATIONS!T167</f>
        <v>SQ.M.</v>
      </c>
      <c r="E167" s="119">
        <f>IF($E$4="LOW",'LABOR PRODUCTIVITY'!I167,IF($E$4="AVERAGE",'LABOR PRODUCTIVITY'!K167,'LABOR PRODUCTIVITY'!M167))</f>
        <v>25.81944444</v>
      </c>
      <c r="F167" s="119">
        <f t="shared" si="1"/>
        <v>0</v>
      </c>
    </row>
    <row r="168" ht="12.75" customHeight="1">
      <c r="B168" s="44" t="s">
        <v>168</v>
      </c>
      <c r="D168" s="38" t="str">
        <f>CALCULATIONS!T168</f>
        <v>CU.M.</v>
      </c>
      <c r="E168" s="119">
        <f>IF($E$4="LOW",'LABOR PRODUCTIVITY'!I168,IF($E$4="AVERAGE",'LABOR PRODUCTIVITY'!K168,'LABOR PRODUCTIVITY'!M168))</f>
        <v>56.33333333</v>
      </c>
      <c r="F168" s="119">
        <f t="shared" si="1"/>
        <v>0</v>
      </c>
    </row>
    <row r="169" ht="12.75" customHeight="1">
      <c r="A169" s="45" t="s">
        <v>169</v>
      </c>
      <c r="B169" s="46" t="s">
        <v>170</v>
      </c>
      <c r="D169" s="38" t="str">
        <f>CALCULATIONS!T169</f>
        <v/>
      </c>
      <c r="E169" s="119">
        <f>IF($E$4="LOW",'LABOR PRODUCTIVITY'!I169,IF($E$4="AVERAGE",'LABOR PRODUCTIVITY'!K169,'LABOR PRODUCTIVITY'!M169))</f>
        <v>0</v>
      </c>
      <c r="F169" s="119">
        <f t="shared" si="1"/>
        <v>0</v>
      </c>
    </row>
    <row r="170" ht="12.75" customHeight="1">
      <c r="B170" s="48" t="s">
        <v>171</v>
      </c>
      <c r="D170" s="38" t="str">
        <f>CALCULATIONS!T170</f>
        <v>SQ.M.</v>
      </c>
      <c r="E170" s="119">
        <f>IF($E$4="LOW",'LABOR PRODUCTIVITY'!I170,IF($E$4="AVERAGE",'LABOR PRODUCTIVITY'!K170,'LABOR PRODUCTIVITY'!M170))</f>
        <v>5.868055556</v>
      </c>
      <c r="F170" s="119">
        <f t="shared" si="1"/>
        <v>0</v>
      </c>
    </row>
    <row r="171" ht="12.75" customHeight="1">
      <c r="B171" s="44" t="s">
        <v>172</v>
      </c>
      <c r="D171" s="38" t="str">
        <f>CALCULATIONS!T171</f>
        <v>CU.M.</v>
      </c>
      <c r="E171" s="119">
        <f>IF($E$4="LOW",'LABOR PRODUCTIVITY'!I171,IF($E$4="AVERAGE",'LABOR PRODUCTIVITY'!K171,'LABOR PRODUCTIVITY'!M171))</f>
        <v>84.5</v>
      </c>
      <c r="F171" s="119">
        <f t="shared" si="1"/>
        <v>0</v>
      </c>
    </row>
    <row r="172" ht="12.75" customHeight="1">
      <c r="B172" s="44" t="s">
        <v>173</v>
      </c>
      <c r="D172" s="38" t="str">
        <f>CALCULATIONS!T172</f>
        <v>SQ.M.</v>
      </c>
      <c r="E172" s="119">
        <f>IF($E$4="LOW",'LABOR PRODUCTIVITY'!I172,IF($E$4="AVERAGE",'LABOR PRODUCTIVITY'!K172,'LABOR PRODUCTIVITY'!M172))</f>
        <v>61.02777778</v>
      </c>
      <c r="F172" s="119">
        <f t="shared" si="1"/>
        <v>0</v>
      </c>
    </row>
    <row r="173" ht="12.75" customHeight="1">
      <c r="B173" s="44" t="s">
        <v>174</v>
      </c>
      <c r="D173" s="38" t="str">
        <f>CALCULATIONS!T173</f>
        <v>SQ.M.</v>
      </c>
      <c r="E173" s="119">
        <f>IF($E$4="LOW",'LABOR PRODUCTIVITY'!I173,IF($E$4="AVERAGE",'LABOR PRODUCTIVITY'!K173,'LABOR PRODUCTIVITY'!M173))</f>
        <v>65.72222222</v>
      </c>
      <c r="F173" s="119">
        <f t="shared" si="1"/>
        <v>0</v>
      </c>
    </row>
    <row r="174" ht="12.75" customHeight="1">
      <c r="B174" s="44" t="s">
        <v>175</v>
      </c>
      <c r="D174" s="38" t="str">
        <f>CALCULATIONS!T174</f>
        <v>SQ.M.</v>
      </c>
      <c r="E174" s="119">
        <f>IF($E$4="LOW",'LABOR PRODUCTIVITY'!I174,IF($E$4="AVERAGE",'LABOR PRODUCTIVITY'!K174,'LABOR PRODUCTIVITY'!M174))</f>
        <v>70.41666667</v>
      </c>
      <c r="F174" s="119">
        <f t="shared" si="1"/>
        <v>0</v>
      </c>
    </row>
    <row r="175" ht="12.75" customHeight="1">
      <c r="B175" s="44" t="s">
        <v>176</v>
      </c>
      <c r="D175" s="38" t="str">
        <f>CALCULATIONS!T175</f>
        <v>SQ.M.</v>
      </c>
      <c r="E175" s="119">
        <f>IF($E$4="LOW",'LABOR PRODUCTIVITY'!I175,IF($E$4="AVERAGE",'LABOR PRODUCTIVITY'!K175,'LABOR PRODUCTIVITY'!M175))</f>
        <v>15.25694444</v>
      </c>
      <c r="F175" s="119">
        <f t="shared" si="1"/>
        <v>0</v>
      </c>
    </row>
    <row r="176" ht="12.75" customHeight="1">
      <c r="B176" s="44" t="s">
        <v>177</v>
      </c>
      <c r="D176" s="38" t="str">
        <f>CALCULATIONS!T176</f>
        <v>SQ.M.</v>
      </c>
      <c r="E176" s="119">
        <f>IF($E$4="LOW",'LABOR PRODUCTIVITY'!I176,IF($E$4="AVERAGE",'LABOR PRODUCTIVITY'!K176,'LABOR PRODUCTIVITY'!M176))</f>
        <v>56.33333333</v>
      </c>
      <c r="F176" s="119">
        <f t="shared" si="1"/>
        <v>0</v>
      </c>
    </row>
    <row r="177" ht="12.75" customHeight="1">
      <c r="B177" s="44" t="s">
        <v>178</v>
      </c>
      <c r="D177" s="38" t="str">
        <f>CALCULATIONS!T177</f>
        <v>SQ.M.</v>
      </c>
      <c r="E177" s="119">
        <f>IF($E$4="LOW",'LABOR PRODUCTIVITY'!I177,IF($E$4="AVERAGE",'LABOR PRODUCTIVITY'!K177,'LABOR PRODUCTIVITY'!M177))</f>
        <v>15.25694444</v>
      </c>
      <c r="F177" s="119">
        <f t="shared" si="1"/>
        <v>0</v>
      </c>
    </row>
    <row r="178" ht="12.75" customHeight="1">
      <c r="B178" s="44" t="s">
        <v>179</v>
      </c>
      <c r="D178" s="38" t="str">
        <f>CALCULATIONS!T178</f>
        <v>SQ.M.</v>
      </c>
      <c r="E178" s="119">
        <f>IF($E$4="LOW",'LABOR PRODUCTIVITY'!I178,IF($E$4="AVERAGE",'LABOR PRODUCTIVITY'!K178,'LABOR PRODUCTIVITY'!M178))</f>
        <v>19.95138889</v>
      </c>
      <c r="F178" s="119">
        <f t="shared" si="1"/>
        <v>0</v>
      </c>
    </row>
    <row r="179" ht="12.75" customHeight="1">
      <c r="B179" s="44" t="s">
        <v>180</v>
      </c>
      <c r="D179" s="38" t="str">
        <f>CALCULATIONS!T179</f>
        <v>SQ.M.</v>
      </c>
      <c r="E179" s="119">
        <f>IF($E$4="LOW",'LABOR PRODUCTIVITY'!I179,IF($E$4="AVERAGE",'LABOR PRODUCTIVITY'!K179,'LABOR PRODUCTIVITY'!M179))</f>
        <v>24.64583333</v>
      </c>
      <c r="F179" s="119">
        <f t="shared" si="1"/>
        <v>0</v>
      </c>
    </row>
    <row r="180" ht="12.75" customHeight="1">
      <c r="B180" s="44" t="s">
        <v>181</v>
      </c>
      <c r="D180" s="38" t="str">
        <f>CALCULATIONS!T180</f>
        <v>CU.M.</v>
      </c>
      <c r="E180" s="119">
        <f>IF($E$4="LOW",'LABOR PRODUCTIVITY'!I180,IF($E$4="AVERAGE",'LABOR PRODUCTIVITY'!K180,'LABOR PRODUCTIVITY'!M180))</f>
        <v>28.16666667</v>
      </c>
      <c r="F180" s="119">
        <f t="shared" si="1"/>
        <v>0</v>
      </c>
    </row>
    <row r="181" ht="12.75" customHeight="1">
      <c r="B181" s="44" t="s">
        <v>182</v>
      </c>
      <c r="D181" s="38" t="str">
        <f>CALCULATIONS!T181</f>
        <v/>
      </c>
      <c r="E181" s="119">
        <f>IF($E$4="LOW",'LABOR PRODUCTIVITY'!I181,IF($E$4="AVERAGE",'LABOR PRODUCTIVITY'!K181,'LABOR PRODUCTIVITY'!M181))</f>
        <v>0</v>
      </c>
      <c r="F181" s="119">
        <f t="shared" si="1"/>
        <v>0</v>
      </c>
    </row>
    <row r="182" ht="12.75" customHeight="1">
      <c r="B182" s="44" t="s">
        <v>166</v>
      </c>
      <c r="D182" s="38" t="str">
        <f>CALCULATIONS!T182</f>
        <v>SQ.M.</v>
      </c>
      <c r="E182" s="119">
        <f>IF($E$4="LOW",'LABOR PRODUCTIVITY'!I182,IF($E$4="AVERAGE",'LABOR PRODUCTIVITY'!K182,'LABOR PRODUCTIVITY'!M182))</f>
        <v>19.95138889</v>
      </c>
      <c r="F182" s="119">
        <f t="shared" si="1"/>
        <v>0</v>
      </c>
    </row>
    <row r="183" ht="12.75" customHeight="1">
      <c r="B183" s="44" t="s">
        <v>183</v>
      </c>
      <c r="D183" s="38" t="str">
        <f>CALCULATIONS!T183</f>
        <v>SQ.M.</v>
      </c>
      <c r="E183" s="119">
        <f>IF($E$4="LOW",'LABOR PRODUCTIVITY'!I183,IF($E$4="AVERAGE",'LABOR PRODUCTIVITY'!K183,'LABOR PRODUCTIVITY'!M183))</f>
        <v>9.388888889</v>
      </c>
      <c r="F183" s="119">
        <f t="shared" si="1"/>
        <v>0</v>
      </c>
    </row>
    <row r="184" ht="12.75" customHeight="1">
      <c r="B184" s="44" t="s">
        <v>184</v>
      </c>
      <c r="D184" s="38" t="str">
        <f>CALCULATIONS!T184</f>
        <v>SQ.M.</v>
      </c>
      <c r="E184" s="119">
        <f>IF($E$4="LOW",'LABOR PRODUCTIVITY'!I184,IF($E$4="AVERAGE",'LABOR PRODUCTIVITY'!K184,'LABOR PRODUCTIVITY'!M184))</f>
        <v>9.388888889</v>
      </c>
      <c r="F184" s="119">
        <f t="shared" si="1"/>
        <v>0</v>
      </c>
    </row>
    <row r="185" ht="12.75" customHeight="1">
      <c r="B185" s="44" t="s">
        <v>185</v>
      </c>
      <c r="D185" s="38" t="str">
        <f>CALCULATIONS!T185</f>
        <v/>
      </c>
      <c r="E185" s="119">
        <f>IF($E$4="LOW",'LABOR PRODUCTIVITY'!I185,IF($E$4="AVERAGE",'LABOR PRODUCTIVITY'!K185,'LABOR PRODUCTIVITY'!M185))</f>
        <v>0</v>
      </c>
      <c r="F185" s="119">
        <f t="shared" si="1"/>
        <v>0</v>
      </c>
    </row>
    <row r="186" ht="12.75" customHeight="1">
      <c r="B186" s="44" t="s">
        <v>186</v>
      </c>
      <c r="D186" s="38" t="str">
        <f>CALCULATIONS!T186</f>
        <v>SQ.M.</v>
      </c>
      <c r="E186" s="119">
        <f>IF($E$4="LOW",'LABOR PRODUCTIVITY'!I186,IF($E$4="AVERAGE",'LABOR PRODUCTIVITY'!K186,'LABOR PRODUCTIVITY'!M186))</f>
        <v>19.95138889</v>
      </c>
      <c r="F186" s="119">
        <f t="shared" si="1"/>
        <v>0</v>
      </c>
    </row>
    <row r="187" ht="12.75" customHeight="1">
      <c r="B187" s="44" t="s">
        <v>187</v>
      </c>
      <c r="D187" s="38" t="str">
        <f>CALCULATIONS!T187</f>
        <v>SQ.M.</v>
      </c>
      <c r="E187" s="119">
        <f>IF($E$4="LOW",'LABOR PRODUCTIVITY'!I187,IF($E$4="AVERAGE",'LABOR PRODUCTIVITY'!K187,'LABOR PRODUCTIVITY'!M187))</f>
        <v>197.1666667</v>
      </c>
      <c r="F187" s="119">
        <f t="shared" si="1"/>
        <v>0</v>
      </c>
    </row>
    <row r="188" ht="12.75" customHeight="1">
      <c r="B188" s="44" t="s">
        <v>188</v>
      </c>
      <c r="D188" s="38" t="str">
        <f>CALCULATIONS!T188</f>
        <v/>
      </c>
      <c r="E188" s="119">
        <f>IF($E$4="LOW",'LABOR PRODUCTIVITY'!I188,IF($E$4="AVERAGE",'LABOR PRODUCTIVITY'!K188,'LABOR PRODUCTIVITY'!M188))</f>
        <v>0</v>
      </c>
      <c r="F188" s="119">
        <f t="shared" si="1"/>
        <v>0</v>
      </c>
    </row>
    <row r="189" ht="12.75" customHeight="1">
      <c r="B189" s="44" t="s">
        <v>189</v>
      </c>
      <c r="D189" s="38" t="str">
        <f>CALCULATIONS!T189</f>
        <v>SQ.M.</v>
      </c>
      <c r="E189" s="119">
        <f>IF($E$4="LOW",'LABOR PRODUCTIVITY'!I189,IF($E$4="AVERAGE",'LABOR PRODUCTIVITY'!K189,'LABOR PRODUCTIVITY'!M189))</f>
        <v>15.25694444</v>
      </c>
      <c r="F189" s="119">
        <f t="shared" si="1"/>
        <v>0</v>
      </c>
    </row>
    <row r="190" ht="12.75" customHeight="1">
      <c r="B190" s="44" t="s">
        <v>190</v>
      </c>
      <c r="D190" s="38" t="str">
        <f>CALCULATIONS!T190</f>
        <v>SQ.M.</v>
      </c>
      <c r="E190" s="119">
        <f>IF($E$4="LOW",'LABOR PRODUCTIVITY'!I190,IF($E$4="AVERAGE",'LABOR PRODUCTIVITY'!K190,'LABOR PRODUCTIVITY'!M190))</f>
        <v>19.95138889</v>
      </c>
      <c r="F190" s="119">
        <f t="shared" si="1"/>
        <v>0</v>
      </c>
    </row>
    <row r="191" ht="12.75" customHeight="1">
      <c r="B191" s="44" t="s">
        <v>191</v>
      </c>
      <c r="D191" s="38" t="str">
        <f>CALCULATIONS!T191</f>
        <v>SQ.M.</v>
      </c>
      <c r="E191" s="119">
        <f>IF($E$4="LOW",'LABOR PRODUCTIVITY'!I191,IF($E$4="AVERAGE",'LABOR PRODUCTIVITY'!K191,'LABOR PRODUCTIVITY'!M191))</f>
        <v>24.64583333</v>
      </c>
      <c r="F191" s="119">
        <f t="shared" si="1"/>
        <v>0</v>
      </c>
    </row>
    <row r="192" ht="12.75" customHeight="1">
      <c r="B192" s="44" t="s">
        <v>192</v>
      </c>
      <c r="D192" s="38" t="str">
        <f>CALCULATIONS!T192</f>
        <v/>
      </c>
      <c r="E192" s="119">
        <f>IF($E$4="LOW",'LABOR PRODUCTIVITY'!I192,IF($E$4="AVERAGE",'LABOR PRODUCTIVITY'!K192,'LABOR PRODUCTIVITY'!M192))</f>
        <v>0</v>
      </c>
      <c r="F192" s="119">
        <f t="shared" si="1"/>
        <v>0</v>
      </c>
    </row>
    <row r="193" ht="12.75" customHeight="1">
      <c r="B193" s="44" t="s">
        <v>193</v>
      </c>
      <c r="D193" s="38" t="str">
        <f>CALCULATIONS!T193</f>
        <v>CU.M.</v>
      </c>
      <c r="E193" s="119">
        <f>IF($E$4="LOW",'LABOR PRODUCTIVITY'!I193,IF($E$4="AVERAGE",'LABOR PRODUCTIVITY'!K193,'LABOR PRODUCTIVITY'!M193))</f>
        <v>32.86111111</v>
      </c>
      <c r="F193" s="119">
        <f t="shared" si="1"/>
        <v>0</v>
      </c>
    </row>
    <row r="194" ht="12.75" customHeight="1">
      <c r="B194" s="44" t="s">
        <v>194</v>
      </c>
      <c r="D194" s="38" t="str">
        <f>CALCULATIONS!T194</f>
        <v>SQ.M.</v>
      </c>
      <c r="E194" s="119">
        <f>IF($E$4="LOW",'LABOR PRODUCTIVITY'!I194,IF($E$4="AVERAGE",'LABOR PRODUCTIVITY'!K194,'LABOR PRODUCTIVITY'!M194))</f>
        <v>9.388888889</v>
      </c>
      <c r="F194" s="119">
        <f t="shared" si="1"/>
        <v>0</v>
      </c>
    </row>
    <row r="195" ht="12.75" customHeight="1">
      <c r="B195" s="44" t="s">
        <v>195</v>
      </c>
      <c r="D195" s="38" t="str">
        <f>CALCULATIONS!T195</f>
        <v>CU.M.</v>
      </c>
      <c r="E195" s="119">
        <f>IF($E$4="LOW",'LABOR PRODUCTIVITY'!I195,IF($E$4="AVERAGE",'LABOR PRODUCTIVITY'!K195,'LABOR PRODUCTIVITY'!M195))</f>
        <v>93.88888889</v>
      </c>
      <c r="F195" s="119">
        <f t="shared" si="1"/>
        <v>0</v>
      </c>
    </row>
    <row r="196" ht="12.75" customHeight="1">
      <c r="B196" s="44" t="s">
        <v>196</v>
      </c>
      <c r="D196" s="38" t="str">
        <f>CALCULATIONS!T196</f>
        <v/>
      </c>
      <c r="E196" s="119">
        <f>IF($E$4="LOW",'LABOR PRODUCTIVITY'!I196,IF($E$4="AVERAGE",'LABOR PRODUCTIVITY'!K196,'LABOR PRODUCTIVITY'!M196))</f>
        <v>0</v>
      </c>
      <c r="F196" s="119">
        <f t="shared" si="1"/>
        <v>0</v>
      </c>
    </row>
    <row r="197" ht="12.75" customHeight="1">
      <c r="B197" s="44" t="s">
        <v>197</v>
      </c>
      <c r="D197" s="38" t="str">
        <f>CALCULATIONS!T197</f>
        <v>CU.M.</v>
      </c>
      <c r="E197" s="119">
        <f>IF($E$4="LOW",'LABOR PRODUCTIVITY'!I197,IF($E$4="AVERAGE",'LABOR PRODUCTIVITY'!K197,'LABOR PRODUCTIVITY'!M197))</f>
        <v>375.5555556</v>
      </c>
      <c r="F197" s="119">
        <f t="shared" si="1"/>
        <v>0</v>
      </c>
    </row>
    <row r="198" ht="12.75" customHeight="1">
      <c r="B198" s="44" t="s">
        <v>198</v>
      </c>
      <c r="D198" s="38" t="str">
        <f>CALCULATIONS!T198</f>
        <v>CU.M.</v>
      </c>
      <c r="E198" s="119">
        <f>IF($E$4="LOW",'LABOR PRODUCTIVITY'!I198,IF($E$4="AVERAGE",'LABOR PRODUCTIVITY'!K198,'LABOR PRODUCTIVITY'!M198))</f>
        <v>61.61458333</v>
      </c>
      <c r="F198" s="119">
        <f t="shared" si="1"/>
        <v>0</v>
      </c>
    </row>
    <row r="199" ht="12.75" customHeight="1">
      <c r="B199" s="44" t="s">
        <v>199</v>
      </c>
      <c r="D199" s="38" t="str">
        <f>CALCULATIONS!T199</f>
        <v>CU.M.</v>
      </c>
      <c r="E199" s="119">
        <f>IF($E$4="LOW",'LABOR PRODUCTIVITY'!I199,IF($E$4="AVERAGE",'LABOR PRODUCTIVITY'!K199,'LABOR PRODUCTIVITY'!M199))</f>
        <v>76.87152778</v>
      </c>
      <c r="F199" s="119">
        <f t="shared" si="1"/>
        <v>0</v>
      </c>
    </row>
    <row r="200" ht="12.75" customHeight="1">
      <c r="B200" s="44" t="s">
        <v>200</v>
      </c>
      <c r="D200" s="38" t="str">
        <f>CALCULATIONS!T200</f>
        <v>CU.M.</v>
      </c>
      <c r="E200" s="119">
        <f>IF($E$4="LOW",'LABOR PRODUCTIVITY'!I200,IF($E$4="AVERAGE",'LABOR PRODUCTIVITY'!K200,'LABOR PRODUCTIVITY'!M200))</f>
        <v>123.2291667</v>
      </c>
      <c r="F200" s="119">
        <f t="shared" si="1"/>
        <v>0</v>
      </c>
    </row>
    <row r="201" ht="12.75" customHeight="1">
      <c r="B201" s="44" t="s">
        <v>201</v>
      </c>
      <c r="D201" s="38" t="str">
        <f>CALCULATIONS!T201</f>
        <v/>
      </c>
      <c r="E201" s="119">
        <f>IF($E$4="LOW",'LABOR PRODUCTIVITY'!I201,IF($E$4="AVERAGE",'LABOR PRODUCTIVITY'!K201,'LABOR PRODUCTIVITY'!M201))</f>
        <v>0</v>
      </c>
      <c r="F201" s="119">
        <f t="shared" si="1"/>
        <v>0</v>
      </c>
    </row>
    <row r="202" ht="12.75" customHeight="1">
      <c r="B202" s="44" t="s">
        <v>197</v>
      </c>
      <c r="D202" s="38" t="str">
        <f>CALCULATIONS!T202</f>
        <v>CU.M.</v>
      </c>
      <c r="E202" s="119">
        <f>IF($E$4="LOW",'LABOR PRODUCTIVITY'!I202,IF($E$4="AVERAGE",'LABOR PRODUCTIVITY'!K202,'LABOR PRODUCTIVITY'!M202))</f>
        <v>313.3541667</v>
      </c>
      <c r="F202" s="119">
        <f t="shared" si="1"/>
        <v>0</v>
      </c>
    </row>
    <row r="203" ht="12.75" customHeight="1">
      <c r="B203" s="44" t="s">
        <v>202</v>
      </c>
      <c r="D203" s="38" t="str">
        <f>CALCULATIONS!T203</f>
        <v>CU.M.</v>
      </c>
      <c r="E203" s="119">
        <f>IF($E$4="LOW",'LABOR PRODUCTIVITY'!I203,IF($E$4="AVERAGE",'LABOR PRODUCTIVITY'!K203,'LABOR PRODUCTIVITY'!M203))</f>
        <v>782.7986111</v>
      </c>
      <c r="F203" s="119">
        <f t="shared" si="1"/>
        <v>0</v>
      </c>
    </row>
    <row r="204" ht="12.75" customHeight="1">
      <c r="B204" s="44" t="s">
        <v>203</v>
      </c>
      <c r="D204" s="38" t="str">
        <f>CALCULATIONS!T204</f>
        <v/>
      </c>
      <c r="E204" s="119">
        <f>IF($E$4="LOW",'LABOR PRODUCTIVITY'!I204,IF($E$4="AVERAGE",'LABOR PRODUCTIVITY'!K204,'LABOR PRODUCTIVITY'!M204))</f>
        <v>0</v>
      </c>
      <c r="F204" s="119">
        <f t="shared" si="1"/>
        <v>0</v>
      </c>
    </row>
    <row r="205" ht="12.75" customHeight="1">
      <c r="B205" s="44" t="s">
        <v>204</v>
      </c>
      <c r="D205" s="38" t="str">
        <f>CALCULATIONS!T205</f>
        <v>CU.M.</v>
      </c>
      <c r="E205" s="119">
        <f>IF($E$4="LOW",'LABOR PRODUCTIVITY'!I205,IF($E$4="AVERAGE",'LABOR PRODUCTIVITY'!K205,'LABOR PRODUCTIVITY'!M205))</f>
        <v>38.72916667</v>
      </c>
      <c r="F205" s="119">
        <f t="shared" si="1"/>
        <v>0</v>
      </c>
    </row>
    <row r="206" ht="12.75" customHeight="1">
      <c r="B206" s="44" t="s">
        <v>205</v>
      </c>
      <c r="D206" s="38" t="str">
        <f>CALCULATIONS!T206</f>
        <v>CU.M.</v>
      </c>
      <c r="E206" s="119">
        <f>IF($E$4="LOW",'LABOR PRODUCTIVITY'!I206,IF($E$4="AVERAGE",'LABOR PRODUCTIVITY'!K206,'LABOR PRODUCTIVITY'!M206))</f>
        <v>234.7222222</v>
      </c>
      <c r="F206" s="119">
        <f t="shared" si="1"/>
        <v>0</v>
      </c>
    </row>
    <row r="207" ht="12.75" customHeight="1">
      <c r="B207" s="44" t="s">
        <v>206</v>
      </c>
      <c r="D207" s="38" t="str">
        <f>CALCULATIONS!T207</f>
        <v/>
      </c>
      <c r="E207" s="119">
        <f>IF($E$4="LOW",'LABOR PRODUCTIVITY'!I207,IF($E$4="AVERAGE",'LABOR PRODUCTIVITY'!K207,'LABOR PRODUCTIVITY'!M207))</f>
        <v>0</v>
      </c>
      <c r="F207" s="119">
        <f t="shared" si="1"/>
        <v>0</v>
      </c>
    </row>
    <row r="208" ht="12.75" customHeight="1">
      <c r="B208" s="44" t="s">
        <v>207</v>
      </c>
      <c r="D208" s="38" t="str">
        <f>CALCULATIONS!T208</f>
        <v/>
      </c>
      <c r="E208" s="119">
        <f>IF($E$4="LOW",'LABOR PRODUCTIVITY'!I208,IF($E$4="AVERAGE",'LABOR PRODUCTIVITY'!K208,'LABOR PRODUCTIVITY'!M208))</f>
        <v>0</v>
      </c>
      <c r="F208" s="119">
        <f t="shared" si="1"/>
        <v>0</v>
      </c>
    </row>
    <row r="209" ht="12.75" customHeight="1">
      <c r="B209" s="44" t="s">
        <v>208</v>
      </c>
      <c r="D209" s="38" t="str">
        <f>CALCULATIONS!T209</f>
        <v>L.M.</v>
      </c>
      <c r="E209" s="119">
        <f>IF($E$4="LOW",'LABOR PRODUCTIVITY'!I209,IF($E$4="AVERAGE",'LABOR PRODUCTIVITY'!K209,'LABOR PRODUCTIVITY'!M209))</f>
        <v>58.68055556</v>
      </c>
      <c r="F209" s="119">
        <f t="shared" si="1"/>
        <v>0</v>
      </c>
    </row>
    <row r="210" ht="12.75" customHeight="1">
      <c r="B210" s="44" t="s">
        <v>209</v>
      </c>
      <c r="D210" s="38" t="str">
        <f>CALCULATIONS!T210</f>
        <v>L.M.</v>
      </c>
      <c r="E210" s="119">
        <f>IF($E$4="LOW",'LABOR PRODUCTIVITY'!I210,IF($E$4="AVERAGE",'LABOR PRODUCTIVITY'!K210,'LABOR PRODUCTIVITY'!M210))</f>
        <v>137.3125</v>
      </c>
      <c r="F210" s="119">
        <f t="shared" si="1"/>
        <v>0</v>
      </c>
    </row>
    <row r="211" ht="12.75" customHeight="1">
      <c r="B211" s="44" t="s">
        <v>210</v>
      </c>
      <c r="D211" s="38" t="str">
        <f>CALCULATIONS!T211</f>
        <v>L.M.</v>
      </c>
      <c r="E211" s="119">
        <f>IF($E$4="LOW",'LABOR PRODUCTIVITY'!I211,IF($E$4="AVERAGE",'LABOR PRODUCTIVITY'!K211,'LABOR PRODUCTIVITY'!M211))</f>
        <v>117.3611111</v>
      </c>
      <c r="F211" s="119">
        <f t="shared" si="1"/>
        <v>0</v>
      </c>
    </row>
    <row r="212" ht="12.75" customHeight="1">
      <c r="B212" s="44" t="s">
        <v>211</v>
      </c>
      <c r="D212" s="38" t="str">
        <f>CALCULATIONS!T212</f>
        <v>L.M.</v>
      </c>
      <c r="E212" s="119">
        <f>IF($E$4="LOW",'LABOR PRODUCTIVITY'!I212,IF($E$4="AVERAGE",'LABOR PRODUCTIVITY'!K212,'LABOR PRODUCTIVITY'!M212))</f>
        <v>156.0902778</v>
      </c>
      <c r="F212" s="119">
        <f t="shared" si="1"/>
        <v>0</v>
      </c>
    </row>
    <row r="213" ht="12.75" customHeight="1">
      <c r="B213" s="44" t="s">
        <v>212</v>
      </c>
      <c r="D213" s="38" t="str">
        <f>CALCULATIONS!T213</f>
        <v>CU.M.</v>
      </c>
      <c r="E213" s="119">
        <f>IF($E$4="LOW",'LABOR PRODUCTIVITY'!I213,IF($E$4="AVERAGE",'LABOR PRODUCTIVITY'!K213,'LABOR PRODUCTIVITY'!M213))</f>
        <v>4.694444444</v>
      </c>
      <c r="F213" s="119">
        <f t="shared" si="1"/>
        <v>0</v>
      </c>
    </row>
    <row r="214" ht="12.75" customHeight="1">
      <c r="B214" s="44" t="s">
        <v>213</v>
      </c>
      <c r="D214" s="38" t="str">
        <f>CALCULATIONS!T214</f>
        <v>CU.M.</v>
      </c>
      <c r="E214" s="119">
        <f>IF($E$4="LOW",'LABOR PRODUCTIVITY'!I214,IF($E$4="AVERAGE",'LABOR PRODUCTIVITY'!K214,'LABOR PRODUCTIVITY'!M214))</f>
        <v>9.975694444</v>
      </c>
      <c r="F214" s="119">
        <f t="shared" si="1"/>
        <v>0</v>
      </c>
    </row>
    <row r="215" ht="12.75" customHeight="1">
      <c r="B215" s="44" t="s">
        <v>214</v>
      </c>
      <c r="D215" s="38" t="str">
        <f>CALCULATIONS!T215</f>
        <v>SQ.M.</v>
      </c>
      <c r="E215" s="119">
        <f>IF($E$4="LOW",'LABOR PRODUCTIVITY'!I215,IF($E$4="AVERAGE",'LABOR PRODUCTIVITY'!K215,'LABOR PRODUCTIVITY'!M215))</f>
        <v>22.29861111</v>
      </c>
      <c r="F215" s="119">
        <f t="shared" si="1"/>
        <v>0</v>
      </c>
    </row>
    <row r="216" ht="12.75" customHeight="1">
      <c r="B216" s="44" t="s">
        <v>215</v>
      </c>
      <c r="D216" s="38" t="str">
        <f>CALCULATIONS!T216</f>
        <v>CU.M.</v>
      </c>
      <c r="E216" s="119">
        <f>IF($E$4="LOW",'LABOR PRODUCTIVITY'!I216,IF($E$4="AVERAGE",'LABOR PRODUCTIVITY'!K216,'LABOR PRODUCTIVITY'!M216))</f>
        <v>2.347222222</v>
      </c>
      <c r="F216" s="119">
        <f t="shared" si="1"/>
        <v>0</v>
      </c>
    </row>
    <row r="217" ht="12.75" customHeight="1">
      <c r="B217" s="44" t="s">
        <v>216</v>
      </c>
      <c r="D217" s="38" t="str">
        <f>CALCULATIONS!T217</f>
        <v/>
      </c>
      <c r="E217" s="119">
        <f>IF($E$4="LOW",'LABOR PRODUCTIVITY'!I217,IF($E$4="AVERAGE",'LABOR PRODUCTIVITY'!K217,'LABOR PRODUCTIVITY'!M217))</f>
        <v>0</v>
      </c>
      <c r="F217" s="119">
        <f t="shared" si="1"/>
        <v>0</v>
      </c>
    </row>
    <row r="218" ht="12.75" customHeight="1">
      <c r="B218" s="44" t="s">
        <v>217</v>
      </c>
      <c r="D218" s="38" t="str">
        <f>CALCULATIONS!T218</f>
        <v>SQ.M.</v>
      </c>
      <c r="E218" s="119">
        <f>IF($E$4="LOW",'LABOR PRODUCTIVITY'!I218,IF($E$4="AVERAGE",'LABOR PRODUCTIVITY'!K218,'LABOR PRODUCTIVITY'!M218))</f>
        <v>2.347222222</v>
      </c>
      <c r="F218" s="119">
        <f t="shared" si="1"/>
        <v>0</v>
      </c>
    </row>
    <row r="219" ht="12.75" customHeight="1">
      <c r="B219" s="44" t="s">
        <v>218</v>
      </c>
      <c r="D219" s="38" t="str">
        <f>CALCULATIONS!T219</f>
        <v>SQ.M.</v>
      </c>
      <c r="E219" s="119">
        <f>IF($E$4="LOW",'LABOR PRODUCTIVITY'!I219,IF($E$4="AVERAGE",'LABOR PRODUCTIVITY'!K219,'LABOR PRODUCTIVITY'!M219))</f>
        <v>1.173611111</v>
      </c>
      <c r="F219" s="119">
        <f t="shared" si="1"/>
        <v>0</v>
      </c>
    </row>
    <row r="220" ht="12.75" customHeight="1">
      <c r="B220" s="44" t="s">
        <v>219</v>
      </c>
      <c r="D220" s="38" t="str">
        <f>CALCULATIONS!T220</f>
        <v>CU.M.</v>
      </c>
      <c r="E220" s="119">
        <f>IF($E$4="LOW",'LABOR PRODUCTIVITY'!I220,IF($E$4="AVERAGE",'LABOR PRODUCTIVITY'!K220,'LABOR PRODUCTIVITY'!M220))</f>
        <v>79.21875</v>
      </c>
      <c r="F220" s="119">
        <f t="shared" si="1"/>
        <v>0</v>
      </c>
    </row>
    <row r="221" ht="12.75" customHeight="1">
      <c r="B221" s="44" t="s">
        <v>220</v>
      </c>
      <c r="D221" s="38" t="str">
        <f>CALCULATIONS!T221</f>
        <v>CU.M.</v>
      </c>
      <c r="E221" s="119">
        <f>IF($E$4="LOW",'LABOR PRODUCTIVITY'!I221,IF($E$4="AVERAGE",'LABOR PRODUCTIVITY'!K221,'LABOR PRODUCTIVITY'!M221))</f>
        <v>46.94444444</v>
      </c>
      <c r="F221" s="119">
        <f t="shared" si="1"/>
        <v>0</v>
      </c>
    </row>
    <row r="222" ht="12.75" customHeight="1">
      <c r="B222" s="44" t="s">
        <v>221</v>
      </c>
      <c r="D222" s="38" t="str">
        <f>CALCULATIONS!T222</f>
        <v>CU.M.</v>
      </c>
      <c r="E222" s="119">
        <f>IF($E$4="LOW",'LABOR PRODUCTIVITY'!I222,IF($E$4="AVERAGE",'LABOR PRODUCTIVITY'!K222,'LABOR PRODUCTIVITY'!M222))</f>
        <v>97.40972222</v>
      </c>
      <c r="F222" s="119">
        <f t="shared" si="1"/>
        <v>0</v>
      </c>
    </row>
    <row r="223" ht="12.75" customHeight="1">
      <c r="B223" s="44" t="s">
        <v>222</v>
      </c>
      <c r="D223" s="38" t="str">
        <f>CALCULATIONS!T223</f>
        <v/>
      </c>
      <c r="E223" s="119">
        <f>IF($E$4="LOW",'LABOR PRODUCTIVITY'!I223,IF($E$4="AVERAGE",'LABOR PRODUCTIVITY'!K223,'LABOR PRODUCTIVITY'!M223))</f>
        <v>0</v>
      </c>
      <c r="F223" s="119">
        <f t="shared" si="1"/>
        <v>0</v>
      </c>
    </row>
    <row r="224" ht="12.75" customHeight="1">
      <c r="A224" s="44" t="s">
        <v>223</v>
      </c>
      <c r="B224" s="44" t="s">
        <v>224</v>
      </c>
      <c r="D224" s="38" t="str">
        <f>CALCULATIONS!T224</f>
        <v>CU.M.</v>
      </c>
      <c r="E224" s="119">
        <f>IF($E$4="LOW",'LABOR PRODUCTIVITY'!I224,IF($E$4="AVERAGE",'LABOR PRODUCTIVITY'!K224,'LABOR PRODUCTIVITY'!M224))</f>
        <v>50.46527778</v>
      </c>
      <c r="F224" s="119">
        <f t="shared" si="1"/>
        <v>0</v>
      </c>
    </row>
    <row r="225" ht="12.75" customHeight="1">
      <c r="D225" s="38" t="str">
        <f>CALCULATIONS!T225</f>
        <v/>
      </c>
      <c r="E225" s="119">
        <f>IF($E$4="LOW",'LABOR PRODUCTIVITY'!I225,IF($E$4="AVERAGE",'LABOR PRODUCTIVITY'!K225,'LABOR PRODUCTIVITY'!M225))</f>
        <v>0</v>
      </c>
      <c r="F225" s="119">
        <f t="shared" si="1"/>
        <v>0</v>
      </c>
    </row>
    <row r="226" ht="12.75" customHeight="1">
      <c r="A226" s="45" t="s">
        <v>225</v>
      </c>
      <c r="B226" s="46" t="s">
        <v>226</v>
      </c>
      <c r="D226" s="38" t="str">
        <f>CALCULATIONS!T226</f>
        <v/>
      </c>
      <c r="E226" s="119">
        <f>IF($E$4="LOW",'LABOR PRODUCTIVITY'!I226,IF($E$4="AVERAGE",'LABOR PRODUCTIVITY'!K226,'LABOR PRODUCTIVITY'!M226))</f>
        <v>0</v>
      </c>
      <c r="F226" s="119">
        <f t="shared" si="1"/>
        <v>0</v>
      </c>
    </row>
    <row r="227" ht="12.75" customHeight="1">
      <c r="A227" s="38">
        <v>1.0</v>
      </c>
      <c r="B227" s="44" t="s">
        <v>227</v>
      </c>
      <c r="D227" s="38" t="str">
        <f>CALCULATIONS!T227</f>
        <v/>
      </c>
      <c r="E227" s="119">
        <f>IF($E$4="LOW",'LABOR PRODUCTIVITY'!I227,IF($E$4="AVERAGE",'LABOR PRODUCTIVITY'!K227,'LABOR PRODUCTIVITY'!M227))</f>
        <v>0</v>
      </c>
      <c r="F227" s="119">
        <f t="shared" si="1"/>
        <v>0</v>
      </c>
    </row>
    <row r="228" ht="12.75" customHeight="1">
      <c r="B228" s="44" t="s">
        <v>228</v>
      </c>
      <c r="D228" s="38" t="str">
        <f>CALCULATIONS!T228</f>
        <v>L.M.</v>
      </c>
      <c r="E228" s="119">
        <f>IF($E$4="LOW",'LABOR PRODUCTIVITY'!I228,IF($E$4="AVERAGE",'LABOR PRODUCTIVITY'!K228,'LABOR PRODUCTIVITY'!M228))</f>
        <v>31.10069444</v>
      </c>
      <c r="F228" s="119">
        <f t="shared" si="1"/>
        <v>0</v>
      </c>
    </row>
    <row r="229" ht="12.75" customHeight="1">
      <c r="B229" s="44" t="s">
        <v>229</v>
      </c>
      <c r="D229" s="38" t="str">
        <f>CALCULATIONS!T229</f>
        <v>L.M.</v>
      </c>
      <c r="E229" s="119">
        <f>IF($E$4="LOW",'LABOR PRODUCTIVITY'!I229,IF($E$4="AVERAGE",'LABOR PRODUCTIVITY'!K229,'LABOR PRODUCTIVITY'!M229))</f>
        <v>31.10069444</v>
      </c>
      <c r="F229" s="119">
        <f t="shared" si="1"/>
        <v>0</v>
      </c>
    </row>
    <row r="230" ht="12.75" customHeight="1">
      <c r="B230" s="44" t="s">
        <v>230</v>
      </c>
      <c r="D230" s="38" t="str">
        <f>CALCULATIONS!T230</f>
        <v>L.M.</v>
      </c>
      <c r="E230" s="119">
        <f>IF($E$4="LOW",'LABOR PRODUCTIVITY'!I230,IF($E$4="AVERAGE",'LABOR PRODUCTIVITY'!K230,'LABOR PRODUCTIVITY'!M230))</f>
        <v>34.62152778</v>
      </c>
      <c r="F230" s="119">
        <f t="shared" si="1"/>
        <v>0</v>
      </c>
    </row>
    <row r="231" ht="12.75" customHeight="1">
      <c r="B231" s="44" t="s">
        <v>231</v>
      </c>
      <c r="D231" s="38" t="str">
        <f>CALCULATIONS!T231</f>
        <v>L.M.</v>
      </c>
      <c r="E231" s="119">
        <f>IF($E$4="LOW",'LABOR PRODUCTIVITY'!I231,IF($E$4="AVERAGE",'LABOR PRODUCTIVITY'!K231,'LABOR PRODUCTIVITY'!M231))</f>
        <v>38.72916667</v>
      </c>
      <c r="F231" s="119">
        <f t="shared" si="1"/>
        <v>0</v>
      </c>
    </row>
    <row r="232" ht="12.75" customHeight="1">
      <c r="B232" s="44" t="s">
        <v>232</v>
      </c>
      <c r="D232" s="38" t="str">
        <f>CALCULATIONS!T232</f>
        <v>L.M.</v>
      </c>
      <c r="E232" s="119">
        <f>IF($E$4="LOW",'LABOR PRODUCTIVITY'!I232,IF($E$4="AVERAGE",'LABOR PRODUCTIVITY'!K232,'LABOR PRODUCTIVITY'!M232))</f>
        <v>41.07638889</v>
      </c>
      <c r="F232" s="119">
        <f t="shared" si="1"/>
        <v>0</v>
      </c>
    </row>
    <row r="233" ht="12.75" customHeight="1">
      <c r="B233" s="44" t="s">
        <v>233</v>
      </c>
      <c r="D233" s="38" t="str">
        <f>CALCULATIONS!T233</f>
        <v>L.M.</v>
      </c>
      <c r="E233" s="119">
        <f>IF($E$4="LOW",'LABOR PRODUCTIVITY'!I233,IF($E$4="AVERAGE",'LABOR PRODUCTIVITY'!K233,'LABOR PRODUCTIVITY'!M233))</f>
        <v>50.46527778</v>
      </c>
      <c r="F233" s="119">
        <f t="shared" si="1"/>
        <v>0</v>
      </c>
    </row>
    <row r="234" ht="12.75" customHeight="1">
      <c r="B234" s="44" t="s">
        <v>234</v>
      </c>
      <c r="D234" s="38" t="str">
        <f>CALCULATIONS!T234</f>
        <v>L.M.</v>
      </c>
      <c r="E234" s="119">
        <f>IF($E$4="LOW",'LABOR PRODUCTIVITY'!I234,IF($E$4="AVERAGE",'LABOR PRODUCTIVITY'!K234,'LABOR PRODUCTIVITY'!M234))</f>
        <v>53.98611111</v>
      </c>
      <c r="F234" s="119">
        <f t="shared" si="1"/>
        <v>0</v>
      </c>
    </row>
    <row r="235" ht="12.75" customHeight="1">
      <c r="B235" s="44" t="s">
        <v>235</v>
      </c>
      <c r="D235" s="38" t="str">
        <f>CALCULATIONS!T235</f>
        <v>L.M.</v>
      </c>
      <c r="E235" s="119">
        <f>IF($E$4="LOW",'LABOR PRODUCTIVITY'!I235,IF($E$4="AVERAGE",'LABOR PRODUCTIVITY'!K235,'LABOR PRODUCTIVITY'!M235))</f>
        <v>62.20138889</v>
      </c>
      <c r="F235" s="119">
        <f t="shared" si="1"/>
        <v>0</v>
      </c>
    </row>
    <row r="236" ht="12.75" customHeight="1">
      <c r="A236" s="38">
        <v>2.0</v>
      </c>
      <c r="B236" s="44" t="s">
        <v>236</v>
      </c>
      <c r="D236" s="38" t="str">
        <f>CALCULATIONS!T236</f>
        <v/>
      </c>
      <c r="E236" s="119">
        <f>IF($E$4="LOW",'LABOR PRODUCTIVITY'!I236,IF($E$4="AVERAGE",'LABOR PRODUCTIVITY'!K236,'LABOR PRODUCTIVITY'!M236))</f>
        <v>0</v>
      </c>
      <c r="F236" s="119">
        <f t="shared" si="1"/>
        <v>0</v>
      </c>
    </row>
    <row r="237" ht="12.75" customHeight="1">
      <c r="B237" s="49" t="s">
        <v>237</v>
      </c>
      <c r="D237" s="38" t="str">
        <f>CALCULATIONS!T237</f>
        <v>L.M.</v>
      </c>
      <c r="E237" s="119">
        <f>IF($E$4="LOW",'LABOR PRODUCTIVITY'!I237,IF($E$4="AVERAGE",'LABOR PRODUCTIVITY'!K237,'LABOR PRODUCTIVITY'!M237))</f>
        <v>102.6909722</v>
      </c>
      <c r="F237" s="119">
        <f t="shared" si="1"/>
        <v>0</v>
      </c>
    </row>
    <row r="238" ht="12.75" customHeight="1">
      <c r="B238" s="49" t="s">
        <v>235</v>
      </c>
      <c r="D238" s="38" t="str">
        <f>CALCULATIONS!T238</f>
        <v>L.M.</v>
      </c>
      <c r="E238" s="119">
        <f>IF($E$4="LOW",'LABOR PRODUCTIVITY'!I238,IF($E$4="AVERAGE",'LABOR PRODUCTIVITY'!K238,'LABOR PRODUCTIVITY'!M238))</f>
        <v>154.3298611</v>
      </c>
      <c r="F238" s="119">
        <f t="shared" si="1"/>
        <v>0</v>
      </c>
    </row>
    <row r="239" ht="12.75" customHeight="1">
      <c r="B239" s="49" t="s">
        <v>238</v>
      </c>
      <c r="D239" s="38" t="str">
        <f>CALCULATIONS!T239</f>
        <v>L.M.</v>
      </c>
      <c r="E239" s="119">
        <f>IF($E$4="LOW",'LABOR PRODUCTIVITY'!I239,IF($E$4="AVERAGE",'LABOR PRODUCTIVITY'!K239,'LABOR PRODUCTIVITY'!M239))</f>
        <v>231.2013889</v>
      </c>
      <c r="F239" s="119">
        <f t="shared" si="1"/>
        <v>0</v>
      </c>
    </row>
    <row r="240" ht="12.75" customHeight="1">
      <c r="B240" s="49" t="s">
        <v>239</v>
      </c>
      <c r="D240" s="38" t="str">
        <f>CALCULATIONS!T240</f>
        <v>L.M.</v>
      </c>
      <c r="E240" s="119">
        <f>IF($E$4="LOW",'LABOR PRODUCTIVITY'!I240,IF($E$4="AVERAGE",'LABOR PRODUCTIVITY'!K240,'LABOR PRODUCTIVITY'!M240))</f>
        <v>308.6597222</v>
      </c>
      <c r="F240" s="119">
        <f t="shared" si="1"/>
        <v>0</v>
      </c>
    </row>
    <row r="241" ht="12.75" customHeight="1">
      <c r="B241" s="49" t="s">
        <v>240</v>
      </c>
      <c r="D241" s="38" t="str">
        <f>CALCULATIONS!T241</f>
        <v>L.M.</v>
      </c>
      <c r="E241" s="119">
        <f>IF($E$4="LOW",'LABOR PRODUCTIVITY'!I241,IF($E$4="AVERAGE",'LABOR PRODUCTIVITY'!K241,'LABOR PRODUCTIVITY'!M241))</f>
        <v>468.2708333</v>
      </c>
      <c r="F241" s="119">
        <f t="shared" si="1"/>
        <v>0</v>
      </c>
    </row>
    <row r="242" ht="12.75" customHeight="1">
      <c r="B242" s="49" t="s">
        <v>241</v>
      </c>
      <c r="D242" s="38" t="str">
        <f>CALCULATIONS!T242</f>
        <v>L.M.</v>
      </c>
      <c r="E242" s="119">
        <f>IF($E$4="LOW",'LABOR PRODUCTIVITY'!I242,IF($E$4="AVERAGE",'LABOR PRODUCTIVITY'!K242,'LABOR PRODUCTIVITY'!M242))</f>
        <v>484.1145833</v>
      </c>
      <c r="F242" s="119">
        <f t="shared" si="1"/>
        <v>0</v>
      </c>
    </row>
    <row r="243" ht="12.75" customHeight="1">
      <c r="B243" s="49" t="s">
        <v>242</v>
      </c>
      <c r="D243" s="38" t="str">
        <f>CALCULATIONS!T243</f>
        <v>L.M.</v>
      </c>
      <c r="E243" s="119">
        <f>IF($E$4="LOW",'LABOR PRODUCTIVITY'!I243,IF($E$4="AVERAGE",'LABOR PRODUCTIVITY'!K243,'LABOR PRODUCTIVITY'!M243))</f>
        <v>565.6805556</v>
      </c>
      <c r="F243" s="119">
        <f t="shared" si="1"/>
        <v>0</v>
      </c>
    </row>
    <row r="244" ht="12.75" customHeight="1">
      <c r="B244" s="49" t="s">
        <v>243</v>
      </c>
      <c r="D244" s="38" t="str">
        <f>CALCULATIONS!T244</f>
        <v>L.M.</v>
      </c>
      <c r="E244" s="119">
        <f>IF($E$4="LOW",'LABOR PRODUCTIVITY'!I244,IF($E$4="AVERAGE",'LABOR PRODUCTIVITY'!K244,'LABOR PRODUCTIVITY'!M244))</f>
        <v>642.5520833</v>
      </c>
      <c r="F244" s="119">
        <f t="shared" si="1"/>
        <v>0</v>
      </c>
    </row>
    <row r="245" ht="12.75" customHeight="1">
      <c r="B245" s="49" t="s">
        <v>244</v>
      </c>
      <c r="D245" s="38" t="str">
        <f>CALCULATIONS!T245</f>
        <v>L.M.</v>
      </c>
      <c r="E245" s="119">
        <f>IF($E$4="LOW",'LABOR PRODUCTIVITY'!I245,IF($E$4="AVERAGE",'LABOR PRODUCTIVITY'!K245,'LABOR PRODUCTIVITY'!M245))</f>
        <v>720.0104167</v>
      </c>
      <c r="F245" s="119">
        <f t="shared" si="1"/>
        <v>0</v>
      </c>
    </row>
    <row r="246" ht="12.75" customHeight="1">
      <c r="B246" s="49" t="s">
        <v>245</v>
      </c>
      <c r="D246" s="38" t="str">
        <f>CALCULATIONS!T246</f>
        <v>L.M.</v>
      </c>
      <c r="E246" s="119">
        <f>IF($E$4="LOW",'LABOR PRODUCTIVITY'!I246,IF($E$4="AVERAGE",'LABOR PRODUCTIVITY'!K246,'LABOR PRODUCTIVITY'!M246))</f>
        <v>771.0625</v>
      </c>
      <c r="F246" s="119">
        <f t="shared" si="1"/>
        <v>0</v>
      </c>
    </row>
    <row r="247" ht="12.75" customHeight="1">
      <c r="B247" s="49" t="s">
        <v>246</v>
      </c>
      <c r="D247" s="38" t="str">
        <f>CALCULATIONS!T247</f>
        <v>L.M.</v>
      </c>
      <c r="E247" s="119">
        <f>IF($E$4="LOW",'LABOR PRODUCTIVITY'!I247,IF($E$4="AVERAGE",'LABOR PRODUCTIVITY'!K247,'LABOR PRODUCTIVITY'!M247))</f>
        <v>848.5208333</v>
      </c>
      <c r="F247" s="119">
        <f t="shared" si="1"/>
        <v>0</v>
      </c>
    </row>
    <row r="248" ht="12.75" customHeight="1">
      <c r="B248" s="49" t="s">
        <v>247</v>
      </c>
      <c r="D248" s="38" t="str">
        <f>CALCULATIONS!T248</f>
        <v>L.M.</v>
      </c>
      <c r="E248" s="119">
        <f>IF($E$4="LOW",'LABOR PRODUCTIVITY'!I248,IF($E$4="AVERAGE",'LABOR PRODUCTIVITY'!K248,'LABOR PRODUCTIVITY'!M248))</f>
        <v>964.1215278</v>
      </c>
      <c r="F248" s="119">
        <f t="shared" si="1"/>
        <v>0</v>
      </c>
    </row>
    <row r="249" ht="12.75" customHeight="1">
      <c r="A249" s="50">
        <v>3.0</v>
      </c>
      <c r="B249" s="44" t="s">
        <v>248</v>
      </c>
      <c r="D249" s="38" t="str">
        <f>CALCULATIONS!T249</f>
        <v/>
      </c>
      <c r="E249" s="119">
        <f>IF($E$4="LOW",'LABOR PRODUCTIVITY'!I249,IF($E$4="AVERAGE",'LABOR PRODUCTIVITY'!K249,'LABOR PRODUCTIVITY'!M249))</f>
        <v>0</v>
      </c>
      <c r="F249" s="119">
        <f t="shared" si="1"/>
        <v>0</v>
      </c>
    </row>
    <row r="250" ht="12.75" customHeight="1">
      <c r="B250" s="44" t="s">
        <v>249</v>
      </c>
      <c r="D250" s="38" t="str">
        <f>CALCULATIONS!T250</f>
        <v>L.M.</v>
      </c>
      <c r="E250" s="119">
        <f>IF($E$4="LOW",'LABOR PRODUCTIVITY'!I250,IF($E$4="AVERAGE",'LABOR PRODUCTIVITY'!K250,'LABOR PRODUCTIVITY'!M250))</f>
        <v>8.802083333</v>
      </c>
      <c r="F250" s="119">
        <f t="shared" si="1"/>
        <v>0</v>
      </c>
    </row>
    <row r="251" ht="12.75" customHeight="1">
      <c r="B251" s="44" t="s">
        <v>250</v>
      </c>
      <c r="D251" s="38" t="str">
        <f>CALCULATIONS!T251</f>
        <v>L.M.</v>
      </c>
      <c r="E251" s="119">
        <f>IF($E$4="LOW",'LABOR PRODUCTIVITY'!I251,IF($E$4="AVERAGE",'LABOR PRODUCTIVITY'!K251,'LABOR PRODUCTIVITY'!M251))</f>
        <v>34.62152778</v>
      </c>
      <c r="F251" s="119">
        <f t="shared" si="1"/>
        <v>0</v>
      </c>
    </row>
    <row r="252" ht="12.75" customHeight="1">
      <c r="B252" s="44" t="s">
        <v>231</v>
      </c>
      <c r="D252" s="38" t="str">
        <f>CALCULATIONS!T252</f>
        <v>L.M.</v>
      </c>
      <c r="E252" s="119">
        <f>IF($E$4="LOW",'LABOR PRODUCTIVITY'!I252,IF($E$4="AVERAGE",'LABOR PRODUCTIVITY'!K252,'LABOR PRODUCTIVITY'!M252))</f>
        <v>38.72916667</v>
      </c>
      <c r="F252" s="119">
        <f t="shared" si="1"/>
        <v>0</v>
      </c>
    </row>
    <row r="253" ht="12.75" customHeight="1">
      <c r="B253" s="44" t="s">
        <v>232</v>
      </c>
      <c r="D253" s="38" t="str">
        <f>CALCULATIONS!T253</f>
        <v>L.M.</v>
      </c>
      <c r="E253" s="119">
        <f>IF($E$4="LOW",'LABOR PRODUCTIVITY'!I253,IF($E$4="AVERAGE",'LABOR PRODUCTIVITY'!K253,'LABOR PRODUCTIVITY'!M253))</f>
        <v>45.77083333</v>
      </c>
      <c r="F253" s="119">
        <f t="shared" si="1"/>
        <v>0</v>
      </c>
    </row>
    <row r="254" ht="12.75" customHeight="1">
      <c r="B254" s="44" t="s">
        <v>233</v>
      </c>
      <c r="D254" s="38" t="str">
        <f>CALCULATIONS!T254</f>
        <v>L.M.</v>
      </c>
      <c r="E254" s="119">
        <f>IF($E$4="LOW",'LABOR PRODUCTIVITY'!I254,IF($E$4="AVERAGE",'LABOR PRODUCTIVITY'!K254,'LABOR PRODUCTIVITY'!M254))</f>
        <v>50.46527778</v>
      </c>
      <c r="F254" s="119">
        <f t="shared" si="1"/>
        <v>0</v>
      </c>
    </row>
    <row r="255" ht="12.75" customHeight="1">
      <c r="B255" s="44" t="s">
        <v>235</v>
      </c>
      <c r="D255" s="38" t="str">
        <f>CALCULATIONS!T255</f>
        <v>L.M.</v>
      </c>
      <c r="E255" s="119">
        <f>IF($E$4="LOW",'LABOR PRODUCTIVITY'!I255,IF($E$4="AVERAGE",'LABOR PRODUCTIVITY'!K255,'LABOR PRODUCTIVITY'!M255))</f>
        <v>61.61458333</v>
      </c>
      <c r="F255" s="119">
        <f t="shared" si="1"/>
        <v>0</v>
      </c>
    </row>
    <row r="256" ht="12.75" customHeight="1">
      <c r="B256" s="44" t="s">
        <v>251</v>
      </c>
      <c r="D256" s="38" t="str">
        <f>CALCULATIONS!T256</f>
        <v>L.M.</v>
      </c>
      <c r="E256" s="119">
        <f>IF($E$4="LOW",'LABOR PRODUCTIVITY'!I256,IF($E$4="AVERAGE",'LABOR PRODUCTIVITY'!K256,'LABOR PRODUCTIVITY'!M256))</f>
        <v>76.87152778</v>
      </c>
      <c r="F256" s="119">
        <f t="shared" si="1"/>
        <v>0</v>
      </c>
    </row>
    <row r="257" ht="12.75" customHeight="1">
      <c r="B257" s="44" t="s">
        <v>238</v>
      </c>
      <c r="D257" s="38" t="str">
        <f>CALCULATIONS!T257</f>
        <v>L.M.</v>
      </c>
      <c r="E257" s="119">
        <f>IF($E$4="LOW",'LABOR PRODUCTIVITY'!I257,IF($E$4="AVERAGE",'LABOR PRODUCTIVITY'!K257,'LABOR PRODUCTIVITY'!M257))</f>
        <v>115.6006944</v>
      </c>
      <c r="F257" s="119">
        <f t="shared" si="1"/>
        <v>0</v>
      </c>
    </row>
    <row r="258" ht="12.75" customHeight="1">
      <c r="A258" s="38">
        <v>4.0</v>
      </c>
      <c r="B258" s="44" t="s">
        <v>252</v>
      </c>
      <c r="D258" s="38" t="str">
        <f>CALCULATIONS!T258</f>
        <v/>
      </c>
      <c r="E258" s="119">
        <f>IF($E$4="LOW",'LABOR PRODUCTIVITY'!I258,IF($E$4="AVERAGE",'LABOR PRODUCTIVITY'!K258,'LABOR PRODUCTIVITY'!M258))</f>
        <v>0</v>
      </c>
      <c r="F258" s="119">
        <f t="shared" si="1"/>
        <v>0</v>
      </c>
    </row>
    <row r="259" ht="12.75" customHeight="1">
      <c r="B259" s="51" t="s">
        <v>253</v>
      </c>
      <c r="D259" s="38" t="str">
        <f>CALCULATIONS!T259</f>
        <v>L.M.</v>
      </c>
      <c r="E259" s="119">
        <f>IF($E$4="LOW",'LABOR PRODUCTIVITY'!I259,IF($E$4="AVERAGE",'LABOR PRODUCTIVITY'!K259,'LABOR PRODUCTIVITY'!M259))</f>
        <v>187.7777778</v>
      </c>
      <c r="F259" s="119">
        <f t="shared" si="1"/>
        <v>0</v>
      </c>
    </row>
    <row r="260" ht="12.75" customHeight="1">
      <c r="B260" s="51" t="s">
        <v>254</v>
      </c>
      <c r="D260" s="38" t="str">
        <f>CALCULATIONS!T260</f>
        <v>L.M.</v>
      </c>
      <c r="E260" s="119">
        <f>IF($E$4="LOW",'LABOR PRODUCTIVITY'!I260,IF($E$4="AVERAGE",'LABOR PRODUCTIVITY'!K260,'LABOR PRODUCTIVITY'!M260))</f>
        <v>300.4444444</v>
      </c>
      <c r="F260" s="119">
        <f t="shared" si="1"/>
        <v>0</v>
      </c>
    </row>
    <row r="261" ht="12.75" customHeight="1">
      <c r="B261" s="51" t="s">
        <v>255</v>
      </c>
      <c r="D261" s="38" t="str">
        <f>CALCULATIONS!T261</f>
        <v>L.M.</v>
      </c>
      <c r="E261" s="119">
        <f>IF($E$4="LOW",'LABOR PRODUCTIVITY'!I261,IF($E$4="AVERAGE",'LABOR PRODUCTIVITY'!K261,'LABOR PRODUCTIVITY'!M261))</f>
        <v>501.1319444</v>
      </c>
      <c r="F261" s="119">
        <f t="shared" si="1"/>
        <v>0</v>
      </c>
    </row>
    <row r="262" ht="12.75" customHeight="1">
      <c r="B262" s="51" t="s">
        <v>256</v>
      </c>
      <c r="D262" s="38" t="str">
        <f>CALCULATIONS!T262</f>
        <v>L.M.</v>
      </c>
      <c r="E262" s="119">
        <f>IF($E$4="LOW",'LABOR PRODUCTIVITY'!I262,IF($E$4="AVERAGE",'LABOR PRODUCTIVITY'!K262,'LABOR PRODUCTIVITY'!M262))</f>
        <v>62.20138889</v>
      </c>
      <c r="F262" s="119">
        <f t="shared" si="1"/>
        <v>0</v>
      </c>
    </row>
    <row r="263" ht="12.75" customHeight="1">
      <c r="D263" s="38" t="str">
        <f>CALCULATIONS!T263</f>
        <v/>
      </c>
      <c r="E263" s="119">
        <f>IF($E$4="LOW",'LABOR PRODUCTIVITY'!I263,IF($E$4="AVERAGE",'LABOR PRODUCTIVITY'!K263,'LABOR PRODUCTIVITY'!M263))</f>
        <v>0</v>
      </c>
      <c r="F263" s="119">
        <f t="shared" si="1"/>
        <v>0</v>
      </c>
    </row>
    <row r="264" ht="12.75" customHeight="1">
      <c r="B264" s="44" t="s">
        <v>257</v>
      </c>
      <c r="D264" s="38" t="str">
        <f>CALCULATIONS!T264</f>
        <v>EACH</v>
      </c>
      <c r="E264" s="119">
        <f>IF($E$4="LOW",'LABOR PRODUCTIVITY'!I264,IF($E$4="AVERAGE",'LABOR PRODUCTIVITY'!K264,'LABOR PRODUCTIVITY'!M264))</f>
        <v>375.5555556</v>
      </c>
      <c r="F264" s="119">
        <f t="shared" si="1"/>
        <v>0</v>
      </c>
    </row>
    <row r="265" ht="12.75" customHeight="1">
      <c r="B265" s="44" t="s">
        <v>258</v>
      </c>
      <c r="D265" s="38" t="str">
        <f>CALCULATIONS!T265</f>
        <v>EACH</v>
      </c>
      <c r="E265" s="119">
        <f>IF($E$4="LOW",'LABOR PRODUCTIVITY'!I265,IF($E$4="AVERAGE",'LABOR PRODUCTIVITY'!K265,'LABOR PRODUCTIVITY'!M265))</f>
        <v>563.3333333</v>
      </c>
      <c r="F265" s="119">
        <f t="shared" si="1"/>
        <v>0</v>
      </c>
    </row>
    <row r="266" ht="12.75" customHeight="1">
      <c r="B266" s="44" t="s">
        <v>259</v>
      </c>
      <c r="D266" s="38" t="str">
        <f>CALCULATIONS!T266</f>
        <v>EACH</v>
      </c>
      <c r="E266" s="119">
        <f>IF($E$4="LOW",'LABOR PRODUCTIVITY'!I266,IF($E$4="AVERAGE",'LABOR PRODUCTIVITY'!K266,'LABOR PRODUCTIVITY'!M266))</f>
        <v>1126.666667</v>
      </c>
      <c r="F266" s="119">
        <f t="shared" si="1"/>
        <v>0</v>
      </c>
    </row>
    <row r="267" ht="12.75" customHeight="1">
      <c r="B267" s="44" t="s">
        <v>260</v>
      </c>
      <c r="D267" s="38" t="str">
        <f>CALCULATIONS!T267</f>
        <v>EACH</v>
      </c>
      <c r="E267" s="119">
        <f>IF($E$4="LOW",'LABOR PRODUCTIVITY'!I267,IF($E$4="AVERAGE",'LABOR PRODUCTIVITY'!K267,'LABOR PRODUCTIVITY'!M267))</f>
        <v>751.1111111</v>
      </c>
      <c r="F267" s="119">
        <f t="shared" si="1"/>
        <v>0</v>
      </c>
    </row>
    <row r="268" ht="12.75" customHeight="1">
      <c r="B268" s="44" t="s">
        <v>261</v>
      </c>
      <c r="D268" s="38" t="str">
        <f>CALCULATIONS!T268</f>
        <v>EACH</v>
      </c>
      <c r="E268" s="119">
        <f>IF($E$4="LOW",'LABOR PRODUCTIVITY'!I268,IF($E$4="AVERAGE",'LABOR PRODUCTIVITY'!K268,'LABOR PRODUCTIVITY'!M268))</f>
        <v>469.4444444</v>
      </c>
      <c r="F268" s="119">
        <f t="shared" si="1"/>
        <v>0</v>
      </c>
    </row>
    <row r="269" ht="12.75" customHeight="1">
      <c r="B269" s="44" t="s">
        <v>262</v>
      </c>
      <c r="D269" s="38" t="str">
        <f>CALCULATIONS!T269</f>
        <v>EACH</v>
      </c>
      <c r="E269" s="119">
        <f>IF($E$4="LOW",'LABOR PRODUCTIVITY'!I269,IF($E$4="AVERAGE",'LABOR PRODUCTIVITY'!K269,'LABOR PRODUCTIVITY'!M269))</f>
        <v>1690</v>
      </c>
      <c r="F269" s="119">
        <f t="shared" si="1"/>
        <v>0</v>
      </c>
    </row>
    <row r="270" ht="12.75" customHeight="1">
      <c r="B270" s="44" t="s">
        <v>263</v>
      </c>
      <c r="D270" s="38" t="str">
        <f>CALCULATIONS!T270</f>
        <v>EACH</v>
      </c>
      <c r="E270" s="119">
        <f>IF($E$4="LOW",'LABOR PRODUCTIVITY'!I270,IF($E$4="AVERAGE",'LABOR PRODUCTIVITY'!K270,'LABOR PRODUCTIVITY'!M270))</f>
        <v>1126.666667</v>
      </c>
      <c r="F270" s="119">
        <f t="shared" si="1"/>
        <v>0</v>
      </c>
    </row>
    <row r="271" ht="12.75" customHeight="1">
      <c r="B271" s="44" t="s">
        <v>264</v>
      </c>
      <c r="D271" s="38" t="str">
        <f>CALCULATIONS!T271</f>
        <v>EACH</v>
      </c>
      <c r="E271" s="119">
        <f>IF($E$4="LOW",'LABOR PRODUCTIVITY'!I271,IF($E$4="AVERAGE",'LABOR PRODUCTIVITY'!K271,'LABOR PRODUCTIVITY'!M271))</f>
        <v>657.2222222</v>
      </c>
      <c r="F271" s="119">
        <f t="shared" si="1"/>
        <v>0</v>
      </c>
    </row>
    <row r="272" ht="12.75" customHeight="1">
      <c r="B272" s="44" t="s">
        <v>265</v>
      </c>
      <c r="D272" s="38" t="str">
        <f>CALCULATIONS!T272</f>
        <v>EACH</v>
      </c>
      <c r="E272" s="119">
        <f>IF($E$4="LOW",'LABOR PRODUCTIVITY'!I272,IF($E$4="AVERAGE",'LABOR PRODUCTIVITY'!K272,'LABOR PRODUCTIVITY'!M272))</f>
        <v>657.2222222</v>
      </c>
      <c r="F272" s="119">
        <f t="shared" si="1"/>
        <v>0</v>
      </c>
    </row>
    <row r="273" ht="12.75" customHeight="1">
      <c r="B273" s="44" t="s">
        <v>266</v>
      </c>
      <c r="D273" s="38" t="str">
        <f>CALCULATIONS!T273</f>
        <v>EACH</v>
      </c>
      <c r="E273" s="119">
        <f>IF($E$4="LOW",'LABOR PRODUCTIVITY'!I273,IF($E$4="AVERAGE",'LABOR PRODUCTIVITY'!K273,'LABOR PRODUCTIVITY'!M273))</f>
        <v>1220.555556</v>
      </c>
      <c r="F273" s="119">
        <f t="shared" si="1"/>
        <v>0</v>
      </c>
    </row>
    <row r="274" ht="12.75" customHeight="1">
      <c r="B274" s="44" t="s">
        <v>267</v>
      </c>
      <c r="D274" s="38" t="str">
        <f>CALCULATIONS!T274</f>
        <v>EACH</v>
      </c>
      <c r="E274" s="119">
        <f>IF($E$4="LOW",'LABOR PRODUCTIVITY'!I274,IF($E$4="AVERAGE",'LABOR PRODUCTIVITY'!K274,'LABOR PRODUCTIVITY'!M274))</f>
        <v>610.2777778</v>
      </c>
      <c r="F274" s="119">
        <f t="shared" si="1"/>
        <v>0</v>
      </c>
    </row>
    <row r="275" ht="12.75" customHeight="1">
      <c r="B275" s="44" t="s">
        <v>268</v>
      </c>
      <c r="D275" s="38" t="str">
        <f>CALCULATIONS!T275</f>
        <v>EACH</v>
      </c>
      <c r="E275" s="119">
        <f>IF($E$4="LOW",'LABOR PRODUCTIVITY'!I275,IF($E$4="AVERAGE",'LABOR PRODUCTIVITY'!K275,'LABOR PRODUCTIVITY'!M275))</f>
        <v>375.5555556</v>
      </c>
      <c r="F275" s="119">
        <f t="shared" si="1"/>
        <v>0</v>
      </c>
    </row>
    <row r="276" ht="12.75" customHeight="1">
      <c r="B276" s="44" t="s">
        <v>269</v>
      </c>
      <c r="D276" s="38" t="str">
        <f>CALCULATIONS!T276</f>
        <v>EACH</v>
      </c>
      <c r="E276" s="119">
        <f>IF($E$4="LOW",'LABOR PRODUCTIVITY'!I276,IF($E$4="AVERAGE",'LABOR PRODUCTIVITY'!K276,'LABOR PRODUCTIVITY'!M276))</f>
        <v>93.88888889</v>
      </c>
      <c r="F276" s="119">
        <f t="shared" si="1"/>
        <v>0</v>
      </c>
    </row>
    <row r="277" ht="12.75" customHeight="1">
      <c r="B277" s="44" t="s">
        <v>270</v>
      </c>
      <c r="D277" s="38" t="str">
        <f>CALCULATIONS!T277</f>
        <v>EACH</v>
      </c>
      <c r="E277" s="119">
        <f>IF($E$4="LOW",'LABOR PRODUCTIVITY'!I277,IF($E$4="AVERAGE",'LABOR PRODUCTIVITY'!K277,'LABOR PRODUCTIVITY'!M277))</f>
        <v>375.5555556</v>
      </c>
      <c r="F277" s="119">
        <f t="shared" si="1"/>
        <v>0</v>
      </c>
    </row>
    <row r="278" ht="12.75" customHeight="1">
      <c r="B278" s="44" t="s">
        <v>271</v>
      </c>
      <c r="D278" s="38" t="str">
        <f>CALCULATIONS!T278</f>
        <v>PIPE</v>
      </c>
      <c r="E278" s="119">
        <f>IF($E$4="LOW",'LABOR PRODUCTIVITY'!I278,IF($E$4="AVERAGE",'LABOR PRODUCTIVITY'!K278,'LABOR PRODUCTIVITY'!M278))</f>
        <v>187.7777778</v>
      </c>
      <c r="F278" s="119">
        <f t="shared" si="1"/>
        <v>0</v>
      </c>
    </row>
    <row r="279" ht="12.75" customHeight="1">
      <c r="B279" s="44" t="s">
        <v>272</v>
      </c>
      <c r="D279" s="38" t="str">
        <f>CALCULATIONS!T279</f>
        <v>PIPE</v>
      </c>
      <c r="E279" s="119">
        <f>IF($E$4="LOW",'LABOR PRODUCTIVITY'!I279,IF($E$4="AVERAGE",'LABOR PRODUCTIVITY'!K279,'LABOR PRODUCTIVITY'!M279))</f>
        <v>300.4444444</v>
      </c>
      <c r="F279" s="119">
        <f t="shared" si="1"/>
        <v>0</v>
      </c>
    </row>
    <row r="280" ht="12.75" customHeight="1">
      <c r="B280" s="44" t="s">
        <v>273</v>
      </c>
      <c r="D280" s="38" t="str">
        <f>CALCULATIONS!T280</f>
        <v>PIPE</v>
      </c>
      <c r="E280" s="119">
        <f>IF($E$4="LOW",'LABOR PRODUCTIVITY'!I280,IF($E$4="AVERAGE",'LABOR PRODUCTIVITY'!K280,'LABOR PRODUCTIVITY'!M280))</f>
        <v>500.5451389</v>
      </c>
      <c r="F280" s="119">
        <f t="shared" si="1"/>
        <v>0</v>
      </c>
    </row>
    <row r="281" ht="12.75" customHeight="1">
      <c r="D281" s="38" t="str">
        <f>CALCULATIONS!T281</f>
        <v/>
      </c>
      <c r="E281" s="119">
        <f>IF($E$4="LOW",'LABOR PRODUCTIVITY'!I281,IF($E$4="AVERAGE",'LABOR PRODUCTIVITY'!K281,'LABOR PRODUCTIVITY'!M281))</f>
        <v>0</v>
      </c>
      <c r="F281" s="119">
        <f t="shared" si="1"/>
        <v>0</v>
      </c>
    </row>
    <row r="282" ht="12.75" customHeight="1">
      <c r="A282" s="45" t="s">
        <v>274</v>
      </c>
      <c r="B282" s="52" t="s">
        <v>275</v>
      </c>
      <c r="D282" s="38" t="str">
        <f>CALCULATIONS!T282</f>
        <v/>
      </c>
      <c r="E282" s="119">
        <f>IF($E$4="LOW",'LABOR PRODUCTIVITY'!I282,IF($E$4="AVERAGE",'LABOR PRODUCTIVITY'!K282,'LABOR PRODUCTIVITY'!M282))</f>
        <v>0</v>
      </c>
      <c r="F282" s="119">
        <f t="shared" si="1"/>
        <v>0</v>
      </c>
    </row>
    <row r="283" ht="12.75" customHeight="1">
      <c r="B283" s="51" t="s">
        <v>276</v>
      </c>
      <c r="D283" s="38" t="str">
        <f>CALCULATIONS!T283</f>
        <v/>
      </c>
      <c r="E283" s="119">
        <f>IF($E$4="LOW",'LABOR PRODUCTIVITY'!I283,IF($E$4="AVERAGE",'LABOR PRODUCTIVITY'!K283,'LABOR PRODUCTIVITY'!M283))</f>
        <v>0</v>
      </c>
      <c r="F283" s="119">
        <f t="shared" si="1"/>
        <v>0</v>
      </c>
    </row>
    <row r="284" ht="12.75" customHeight="1">
      <c r="B284" s="53" t="s">
        <v>277</v>
      </c>
      <c r="D284" s="38" t="str">
        <f>CALCULATIONS!T284</f>
        <v/>
      </c>
      <c r="E284" s="119">
        <f>IF($E$4="LOW",'LABOR PRODUCTIVITY'!I284,IF($E$4="AVERAGE",'LABOR PRODUCTIVITY'!K284,'LABOR PRODUCTIVITY'!M284))</f>
        <v>0</v>
      </c>
      <c r="F284" s="119">
        <f t="shared" si="1"/>
        <v>0</v>
      </c>
    </row>
    <row r="285" ht="12.75" customHeight="1">
      <c r="B285" s="44" t="s">
        <v>278</v>
      </c>
      <c r="D285" s="38" t="str">
        <f>CALCULATIONS!T285</f>
        <v>S.M.</v>
      </c>
      <c r="E285" s="119">
        <f>IF($E$4="LOW",'LABOR PRODUCTIVITY'!I285,IF($E$4="AVERAGE",'LABOR PRODUCTIVITY'!K285,'LABOR PRODUCTIVITY'!M285))</f>
        <v>117.3611111</v>
      </c>
      <c r="F285" s="119">
        <f t="shared" si="1"/>
        <v>0</v>
      </c>
    </row>
    <row r="286" ht="12.75" customHeight="1">
      <c r="B286" s="44" t="s">
        <v>279</v>
      </c>
      <c r="D286" s="38" t="str">
        <f>CALCULATIONS!T286</f>
        <v>S.M.</v>
      </c>
      <c r="E286" s="119">
        <f>IF($E$4="LOW",'LABOR PRODUCTIVITY'!I286,IF($E$4="AVERAGE",'LABOR PRODUCTIVITY'!K286,'LABOR PRODUCTIVITY'!M286))</f>
        <v>563.3333333</v>
      </c>
      <c r="F286" s="119">
        <f t="shared" si="1"/>
        <v>0</v>
      </c>
    </row>
    <row r="287" ht="12.75" customHeight="1">
      <c r="B287" s="44" t="s">
        <v>280</v>
      </c>
      <c r="D287" s="38" t="str">
        <f>CALCULATIONS!T287</f>
        <v>S.M.</v>
      </c>
      <c r="E287" s="119">
        <f>IF($E$4="LOW",'LABOR PRODUCTIVITY'!I287,IF($E$4="AVERAGE",'LABOR PRODUCTIVITY'!K287,'LABOR PRODUCTIVITY'!M287))</f>
        <v>234.7222222</v>
      </c>
      <c r="F287" s="119">
        <f t="shared" si="1"/>
        <v>0</v>
      </c>
    </row>
    <row r="288" ht="12.75" customHeight="1">
      <c r="B288" s="44" t="s">
        <v>281</v>
      </c>
      <c r="D288" s="38" t="str">
        <f>CALCULATIONS!T288</f>
        <v>S.M.</v>
      </c>
      <c r="E288" s="119">
        <f>IF($E$4="LOW",'LABOR PRODUCTIVITY'!I288,IF($E$4="AVERAGE",'LABOR PRODUCTIVITY'!K288,'LABOR PRODUCTIVITY'!M288))</f>
        <v>234.7222222</v>
      </c>
      <c r="F288" s="119">
        <f t="shared" si="1"/>
        <v>0</v>
      </c>
    </row>
    <row r="289" ht="12.75" customHeight="1">
      <c r="B289" s="44" t="s">
        <v>282</v>
      </c>
      <c r="D289" s="38" t="str">
        <f>CALCULATIONS!T289</f>
        <v/>
      </c>
      <c r="E289" s="119">
        <f>IF($E$4="LOW",'LABOR PRODUCTIVITY'!I289,IF($E$4="AVERAGE",'LABOR PRODUCTIVITY'!K289,'LABOR PRODUCTIVITY'!M289))</f>
        <v>0</v>
      </c>
      <c r="F289" s="119">
        <f t="shared" si="1"/>
        <v>0</v>
      </c>
    </row>
    <row r="290" ht="12.75" customHeight="1">
      <c r="B290" s="44" t="s">
        <v>283</v>
      </c>
      <c r="D290" s="38" t="str">
        <f>CALCULATIONS!T290</f>
        <v>S.M.</v>
      </c>
      <c r="E290" s="119">
        <f>IF($E$4="LOW",'LABOR PRODUCTIVITY'!I290,IF($E$4="AVERAGE",'LABOR PRODUCTIVITY'!K290,'LABOR PRODUCTIVITY'!M290))</f>
        <v>798.0555556</v>
      </c>
      <c r="F290" s="119">
        <f t="shared" si="1"/>
        <v>0</v>
      </c>
    </row>
    <row r="291" ht="12.75" customHeight="1">
      <c r="B291" s="44" t="s">
        <v>284</v>
      </c>
      <c r="D291" s="38" t="str">
        <f>CALCULATIONS!T291</f>
        <v>S.M.</v>
      </c>
      <c r="E291" s="119">
        <f>IF($E$4="LOW",'LABOR PRODUCTIVITY'!I291,IF($E$4="AVERAGE",'LABOR PRODUCTIVITY'!K291,'LABOR PRODUCTIVITY'!M291))</f>
        <v>1408.333333</v>
      </c>
      <c r="F291" s="119">
        <f t="shared" si="1"/>
        <v>0</v>
      </c>
    </row>
    <row r="292" ht="12.75" customHeight="1">
      <c r="B292" s="44" t="s">
        <v>285</v>
      </c>
      <c r="D292" s="38" t="str">
        <f>CALCULATIONS!T292</f>
        <v/>
      </c>
      <c r="E292" s="119">
        <f>IF($E$4="LOW",'LABOR PRODUCTIVITY'!I292,IF($E$4="AVERAGE",'LABOR PRODUCTIVITY'!K292,'LABOR PRODUCTIVITY'!M292))</f>
        <v>0</v>
      </c>
      <c r="F292" s="119">
        <f t="shared" si="1"/>
        <v>0</v>
      </c>
    </row>
    <row r="293" ht="12.75" customHeight="1">
      <c r="B293" s="44" t="s">
        <v>286</v>
      </c>
      <c r="D293" s="38" t="str">
        <f>CALCULATIONS!T293</f>
        <v>FLG.</v>
      </c>
      <c r="E293" s="119">
        <f>IF($E$4="LOW",'LABOR PRODUCTIVITY'!I293,IF($E$4="AVERAGE",'LABOR PRODUCTIVITY'!K293,'LABOR PRODUCTIVITY'!M293))</f>
        <v>187.7777778</v>
      </c>
      <c r="F293" s="119">
        <f t="shared" si="1"/>
        <v>0</v>
      </c>
    </row>
    <row r="294" ht="12.75" customHeight="1">
      <c r="B294" s="44" t="s">
        <v>287</v>
      </c>
      <c r="D294" s="38" t="str">
        <f>CALCULATIONS!T294</f>
        <v>S.M.</v>
      </c>
      <c r="E294" s="119">
        <f>IF($E$4="LOW",'LABOR PRODUCTIVITY'!I294,IF($E$4="AVERAGE",'LABOR PRODUCTIVITY'!K294,'LABOR PRODUCTIVITY'!M294))</f>
        <v>37.55555556</v>
      </c>
      <c r="F294" s="119">
        <f t="shared" si="1"/>
        <v>0</v>
      </c>
    </row>
    <row r="295" ht="12.75" customHeight="1">
      <c r="B295" s="44" t="s">
        <v>280</v>
      </c>
      <c r="D295" s="38" t="str">
        <f>CALCULATIONS!T295</f>
        <v>L.M.</v>
      </c>
      <c r="E295" s="119">
        <f>IF($E$4="LOW",'LABOR PRODUCTIVITY'!I295,IF($E$4="AVERAGE",'LABOR PRODUCTIVITY'!K295,'LABOR PRODUCTIVITY'!M295))</f>
        <v>126.75</v>
      </c>
      <c r="F295" s="119">
        <f t="shared" si="1"/>
        <v>0</v>
      </c>
    </row>
    <row r="296" ht="12.75" customHeight="1">
      <c r="B296" s="44" t="s">
        <v>288</v>
      </c>
      <c r="D296" s="38" t="str">
        <f>CALCULATIONS!T296</f>
        <v>EACH</v>
      </c>
      <c r="E296" s="119">
        <f>IF($E$4="LOW",'LABOR PRODUCTIVITY'!I296,IF($E$4="AVERAGE",'LABOR PRODUCTIVITY'!K296,'LABOR PRODUCTIVITY'!M296))</f>
        <v>70.41666667</v>
      </c>
      <c r="F296" s="119">
        <f t="shared" si="1"/>
        <v>0</v>
      </c>
    </row>
    <row r="297" ht="12.75" customHeight="1">
      <c r="B297" s="44" t="s">
        <v>289</v>
      </c>
      <c r="D297" s="38" t="str">
        <f>CALCULATIONS!T297</f>
        <v>EACH</v>
      </c>
      <c r="E297" s="119">
        <f>IF($E$4="LOW",'LABOR PRODUCTIVITY'!I297,IF($E$4="AVERAGE",'LABOR PRODUCTIVITY'!K297,'LABOR PRODUCTIVITY'!M297))</f>
        <v>375.5555556</v>
      </c>
      <c r="F297" s="119">
        <f t="shared" si="1"/>
        <v>0</v>
      </c>
    </row>
    <row r="298" ht="12.75" customHeight="1">
      <c r="B298" s="44" t="s">
        <v>290</v>
      </c>
      <c r="D298" s="38" t="str">
        <f>CALCULATIONS!T298</f>
        <v>EACH</v>
      </c>
      <c r="E298" s="119">
        <f>IF($E$4="LOW",'LABOR PRODUCTIVITY'!I298,IF($E$4="AVERAGE",'LABOR PRODUCTIVITY'!K298,'LABOR PRODUCTIVITY'!M298))</f>
        <v>281.6666667</v>
      </c>
      <c r="F298" s="119">
        <f t="shared" si="1"/>
        <v>0</v>
      </c>
    </row>
    <row r="299" ht="12.75" customHeight="1">
      <c r="B299" s="44" t="s">
        <v>291</v>
      </c>
      <c r="D299" s="38" t="str">
        <f>CALCULATIONS!T299</f>
        <v>EACH</v>
      </c>
      <c r="E299" s="119">
        <f>IF($E$4="LOW",'LABOR PRODUCTIVITY'!I299,IF($E$4="AVERAGE",'LABOR PRODUCTIVITY'!K299,'LABOR PRODUCTIVITY'!M299))</f>
        <v>187.7777778</v>
      </c>
      <c r="F299" s="119">
        <f t="shared" si="1"/>
        <v>0</v>
      </c>
    </row>
    <row r="300" ht="12.75" customHeight="1">
      <c r="B300" s="44" t="s">
        <v>292</v>
      </c>
      <c r="D300" s="38" t="str">
        <f>CALCULATIONS!T300</f>
        <v>L.M.</v>
      </c>
      <c r="E300" s="119">
        <f>IF($E$4="LOW",'LABOR PRODUCTIVITY'!I300,IF($E$4="AVERAGE",'LABOR PRODUCTIVITY'!K300,'LABOR PRODUCTIVITY'!M300))</f>
        <v>173.6944444</v>
      </c>
      <c r="F300" s="119">
        <f t="shared" si="1"/>
        <v>0</v>
      </c>
    </row>
    <row r="301" ht="12.75" customHeight="1">
      <c r="B301" s="44" t="s">
        <v>293</v>
      </c>
      <c r="D301" s="38" t="str">
        <f>CALCULATIONS!T301</f>
        <v>L.M.</v>
      </c>
      <c r="E301" s="119">
        <f>IF($E$4="LOW",'LABOR PRODUCTIVITY'!I301,IF($E$4="AVERAGE",'LABOR PRODUCTIVITY'!K301,'LABOR PRODUCTIVITY'!M301))</f>
        <v>70.41666667</v>
      </c>
      <c r="F301" s="119">
        <f t="shared" si="1"/>
        <v>0</v>
      </c>
    </row>
    <row r="302" ht="12.75" customHeight="1">
      <c r="D302" s="38" t="str">
        <f>CALCULATIONS!T302</f>
        <v/>
      </c>
      <c r="E302" s="119">
        <f>IF($E$4="LOW",'LABOR PRODUCTIVITY'!I302,IF($E$4="AVERAGE",'LABOR PRODUCTIVITY'!K302,'LABOR PRODUCTIVITY'!M302))</f>
        <v>0</v>
      </c>
      <c r="F302" s="119">
        <f t="shared" si="1"/>
        <v>0</v>
      </c>
    </row>
    <row r="303" ht="12.75" customHeight="1">
      <c r="A303" s="45" t="s">
        <v>294</v>
      </c>
      <c r="B303" s="52" t="s">
        <v>295</v>
      </c>
      <c r="D303" s="38" t="str">
        <f>CALCULATIONS!T303</f>
        <v/>
      </c>
      <c r="E303" s="119">
        <f>IF($E$4="LOW",'LABOR PRODUCTIVITY'!I303,IF($E$4="AVERAGE",'LABOR PRODUCTIVITY'!K303,'LABOR PRODUCTIVITY'!M303))</f>
        <v>0</v>
      </c>
      <c r="F303" s="119">
        <f t="shared" si="1"/>
        <v>0</v>
      </c>
    </row>
    <row r="304" ht="12.75" customHeight="1">
      <c r="B304" s="44" t="s">
        <v>296</v>
      </c>
      <c r="D304" s="38" t="str">
        <f>CALCULATIONS!T304</f>
        <v>EACH</v>
      </c>
      <c r="E304" s="119">
        <f>IF($E$4="LOW",'LABOR PRODUCTIVITY'!I304,IF($E$4="AVERAGE",'LABOR PRODUCTIVITY'!K304,'LABOR PRODUCTIVITY'!M304))</f>
        <v>23.47222222</v>
      </c>
      <c r="F304" s="119">
        <f t="shared" si="1"/>
        <v>0</v>
      </c>
    </row>
    <row r="305" ht="12.75" customHeight="1">
      <c r="B305" s="44" t="s">
        <v>297</v>
      </c>
      <c r="D305" s="38" t="str">
        <f>CALCULATIONS!T305</f>
        <v>S.M.</v>
      </c>
      <c r="E305" s="119">
        <f>IF($E$4="LOW",'LABOR PRODUCTIVITY'!I305,IF($E$4="AVERAGE",'LABOR PRODUCTIVITY'!K305,'LABOR PRODUCTIVITY'!M305))</f>
        <v>56.33333333</v>
      </c>
      <c r="F305" s="119">
        <f t="shared" si="1"/>
        <v>0</v>
      </c>
    </row>
    <row r="306" ht="12.75" customHeight="1">
      <c r="B306" s="44" t="s">
        <v>298</v>
      </c>
      <c r="D306" s="38" t="str">
        <f>CALCULATIONS!T306</f>
        <v/>
      </c>
      <c r="E306" s="119">
        <f>IF($E$4="LOW",'LABOR PRODUCTIVITY'!I306,IF($E$4="AVERAGE",'LABOR PRODUCTIVITY'!K306,'LABOR PRODUCTIVITY'!M306))</f>
        <v>0</v>
      </c>
      <c r="F306" s="119">
        <f t="shared" si="1"/>
        <v>0</v>
      </c>
    </row>
    <row r="307" ht="12.75" customHeight="1">
      <c r="B307" s="44" t="s">
        <v>299</v>
      </c>
      <c r="D307" s="38" t="str">
        <f>CALCULATIONS!T307</f>
        <v>S.M.</v>
      </c>
      <c r="E307" s="119">
        <f>IF($E$4="LOW",'LABOR PRODUCTIVITY'!I307,IF($E$4="AVERAGE",'LABOR PRODUCTIVITY'!K307,'LABOR PRODUCTIVITY'!M307))</f>
        <v>657.2222222</v>
      </c>
      <c r="F307" s="119">
        <f t="shared" si="1"/>
        <v>0</v>
      </c>
    </row>
    <row r="308" ht="12.75" customHeight="1">
      <c r="B308" s="44" t="s">
        <v>300</v>
      </c>
      <c r="D308" s="38" t="str">
        <f>CALCULATIONS!T308</f>
        <v>S.M.</v>
      </c>
      <c r="E308" s="119">
        <f>IF($E$4="LOW",'LABOR PRODUCTIVITY'!I308,IF($E$4="AVERAGE",'LABOR PRODUCTIVITY'!K308,'LABOR PRODUCTIVITY'!M308))</f>
        <v>281.6666667</v>
      </c>
      <c r="F308" s="119">
        <f t="shared" si="1"/>
        <v>0</v>
      </c>
    </row>
    <row r="309" ht="12.75" customHeight="1">
      <c r="B309" s="44" t="s">
        <v>301</v>
      </c>
      <c r="D309" s="38" t="str">
        <f>CALCULATIONS!T309</f>
        <v>S.M.</v>
      </c>
      <c r="E309" s="119">
        <f>IF($E$4="LOW",'LABOR PRODUCTIVITY'!I309,IF($E$4="AVERAGE",'LABOR PRODUCTIVITY'!K309,'LABOR PRODUCTIVITY'!M309))</f>
        <v>3286.111111</v>
      </c>
      <c r="F309" s="119">
        <f t="shared" si="1"/>
        <v>0</v>
      </c>
    </row>
    <row r="310" ht="12.75" customHeight="1">
      <c r="B310" s="44" t="s">
        <v>302</v>
      </c>
      <c r="D310" s="38" t="str">
        <f>CALCULATIONS!T310</f>
        <v>S.M.</v>
      </c>
      <c r="E310" s="119">
        <f>IF($E$4="LOW",'LABOR PRODUCTIVITY'!I310,IF($E$4="AVERAGE",'LABOR PRODUCTIVITY'!K310,'LABOR PRODUCTIVITY'!M310))</f>
        <v>28.16666667</v>
      </c>
      <c r="F310" s="119">
        <f t="shared" si="1"/>
        <v>0</v>
      </c>
    </row>
    <row r="311" ht="12.75" customHeight="1">
      <c r="B311" s="44" t="s">
        <v>144</v>
      </c>
      <c r="D311" s="38" t="str">
        <f>CALCULATIONS!T311</f>
        <v>S.M.</v>
      </c>
      <c r="E311" s="119">
        <f>IF($E$4="LOW",'LABOR PRODUCTIVITY'!I311,IF($E$4="AVERAGE",'LABOR PRODUCTIVITY'!K311,'LABOR PRODUCTIVITY'!M311))</f>
        <v>32.86111111</v>
      </c>
      <c r="F311" s="119">
        <f t="shared" si="1"/>
        <v>0</v>
      </c>
    </row>
    <row r="312" ht="12.75" customHeight="1">
      <c r="B312" s="44" t="s">
        <v>303</v>
      </c>
      <c r="D312" s="38" t="str">
        <f>CALCULATIONS!T312</f>
        <v>S.M.</v>
      </c>
      <c r="E312" s="119">
        <f>IF($E$4="LOW",'LABOR PRODUCTIVITY'!I312,IF($E$4="AVERAGE",'LABOR PRODUCTIVITY'!K312,'LABOR PRODUCTIVITY'!M312))</f>
        <v>126.75</v>
      </c>
      <c r="F312" s="119">
        <f t="shared" si="1"/>
        <v>0</v>
      </c>
    </row>
    <row r="313" ht="12.75" customHeight="1">
      <c r="B313" s="44" t="s">
        <v>304</v>
      </c>
      <c r="D313" s="38" t="str">
        <f>CALCULATIONS!T313</f>
        <v/>
      </c>
      <c r="E313" s="119">
        <f>IF($E$4="LOW",'LABOR PRODUCTIVITY'!I313,IF($E$4="AVERAGE",'LABOR PRODUCTIVITY'!K313,'LABOR PRODUCTIVITY'!M313))</f>
        <v>0</v>
      </c>
      <c r="F313" s="119">
        <f t="shared" si="1"/>
        <v>0</v>
      </c>
    </row>
    <row r="314" ht="12.75" customHeight="1">
      <c r="B314" s="44" t="s">
        <v>305</v>
      </c>
      <c r="D314" s="38" t="str">
        <f>CALCULATIONS!T314</f>
        <v>S.M.</v>
      </c>
      <c r="E314" s="119">
        <f>IF($E$4="LOW",'LABOR PRODUCTIVITY'!I314,IF($E$4="AVERAGE",'LABOR PRODUCTIVITY'!K314,'LABOR PRODUCTIVITY'!M314))</f>
        <v>56.33333333</v>
      </c>
      <c r="F314" s="119">
        <f t="shared" si="1"/>
        <v>0</v>
      </c>
    </row>
    <row r="315" ht="12.75" customHeight="1">
      <c r="B315" s="44" t="s">
        <v>306</v>
      </c>
      <c r="D315" s="38" t="str">
        <f>CALCULATIONS!T315</f>
        <v>PC.</v>
      </c>
      <c r="E315" s="119">
        <f>IF($E$4="LOW",'LABOR PRODUCTIVITY'!I315,IF($E$4="AVERAGE",'LABOR PRODUCTIVITY'!K315,'LABOR PRODUCTIVITY'!M315))</f>
        <v>37.55555556</v>
      </c>
      <c r="F315" s="119">
        <f t="shared" si="1"/>
        <v>0</v>
      </c>
    </row>
    <row r="316" ht="12.75" customHeight="1">
      <c r="B316" s="44" t="s">
        <v>307</v>
      </c>
      <c r="D316" s="38" t="str">
        <f>CALCULATIONS!T316</f>
        <v>S.M.</v>
      </c>
      <c r="E316" s="119">
        <f>IF($E$4="LOW",'LABOR PRODUCTIVITY'!I316,IF($E$4="AVERAGE",'LABOR PRODUCTIVITY'!K316,'LABOR PRODUCTIVITY'!M316))</f>
        <v>117.3611111</v>
      </c>
      <c r="F316" s="119">
        <f t="shared" si="1"/>
        <v>0</v>
      </c>
    </row>
    <row r="317" ht="12.75" customHeight="1">
      <c r="B317" s="44" t="s">
        <v>308</v>
      </c>
      <c r="D317" s="38" t="str">
        <f>CALCULATIONS!T317</f>
        <v>S.M.</v>
      </c>
      <c r="E317" s="119">
        <f>IF($E$4="LOW",'LABOR PRODUCTIVITY'!I317,IF($E$4="AVERAGE",'LABOR PRODUCTIVITY'!K317,'LABOR PRODUCTIVITY'!M317))</f>
        <v>140.8333333</v>
      </c>
      <c r="F317" s="119">
        <f t="shared" si="1"/>
        <v>0</v>
      </c>
    </row>
    <row r="318" ht="12.75" customHeight="1">
      <c r="B318" s="44" t="s">
        <v>309</v>
      </c>
      <c r="D318" s="38" t="str">
        <f>CALCULATIONS!T318</f>
        <v/>
      </c>
      <c r="E318" s="119">
        <f>IF($E$4="LOW",'LABOR PRODUCTIVITY'!I318,IF($E$4="AVERAGE",'LABOR PRODUCTIVITY'!K318,'LABOR PRODUCTIVITY'!M318))</f>
        <v>0</v>
      </c>
      <c r="F318" s="119">
        <f t="shared" si="1"/>
        <v>0</v>
      </c>
    </row>
    <row r="319" ht="12.75" customHeight="1">
      <c r="B319" s="44" t="s">
        <v>310</v>
      </c>
      <c r="D319" s="38" t="str">
        <f>CALCULATIONS!T319</f>
        <v/>
      </c>
      <c r="E319" s="119">
        <f>IF($E$4="LOW",'LABOR PRODUCTIVITY'!I319,IF($E$4="AVERAGE",'LABOR PRODUCTIVITY'!K319,'LABOR PRODUCTIVITY'!M319))</f>
        <v>0</v>
      </c>
      <c r="F319" s="119">
        <f t="shared" si="1"/>
        <v>0</v>
      </c>
    </row>
    <row r="320" ht="12.75" customHeight="1">
      <c r="B320" s="44" t="s">
        <v>311</v>
      </c>
      <c r="D320" s="38" t="str">
        <f>CALCULATIONS!T320</f>
        <v>EACH</v>
      </c>
      <c r="E320" s="119">
        <f>IF($E$4="LOW",'LABOR PRODUCTIVITY'!I320,IF($E$4="AVERAGE",'LABOR PRODUCTIVITY'!K320,'LABOR PRODUCTIVITY'!M320))</f>
        <v>234.7222222</v>
      </c>
      <c r="F320" s="119">
        <f t="shared" si="1"/>
        <v>0</v>
      </c>
    </row>
    <row r="321" ht="12.75" customHeight="1">
      <c r="B321" s="44" t="s">
        <v>312</v>
      </c>
      <c r="D321" s="38" t="str">
        <f>CALCULATIONS!T321</f>
        <v>EACH</v>
      </c>
      <c r="E321" s="119">
        <f>IF($E$4="LOW",'LABOR PRODUCTIVITY'!I321,IF($E$4="AVERAGE",'LABOR PRODUCTIVITY'!K321,'LABOR PRODUCTIVITY'!M321))</f>
        <v>704.1666667</v>
      </c>
      <c r="F321" s="119">
        <f t="shared" si="1"/>
        <v>0</v>
      </c>
    </row>
    <row r="322" ht="12.75" customHeight="1">
      <c r="B322" s="44" t="s">
        <v>313</v>
      </c>
      <c r="D322" s="38" t="str">
        <f>CALCULATIONS!T322</f>
        <v>EACH</v>
      </c>
      <c r="E322" s="119">
        <f>IF($E$4="LOW",'LABOR PRODUCTIVITY'!I322,IF($E$4="AVERAGE",'LABOR PRODUCTIVITY'!K322,'LABOR PRODUCTIVITY'!M322))</f>
        <v>234.7222222</v>
      </c>
      <c r="F322" s="119">
        <f t="shared" si="1"/>
        <v>0</v>
      </c>
    </row>
    <row r="323" ht="12.75" customHeight="1">
      <c r="B323" s="44" t="s">
        <v>314</v>
      </c>
      <c r="D323" s="38" t="str">
        <f>CALCULATIONS!T323</f>
        <v/>
      </c>
      <c r="E323" s="119">
        <f>IF($E$4="LOW",'LABOR PRODUCTIVITY'!I323,IF($E$4="AVERAGE",'LABOR PRODUCTIVITY'!K323,'LABOR PRODUCTIVITY'!M323))</f>
        <v>0</v>
      </c>
      <c r="F323" s="119">
        <f t="shared" si="1"/>
        <v>0</v>
      </c>
    </row>
    <row r="324" ht="12.75" customHeight="1">
      <c r="B324" s="44" t="s">
        <v>268</v>
      </c>
      <c r="D324" s="38" t="str">
        <f>CALCULATIONS!T324</f>
        <v>EACH</v>
      </c>
      <c r="E324" s="119">
        <f>IF($E$4="LOW",'LABOR PRODUCTIVITY'!I324,IF($E$4="AVERAGE",'LABOR PRODUCTIVITY'!K324,'LABOR PRODUCTIVITY'!M324))</f>
        <v>469.4444444</v>
      </c>
      <c r="F324" s="119">
        <f t="shared" si="1"/>
        <v>0</v>
      </c>
    </row>
    <row r="325" ht="12.75" customHeight="1">
      <c r="B325" s="44" t="s">
        <v>315</v>
      </c>
      <c r="D325" s="38" t="str">
        <f>CALCULATIONS!T325</f>
        <v>EACH</v>
      </c>
      <c r="E325" s="119">
        <f>IF($E$4="LOW",'LABOR PRODUCTIVITY'!I325,IF($E$4="AVERAGE",'LABOR PRODUCTIVITY'!K325,'LABOR PRODUCTIVITY'!M325))</f>
        <v>469.4444444</v>
      </c>
      <c r="F325" s="119">
        <f t="shared" si="1"/>
        <v>0</v>
      </c>
    </row>
    <row r="326" ht="12.75" customHeight="1">
      <c r="B326" s="44" t="s">
        <v>316</v>
      </c>
      <c r="D326" s="38" t="str">
        <f>CALCULATIONS!T326</f>
        <v>EACH</v>
      </c>
      <c r="E326" s="119">
        <f>IF($E$4="LOW",'LABOR PRODUCTIVITY'!I326,IF($E$4="AVERAGE",'LABOR PRODUCTIVITY'!K326,'LABOR PRODUCTIVITY'!M326))</f>
        <v>234.7222222</v>
      </c>
      <c r="F326" s="119">
        <f t="shared" si="1"/>
        <v>0</v>
      </c>
    </row>
    <row r="327" ht="12.75" customHeight="1">
      <c r="B327" s="44" t="s">
        <v>317</v>
      </c>
      <c r="D327" s="38" t="str">
        <f>CALCULATIONS!T327</f>
        <v/>
      </c>
      <c r="E327" s="119">
        <f>IF($E$4="LOW",'LABOR PRODUCTIVITY'!I327,IF($E$4="AVERAGE",'LABOR PRODUCTIVITY'!K327,'LABOR PRODUCTIVITY'!M327))</f>
        <v>0</v>
      </c>
      <c r="F327" s="119">
        <f t="shared" si="1"/>
        <v>0</v>
      </c>
    </row>
    <row r="328" ht="12.75" customHeight="1">
      <c r="B328" s="44" t="s">
        <v>318</v>
      </c>
      <c r="D328" s="38" t="str">
        <f>CALCULATIONS!T328</f>
        <v>EACH</v>
      </c>
      <c r="E328" s="119">
        <f>IF($E$4="LOW",'LABOR PRODUCTIVITY'!I328,IF($E$4="AVERAGE",'LABOR PRODUCTIVITY'!K328,'LABOR PRODUCTIVITY'!M328))</f>
        <v>4694.444444</v>
      </c>
      <c r="F328" s="119">
        <f t="shared" si="1"/>
        <v>0</v>
      </c>
    </row>
    <row r="329" ht="12.75" customHeight="1">
      <c r="B329" s="44" t="s">
        <v>319</v>
      </c>
      <c r="D329" s="38" t="str">
        <f>CALCULATIONS!T329</f>
        <v>EACH</v>
      </c>
      <c r="E329" s="119">
        <f>IF($E$4="LOW",'LABOR PRODUCTIVITY'!I329,IF($E$4="AVERAGE",'LABOR PRODUCTIVITY'!K329,'LABOR PRODUCTIVITY'!M329))</f>
        <v>234.7222222</v>
      </c>
      <c r="F329" s="119">
        <f t="shared" si="1"/>
        <v>0</v>
      </c>
    </row>
    <row r="330" ht="12.75" customHeight="1">
      <c r="D330" s="38" t="str">
        <f>CALCULATIONS!T330</f>
        <v/>
      </c>
      <c r="E330" s="119">
        <f>IF($E$4="LOW",'LABOR PRODUCTIVITY'!I330,IF($E$4="AVERAGE",'LABOR PRODUCTIVITY'!K330,'LABOR PRODUCTIVITY'!M330))</f>
        <v>0</v>
      </c>
      <c r="F330" s="119">
        <f t="shared" si="1"/>
        <v>0</v>
      </c>
    </row>
    <row r="331" ht="12.75" customHeight="1">
      <c r="A331" s="45" t="s">
        <v>320</v>
      </c>
      <c r="B331" s="52" t="s">
        <v>321</v>
      </c>
      <c r="D331" s="38" t="str">
        <f>CALCULATIONS!T331</f>
        <v/>
      </c>
      <c r="E331" s="119">
        <f>IF($E$4="LOW",'LABOR PRODUCTIVITY'!I331,IF($E$4="AVERAGE",'LABOR PRODUCTIVITY'!K331,'LABOR PRODUCTIVITY'!M331))</f>
        <v>0</v>
      </c>
      <c r="F331" s="119">
        <f t="shared" si="1"/>
        <v>0</v>
      </c>
    </row>
    <row r="332" ht="12.75" customHeight="1">
      <c r="B332" s="44" t="s">
        <v>322</v>
      </c>
      <c r="D332" s="38" t="str">
        <f>CALCULATIONS!T332</f>
        <v>L.M.</v>
      </c>
      <c r="E332" s="119">
        <f>IF($E$4="LOW",'LABOR PRODUCTIVITY'!I332,IF($E$4="AVERAGE",'LABOR PRODUCTIVITY'!K332,'LABOR PRODUCTIVITY'!M332))</f>
        <v>56.33333333</v>
      </c>
      <c r="F332" s="119">
        <f t="shared" si="1"/>
        <v>0</v>
      </c>
    </row>
    <row r="333" ht="12.75" customHeight="1">
      <c r="B333" s="44" t="s">
        <v>323</v>
      </c>
      <c r="D333" s="38" t="str">
        <f>CALCULATIONS!T333</f>
        <v>L.M.</v>
      </c>
      <c r="E333" s="119">
        <f>IF($E$4="LOW",'LABOR PRODUCTIVITY'!I333,IF($E$4="AVERAGE",'LABOR PRODUCTIVITY'!K333,'LABOR PRODUCTIVITY'!M333))</f>
        <v>140.8333333</v>
      </c>
      <c r="F333" s="119">
        <f t="shared" si="1"/>
        <v>0</v>
      </c>
    </row>
    <row r="334" ht="12.75" customHeight="1">
      <c r="B334" s="44" t="s">
        <v>324</v>
      </c>
      <c r="D334" s="38" t="str">
        <f>CALCULATIONS!T334</f>
        <v>L.M.</v>
      </c>
      <c r="E334" s="119">
        <f>IF($E$4="LOW",'LABOR PRODUCTIVITY'!I334,IF($E$4="AVERAGE",'LABOR PRODUCTIVITY'!K334,'LABOR PRODUCTIVITY'!M334))</f>
        <v>14.08333333</v>
      </c>
      <c r="F334" s="119">
        <f t="shared" si="1"/>
        <v>0</v>
      </c>
    </row>
    <row r="335" ht="12.75" customHeight="1">
      <c r="B335" s="44" t="s">
        <v>325</v>
      </c>
      <c r="D335" s="38" t="str">
        <f>CALCULATIONS!T335</f>
        <v>L.M.</v>
      </c>
      <c r="E335" s="119">
        <f>IF($E$4="LOW",'LABOR PRODUCTIVITY'!I335,IF($E$4="AVERAGE",'LABOR PRODUCTIVITY'!K335,'LABOR PRODUCTIVITY'!M335))</f>
        <v>14.08333333</v>
      </c>
      <c r="F335" s="119">
        <f t="shared" si="1"/>
        <v>0</v>
      </c>
    </row>
    <row r="336" ht="12.75" customHeight="1">
      <c r="D336" s="38" t="str">
        <f>CALCULATIONS!T336</f>
        <v/>
      </c>
      <c r="E336" s="119">
        <f>IF($E$4="LOW",'LABOR PRODUCTIVITY'!I336,IF($E$4="AVERAGE",'LABOR PRODUCTIVITY'!K336,'LABOR PRODUCTIVITY'!M336))</f>
        <v>0</v>
      </c>
      <c r="F336" s="119">
        <f t="shared" si="1"/>
        <v>0</v>
      </c>
    </row>
    <row r="337" ht="12.75" customHeight="1">
      <c r="A337" s="45" t="s">
        <v>326</v>
      </c>
      <c r="B337" s="52" t="s">
        <v>327</v>
      </c>
      <c r="D337" s="38" t="str">
        <f>CALCULATIONS!T337</f>
        <v/>
      </c>
      <c r="E337" s="119">
        <f>IF($E$4="LOW",'LABOR PRODUCTIVITY'!I337,IF($E$4="AVERAGE",'LABOR PRODUCTIVITY'!K337,'LABOR PRODUCTIVITY'!M337))</f>
        <v>0</v>
      </c>
      <c r="F337" s="119">
        <f t="shared" si="1"/>
        <v>0</v>
      </c>
    </row>
    <row r="338" ht="12.75" customHeight="1">
      <c r="B338" s="44" t="s">
        <v>328</v>
      </c>
      <c r="D338" s="38" t="str">
        <f>CALCULATIONS!T338</f>
        <v>TON</v>
      </c>
      <c r="E338" s="119">
        <f>IF($E$4="LOW",'LABOR PRODUCTIVITY'!I338,IF($E$4="AVERAGE",'LABOR PRODUCTIVITY'!K338,'LABOR PRODUCTIVITY'!M338))</f>
        <v>528.125</v>
      </c>
      <c r="F338" s="119">
        <f t="shared" si="1"/>
        <v>0</v>
      </c>
    </row>
    <row r="339" ht="12.75" customHeight="1">
      <c r="B339" s="44" t="s">
        <v>329</v>
      </c>
      <c r="D339" s="38" t="str">
        <f>CALCULATIONS!T339</f>
        <v>S.M.</v>
      </c>
      <c r="E339" s="119">
        <f>IF($E$4="LOW",'LABOR PRODUCTIVITY'!I339,IF($E$4="AVERAGE",'LABOR PRODUCTIVITY'!K339,'LABOR PRODUCTIVITY'!M339))</f>
        <v>2581.944444</v>
      </c>
      <c r="F339" s="119">
        <f t="shared" si="1"/>
        <v>0</v>
      </c>
    </row>
    <row r="340" ht="12.75" customHeight="1">
      <c r="B340" s="44" t="s">
        <v>330</v>
      </c>
      <c r="D340" s="38" t="str">
        <f>CALCULATIONS!T340</f>
        <v>S.M.</v>
      </c>
      <c r="E340" s="119">
        <f>IF($E$4="LOW",'LABOR PRODUCTIVITY'!I340,IF($E$4="AVERAGE",'LABOR PRODUCTIVITY'!K340,'LABOR PRODUCTIVITY'!M340))</f>
        <v>1525.694444</v>
      </c>
      <c r="F340" s="119">
        <f t="shared" si="1"/>
        <v>0</v>
      </c>
    </row>
    <row r="341" ht="12.75" customHeight="1">
      <c r="B341" s="44" t="s">
        <v>331</v>
      </c>
      <c r="D341" s="38" t="str">
        <f>CALCULATIONS!T341</f>
        <v/>
      </c>
      <c r="E341" s="119">
        <f>IF($E$4="LOW",'LABOR PRODUCTIVITY'!I341,IF($E$4="AVERAGE",'LABOR PRODUCTIVITY'!K341,'LABOR PRODUCTIVITY'!M341))</f>
        <v>0</v>
      </c>
      <c r="F341" s="119">
        <f t="shared" si="1"/>
        <v>0</v>
      </c>
    </row>
    <row r="342" ht="12.75" customHeight="1">
      <c r="B342" s="44" t="s">
        <v>332</v>
      </c>
      <c r="D342" s="38" t="str">
        <f>CALCULATIONS!T342</f>
        <v>TON</v>
      </c>
      <c r="E342" s="119">
        <f>IF($E$4="LOW",'LABOR PRODUCTIVITY'!I342,IF($E$4="AVERAGE",'LABOR PRODUCTIVITY'!K342,'LABOR PRODUCTIVITY'!M342))</f>
        <v>375.5555556</v>
      </c>
      <c r="F342" s="119">
        <f t="shared" si="1"/>
        <v>0</v>
      </c>
    </row>
    <row r="343" ht="12.75" customHeight="1">
      <c r="B343" s="44" t="s">
        <v>333</v>
      </c>
      <c r="D343" s="38" t="str">
        <f>CALCULATIONS!T343</f>
        <v>S.M.</v>
      </c>
      <c r="E343" s="119">
        <f>IF($E$4="LOW",'LABOR PRODUCTIVITY'!I343,IF($E$4="AVERAGE",'LABOR PRODUCTIVITY'!K343,'LABOR PRODUCTIVITY'!M343))</f>
        <v>19.95138889</v>
      </c>
      <c r="F343" s="119">
        <f t="shared" si="1"/>
        <v>0</v>
      </c>
    </row>
    <row r="344" ht="12.75" customHeight="1">
      <c r="B344" s="44" t="s">
        <v>334</v>
      </c>
      <c r="D344" s="38" t="str">
        <f>CALCULATIONS!T344</f>
        <v>TON</v>
      </c>
      <c r="E344" s="119">
        <f>IF($E$4="LOW",'LABOR PRODUCTIVITY'!I344,IF($E$4="AVERAGE",'LABOR PRODUCTIVITY'!K344,'LABOR PRODUCTIVITY'!M344))</f>
        <v>1408.333333</v>
      </c>
      <c r="F344" s="119">
        <f t="shared" si="1"/>
        <v>0</v>
      </c>
    </row>
    <row r="345" ht="12.75" customHeight="1">
      <c r="D345" s="38" t="str">
        <f>CALCULATIONS!T345</f>
        <v/>
      </c>
      <c r="E345" s="119">
        <f>IF($E$4="LOW",'LABOR PRODUCTIVITY'!I345,IF($E$4="AVERAGE",'LABOR PRODUCTIVITY'!K345,'LABOR PRODUCTIVITY'!M345))</f>
        <v>0</v>
      </c>
      <c r="F345" s="119">
        <f t="shared" si="1"/>
        <v>0</v>
      </c>
    </row>
    <row r="346" ht="12.75" customHeight="1">
      <c r="A346" s="45" t="s">
        <v>335</v>
      </c>
      <c r="B346" s="52" t="s">
        <v>336</v>
      </c>
      <c r="D346" s="38" t="str">
        <f>CALCULATIONS!T346</f>
        <v/>
      </c>
      <c r="E346" s="119">
        <f>IF($E$4="LOW",'LABOR PRODUCTIVITY'!I346,IF($E$4="AVERAGE",'LABOR PRODUCTIVITY'!K346,'LABOR PRODUCTIVITY'!M346))</f>
        <v>0</v>
      </c>
      <c r="F346" s="119">
        <f t="shared" si="1"/>
        <v>0</v>
      </c>
    </row>
    <row r="347" ht="12.75" customHeight="1">
      <c r="B347" s="44" t="s">
        <v>337</v>
      </c>
      <c r="D347" s="38" t="str">
        <f>CALCULATIONS!T347</f>
        <v>L.M.</v>
      </c>
      <c r="E347" s="119">
        <f>IF($E$4="LOW",'LABOR PRODUCTIVITY'!I347,IF($E$4="AVERAGE",'LABOR PRODUCTIVITY'!K347,'LABOR PRODUCTIVITY'!M347))</f>
        <v>164.3055556</v>
      </c>
      <c r="F347" s="119">
        <f t="shared" si="1"/>
        <v>0</v>
      </c>
    </row>
    <row r="348" ht="12.75" customHeight="1">
      <c r="B348" s="44" t="s">
        <v>338</v>
      </c>
      <c r="D348" s="38" t="str">
        <f>CALCULATIONS!T348</f>
        <v>S.M.</v>
      </c>
      <c r="E348" s="119">
        <f>IF($E$4="LOW",'LABOR PRODUCTIVITY'!I348,IF($E$4="AVERAGE",'LABOR PRODUCTIVITY'!K348,'LABOR PRODUCTIVITY'!M348))</f>
        <v>281.6666667</v>
      </c>
      <c r="F348" s="119">
        <f t="shared" si="1"/>
        <v>0</v>
      </c>
    </row>
    <row r="349" ht="12.75" customHeight="1">
      <c r="B349" s="44" t="s">
        <v>339</v>
      </c>
      <c r="D349" s="38" t="str">
        <f>CALCULATIONS!T349</f>
        <v>S.M.</v>
      </c>
      <c r="E349" s="119">
        <f>IF($E$4="LOW",'LABOR PRODUCTIVITY'!I349,IF($E$4="AVERAGE",'LABOR PRODUCTIVITY'!K349,'LABOR PRODUCTIVITY'!M349))</f>
        <v>845</v>
      </c>
      <c r="F349" s="119">
        <f t="shared" si="1"/>
        <v>0</v>
      </c>
    </row>
    <row r="350" ht="12.75" customHeight="1">
      <c r="B350" s="44" t="s">
        <v>340</v>
      </c>
      <c r="D350" s="38" t="str">
        <f>CALCULATIONS!T350</f>
        <v>EACH</v>
      </c>
      <c r="E350" s="119">
        <f>IF($E$4="LOW",'LABOR PRODUCTIVITY'!I350,IF($E$4="AVERAGE",'LABOR PRODUCTIVITY'!K350,'LABOR PRODUCTIVITY'!M350))</f>
        <v>1126.666667</v>
      </c>
      <c r="F350" s="119">
        <f t="shared" si="1"/>
        <v>0</v>
      </c>
    </row>
    <row r="351" ht="12.75" customHeight="1">
      <c r="B351" s="44" t="s">
        <v>341</v>
      </c>
      <c r="D351" s="38" t="str">
        <f>CALCULATIONS!T351</f>
        <v>EACH</v>
      </c>
      <c r="E351" s="119">
        <f>IF($E$4="LOW",'LABOR PRODUCTIVITY'!I351,IF($E$4="AVERAGE",'LABOR PRODUCTIVITY'!K351,'LABOR PRODUCTIVITY'!M351))</f>
        <v>563.3333333</v>
      </c>
      <c r="F351" s="119">
        <f t="shared" si="1"/>
        <v>0</v>
      </c>
    </row>
    <row r="352" ht="12.75" customHeight="1">
      <c r="B352" s="44" t="s">
        <v>342</v>
      </c>
      <c r="D352" s="38" t="str">
        <f>CALCULATIONS!T352</f>
        <v>EACH</v>
      </c>
      <c r="E352" s="119">
        <f>IF($E$4="LOW",'LABOR PRODUCTIVITY'!I352,IF($E$4="AVERAGE",'LABOR PRODUCTIVITY'!K352,'LABOR PRODUCTIVITY'!M352))</f>
        <v>234.7222222</v>
      </c>
      <c r="F352" s="119">
        <f t="shared" si="1"/>
        <v>0</v>
      </c>
    </row>
    <row r="353" ht="12.75" customHeight="1">
      <c r="B353" s="44" t="s">
        <v>343</v>
      </c>
      <c r="D353" s="38" t="str">
        <f>CALCULATIONS!T353</f>
        <v>EACH</v>
      </c>
      <c r="E353" s="119">
        <f>IF($E$4="LOW",'LABOR PRODUCTIVITY'!I353,IF($E$4="AVERAGE",'LABOR PRODUCTIVITY'!K353,'LABOR PRODUCTIVITY'!M353))</f>
        <v>375.5555556</v>
      </c>
      <c r="F353" s="119">
        <f t="shared" si="1"/>
        <v>0</v>
      </c>
    </row>
    <row r="354" ht="12.75" customHeight="1">
      <c r="B354" s="44" t="s">
        <v>344</v>
      </c>
      <c r="D354" s="38" t="str">
        <f>CALCULATIONS!T354</f>
        <v>L.M.</v>
      </c>
      <c r="E354" s="119">
        <f>IF($E$4="LOW",'LABOR PRODUCTIVITY'!I354,IF($E$4="AVERAGE",'LABOR PRODUCTIVITY'!K354,'LABOR PRODUCTIVITY'!M354))</f>
        <v>342.6944444</v>
      </c>
      <c r="F354" s="119">
        <f t="shared" si="1"/>
        <v>0</v>
      </c>
    </row>
    <row r="355" ht="12.75" customHeight="1">
      <c r="B355" s="44" t="s">
        <v>345</v>
      </c>
      <c r="D355" s="38" t="str">
        <f>CALCULATIONS!T355</f>
        <v>EACH</v>
      </c>
      <c r="E355" s="119">
        <f>IF($E$4="LOW",'LABOR PRODUCTIVITY'!I355,IF($E$4="AVERAGE",'LABOR PRODUCTIVITY'!K355,'LABOR PRODUCTIVITY'!M355))</f>
        <v>1126.666667</v>
      </c>
      <c r="F355" s="119">
        <f t="shared" si="1"/>
        <v>0</v>
      </c>
    </row>
    <row r="356" ht="12.75" customHeight="1">
      <c r="B356" s="44" t="s">
        <v>346</v>
      </c>
      <c r="D356" s="38" t="str">
        <f>CALCULATIONS!T356</f>
        <v>EACH</v>
      </c>
      <c r="E356" s="119">
        <f>IF($E$4="LOW",'LABOR PRODUCTIVITY'!I356,IF($E$4="AVERAGE",'LABOR PRODUCTIVITY'!K356,'LABOR PRODUCTIVITY'!M356))</f>
        <v>375.5555556</v>
      </c>
      <c r="F356" s="119">
        <f t="shared" si="1"/>
        <v>0</v>
      </c>
    </row>
    <row r="357" ht="12.75" customHeight="1">
      <c r="B357" s="44" t="s">
        <v>347</v>
      </c>
      <c r="D357" s="38" t="str">
        <f>CALCULATIONS!T357</f>
        <v>L.M.</v>
      </c>
      <c r="E357" s="119">
        <f>IF($E$4="LOW",'LABOR PRODUCTIVITY'!I357,IF($E$4="AVERAGE",'LABOR PRODUCTIVITY'!K357,'LABOR PRODUCTIVITY'!M357))</f>
        <v>164.3055556</v>
      </c>
      <c r="F357" s="119">
        <f t="shared" si="1"/>
        <v>0</v>
      </c>
    </row>
    <row r="358" ht="12.75" customHeight="1">
      <c r="D358" s="38" t="str">
        <f>CALCULATIONS!T358</f>
        <v/>
      </c>
      <c r="E358" s="119">
        <f>IF($E$4="LOW",'LABOR PRODUCTIVITY'!I358,IF($E$4="AVERAGE",'LABOR PRODUCTIVITY'!K358,'LABOR PRODUCTIVITY'!M358))</f>
        <v>0</v>
      </c>
      <c r="F358" s="119">
        <f t="shared" si="1"/>
        <v>0</v>
      </c>
    </row>
    <row r="359" ht="12.75" customHeight="1">
      <c r="A359" s="45" t="s">
        <v>348</v>
      </c>
      <c r="B359" s="52" t="s">
        <v>349</v>
      </c>
      <c r="D359" s="38" t="str">
        <f>CALCULATIONS!T359</f>
        <v/>
      </c>
      <c r="E359" s="119">
        <f>IF($E$4="LOW",'LABOR PRODUCTIVITY'!I359,IF($E$4="AVERAGE",'LABOR PRODUCTIVITY'!K359,'LABOR PRODUCTIVITY'!M359))</f>
        <v>0</v>
      </c>
      <c r="F359" s="119">
        <f t="shared" si="1"/>
        <v>0</v>
      </c>
    </row>
    <row r="360" ht="12.75" customHeight="1">
      <c r="B360" s="44" t="s">
        <v>350</v>
      </c>
      <c r="D360" s="38" t="str">
        <f>CALCULATIONS!T360</f>
        <v>L.M.</v>
      </c>
      <c r="E360" s="119">
        <f>IF($E$4="LOW",'LABOR PRODUCTIVITY'!I360,IF($E$4="AVERAGE",'LABOR PRODUCTIVITY'!K360,'LABOR PRODUCTIVITY'!M360))</f>
        <v>31.6875</v>
      </c>
      <c r="F360" s="119">
        <f t="shared" si="1"/>
        <v>0</v>
      </c>
    </row>
    <row r="361" ht="12.75" customHeight="1">
      <c r="B361" s="44" t="s">
        <v>351</v>
      </c>
      <c r="D361" s="38" t="str">
        <f>CALCULATIONS!T361</f>
        <v>L.M.</v>
      </c>
      <c r="E361" s="119">
        <f>IF($E$4="LOW",'LABOR PRODUCTIVITY'!I361,IF($E$4="AVERAGE",'LABOR PRODUCTIVITY'!K361,'LABOR PRODUCTIVITY'!M361))</f>
        <v>9.388888889</v>
      </c>
      <c r="F361" s="119">
        <f t="shared" si="1"/>
        <v>0</v>
      </c>
    </row>
    <row r="362" ht="12.75" customHeight="1">
      <c r="B362" s="44" t="s">
        <v>352</v>
      </c>
      <c r="D362" s="38" t="str">
        <f>CALCULATIONS!T362</f>
        <v>S.M.</v>
      </c>
      <c r="E362" s="119">
        <f>IF($E$4="LOW",'LABOR PRODUCTIVITY'!I362,IF($E$4="AVERAGE",'LABOR PRODUCTIVITY'!K362,'LABOR PRODUCTIVITY'!M362))</f>
        <v>37.55555556</v>
      </c>
      <c r="F362" s="119">
        <f t="shared" si="1"/>
        <v>0</v>
      </c>
    </row>
    <row r="363" ht="12.75" customHeight="1">
      <c r="B363" s="44" t="s">
        <v>353</v>
      </c>
      <c r="D363" s="38" t="str">
        <f>CALCULATIONS!T363</f>
        <v>S.M.</v>
      </c>
      <c r="E363" s="119">
        <f>IF($E$4="LOW",'LABOR PRODUCTIVITY'!I363,IF($E$4="AVERAGE",'LABOR PRODUCTIVITY'!K363,'LABOR PRODUCTIVITY'!M363))</f>
        <v>49.29166667</v>
      </c>
      <c r="F363" s="119">
        <f t="shared" si="1"/>
        <v>0</v>
      </c>
    </row>
    <row r="364" ht="12.75" customHeight="1">
      <c r="B364" s="44" t="s">
        <v>354</v>
      </c>
      <c r="D364" s="38" t="str">
        <f>CALCULATIONS!T364</f>
        <v>S.M.</v>
      </c>
      <c r="E364" s="119">
        <f>IF($E$4="LOW",'LABOR PRODUCTIVITY'!I364,IF($E$4="AVERAGE",'LABOR PRODUCTIVITY'!K364,'LABOR PRODUCTIVITY'!M364))</f>
        <v>16.43055556</v>
      </c>
      <c r="F364" s="119">
        <f t="shared" si="1"/>
        <v>0</v>
      </c>
    </row>
    <row r="365" ht="12.75" customHeight="1">
      <c r="B365" s="44" t="s">
        <v>112</v>
      </c>
      <c r="D365" s="38" t="str">
        <f>CALCULATIONS!T365</f>
        <v>L.M.</v>
      </c>
      <c r="E365" s="119">
        <f>IF($E$4="LOW",'LABOR PRODUCTIVITY'!I365,IF($E$4="AVERAGE",'LABOR PRODUCTIVITY'!K365,'LABOR PRODUCTIVITY'!M365))</f>
        <v>14.67013889</v>
      </c>
      <c r="F365" s="119">
        <f t="shared" si="1"/>
        <v>0</v>
      </c>
    </row>
    <row r="366" ht="12.75" customHeight="1">
      <c r="B366" s="44" t="s">
        <v>355</v>
      </c>
      <c r="D366" s="38" t="str">
        <f>CALCULATIONS!T366</f>
        <v>S.M.</v>
      </c>
      <c r="E366" s="119">
        <f>IF($E$4="LOW",'LABOR PRODUCTIVITY'!I366,IF($E$4="AVERAGE",'LABOR PRODUCTIVITY'!K366,'LABOR PRODUCTIVITY'!M366))</f>
        <v>8.215277778</v>
      </c>
      <c r="F366" s="119">
        <f t="shared" si="1"/>
        <v>0</v>
      </c>
    </row>
    <row r="367" ht="12.75" customHeight="1">
      <c r="B367" s="44" t="s">
        <v>356</v>
      </c>
      <c r="D367" s="38" t="str">
        <f>CALCULATIONS!T367</f>
        <v>CU.M.</v>
      </c>
      <c r="E367" s="119">
        <f>IF($E$4="LOW",'LABOR PRODUCTIVITY'!I367,IF($E$4="AVERAGE",'LABOR PRODUCTIVITY'!K367,'LABOR PRODUCTIVITY'!M367))</f>
        <v>46.94444444</v>
      </c>
      <c r="F367" s="119">
        <f t="shared" si="1"/>
        <v>0</v>
      </c>
    </row>
    <row r="368" ht="12.75" customHeight="1">
      <c r="B368" s="44" t="s">
        <v>357</v>
      </c>
      <c r="D368" s="38" t="str">
        <f>CALCULATIONS!T368</f>
        <v>S.M.</v>
      </c>
      <c r="E368" s="119">
        <f>IF($E$4="LOW",'LABOR PRODUCTIVITY'!I368,IF($E$4="AVERAGE",'LABOR PRODUCTIVITY'!K368,'LABOR PRODUCTIVITY'!M368))</f>
        <v>9.975694444</v>
      </c>
      <c r="F368" s="119">
        <f t="shared" si="1"/>
        <v>0</v>
      </c>
    </row>
    <row r="369" ht="12.75" customHeight="1">
      <c r="B369" s="44" t="s">
        <v>358</v>
      </c>
      <c r="D369" s="38" t="str">
        <f>CALCULATIONS!T369</f>
        <v>L.M.</v>
      </c>
      <c r="E369" s="119">
        <f>IF($E$4="LOW",'LABOR PRODUCTIVITY'!I369,IF($E$4="AVERAGE",'LABOR PRODUCTIVITY'!K369,'LABOR PRODUCTIVITY'!M369))</f>
        <v>1.760416667</v>
      </c>
      <c r="F369" s="119">
        <f t="shared" si="1"/>
        <v>0</v>
      </c>
    </row>
    <row r="370" ht="12.75" customHeight="1">
      <c r="B370" s="44" t="s">
        <v>359</v>
      </c>
      <c r="D370" s="38" t="str">
        <f>CALCULATIONS!T370</f>
        <v>L.M.</v>
      </c>
      <c r="E370" s="119">
        <f>IF($E$4="LOW",'LABOR PRODUCTIVITY'!I370,IF($E$4="AVERAGE",'LABOR PRODUCTIVITY'!K370,'LABOR PRODUCTIVITY'!M370))</f>
        <v>3.520833333</v>
      </c>
      <c r="F370" s="119">
        <f t="shared" si="1"/>
        <v>0</v>
      </c>
    </row>
    <row r="371" ht="12.75" customHeight="1">
      <c r="B371" s="44" t="s">
        <v>360</v>
      </c>
      <c r="D371" s="38" t="str">
        <f>CALCULATIONS!T371</f>
        <v>KG</v>
      </c>
      <c r="E371" s="119">
        <f>IF($E$4="LOW",'LABOR PRODUCTIVITY'!I371,IF($E$4="AVERAGE",'LABOR PRODUCTIVITY'!K371,'LABOR PRODUCTIVITY'!M371))</f>
        <v>14.08333333</v>
      </c>
      <c r="F371" s="119">
        <f t="shared" si="1"/>
        <v>0</v>
      </c>
    </row>
    <row r="372" ht="12.75" customHeight="1">
      <c r="B372" s="44" t="s">
        <v>361</v>
      </c>
      <c r="D372" s="38" t="str">
        <f>CALCULATIONS!T372</f>
        <v>CU.M.</v>
      </c>
      <c r="E372" s="119">
        <f>IF($E$4="LOW",'LABOR PRODUCTIVITY'!I372,IF($E$4="AVERAGE",'LABOR PRODUCTIVITY'!K372,'LABOR PRODUCTIVITY'!M372))</f>
        <v>53.39930556</v>
      </c>
      <c r="F372" s="119">
        <f t="shared" si="1"/>
        <v>0</v>
      </c>
    </row>
    <row r="373" ht="12.75" customHeight="1">
      <c r="D373" s="121" t="s">
        <v>400</v>
      </c>
      <c r="E373" s="2"/>
      <c r="F373" s="122" t="str">
        <f>SUM(F8:F372)</f>
        <v>#VALUE!</v>
      </c>
    </row>
    <row r="374" ht="12.75" customHeight="1">
      <c r="D374" s="77"/>
      <c r="E374" s="79"/>
    </row>
    <row r="375" ht="12.75" customHeight="1">
      <c r="D375" s="38"/>
      <c r="E375" s="119"/>
      <c r="F375" s="119"/>
    </row>
    <row r="376" ht="12.75" customHeight="1">
      <c r="D376" s="38"/>
      <c r="E376" s="119"/>
      <c r="F376" s="119"/>
    </row>
    <row r="377" ht="12.75" customHeight="1">
      <c r="D377" s="38"/>
      <c r="E377" s="119"/>
      <c r="F377" s="119"/>
    </row>
    <row r="378" ht="12.75" customHeight="1">
      <c r="D378" s="38"/>
      <c r="E378" s="119"/>
      <c r="F378" s="119"/>
    </row>
    <row r="379" ht="12.75" customHeight="1">
      <c r="D379" s="38"/>
      <c r="E379" s="119"/>
      <c r="F379" s="119"/>
    </row>
    <row r="380" ht="12.75" customHeight="1">
      <c r="D380" s="38"/>
      <c r="E380" s="119"/>
      <c r="F380" s="119"/>
    </row>
    <row r="381" ht="12.75" customHeight="1">
      <c r="D381" s="38"/>
      <c r="E381" s="119"/>
      <c r="F381" s="119"/>
    </row>
    <row r="382" ht="12.75" customHeight="1">
      <c r="D382" s="38"/>
      <c r="E382" s="119"/>
      <c r="F382" s="119"/>
    </row>
    <row r="383" ht="12.75" customHeight="1">
      <c r="D383" s="38"/>
      <c r="E383" s="119"/>
      <c r="F383" s="119"/>
    </row>
    <row r="384" ht="12.75" customHeight="1">
      <c r="D384" s="38"/>
      <c r="E384" s="119"/>
      <c r="F384" s="119"/>
    </row>
    <row r="385" ht="12.75" customHeight="1">
      <c r="D385" s="38"/>
      <c r="E385" s="119"/>
      <c r="F385" s="119"/>
    </row>
    <row r="386" ht="12.75" customHeight="1">
      <c r="D386" s="38"/>
      <c r="E386" s="119"/>
      <c r="F386" s="119"/>
    </row>
    <row r="387" ht="12.75" customHeight="1">
      <c r="D387" s="38"/>
      <c r="E387" s="119"/>
      <c r="F387" s="119"/>
    </row>
    <row r="388" ht="12.75" customHeight="1">
      <c r="D388" s="38"/>
      <c r="E388" s="119"/>
      <c r="F388" s="119"/>
    </row>
    <row r="389" ht="12.75" customHeight="1">
      <c r="D389" s="38"/>
      <c r="E389" s="119"/>
      <c r="F389" s="119"/>
    </row>
    <row r="390" ht="12.75" customHeight="1">
      <c r="D390" s="38"/>
      <c r="E390" s="119"/>
      <c r="F390" s="119"/>
    </row>
    <row r="391" ht="12.75" customHeight="1">
      <c r="D391" s="38"/>
      <c r="E391" s="119"/>
      <c r="F391" s="119"/>
    </row>
    <row r="392" ht="12.75" customHeight="1">
      <c r="D392" s="38"/>
      <c r="E392" s="119"/>
      <c r="F392" s="119"/>
    </row>
    <row r="393" ht="12.75" customHeight="1">
      <c r="D393" s="38"/>
      <c r="E393" s="119"/>
      <c r="F393" s="119"/>
    </row>
    <row r="394" ht="12.75" customHeight="1">
      <c r="D394" s="38"/>
      <c r="E394" s="119"/>
      <c r="F394" s="119"/>
    </row>
    <row r="395" ht="12.75" customHeight="1">
      <c r="D395" s="38"/>
      <c r="E395" s="119"/>
      <c r="F395" s="119"/>
    </row>
    <row r="396" ht="12.75" customHeight="1">
      <c r="D396" s="38"/>
      <c r="E396" s="119"/>
      <c r="F396" s="119"/>
    </row>
    <row r="397" ht="12.75" customHeight="1">
      <c r="D397" s="38"/>
      <c r="E397" s="119"/>
      <c r="F397" s="119"/>
    </row>
    <row r="398" ht="12.75" customHeight="1">
      <c r="D398" s="38"/>
      <c r="E398" s="119"/>
      <c r="F398" s="119"/>
    </row>
    <row r="399" ht="12.75" customHeight="1">
      <c r="D399" s="38"/>
      <c r="E399" s="119"/>
      <c r="F399" s="119"/>
    </row>
    <row r="400" ht="12.75" customHeight="1">
      <c r="D400" s="38"/>
      <c r="E400" s="119"/>
      <c r="F400" s="119"/>
    </row>
    <row r="401" ht="12.75" customHeight="1">
      <c r="D401" s="38"/>
      <c r="E401" s="119"/>
      <c r="F401" s="119"/>
    </row>
    <row r="402" ht="12.75" customHeight="1">
      <c r="D402" s="38"/>
      <c r="E402" s="119"/>
      <c r="F402" s="119"/>
    </row>
    <row r="403" ht="12.75" customHeight="1">
      <c r="D403" s="38"/>
      <c r="E403" s="119"/>
      <c r="F403" s="119"/>
    </row>
    <row r="404" ht="12.75" customHeight="1">
      <c r="D404" s="38"/>
      <c r="E404" s="119"/>
      <c r="F404" s="119"/>
    </row>
    <row r="405" ht="12.75" customHeight="1">
      <c r="D405" s="38"/>
      <c r="E405" s="119"/>
      <c r="F405" s="119"/>
    </row>
    <row r="406" ht="12.75" customHeight="1">
      <c r="D406" s="38"/>
      <c r="E406" s="119"/>
      <c r="F406" s="119"/>
    </row>
    <row r="407" ht="12.75" customHeight="1">
      <c r="D407" s="38"/>
      <c r="E407" s="119"/>
      <c r="F407" s="119"/>
    </row>
    <row r="408" ht="12.75" customHeight="1">
      <c r="D408" s="38"/>
      <c r="E408" s="119"/>
      <c r="F408" s="119"/>
    </row>
    <row r="409" ht="12.75" customHeight="1">
      <c r="D409" s="38"/>
      <c r="E409" s="119"/>
      <c r="F409" s="119"/>
    </row>
    <row r="410" ht="12.75" customHeight="1">
      <c r="D410" s="38"/>
      <c r="E410" s="119"/>
      <c r="F410" s="119"/>
    </row>
    <row r="411" ht="12.75" customHeight="1">
      <c r="D411" s="38"/>
      <c r="E411" s="119"/>
      <c r="F411" s="119"/>
    </row>
    <row r="412" ht="12.75" customHeight="1">
      <c r="D412" s="38"/>
      <c r="E412" s="119"/>
      <c r="F412" s="119"/>
    </row>
    <row r="413" ht="12.75" customHeight="1">
      <c r="D413" s="38"/>
      <c r="E413" s="119"/>
      <c r="F413" s="119"/>
    </row>
    <row r="414" ht="12.75" customHeight="1">
      <c r="D414" s="38"/>
      <c r="E414" s="119"/>
      <c r="F414" s="119"/>
    </row>
    <row r="415" ht="12.75" customHeight="1">
      <c r="D415" s="38"/>
      <c r="E415" s="119"/>
      <c r="F415" s="119"/>
    </row>
    <row r="416" ht="12.75" customHeight="1">
      <c r="D416" s="38"/>
      <c r="E416" s="119"/>
      <c r="F416" s="119"/>
    </row>
    <row r="417" ht="12.75" customHeight="1">
      <c r="D417" s="38"/>
      <c r="E417" s="119"/>
      <c r="F417" s="119"/>
    </row>
    <row r="418" ht="12.75" customHeight="1">
      <c r="D418" s="38"/>
      <c r="E418" s="119"/>
      <c r="F418" s="119"/>
    </row>
    <row r="419" ht="12.75" customHeight="1">
      <c r="D419" s="38"/>
      <c r="E419" s="119"/>
      <c r="F419" s="119"/>
    </row>
    <row r="420" ht="12.75" customHeight="1">
      <c r="D420" s="38"/>
      <c r="E420" s="119"/>
      <c r="F420" s="119"/>
    </row>
    <row r="421" ht="12.75" customHeight="1">
      <c r="D421" s="38"/>
      <c r="E421" s="119"/>
      <c r="F421" s="119"/>
    </row>
    <row r="422" ht="12.75" customHeight="1">
      <c r="D422" s="38"/>
      <c r="E422" s="119"/>
      <c r="F422" s="119"/>
    </row>
    <row r="423" ht="12.75" customHeight="1">
      <c r="D423" s="38"/>
      <c r="E423" s="119"/>
      <c r="F423" s="119"/>
    </row>
    <row r="424" ht="12.75" customHeight="1">
      <c r="D424" s="38"/>
      <c r="E424" s="119"/>
      <c r="F424" s="119"/>
    </row>
    <row r="425" ht="12.75" customHeight="1">
      <c r="D425" s="38"/>
      <c r="E425" s="119"/>
      <c r="F425" s="119"/>
    </row>
    <row r="426" ht="12.75" customHeight="1">
      <c r="D426" s="38"/>
      <c r="E426" s="119"/>
      <c r="F426" s="119"/>
    </row>
    <row r="427" ht="12.75" customHeight="1">
      <c r="D427" s="38"/>
      <c r="E427" s="119"/>
      <c r="F427" s="119"/>
    </row>
    <row r="428" ht="12.75" customHeight="1">
      <c r="D428" s="38"/>
      <c r="E428" s="119"/>
      <c r="F428" s="119"/>
    </row>
    <row r="429" ht="12.75" customHeight="1">
      <c r="D429" s="38"/>
      <c r="E429" s="119"/>
      <c r="F429" s="119"/>
    </row>
    <row r="430" ht="12.75" customHeight="1">
      <c r="D430" s="38"/>
      <c r="E430" s="119"/>
      <c r="F430" s="119"/>
    </row>
    <row r="431" ht="12.75" customHeight="1">
      <c r="D431" s="38"/>
      <c r="E431" s="119"/>
      <c r="F431" s="119"/>
    </row>
    <row r="432" ht="12.75" customHeight="1">
      <c r="D432" s="38"/>
      <c r="E432" s="119"/>
      <c r="F432" s="119"/>
    </row>
    <row r="433" ht="12.75" customHeight="1">
      <c r="D433" s="38"/>
      <c r="E433" s="119"/>
      <c r="F433" s="119"/>
    </row>
    <row r="434" ht="12.75" customHeight="1">
      <c r="D434" s="38"/>
      <c r="E434" s="119"/>
      <c r="F434" s="119"/>
    </row>
    <row r="435" ht="12.75" customHeight="1">
      <c r="D435" s="38"/>
      <c r="E435" s="119"/>
      <c r="F435" s="119"/>
    </row>
    <row r="436" ht="12.75" customHeight="1">
      <c r="D436" s="38"/>
      <c r="E436" s="119"/>
      <c r="F436" s="119"/>
    </row>
    <row r="437" ht="12.75" customHeight="1">
      <c r="D437" s="38"/>
      <c r="E437" s="119"/>
      <c r="F437" s="119"/>
    </row>
    <row r="438" ht="12.75" customHeight="1">
      <c r="D438" s="38"/>
      <c r="E438" s="119"/>
      <c r="F438" s="119"/>
    </row>
    <row r="439" ht="12.75" customHeight="1">
      <c r="D439" s="38"/>
      <c r="E439" s="119"/>
      <c r="F439" s="119"/>
    </row>
    <row r="440" ht="12.75" customHeight="1">
      <c r="D440" s="38"/>
      <c r="E440" s="119"/>
      <c r="F440" s="119"/>
    </row>
    <row r="441" ht="12.75" customHeight="1">
      <c r="D441" s="38"/>
      <c r="E441" s="119"/>
      <c r="F441" s="119"/>
    </row>
    <row r="442" ht="12.75" customHeight="1">
      <c r="D442" s="38"/>
      <c r="E442" s="119"/>
      <c r="F442" s="119"/>
    </row>
    <row r="443" ht="12.75" customHeight="1">
      <c r="D443" s="38"/>
      <c r="E443" s="119"/>
      <c r="F443" s="119"/>
    </row>
    <row r="444" ht="12.75" customHeight="1">
      <c r="D444" s="38"/>
      <c r="E444" s="119"/>
      <c r="F444" s="119"/>
    </row>
    <row r="445" ht="12.75" customHeight="1">
      <c r="D445" s="38"/>
      <c r="E445" s="119"/>
      <c r="F445" s="119"/>
    </row>
    <row r="446" ht="12.75" customHeight="1">
      <c r="D446" s="38"/>
      <c r="E446" s="119"/>
      <c r="F446" s="119"/>
    </row>
    <row r="447" ht="12.75" customHeight="1">
      <c r="D447" s="38"/>
      <c r="E447" s="119"/>
      <c r="F447" s="119"/>
    </row>
    <row r="448" ht="12.75" customHeight="1">
      <c r="D448" s="38"/>
      <c r="E448" s="119"/>
      <c r="F448" s="119"/>
    </row>
    <row r="449" ht="12.75" customHeight="1">
      <c r="D449" s="38"/>
      <c r="E449" s="119"/>
      <c r="F449" s="119"/>
    </row>
    <row r="450" ht="12.75" customHeight="1">
      <c r="D450" s="38"/>
      <c r="E450" s="119"/>
      <c r="F450" s="119"/>
    </row>
    <row r="451" ht="12.75" customHeight="1">
      <c r="D451" s="38"/>
      <c r="E451" s="119"/>
      <c r="F451" s="119"/>
    </row>
    <row r="452" ht="12.75" customHeight="1">
      <c r="D452" s="38"/>
      <c r="E452" s="119"/>
      <c r="F452" s="119"/>
    </row>
    <row r="453" ht="12.75" customHeight="1">
      <c r="D453" s="38"/>
      <c r="E453" s="119"/>
      <c r="F453" s="119"/>
    </row>
    <row r="454" ht="12.75" customHeight="1">
      <c r="D454" s="38"/>
      <c r="E454" s="119"/>
      <c r="F454" s="119"/>
    </row>
    <row r="455" ht="12.75" customHeight="1">
      <c r="D455" s="38"/>
      <c r="E455" s="119"/>
      <c r="F455" s="119"/>
    </row>
    <row r="456" ht="12.75" customHeight="1">
      <c r="D456" s="38"/>
      <c r="E456" s="119"/>
      <c r="F456" s="119"/>
    </row>
    <row r="457" ht="12.75" customHeight="1">
      <c r="D457" s="38"/>
      <c r="E457" s="119"/>
      <c r="F457" s="119"/>
    </row>
    <row r="458" ht="12.75" customHeight="1">
      <c r="D458" s="38"/>
      <c r="E458" s="119"/>
      <c r="F458" s="119"/>
    </row>
    <row r="459" ht="12.75" customHeight="1">
      <c r="D459" s="38"/>
      <c r="E459" s="119"/>
      <c r="F459" s="119"/>
    </row>
    <row r="460" ht="12.75" customHeight="1">
      <c r="D460" s="38"/>
      <c r="E460" s="119"/>
      <c r="F460" s="119"/>
    </row>
    <row r="461" ht="12.75" customHeight="1">
      <c r="D461" s="38"/>
      <c r="E461" s="119"/>
      <c r="F461" s="119"/>
    </row>
    <row r="462" ht="12.75" customHeight="1">
      <c r="D462" s="38"/>
      <c r="E462" s="119"/>
      <c r="F462" s="119"/>
    </row>
    <row r="463" ht="12.75" customHeight="1">
      <c r="D463" s="38"/>
      <c r="E463" s="119"/>
      <c r="F463" s="119"/>
    </row>
    <row r="464" ht="12.75" customHeight="1">
      <c r="D464" s="38"/>
      <c r="E464" s="119"/>
      <c r="F464" s="119"/>
    </row>
    <row r="465" ht="12.75" customHeight="1">
      <c r="D465" s="38"/>
      <c r="E465" s="119"/>
      <c r="F465" s="119"/>
    </row>
    <row r="466" ht="12.75" customHeight="1">
      <c r="D466" s="38"/>
      <c r="E466" s="119"/>
      <c r="F466" s="119"/>
    </row>
    <row r="467" ht="12.75" customHeight="1">
      <c r="D467" s="38"/>
      <c r="E467" s="119"/>
      <c r="F467" s="119"/>
    </row>
    <row r="468" ht="12.75" customHeight="1">
      <c r="D468" s="38"/>
      <c r="E468" s="119"/>
      <c r="F468" s="119"/>
    </row>
    <row r="469" ht="12.75" customHeight="1">
      <c r="D469" s="38"/>
      <c r="E469" s="119"/>
      <c r="F469" s="119"/>
    </row>
    <row r="470" ht="12.75" customHeight="1">
      <c r="D470" s="38"/>
      <c r="E470" s="119"/>
      <c r="F470" s="119"/>
    </row>
    <row r="471" ht="12.75" customHeight="1">
      <c r="D471" s="38"/>
      <c r="E471" s="119"/>
      <c r="F471" s="119"/>
    </row>
    <row r="472" ht="12.75" customHeight="1">
      <c r="D472" s="38"/>
      <c r="E472" s="119"/>
      <c r="F472" s="119"/>
    </row>
    <row r="473" ht="12.75" customHeight="1">
      <c r="D473" s="38"/>
      <c r="E473" s="119"/>
      <c r="F473" s="119"/>
    </row>
    <row r="474" ht="12.75" customHeight="1">
      <c r="D474" s="38"/>
      <c r="E474" s="119"/>
      <c r="F474" s="119"/>
    </row>
    <row r="475" ht="12.75" customHeight="1">
      <c r="D475" s="38"/>
      <c r="E475" s="119"/>
      <c r="F475" s="119"/>
    </row>
    <row r="476" ht="12.75" customHeight="1">
      <c r="D476" s="38"/>
      <c r="E476" s="119"/>
      <c r="F476" s="119"/>
    </row>
    <row r="477" ht="12.75" customHeight="1">
      <c r="D477" s="38"/>
      <c r="E477" s="119"/>
      <c r="F477" s="119"/>
    </row>
    <row r="478" ht="12.75" customHeight="1">
      <c r="D478" s="38"/>
      <c r="E478" s="119"/>
      <c r="F478" s="119"/>
    </row>
    <row r="479" ht="12.75" customHeight="1">
      <c r="D479" s="38"/>
      <c r="E479" s="119"/>
      <c r="F479" s="119"/>
    </row>
    <row r="480" ht="12.75" customHeight="1">
      <c r="D480" s="38"/>
      <c r="E480" s="119"/>
      <c r="F480" s="119"/>
    </row>
    <row r="481" ht="12.75" customHeight="1">
      <c r="D481" s="38"/>
      <c r="E481" s="119"/>
      <c r="F481" s="119"/>
    </row>
    <row r="482" ht="12.75" customHeight="1">
      <c r="D482" s="38"/>
      <c r="E482" s="119"/>
      <c r="F482" s="119"/>
    </row>
    <row r="483" ht="12.75" customHeight="1">
      <c r="D483" s="38"/>
      <c r="E483" s="119"/>
      <c r="F483" s="119"/>
    </row>
    <row r="484" ht="12.75" customHeight="1">
      <c r="D484" s="38"/>
      <c r="E484" s="119"/>
      <c r="F484" s="119"/>
    </row>
    <row r="485" ht="12.75" customHeight="1">
      <c r="D485" s="38"/>
      <c r="E485" s="119"/>
      <c r="F485" s="119"/>
    </row>
    <row r="486" ht="12.75" customHeight="1">
      <c r="D486" s="38"/>
      <c r="E486" s="119"/>
      <c r="F486" s="119"/>
    </row>
    <row r="487" ht="12.75" customHeight="1">
      <c r="D487" s="38"/>
      <c r="E487" s="119"/>
      <c r="F487" s="119"/>
    </row>
    <row r="488" ht="12.75" customHeight="1">
      <c r="D488" s="38"/>
      <c r="E488" s="119"/>
      <c r="F488" s="119"/>
    </row>
    <row r="489" ht="12.75" customHeight="1">
      <c r="D489" s="38"/>
      <c r="E489" s="119"/>
      <c r="F489" s="119"/>
    </row>
    <row r="490" ht="12.75" customHeight="1">
      <c r="D490" s="38"/>
      <c r="E490" s="119"/>
      <c r="F490" s="119"/>
    </row>
    <row r="491" ht="12.75" customHeight="1">
      <c r="D491" s="38"/>
      <c r="E491" s="119"/>
      <c r="F491" s="119"/>
    </row>
    <row r="492" ht="12.75" customHeight="1">
      <c r="D492" s="38"/>
      <c r="E492" s="119"/>
      <c r="F492" s="119"/>
    </row>
    <row r="493" ht="12.75" customHeight="1">
      <c r="D493" s="38"/>
      <c r="E493" s="119"/>
      <c r="F493" s="119"/>
    </row>
    <row r="494" ht="12.75" customHeight="1">
      <c r="D494" s="38"/>
      <c r="E494" s="119"/>
      <c r="F494" s="119"/>
    </row>
    <row r="495" ht="12.75" customHeight="1">
      <c r="D495" s="38"/>
      <c r="E495" s="119"/>
      <c r="F495" s="119"/>
    </row>
    <row r="496" ht="12.75" customHeight="1">
      <c r="D496" s="38"/>
      <c r="E496" s="119"/>
      <c r="F496" s="119"/>
    </row>
    <row r="497" ht="12.75" customHeight="1">
      <c r="D497" s="38"/>
      <c r="E497" s="119"/>
      <c r="F497" s="119"/>
    </row>
    <row r="498" ht="12.75" customHeight="1">
      <c r="D498" s="38"/>
      <c r="E498" s="119"/>
      <c r="F498" s="119"/>
    </row>
    <row r="499" ht="12.75" customHeight="1">
      <c r="D499" s="38"/>
      <c r="E499" s="119"/>
      <c r="F499" s="119"/>
    </row>
    <row r="500" ht="12.75" customHeight="1">
      <c r="D500" s="38"/>
      <c r="E500" s="119"/>
      <c r="F500" s="119"/>
    </row>
    <row r="501" ht="12.75" customHeight="1">
      <c r="D501" s="38"/>
      <c r="E501" s="119"/>
      <c r="F501" s="119"/>
    </row>
    <row r="502" ht="12.75" customHeight="1">
      <c r="D502" s="38"/>
      <c r="E502" s="119"/>
      <c r="F502" s="119"/>
    </row>
    <row r="503" ht="12.75" customHeight="1">
      <c r="D503" s="38"/>
      <c r="E503" s="119"/>
      <c r="F503" s="119"/>
    </row>
    <row r="504" ht="12.75" customHeight="1">
      <c r="D504" s="38"/>
      <c r="E504" s="119"/>
      <c r="F504" s="119"/>
    </row>
    <row r="505" ht="12.75" customHeight="1">
      <c r="D505" s="38"/>
      <c r="E505" s="119"/>
      <c r="F505" s="119"/>
    </row>
    <row r="506" ht="12.75" customHeight="1">
      <c r="D506" s="38"/>
      <c r="E506" s="119"/>
      <c r="F506" s="119"/>
    </row>
    <row r="507" ht="12.75" customHeight="1">
      <c r="D507" s="38"/>
      <c r="E507" s="119"/>
      <c r="F507" s="119"/>
    </row>
    <row r="508" ht="12.75" customHeight="1">
      <c r="D508" s="38"/>
      <c r="E508" s="119"/>
      <c r="F508" s="119"/>
    </row>
    <row r="509" ht="12.75" customHeight="1">
      <c r="D509" s="38"/>
      <c r="E509" s="119"/>
      <c r="F509" s="119"/>
    </row>
    <row r="510" ht="12.75" customHeight="1">
      <c r="D510" s="38"/>
      <c r="E510" s="119"/>
      <c r="F510" s="119"/>
    </row>
    <row r="511" ht="12.75" customHeight="1">
      <c r="D511" s="38"/>
      <c r="E511" s="119"/>
      <c r="F511" s="119"/>
    </row>
    <row r="512" ht="12.75" customHeight="1">
      <c r="D512" s="38"/>
      <c r="E512" s="119"/>
      <c r="F512" s="119"/>
    </row>
    <row r="513" ht="12.75" customHeight="1">
      <c r="D513" s="38"/>
      <c r="E513" s="119"/>
      <c r="F513" s="119"/>
    </row>
    <row r="514" ht="12.75" customHeight="1">
      <c r="D514" s="38"/>
      <c r="E514" s="119"/>
      <c r="F514" s="119"/>
    </row>
    <row r="515" ht="12.75" customHeight="1">
      <c r="D515" s="38"/>
      <c r="E515" s="119"/>
      <c r="F515" s="119"/>
    </row>
    <row r="516" ht="12.75" customHeight="1">
      <c r="D516" s="38"/>
      <c r="E516" s="119"/>
      <c r="F516" s="119"/>
    </row>
    <row r="517" ht="12.75" customHeight="1">
      <c r="D517" s="38"/>
      <c r="E517" s="119"/>
      <c r="F517" s="119"/>
    </row>
    <row r="518" ht="12.75" customHeight="1">
      <c r="D518" s="38"/>
      <c r="E518" s="119"/>
      <c r="F518" s="119"/>
    </row>
    <row r="519" ht="12.75" customHeight="1">
      <c r="D519" s="38"/>
      <c r="E519" s="119"/>
      <c r="F519" s="119"/>
    </row>
    <row r="520" ht="12.75" customHeight="1">
      <c r="D520" s="38"/>
      <c r="E520" s="119"/>
      <c r="F520" s="119"/>
    </row>
    <row r="521" ht="12.75" customHeight="1">
      <c r="D521" s="38"/>
      <c r="E521" s="119"/>
      <c r="F521" s="119"/>
    </row>
    <row r="522" ht="12.75" customHeight="1">
      <c r="D522" s="38"/>
      <c r="E522" s="119"/>
      <c r="F522" s="119"/>
    </row>
    <row r="523" ht="12.75" customHeight="1">
      <c r="D523" s="38"/>
      <c r="E523" s="119"/>
      <c r="F523" s="119"/>
    </row>
    <row r="524" ht="12.75" customHeight="1">
      <c r="D524" s="38"/>
      <c r="E524" s="119"/>
      <c r="F524" s="119"/>
    </row>
    <row r="525" ht="12.75" customHeight="1">
      <c r="D525" s="38"/>
      <c r="E525" s="119"/>
      <c r="F525" s="119"/>
    </row>
    <row r="526" ht="12.75" customHeight="1">
      <c r="D526" s="38"/>
      <c r="E526" s="119"/>
      <c r="F526" s="119"/>
    </row>
    <row r="527" ht="12.75" customHeight="1">
      <c r="D527" s="38"/>
      <c r="E527" s="119"/>
      <c r="F527" s="119"/>
    </row>
    <row r="528" ht="12.75" customHeight="1">
      <c r="D528" s="38"/>
      <c r="E528" s="119"/>
      <c r="F528" s="119"/>
    </row>
    <row r="529" ht="12.75" customHeight="1">
      <c r="D529" s="38"/>
      <c r="E529" s="119"/>
      <c r="F529" s="119"/>
    </row>
    <row r="530" ht="12.75" customHeight="1">
      <c r="D530" s="38"/>
      <c r="E530" s="119"/>
      <c r="F530" s="119"/>
    </row>
    <row r="531" ht="12.75" customHeight="1">
      <c r="D531" s="38"/>
      <c r="E531" s="119"/>
      <c r="F531" s="119"/>
    </row>
    <row r="532" ht="12.75" customHeight="1">
      <c r="D532" s="38"/>
      <c r="E532" s="119"/>
      <c r="F532" s="119"/>
    </row>
    <row r="533" ht="12.75" customHeight="1">
      <c r="D533" s="38"/>
      <c r="E533" s="119"/>
      <c r="F533" s="119"/>
    </row>
    <row r="534" ht="12.75" customHeight="1">
      <c r="D534" s="38"/>
      <c r="E534" s="119"/>
      <c r="F534" s="119"/>
    </row>
    <row r="535" ht="12.75" customHeight="1">
      <c r="D535" s="38"/>
      <c r="E535" s="119"/>
      <c r="F535" s="119"/>
    </row>
    <row r="536" ht="12.75" customHeight="1">
      <c r="D536" s="38"/>
      <c r="E536" s="119"/>
      <c r="F536" s="119"/>
    </row>
    <row r="537" ht="12.75" customHeight="1">
      <c r="D537" s="38"/>
      <c r="E537" s="119"/>
      <c r="F537" s="119"/>
    </row>
    <row r="538" ht="12.75" customHeight="1">
      <c r="D538" s="38"/>
      <c r="E538" s="119"/>
      <c r="F538" s="119"/>
    </row>
    <row r="539" ht="12.75" customHeight="1">
      <c r="D539" s="38"/>
      <c r="E539" s="119"/>
      <c r="F539" s="119"/>
    </row>
    <row r="540" ht="12.75" customHeight="1">
      <c r="D540" s="38"/>
      <c r="E540" s="119"/>
      <c r="F540" s="119"/>
    </row>
    <row r="541" ht="12.75" customHeight="1">
      <c r="D541" s="38"/>
      <c r="E541" s="119"/>
      <c r="F541" s="119"/>
    </row>
    <row r="542" ht="12.75" customHeight="1">
      <c r="D542" s="38"/>
      <c r="E542" s="119"/>
      <c r="F542" s="119"/>
    </row>
    <row r="543" ht="12.75" customHeight="1">
      <c r="D543" s="38"/>
      <c r="E543" s="119"/>
      <c r="F543" s="119"/>
    </row>
    <row r="544" ht="12.75" customHeight="1">
      <c r="D544" s="38"/>
      <c r="E544" s="119"/>
      <c r="F544" s="119"/>
    </row>
    <row r="545" ht="12.75" customHeight="1">
      <c r="D545" s="38"/>
      <c r="E545" s="119"/>
      <c r="F545" s="119"/>
    </row>
    <row r="546" ht="12.75" customHeight="1">
      <c r="D546" s="38"/>
      <c r="E546" s="119"/>
      <c r="F546" s="119"/>
    </row>
    <row r="547" ht="12.75" customHeight="1">
      <c r="D547" s="38"/>
      <c r="E547" s="119"/>
      <c r="F547" s="119"/>
    </row>
    <row r="548" ht="12.75" customHeight="1">
      <c r="D548" s="38"/>
      <c r="E548" s="119"/>
      <c r="F548" s="119"/>
    </row>
    <row r="549" ht="12.75" customHeight="1">
      <c r="D549" s="38"/>
      <c r="E549" s="119"/>
      <c r="F549" s="119"/>
    </row>
    <row r="550" ht="12.75" customHeight="1">
      <c r="D550" s="38"/>
      <c r="E550" s="119"/>
      <c r="F550" s="119"/>
    </row>
    <row r="551" ht="12.75" customHeight="1">
      <c r="D551" s="38"/>
      <c r="E551" s="119"/>
      <c r="F551" s="119"/>
    </row>
    <row r="552" ht="12.75" customHeight="1">
      <c r="D552" s="38"/>
      <c r="E552" s="119"/>
      <c r="F552" s="119"/>
    </row>
    <row r="553" ht="12.75" customHeight="1">
      <c r="D553" s="38"/>
      <c r="E553" s="119"/>
      <c r="F553" s="119"/>
    </row>
    <row r="554" ht="12.75" customHeight="1">
      <c r="D554" s="38"/>
      <c r="E554" s="119"/>
      <c r="F554" s="119"/>
    </row>
    <row r="555" ht="12.75" customHeight="1">
      <c r="D555" s="38"/>
      <c r="E555" s="119"/>
      <c r="F555" s="119"/>
    </row>
    <row r="556" ht="12.75" customHeight="1">
      <c r="D556" s="38"/>
      <c r="E556" s="119"/>
      <c r="F556" s="119"/>
    </row>
    <row r="557" ht="12.75" customHeight="1">
      <c r="D557" s="38"/>
      <c r="E557" s="119"/>
      <c r="F557" s="119"/>
    </row>
    <row r="558" ht="12.75" customHeight="1">
      <c r="D558" s="38"/>
      <c r="E558" s="119"/>
      <c r="F558" s="119"/>
    </row>
    <row r="559" ht="12.75" customHeight="1">
      <c r="D559" s="38"/>
      <c r="E559" s="119"/>
      <c r="F559" s="119"/>
    </row>
    <row r="560" ht="12.75" customHeight="1">
      <c r="D560" s="38"/>
      <c r="E560" s="119"/>
      <c r="F560" s="119"/>
    </row>
    <row r="561" ht="12.75" customHeight="1">
      <c r="D561" s="38"/>
      <c r="E561" s="119"/>
      <c r="F561" s="119"/>
    </row>
    <row r="562" ht="12.75" customHeight="1">
      <c r="D562" s="38"/>
      <c r="E562" s="119"/>
      <c r="F562" s="119"/>
    </row>
    <row r="563" ht="12.75" customHeight="1">
      <c r="D563" s="38"/>
      <c r="E563" s="119"/>
      <c r="F563" s="119"/>
    </row>
    <row r="564" ht="12.75" customHeight="1">
      <c r="D564" s="38"/>
      <c r="E564" s="119"/>
      <c r="F564" s="119"/>
    </row>
    <row r="565" ht="12.75" customHeight="1">
      <c r="D565" s="38"/>
      <c r="E565" s="119"/>
      <c r="F565" s="119"/>
    </row>
    <row r="566" ht="12.75" customHeight="1">
      <c r="D566" s="38"/>
      <c r="E566" s="119"/>
      <c r="F566" s="119"/>
    </row>
    <row r="567" ht="12.75" customHeight="1">
      <c r="D567" s="38"/>
      <c r="E567" s="119"/>
      <c r="F567" s="119"/>
    </row>
    <row r="568" ht="12.75" customHeight="1">
      <c r="D568" s="38"/>
      <c r="E568" s="119"/>
      <c r="F568" s="119"/>
    </row>
    <row r="569" ht="12.75" customHeight="1">
      <c r="D569" s="38"/>
      <c r="E569" s="119"/>
      <c r="F569" s="119"/>
    </row>
    <row r="570" ht="12.75" customHeight="1">
      <c r="D570" s="38"/>
      <c r="E570" s="119"/>
      <c r="F570" s="119"/>
    </row>
    <row r="571" ht="12.75" customHeight="1">
      <c r="D571" s="38"/>
      <c r="E571" s="119"/>
      <c r="F571" s="119"/>
    </row>
    <row r="572" ht="12.75" customHeight="1">
      <c r="D572" s="38"/>
      <c r="E572" s="119"/>
      <c r="F572" s="119"/>
    </row>
    <row r="573" ht="12.75" customHeight="1">
      <c r="D573" s="38"/>
      <c r="E573" s="119"/>
      <c r="F573" s="119"/>
    </row>
    <row r="574" ht="12.75" customHeight="1">
      <c r="D574" s="38"/>
      <c r="E574" s="119"/>
      <c r="F574" s="119"/>
    </row>
    <row r="575" ht="12.75" customHeight="1">
      <c r="D575" s="38"/>
      <c r="E575" s="119"/>
      <c r="F575" s="119"/>
    </row>
    <row r="576" ht="12.75" customHeight="1">
      <c r="D576" s="38"/>
      <c r="E576" s="119"/>
      <c r="F576" s="119"/>
    </row>
    <row r="577" ht="12.75" customHeight="1">
      <c r="D577" s="38"/>
      <c r="E577" s="119"/>
      <c r="F577" s="119"/>
    </row>
    <row r="578" ht="12.75" customHeight="1">
      <c r="D578" s="38"/>
      <c r="E578" s="119"/>
      <c r="F578" s="119"/>
    </row>
    <row r="579" ht="12.75" customHeight="1">
      <c r="D579" s="38"/>
      <c r="E579" s="119"/>
      <c r="F579" s="119"/>
    </row>
    <row r="580" ht="12.75" customHeight="1">
      <c r="D580" s="38"/>
      <c r="E580" s="119"/>
      <c r="F580" s="119"/>
    </row>
    <row r="581" ht="12.75" customHeight="1">
      <c r="D581" s="38"/>
      <c r="E581" s="119"/>
      <c r="F581" s="119"/>
    </row>
    <row r="582" ht="12.75" customHeight="1">
      <c r="D582" s="38"/>
      <c r="E582" s="119"/>
      <c r="F582" s="119"/>
    </row>
    <row r="583" ht="12.75" customHeight="1">
      <c r="D583" s="38"/>
      <c r="E583" s="119"/>
      <c r="F583" s="119"/>
    </row>
    <row r="584" ht="12.75" customHeight="1">
      <c r="D584" s="38"/>
      <c r="E584" s="119"/>
      <c r="F584" s="119"/>
    </row>
    <row r="585" ht="12.75" customHeight="1">
      <c r="D585" s="38"/>
      <c r="E585" s="119"/>
      <c r="F585" s="119"/>
    </row>
    <row r="586" ht="12.75" customHeight="1">
      <c r="D586" s="38"/>
      <c r="E586" s="119"/>
      <c r="F586" s="119"/>
    </row>
    <row r="587" ht="12.75" customHeight="1">
      <c r="D587" s="38"/>
      <c r="E587" s="119"/>
      <c r="F587" s="119"/>
    </row>
    <row r="588" ht="12.75" customHeight="1">
      <c r="D588" s="38"/>
      <c r="E588" s="119"/>
      <c r="F588" s="119"/>
    </row>
    <row r="589" ht="12.75" customHeight="1">
      <c r="D589" s="38"/>
      <c r="E589" s="119"/>
      <c r="F589" s="119"/>
    </row>
    <row r="590" ht="12.75" customHeight="1">
      <c r="D590" s="38"/>
      <c r="E590" s="119"/>
      <c r="F590" s="119"/>
    </row>
    <row r="591" ht="12.75" customHeight="1">
      <c r="D591" s="38"/>
      <c r="E591" s="119"/>
      <c r="F591" s="119"/>
    </row>
    <row r="592" ht="12.75" customHeight="1">
      <c r="D592" s="38"/>
      <c r="E592" s="119"/>
      <c r="F592" s="119"/>
    </row>
    <row r="593" ht="12.75" customHeight="1">
      <c r="D593" s="38"/>
      <c r="E593" s="119"/>
      <c r="F593" s="119"/>
    </row>
    <row r="594" ht="12.75" customHeight="1">
      <c r="D594" s="38"/>
      <c r="E594" s="119"/>
      <c r="F594" s="119"/>
    </row>
    <row r="595" ht="12.75" customHeight="1">
      <c r="D595" s="38"/>
      <c r="E595" s="119"/>
      <c r="F595" s="119"/>
    </row>
    <row r="596" ht="12.75" customHeight="1">
      <c r="D596" s="38"/>
      <c r="E596" s="119"/>
      <c r="F596" s="119"/>
    </row>
    <row r="597" ht="12.75" customHeight="1">
      <c r="D597" s="38"/>
      <c r="E597" s="119"/>
      <c r="F597" s="119"/>
    </row>
    <row r="598" ht="12.75" customHeight="1">
      <c r="D598" s="38"/>
      <c r="E598" s="119"/>
      <c r="F598" s="119"/>
    </row>
    <row r="599" ht="12.75" customHeight="1">
      <c r="D599" s="38"/>
      <c r="E599" s="119"/>
      <c r="F599" s="119"/>
    </row>
    <row r="600" ht="12.75" customHeight="1">
      <c r="D600" s="38"/>
      <c r="E600" s="119"/>
      <c r="F600" s="119"/>
    </row>
    <row r="601" ht="12.75" customHeight="1">
      <c r="D601" s="38"/>
      <c r="E601" s="119"/>
      <c r="F601" s="119"/>
    </row>
    <row r="602" ht="12.75" customHeight="1">
      <c r="D602" s="38"/>
      <c r="E602" s="119"/>
      <c r="F602" s="119"/>
    </row>
    <row r="603" ht="12.75" customHeight="1">
      <c r="D603" s="38"/>
      <c r="E603" s="119"/>
      <c r="F603" s="119"/>
    </row>
    <row r="604" ht="12.75" customHeight="1">
      <c r="D604" s="38"/>
      <c r="E604" s="119"/>
      <c r="F604" s="119"/>
    </row>
    <row r="605" ht="12.75" customHeight="1">
      <c r="D605" s="38"/>
      <c r="E605" s="119"/>
      <c r="F605" s="119"/>
    </row>
    <row r="606" ht="12.75" customHeight="1">
      <c r="D606" s="38"/>
      <c r="E606" s="119"/>
      <c r="F606" s="119"/>
    </row>
    <row r="607" ht="12.75" customHeight="1">
      <c r="D607" s="38"/>
      <c r="E607" s="119"/>
      <c r="F607" s="119"/>
    </row>
    <row r="608" ht="12.75" customHeight="1">
      <c r="D608" s="38"/>
      <c r="E608" s="119"/>
      <c r="F608" s="119"/>
    </row>
    <row r="609" ht="12.75" customHeight="1">
      <c r="D609" s="38"/>
      <c r="E609" s="119"/>
      <c r="F609" s="119"/>
    </row>
    <row r="610" ht="12.75" customHeight="1">
      <c r="D610" s="38"/>
      <c r="E610" s="119"/>
      <c r="F610" s="119"/>
    </row>
    <row r="611" ht="12.75" customHeight="1">
      <c r="D611" s="38"/>
      <c r="E611" s="119"/>
      <c r="F611" s="119"/>
    </row>
    <row r="612" ht="12.75" customHeight="1">
      <c r="D612" s="38"/>
      <c r="E612" s="119"/>
      <c r="F612" s="119"/>
    </row>
    <row r="613" ht="12.75" customHeight="1">
      <c r="D613" s="38"/>
      <c r="E613" s="119"/>
      <c r="F613" s="119"/>
    </row>
    <row r="614" ht="12.75" customHeight="1">
      <c r="D614" s="38"/>
      <c r="E614" s="119"/>
      <c r="F614" s="119"/>
    </row>
    <row r="615" ht="12.75" customHeight="1">
      <c r="D615" s="38"/>
      <c r="E615" s="119"/>
      <c r="F615" s="119"/>
    </row>
    <row r="616" ht="12.75" customHeight="1">
      <c r="D616" s="38"/>
      <c r="E616" s="119"/>
      <c r="F616" s="119"/>
    </row>
    <row r="617" ht="12.75" customHeight="1">
      <c r="D617" s="38"/>
      <c r="E617" s="119"/>
      <c r="F617" s="119"/>
    </row>
    <row r="618" ht="12.75" customHeight="1">
      <c r="D618" s="38"/>
      <c r="E618" s="119"/>
      <c r="F618" s="119"/>
    </row>
    <row r="619" ht="12.75" customHeight="1">
      <c r="D619" s="38"/>
      <c r="E619" s="119"/>
      <c r="F619" s="119"/>
    </row>
    <row r="620" ht="12.75" customHeight="1">
      <c r="D620" s="38"/>
      <c r="E620" s="119"/>
      <c r="F620" s="119"/>
    </row>
    <row r="621" ht="12.75" customHeight="1">
      <c r="D621" s="38"/>
      <c r="E621" s="119"/>
      <c r="F621" s="119"/>
    </row>
    <row r="622" ht="12.75" customHeight="1">
      <c r="D622" s="38"/>
      <c r="E622" s="119"/>
      <c r="F622" s="119"/>
    </row>
    <row r="623" ht="12.75" customHeight="1">
      <c r="D623" s="38"/>
      <c r="E623" s="119"/>
      <c r="F623" s="119"/>
    </row>
    <row r="624" ht="12.75" customHeight="1">
      <c r="D624" s="38"/>
      <c r="E624" s="119"/>
      <c r="F624" s="119"/>
    </row>
    <row r="625" ht="12.75" customHeight="1">
      <c r="D625" s="38"/>
      <c r="E625" s="119"/>
      <c r="F625" s="119"/>
    </row>
    <row r="626" ht="12.75" customHeight="1">
      <c r="D626" s="38"/>
      <c r="E626" s="119"/>
      <c r="F626" s="119"/>
    </row>
    <row r="627" ht="12.75" customHeight="1">
      <c r="D627" s="38"/>
      <c r="E627" s="119"/>
      <c r="F627" s="119"/>
    </row>
    <row r="628" ht="12.75" customHeight="1">
      <c r="D628" s="38"/>
      <c r="E628" s="119"/>
      <c r="F628" s="119"/>
    </row>
    <row r="629" ht="12.75" customHeight="1">
      <c r="D629" s="38"/>
      <c r="E629" s="119"/>
      <c r="F629" s="119"/>
    </row>
    <row r="630" ht="12.75" customHeight="1">
      <c r="D630" s="38"/>
      <c r="E630" s="119"/>
      <c r="F630" s="119"/>
    </row>
    <row r="631" ht="12.75" customHeight="1">
      <c r="D631" s="38"/>
      <c r="E631" s="119"/>
      <c r="F631" s="119"/>
    </row>
    <row r="632" ht="12.75" customHeight="1">
      <c r="D632" s="38"/>
      <c r="E632" s="119"/>
      <c r="F632" s="119"/>
    </row>
    <row r="633" ht="12.75" customHeight="1">
      <c r="D633" s="38"/>
      <c r="E633" s="119"/>
      <c r="F633" s="119"/>
    </row>
    <row r="634" ht="12.75" customHeight="1">
      <c r="D634" s="38"/>
      <c r="E634" s="119"/>
      <c r="F634" s="119"/>
    </row>
    <row r="635" ht="12.75" customHeight="1">
      <c r="D635" s="38"/>
      <c r="E635" s="119"/>
      <c r="F635" s="119"/>
    </row>
    <row r="636" ht="12.75" customHeight="1">
      <c r="D636" s="38"/>
      <c r="E636" s="119"/>
      <c r="F636" s="119"/>
    </row>
    <row r="637" ht="12.75" customHeight="1">
      <c r="D637" s="38"/>
      <c r="E637" s="119"/>
      <c r="F637" s="119"/>
    </row>
    <row r="638" ht="12.75" customHeight="1">
      <c r="D638" s="38"/>
      <c r="E638" s="119"/>
      <c r="F638" s="119"/>
    </row>
    <row r="639" ht="12.75" customHeight="1">
      <c r="D639" s="38"/>
      <c r="E639" s="119"/>
      <c r="F639" s="119"/>
    </row>
    <row r="640" ht="12.75" customHeight="1">
      <c r="D640" s="38"/>
      <c r="E640" s="119"/>
      <c r="F640" s="119"/>
    </row>
    <row r="641" ht="12.75" customHeight="1">
      <c r="D641" s="38"/>
      <c r="E641" s="119"/>
      <c r="F641" s="119"/>
    </row>
    <row r="642" ht="12.75" customHeight="1">
      <c r="D642" s="38"/>
      <c r="E642" s="119"/>
      <c r="F642" s="119"/>
    </row>
    <row r="643" ht="12.75" customHeight="1">
      <c r="D643" s="38"/>
      <c r="E643" s="119"/>
      <c r="F643" s="119"/>
    </row>
    <row r="644" ht="12.75" customHeight="1">
      <c r="D644" s="38"/>
      <c r="E644" s="119"/>
      <c r="F644" s="119"/>
    </row>
    <row r="645" ht="12.75" customHeight="1">
      <c r="D645" s="38"/>
      <c r="E645" s="119"/>
      <c r="F645" s="119"/>
    </row>
    <row r="646" ht="12.75" customHeight="1">
      <c r="D646" s="38"/>
      <c r="E646" s="119"/>
      <c r="F646" s="119"/>
    </row>
    <row r="647" ht="12.75" customHeight="1">
      <c r="D647" s="38"/>
      <c r="E647" s="119"/>
      <c r="F647" s="119"/>
    </row>
    <row r="648" ht="12.75" customHeight="1">
      <c r="D648" s="38"/>
      <c r="E648" s="119"/>
      <c r="F648" s="119"/>
    </row>
    <row r="649" ht="12.75" customHeight="1">
      <c r="D649" s="38"/>
      <c r="E649" s="119"/>
      <c r="F649" s="119"/>
    </row>
    <row r="650" ht="12.75" customHeight="1">
      <c r="D650" s="38"/>
      <c r="E650" s="119"/>
      <c r="F650" s="119"/>
    </row>
    <row r="651" ht="12.75" customHeight="1">
      <c r="D651" s="38"/>
      <c r="E651" s="119"/>
      <c r="F651" s="119"/>
    </row>
    <row r="652" ht="12.75" customHeight="1">
      <c r="D652" s="38"/>
      <c r="E652" s="119"/>
      <c r="F652" s="119"/>
    </row>
    <row r="653" ht="12.75" customHeight="1">
      <c r="D653" s="38"/>
      <c r="E653" s="119"/>
      <c r="F653" s="119"/>
    </row>
    <row r="654" ht="12.75" customHeight="1">
      <c r="D654" s="38"/>
      <c r="E654" s="119"/>
      <c r="F654" s="119"/>
    </row>
    <row r="655" ht="12.75" customHeight="1">
      <c r="D655" s="38"/>
      <c r="E655" s="119"/>
      <c r="F655" s="119"/>
    </row>
    <row r="656" ht="12.75" customHeight="1">
      <c r="D656" s="38"/>
      <c r="E656" s="119"/>
      <c r="F656" s="119"/>
    </row>
    <row r="657" ht="12.75" customHeight="1">
      <c r="D657" s="38"/>
      <c r="E657" s="119"/>
      <c r="F657" s="119"/>
    </row>
    <row r="658" ht="12.75" customHeight="1">
      <c r="D658" s="38"/>
      <c r="E658" s="119"/>
      <c r="F658" s="119"/>
    </row>
    <row r="659" ht="12.75" customHeight="1">
      <c r="D659" s="38"/>
      <c r="E659" s="119"/>
      <c r="F659" s="119"/>
    </row>
    <row r="660" ht="12.75" customHeight="1">
      <c r="D660" s="38"/>
      <c r="E660" s="119"/>
      <c r="F660" s="119"/>
    </row>
    <row r="661" ht="12.75" customHeight="1">
      <c r="D661" s="38"/>
      <c r="E661" s="119"/>
      <c r="F661" s="119"/>
    </row>
    <row r="662" ht="12.75" customHeight="1">
      <c r="D662" s="38"/>
      <c r="E662" s="119"/>
      <c r="F662" s="119"/>
    </row>
    <row r="663" ht="12.75" customHeight="1">
      <c r="D663" s="38"/>
      <c r="E663" s="119"/>
      <c r="F663" s="119"/>
    </row>
    <row r="664" ht="12.75" customHeight="1">
      <c r="D664" s="38"/>
      <c r="E664" s="119"/>
      <c r="F664" s="119"/>
    </row>
    <row r="665" ht="12.75" customHeight="1">
      <c r="D665" s="38"/>
      <c r="E665" s="119"/>
      <c r="F665" s="119"/>
    </row>
    <row r="666" ht="12.75" customHeight="1">
      <c r="D666" s="38"/>
      <c r="E666" s="119"/>
      <c r="F666" s="119"/>
    </row>
    <row r="667" ht="12.75" customHeight="1">
      <c r="D667" s="38"/>
      <c r="E667" s="119"/>
      <c r="F667" s="119"/>
    </row>
    <row r="668" ht="12.75" customHeight="1">
      <c r="D668" s="38"/>
      <c r="E668" s="119"/>
      <c r="F668" s="119"/>
    </row>
    <row r="669" ht="12.75" customHeight="1">
      <c r="D669" s="38"/>
      <c r="E669" s="119"/>
      <c r="F669" s="119"/>
    </row>
    <row r="670" ht="12.75" customHeight="1">
      <c r="D670" s="38"/>
      <c r="E670" s="119"/>
      <c r="F670" s="119"/>
    </row>
    <row r="671" ht="12.75" customHeight="1">
      <c r="D671" s="38"/>
      <c r="E671" s="119"/>
      <c r="F671" s="119"/>
    </row>
    <row r="672" ht="12.75" customHeight="1">
      <c r="D672" s="38"/>
      <c r="E672" s="119"/>
      <c r="F672" s="119"/>
    </row>
    <row r="673" ht="12.75" customHeight="1">
      <c r="D673" s="38"/>
      <c r="E673" s="119"/>
      <c r="F673" s="119"/>
    </row>
    <row r="674" ht="12.75" customHeight="1">
      <c r="D674" s="38"/>
      <c r="E674" s="119"/>
      <c r="F674" s="119"/>
    </row>
    <row r="675" ht="12.75" customHeight="1">
      <c r="D675" s="38"/>
      <c r="E675" s="119"/>
      <c r="F675" s="119"/>
    </row>
    <row r="676" ht="12.75" customHeight="1">
      <c r="D676" s="38"/>
      <c r="E676" s="119"/>
      <c r="F676" s="119"/>
    </row>
    <row r="677" ht="12.75" customHeight="1">
      <c r="D677" s="38"/>
      <c r="E677" s="119"/>
      <c r="F677" s="119"/>
    </row>
    <row r="678" ht="12.75" customHeight="1">
      <c r="D678" s="38"/>
      <c r="E678" s="119"/>
      <c r="F678" s="119"/>
    </row>
    <row r="679" ht="12.75" customHeight="1">
      <c r="D679" s="38"/>
      <c r="E679" s="119"/>
      <c r="F679" s="119"/>
    </row>
    <row r="680" ht="12.75" customHeight="1">
      <c r="D680" s="38"/>
      <c r="E680" s="119"/>
      <c r="F680" s="119"/>
    </row>
    <row r="681" ht="12.75" customHeight="1">
      <c r="D681" s="38"/>
      <c r="E681" s="119"/>
      <c r="F681" s="119"/>
    </row>
    <row r="682" ht="12.75" customHeight="1">
      <c r="D682" s="38"/>
      <c r="E682" s="119"/>
      <c r="F682" s="119"/>
    </row>
    <row r="683" ht="12.75" customHeight="1">
      <c r="D683" s="38"/>
      <c r="E683" s="119"/>
      <c r="F683" s="119"/>
    </row>
    <row r="684" ht="12.75" customHeight="1">
      <c r="D684" s="38"/>
      <c r="E684" s="119"/>
      <c r="F684" s="119"/>
    </row>
    <row r="685" ht="12.75" customHeight="1">
      <c r="D685" s="38"/>
      <c r="E685" s="119"/>
      <c r="F685" s="119"/>
    </row>
    <row r="686" ht="12.75" customHeight="1">
      <c r="D686" s="38"/>
      <c r="E686" s="119"/>
      <c r="F686" s="119"/>
    </row>
    <row r="687" ht="12.75" customHeight="1">
      <c r="D687" s="38"/>
      <c r="E687" s="119"/>
      <c r="F687" s="119"/>
    </row>
    <row r="688" ht="12.75" customHeight="1">
      <c r="D688" s="38"/>
      <c r="E688" s="119"/>
      <c r="F688" s="119"/>
    </row>
    <row r="689" ht="12.75" customHeight="1">
      <c r="D689" s="38"/>
      <c r="E689" s="119"/>
      <c r="F689" s="119"/>
    </row>
    <row r="690" ht="12.75" customHeight="1">
      <c r="D690" s="38"/>
      <c r="E690" s="119"/>
      <c r="F690" s="119"/>
    </row>
    <row r="691" ht="12.75" customHeight="1">
      <c r="D691" s="38"/>
      <c r="E691" s="119"/>
      <c r="F691" s="119"/>
    </row>
    <row r="692" ht="12.75" customHeight="1">
      <c r="D692" s="38"/>
      <c r="E692" s="119"/>
      <c r="F692" s="119"/>
    </row>
    <row r="693" ht="12.75" customHeight="1">
      <c r="D693" s="38"/>
      <c r="E693" s="119"/>
      <c r="F693" s="119"/>
    </row>
    <row r="694" ht="12.75" customHeight="1">
      <c r="D694" s="38"/>
      <c r="E694" s="119"/>
      <c r="F694" s="119"/>
    </row>
    <row r="695" ht="12.75" customHeight="1">
      <c r="D695" s="38"/>
      <c r="E695" s="119"/>
      <c r="F695" s="119"/>
    </row>
    <row r="696" ht="12.75" customHeight="1">
      <c r="D696" s="38"/>
      <c r="E696" s="119"/>
      <c r="F696" s="119"/>
    </row>
    <row r="697" ht="12.75" customHeight="1">
      <c r="D697" s="38"/>
      <c r="E697" s="119"/>
      <c r="F697" s="119"/>
    </row>
    <row r="698" ht="12.75" customHeight="1">
      <c r="D698" s="38"/>
      <c r="E698" s="119"/>
      <c r="F698" s="119"/>
    </row>
    <row r="699" ht="12.75" customHeight="1">
      <c r="D699" s="38"/>
      <c r="E699" s="119"/>
      <c r="F699" s="119"/>
    </row>
    <row r="700" ht="12.75" customHeight="1">
      <c r="D700" s="38"/>
      <c r="E700" s="119"/>
      <c r="F700" s="119"/>
    </row>
    <row r="701" ht="12.75" customHeight="1">
      <c r="D701" s="38"/>
      <c r="E701" s="119"/>
      <c r="F701" s="119"/>
    </row>
    <row r="702" ht="12.75" customHeight="1">
      <c r="D702" s="38"/>
      <c r="E702" s="119"/>
      <c r="F702" s="119"/>
    </row>
    <row r="703" ht="12.75" customHeight="1">
      <c r="D703" s="38"/>
      <c r="E703" s="119"/>
      <c r="F703" s="119"/>
    </row>
    <row r="704" ht="12.75" customHeight="1">
      <c r="D704" s="38"/>
      <c r="E704" s="119"/>
      <c r="F704" s="119"/>
    </row>
    <row r="705" ht="12.75" customHeight="1">
      <c r="D705" s="38"/>
      <c r="E705" s="119"/>
      <c r="F705" s="119"/>
    </row>
    <row r="706" ht="12.75" customHeight="1">
      <c r="D706" s="38"/>
      <c r="E706" s="119"/>
      <c r="F706" s="119"/>
    </row>
    <row r="707" ht="12.75" customHeight="1">
      <c r="D707" s="38"/>
      <c r="E707" s="119"/>
      <c r="F707" s="119"/>
    </row>
    <row r="708" ht="12.75" customHeight="1">
      <c r="D708" s="38"/>
      <c r="E708" s="119"/>
      <c r="F708" s="119"/>
    </row>
    <row r="709" ht="12.75" customHeight="1">
      <c r="D709" s="38"/>
      <c r="E709" s="119"/>
      <c r="F709" s="119"/>
    </row>
    <row r="710" ht="12.75" customHeight="1">
      <c r="D710" s="38"/>
      <c r="E710" s="119"/>
      <c r="F710" s="119"/>
    </row>
    <row r="711" ht="12.75" customHeight="1">
      <c r="D711" s="38"/>
      <c r="E711" s="119"/>
      <c r="F711" s="119"/>
    </row>
    <row r="712" ht="12.75" customHeight="1">
      <c r="D712" s="38"/>
      <c r="E712" s="119"/>
      <c r="F712" s="119"/>
    </row>
    <row r="713" ht="12.75" customHeight="1">
      <c r="D713" s="38"/>
      <c r="E713" s="119"/>
      <c r="F713" s="119"/>
    </row>
    <row r="714" ht="12.75" customHeight="1">
      <c r="D714" s="38"/>
      <c r="E714" s="119"/>
      <c r="F714" s="119"/>
    </row>
    <row r="715" ht="12.75" customHeight="1">
      <c r="D715" s="38"/>
      <c r="E715" s="119"/>
      <c r="F715" s="119"/>
    </row>
    <row r="716" ht="12.75" customHeight="1">
      <c r="D716" s="38"/>
      <c r="E716" s="119"/>
      <c r="F716" s="119"/>
    </row>
    <row r="717" ht="12.75" customHeight="1">
      <c r="D717" s="38"/>
      <c r="E717" s="119"/>
      <c r="F717" s="119"/>
    </row>
    <row r="718" ht="12.75" customHeight="1">
      <c r="D718" s="38"/>
      <c r="E718" s="119"/>
      <c r="F718" s="119"/>
    </row>
    <row r="719" ht="12.75" customHeight="1">
      <c r="D719" s="38"/>
      <c r="E719" s="119"/>
      <c r="F719" s="119"/>
    </row>
    <row r="720" ht="12.75" customHeight="1">
      <c r="D720" s="38"/>
      <c r="E720" s="119"/>
      <c r="F720" s="119"/>
    </row>
    <row r="721" ht="12.75" customHeight="1">
      <c r="D721" s="38"/>
      <c r="E721" s="119"/>
      <c r="F721" s="119"/>
    </row>
    <row r="722" ht="12.75" customHeight="1">
      <c r="D722" s="38"/>
      <c r="E722" s="119"/>
      <c r="F722" s="119"/>
    </row>
    <row r="723" ht="12.75" customHeight="1">
      <c r="D723" s="38"/>
      <c r="E723" s="119"/>
      <c r="F723" s="119"/>
    </row>
    <row r="724" ht="12.75" customHeight="1">
      <c r="D724" s="38"/>
      <c r="E724" s="119"/>
      <c r="F724" s="119"/>
    </row>
    <row r="725" ht="12.75" customHeight="1">
      <c r="D725" s="38"/>
      <c r="E725" s="119"/>
      <c r="F725" s="119"/>
    </row>
    <row r="726" ht="12.75" customHeight="1">
      <c r="D726" s="38"/>
      <c r="E726" s="119"/>
      <c r="F726" s="119"/>
    </row>
    <row r="727" ht="12.75" customHeight="1">
      <c r="D727" s="38"/>
      <c r="E727" s="119"/>
      <c r="F727" s="119"/>
    </row>
    <row r="728" ht="12.75" customHeight="1">
      <c r="D728" s="38"/>
      <c r="E728" s="119"/>
      <c r="F728" s="119"/>
    </row>
    <row r="729" ht="12.75" customHeight="1">
      <c r="D729" s="38"/>
      <c r="E729" s="119"/>
      <c r="F729" s="119"/>
    </row>
    <row r="730" ht="12.75" customHeight="1">
      <c r="D730" s="38"/>
      <c r="E730" s="119"/>
      <c r="F730" s="119"/>
    </row>
    <row r="731" ht="12.75" customHeight="1">
      <c r="D731" s="38"/>
      <c r="E731" s="119"/>
      <c r="F731" s="119"/>
    </row>
    <row r="732" ht="12.75" customHeight="1">
      <c r="D732" s="38"/>
      <c r="E732" s="119"/>
      <c r="F732" s="119"/>
    </row>
    <row r="733" ht="12.75" customHeight="1">
      <c r="D733" s="38"/>
      <c r="E733" s="119"/>
      <c r="F733" s="119"/>
    </row>
    <row r="734" ht="12.75" customHeight="1">
      <c r="D734" s="38"/>
      <c r="E734" s="119"/>
      <c r="F734" s="119"/>
    </row>
    <row r="735" ht="12.75" customHeight="1">
      <c r="D735" s="38"/>
      <c r="E735" s="119"/>
      <c r="F735" s="119"/>
    </row>
    <row r="736" ht="12.75" customHeight="1">
      <c r="D736" s="38"/>
      <c r="E736" s="119"/>
      <c r="F736" s="119"/>
    </row>
    <row r="737" ht="12.75" customHeight="1">
      <c r="D737" s="38"/>
      <c r="E737" s="119"/>
      <c r="F737" s="119"/>
    </row>
    <row r="738" ht="12.75" customHeight="1">
      <c r="D738" s="38"/>
      <c r="E738" s="119"/>
      <c r="F738" s="119"/>
    </row>
    <row r="739" ht="12.75" customHeight="1">
      <c r="D739" s="38"/>
      <c r="E739" s="119"/>
      <c r="F739" s="119"/>
    </row>
    <row r="740" ht="12.75" customHeight="1">
      <c r="D740" s="38"/>
      <c r="E740" s="119"/>
      <c r="F740" s="119"/>
    </row>
    <row r="741" ht="12.75" customHeight="1">
      <c r="D741" s="38"/>
      <c r="E741" s="119"/>
      <c r="F741" s="119"/>
    </row>
    <row r="742" ht="12.75" customHeight="1">
      <c r="D742" s="38"/>
      <c r="E742" s="119"/>
      <c r="F742" s="119"/>
    </row>
    <row r="743" ht="12.75" customHeight="1">
      <c r="D743" s="38"/>
      <c r="E743" s="119"/>
      <c r="F743" s="119"/>
    </row>
    <row r="744" ht="12.75" customHeight="1">
      <c r="D744" s="38"/>
      <c r="E744" s="119"/>
      <c r="F744" s="119"/>
    </row>
    <row r="745" ht="12.75" customHeight="1">
      <c r="D745" s="38"/>
      <c r="E745" s="119"/>
      <c r="F745" s="119"/>
    </row>
    <row r="746" ht="12.75" customHeight="1">
      <c r="D746" s="38"/>
      <c r="E746" s="119"/>
      <c r="F746" s="119"/>
    </row>
    <row r="747" ht="12.75" customHeight="1">
      <c r="D747" s="38"/>
      <c r="E747" s="119"/>
      <c r="F747" s="119"/>
    </row>
    <row r="748" ht="12.75" customHeight="1">
      <c r="D748" s="38"/>
      <c r="E748" s="119"/>
      <c r="F748" s="119"/>
    </row>
    <row r="749" ht="12.75" customHeight="1">
      <c r="D749" s="38"/>
      <c r="E749" s="119"/>
      <c r="F749" s="119"/>
    </row>
    <row r="750" ht="12.75" customHeight="1">
      <c r="D750" s="38"/>
      <c r="E750" s="119"/>
      <c r="F750" s="119"/>
    </row>
    <row r="751" ht="12.75" customHeight="1">
      <c r="D751" s="38"/>
      <c r="E751" s="119"/>
      <c r="F751" s="119"/>
    </row>
    <row r="752" ht="12.75" customHeight="1">
      <c r="D752" s="38"/>
      <c r="E752" s="119"/>
      <c r="F752" s="119"/>
    </row>
    <row r="753" ht="12.75" customHeight="1">
      <c r="D753" s="38"/>
      <c r="E753" s="119"/>
      <c r="F753" s="119"/>
    </row>
    <row r="754" ht="12.75" customHeight="1">
      <c r="D754" s="38"/>
      <c r="E754" s="119"/>
      <c r="F754" s="119"/>
    </row>
    <row r="755" ht="12.75" customHeight="1">
      <c r="D755" s="38"/>
      <c r="E755" s="119"/>
      <c r="F755" s="119"/>
    </row>
    <row r="756" ht="12.75" customHeight="1">
      <c r="D756" s="38"/>
      <c r="E756" s="119"/>
      <c r="F756" s="119"/>
    </row>
    <row r="757" ht="12.75" customHeight="1">
      <c r="D757" s="38"/>
      <c r="E757" s="119"/>
      <c r="F757" s="119"/>
    </row>
    <row r="758" ht="12.75" customHeight="1">
      <c r="D758" s="38"/>
      <c r="E758" s="119"/>
      <c r="F758" s="119"/>
    </row>
    <row r="759" ht="12.75" customHeight="1">
      <c r="D759" s="38"/>
      <c r="E759" s="119"/>
      <c r="F759" s="119"/>
    </row>
    <row r="760" ht="12.75" customHeight="1">
      <c r="D760" s="38"/>
      <c r="E760" s="119"/>
      <c r="F760" s="119"/>
    </row>
    <row r="761" ht="12.75" customHeight="1">
      <c r="D761" s="38"/>
      <c r="E761" s="119"/>
      <c r="F761" s="119"/>
    </row>
    <row r="762" ht="12.75" customHeight="1">
      <c r="D762" s="38"/>
      <c r="E762" s="119"/>
      <c r="F762" s="119"/>
    </row>
    <row r="763" ht="12.75" customHeight="1">
      <c r="D763" s="38"/>
      <c r="E763" s="119"/>
      <c r="F763" s="119"/>
    </row>
    <row r="764" ht="12.75" customHeight="1">
      <c r="D764" s="38"/>
      <c r="E764" s="119"/>
      <c r="F764" s="119"/>
    </row>
    <row r="765" ht="12.75" customHeight="1">
      <c r="D765" s="38"/>
      <c r="E765" s="119"/>
      <c r="F765" s="119"/>
    </row>
    <row r="766" ht="12.75" customHeight="1">
      <c r="D766" s="38"/>
      <c r="E766" s="119"/>
      <c r="F766" s="119"/>
    </row>
    <row r="767" ht="12.75" customHeight="1">
      <c r="D767" s="38"/>
      <c r="E767" s="119"/>
      <c r="F767" s="119"/>
    </row>
    <row r="768" ht="12.75" customHeight="1">
      <c r="D768" s="38"/>
      <c r="E768" s="119"/>
      <c r="F768" s="119"/>
    </row>
    <row r="769" ht="12.75" customHeight="1">
      <c r="D769" s="38"/>
      <c r="E769" s="119"/>
      <c r="F769" s="119"/>
    </row>
    <row r="770" ht="12.75" customHeight="1">
      <c r="D770" s="38"/>
      <c r="E770" s="119"/>
      <c r="F770" s="119"/>
    </row>
    <row r="771" ht="12.75" customHeight="1">
      <c r="D771" s="38"/>
      <c r="E771" s="119"/>
      <c r="F771" s="119"/>
    </row>
    <row r="772" ht="12.75" customHeight="1">
      <c r="D772" s="38"/>
      <c r="E772" s="119"/>
      <c r="F772" s="119"/>
    </row>
    <row r="773" ht="12.75" customHeight="1">
      <c r="D773" s="38"/>
      <c r="E773" s="119"/>
      <c r="F773" s="119"/>
    </row>
    <row r="774" ht="12.75" customHeight="1">
      <c r="D774" s="38"/>
      <c r="E774" s="119"/>
      <c r="F774" s="119"/>
    </row>
    <row r="775" ht="12.75" customHeight="1">
      <c r="D775" s="38"/>
      <c r="E775" s="119"/>
      <c r="F775" s="119"/>
    </row>
    <row r="776" ht="12.75" customHeight="1">
      <c r="D776" s="38"/>
      <c r="E776" s="119"/>
      <c r="F776" s="119"/>
    </row>
    <row r="777" ht="12.75" customHeight="1">
      <c r="D777" s="38"/>
      <c r="E777" s="119"/>
      <c r="F777" s="119"/>
    </row>
    <row r="778" ht="12.75" customHeight="1">
      <c r="D778" s="38"/>
      <c r="E778" s="119"/>
      <c r="F778" s="119"/>
    </row>
    <row r="779" ht="12.75" customHeight="1">
      <c r="D779" s="38"/>
      <c r="E779" s="119"/>
      <c r="F779" s="119"/>
    </row>
    <row r="780" ht="12.75" customHeight="1">
      <c r="D780" s="38"/>
      <c r="E780" s="119"/>
      <c r="F780" s="119"/>
    </row>
    <row r="781" ht="12.75" customHeight="1">
      <c r="D781" s="38"/>
      <c r="E781" s="119"/>
      <c r="F781" s="119"/>
    </row>
    <row r="782" ht="12.75" customHeight="1">
      <c r="D782" s="38"/>
      <c r="E782" s="119"/>
      <c r="F782" s="119"/>
    </row>
    <row r="783" ht="12.75" customHeight="1">
      <c r="D783" s="38"/>
      <c r="E783" s="119"/>
      <c r="F783" s="119"/>
    </row>
    <row r="784" ht="12.75" customHeight="1">
      <c r="D784" s="38"/>
      <c r="E784" s="119"/>
      <c r="F784" s="119"/>
    </row>
    <row r="785" ht="12.75" customHeight="1">
      <c r="D785" s="38"/>
      <c r="E785" s="119"/>
      <c r="F785" s="119"/>
    </row>
    <row r="786" ht="12.75" customHeight="1">
      <c r="D786" s="38"/>
      <c r="E786" s="119"/>
      <c r="F786" s="119"/>
    </row>
    <row r="787" ht="12.75" customHeight="1">
      <c r="D787" s="38"/>
      <c r="E787" s="119"/>
      <c r="F787" s="119"/>
    </row>
    <row r="788" ht="12.75" customHeight="1">
      <c r="D788" s="38"/>
      <c r="E788" s="119"/>
      <c r="F788" s="119"/>
    </row>
    <row r="789" ht="12.75" customHeight="1">
      <c r="D789" s="38"/>
      <c r="E789" s="119"/>
      <c r="F789" s="119"/>
    </row>
    <row r="790" ht="12.75" customHeight="1">
      <c r="D790" s="38"/>
      <c r="E790" s="119"/>
      <c r="F790" s="119"/>
    </row>
    <row r="791" ht="12.75" customHeight="1">
      <c r="D791" s="38"/>
      <c r="E791" s="119"/>
      <c r="F791" s="119"/>
    </row>
    <row r="792" ht="12.75" customHeight="1">
      <c r="D792" s="38"/>
      <c r="E792" s="119"/>
      <c r="F792" s="119"/>
    </row>
    <row r="793" ht="12.75" customHeight="1">
      <c r="D793" s="38"/>
      <c r="E793" s="119"/>
      <c r="F793" s="119"/>
    </row>
    <row r="794" ht="12.75" customHeight="1">
      <c r="D794" s="38"/>
      <c r="E794" s="119"/>
      <c r="F794" s="119"/>
    </row>
    <row r="795" ht="12.75" customHeight="1">
      <c r="D795" s="38"/>
      <c r="E795" s="119"/>
      <c r="F795" s="119"/>
    </row>
    <row r="796" ht="12.75" customHeight="1">
      <c r="D796" s="38"/>
      <c r="E796" s="119"/>
      <c r="F796" s="119"/>
    </row>
    <row r="797" ht="12.75" customHeight="1">
      <c r="D797" s="38"/>
      <c r="E797" s="119"/>
      <c r="F797" s="119"/>
    </row>
    <row r="798" ht="12.75" customHeight="1">
      <c r="D798" s="38"/>
      <c r="E798" s="119"/>
      <c r="F798" s="119"/>
    </row>
    <row r="799" ht="12.75" customHeight="1">
      <c r="D799" s="38"/>
      <c r="E799" s="119"/>
      <c r="F799" s="119"/>
    </row>
    <row r="800" ht="12.75" customHeight="1">
      <c r="D800" s="38"/>
      <c r="E800" s="119"/>
      <c r="F800" s="119"/>
    </row>
    <row r="801" ht="12.75" customHeight="1">
      <c r="D801" s="38"/>
      <c r="E801" s="119"/>
      <c r="F801" s="119"/>
    </row>
    <row r="802" ht="12.75" customHeight="1">
      <c r="D802" s="38"/>
      <c r="E802" s="119"/>
      <c r="F802" s="119"/>
    </row>
    <row r="803" ht="12.75" customHeight="1">
      <c r="D803" s="38"/>
      <c r="E803" s="119"/>
      <c r="F803" s="119"/>
    </row>
    <row r="804" ht="12.75" customHeight="1">
      <c r="D804" s="38"/>
      <c r="E804" s="119"/>
      <c r="F804" s="119"/>
    </row>
    <row r="805" ht="12.75" customHeight="1">
      <c r="D805" s="38"/>
      <c r="E805" s="119"/>
      <c r="F805" s="119"/>
    </row>
    <row r="806" ht="12.75" customHeight="1">
      <c r="D806" s="38"/>
      <c r="E806" s="119"/>
      <c r="F806" s="119"/>
    </row>
    <row r="807" ht="12.75" customHeight="1">
      <c r="D807" s="38"/>
      <c r="E807" s="119"/>
      <c r="F807" s="119"/>
    </row>
    <row r="808" ht="12.75" customHeight="1">
      <c r="D808" s="38"/>
      <c r="E808" s="119"/>
      <c r="F808" s="119"/>
    </row>
    <row r="809" ht="12.75" customHeight="1">
      <c r="D809" s="38"/>
      <c r="E809" s="119"/>
      <c r="F809" s="119"/>
    </row>
    <row r="810" ht="12.75" customHeight="1">
      <c r="D810" s="38"/>
      <c r="E810" s="119"/>
      <c r="F810" s="119"/>
    </row>
    <row r="811" ht="12.75" customHeight="1">
      <c r="D811" s="38"/>
      <c r="E811" s="119"/>
      <c r="F811" s="119"/>
    </row>
    <row r="812" ht="12.75" customHeight="1">
      <c r="D812" s="38"/>
      <c r="E812" s="119"/>
      <c r="F812" s="119"/>
    </row>
    <row r="813" ht="12.75" customHeight="1">
      <c r="D813" s="38"/>
      <c r="E813" s="119"/>
      <c r="F813" s="119"/>
    </row>
    <row r="814" ht="12.75" customHeight="1">
      <c r="D814" s="38"/>
      <c r="E814" s="119"/>
      <c r="F814" s="119"/>
    </row>
    <row r="815" ht="12.75" customHeight="1">
      <c r="D815" s="38"/>
      <c r="E815" s="119"/>
      <c r="F815" s="119"/>
    </row>
    <row r="816" ht="12.75" customHeight="1">
      <c r="D816" s="38"/>
      <c r="E816" s="119"/>
      <c r="F816" s="119"/>
    </row>
    <row r="817" ht="12.75" customHeight="1">
      <c r="D817" s="38"/>
      <c r="E817" s="119"/>
      <c r="F817" s="119"/>
    </row>
    <row r="818" ht="12.75" customHeight="1">
      <c r="D818" s="38"/>
      <c r="E818" s="119"/>
      <c r="F818" s="119"/>
    </row>
    <row r="819" ht="12.75" customHeight="1">
      <c r="D819" s="38"/>
      <c r="E819" s="119"/>
      <c r="F819" s="119"/>
    </row>
    <row r="820" ht="12.75" customHeight="1">
      <c r="D820" s="38"/>
      <c r="E820" s="119"/>
      <c r="F820" s="119"/>
    </row>
    <row r="821" ht="12.75" customHeight="1">
      <c r="D821" s="38"/>
      <c r="E821" s="119"/>
      <c r="F821" s="119"/>
    </row>
    <row r="822" ht="12.75" customHeight="1">
      <c r="D822" s="38"/>
      <c r="E822" s="119"/>
      <c r="F822" s="119"/>
    </row>
    <row r="823" ht="12.75" customHeight="1">
      <c r="D823" s="38"/>
      <c r="E823" s="119"/>
      <c r="F823" s="119"/>
    </row>
    <row r="824" ht="12.75" customHeight="1">
      <c r="D824" s="38"/>
      <c r="E824" s="119"/>
      <c r="F824" s="119"/>
    </row>
    <row r="825" ht="12.75" customHeight="1">
      <c r="D825" s="38"/>
      <c r="E825" s="119"/>
      <c r="F825" s="119"/>
    </row>
    <row r="826" ht="12.75" customHeight="1">
      <c r="D826" s="38"/>
      <c r="E826" s="119"/>
      <c r="F826" s="119"/>
    </row>
    <row r="827" ht="12.75" customHeight="1">
      <c r="D827" s="38"/>
      <c r="E827" s="119"/>
      <c r="F827" s="119"/>
    </row>
    <row r="828" ht="12.75" customHeight="1">
      <c r="D828" s="38"/>
      <c r="E828" s="119"/>
      <c r="F828" s="119"/>
    </row>
    <row r="829" ht="12.75" customHeight="1">
      <c r="D829" s="38"/>
      <c r="E829" s="119"/>
      <c r="F829" s="119"/>
    </row>
    <row r="830" ht="12.75" customHeight="1">
      <c r="D830" s="38"/>
      <c r="E830" s="119"/>
      <c r="F830" s="119"/>
    </row>
    <row r="831" ht="12.75" customHeight="1">
      <c r="D831" s="38"/>
      <c r="E831" s="119"/>
      <c r="F831" s="119"/>
    </row>
    <row r="832" ht="12.75" customHeight="1">
      <c r="D832" s="38"/>
      <c r="E832" s="119"/>
      <c r="F832" s="119"/>
    </row>
    <row r="833" ht="12.75" customHeight="1">
      <c r="D833" s="38"/>
      <c r="E833" s="119"/>
      <c r="F833" s="119"/>
    </row>
    <row r="834" ht="12.75" customHeight="1">
      <c r="D834" s="38"/>
      <c r="E834" s="119"/>
      <c r="F834" s="119"/>
    </row>
    <row r="835" ht="12.75" customHeight="1">
      <c r="D835" s="38"/>
      <c r="E835" s="119"/>
      <c r="F835" s="119"/>
    </row>
    <row r="836" ht="12.75" customHeight="1">
      <c r="D836" s="38"/>
      <c r="E836" s="119"/>
      <c r="F836" s="119"/>
    </row>
    <row r="837" ht="12.75" customHeight="1">
      <c r="D837" s="38"/>
      <c r="E837" s="119"/>
      <c r="F837" s="119"/>
    </row>
    <row r="838" ht="12.75" customHeight="1">
      <c r="D838" s="38"/>
      <c r="E838" s="119"/>
      <c r="F838" s="119"/>
    </row>
    <row r="839" ht="12.75" customHeight="1">
      <c r="D839" s="38"/>
      <c r="E839" s="119"/>
      <c r="F839" s="119"/>
    </row>
    <row r="840" ht="12.75" customHeight="1">
      <c r="D840" s="38"/>
      <c r="E840" s="119"/>
      <c r="F840" s="119"/>
    </row>
    <row r="841" ht="12.75" customHeight="1">
      <c r="D841" s="38"/>
      <c r="E841" s="119"/>
      <c r="F841" s="119"/>
    </row>
    <row r="842" ht="12.75" customHeight="1">
      <c r="D842" s="38"/>
      <c r="E842" s="119"/>
      <c r="F842" s="119"/>
    </row>
    <row r="843" ht="12.75" customHeight="1">
      <c r="D843" s="38"/>
      <c r="E843" s="119"/>
      <c r="F843" s="119"/>
    </row>
    <row r="844" ht="12.75" customHeight="1">
      <c r="D844" s="38"/>
      <c r="E844" s="119"/>
      <c r="F844" s="119"/>
    </row>
    <row r="845" ht="12.75" customHeight="1">
      <c r="D845" s="38"/>
      <c r="E845" s="119"/>
      <c r="F845" s="119"/>
    </row>
    <row r="846" ht="12.75" customHeight="1">
      <c r="D846" s="38"/>
      <c r="E846" s="119"/>
      <c r="F846" s="119"/>
    </row>
    <row r="847" ht="12.75" customHeight="1">
      <c r="D847" s="38"/>
      <c r="E847" s="119"/>
      <c r="F847" s="119"/>
    </row>
    <row r="848" ht="12.75" customHeight="1">
      <c r="D848" s="38"/>
      <c r="E848" s="119"/>
      <c r="F848" s="119"/>
    </row>
    <row r="849" ht="12.75" customHeight="1">
      <c r="D849" s="38"/>
      <c r="E849" s="119"/>
      <c r="F849" s="119"/>
    </row>
    <row r="850" ht="12.75" customHeight="1">
      <c r="D850" s="38"/>
      <c r="E850" s="119"/>
      <c r="F850" s="119"/>
    </row>
    <row r="851" ht="12.75" customHeight="1">
      <c r="D851" s="38"/>
      <c r="E851" s="119"/>
      <c r="F851" s="119"/>
    </row>
    <row r="852" ht="12.75" customHeight="1">
      <c r="D852" s="38"/>
      <c r="E852" s="119"/>
      <c r="F852" s="119"/>
    </row>
    <row r="853" ht="12.75" customHeight="1">
      <c r="D853" s="38"/>
      <c r="E853" s="119"/>
      <c r="F853" s="119"/>
    </row>
    <row r="854" ht="12.75" customHeight="1">
      <c r="D854" s="38"/>
      <c r="E854" s="119"/>
      <c r="F854" s="119"/>
    </row>
    <row r="855" ht="12.75" customHeight="1">
      <c r="D855" s="38"/>
      <c r="E855" s="119"/>
      <c r="F855" s="119"/>
    </row>
    <row r="856" ht="12.75" customHeight="1">
      <c r="D856" s="38"/>
      <c r="E856" s="119"/>
      <c r="F856" s="119"/>
    </row>
    <row r="857" ht="12.75" customHeight="1">
      <c r="D857" s="38"/>
      <c r="E857" s="119"/>
      <c r="F857" s="119"/>
    </row>
    <row r="858" ht="12.75" customHeight="1">
      <c r="D858" s="38"/>
      <c r="E858" s="119"/>
      <c r="F858" s="119"/>
    </row>
    <row r="859" ht="12.75" customHeight="1">
      <c r="D859" s="38"/>
      <c r="E859" s="119"/>
      <c r="F859" s="119"/>
    </row>
    <row r="860" ht="12.75" customHeight="1">
      <c r="D860" s="38"/>
      <c r="E860" s="119"/>
      <c r="F860" s="119"/>
    </row>
    <row r="861" ht="12.75" customHeight="1">
      <c r="D861" s="38"/>
      <c r="E861" s="119"/>
      <c r="F861" s="119"/>
    </row>
    <row r="862" ht="12.75" customHeight="1">
      <c r="D862" s="38"/>
      <c r="E862" s="119"/>
      <c r="F862" s="119"/>
    </row>
    <row r="863" ht="12.75" customHeight="1">
      <c r="D863" s="38"/>
      <c r="E863" s="119"/>
      <c r="F863" s="119"/>
    </row>
    <row r="864" ht="12.75" customHeight="1">
      <c r="D864" s="38"/>
      <c r="E864" s="119"/>
      <c r="F864" s="119"/>
    </row>
    <row r="865" ht="12.75" customHeight="1">
      <c r="D865" s="38"/>
      <c r="E865" s="119"/>
      <c r="F865" s="119"/>
    </row>
    <row r="866" ht="12.75" customHeight="1">
      <c r="D866" s="38"/>
      <c r="E866" s="119"/>
      <c r="F866" s="119"/>
    </row>
    <row r="867" ht="12.75" customHeight="1">
      <c r="D867" s="38"/>
      <c r="E867" s="119"/>
      <c r="F867" s="119"/>
    </row>
    <row r="868" ht="12.75" customHeight="1">
      <c r="D868" s="38"/>
      <c r="E868" s="119"/>
      <c r="F868" s="119"/>
    </row>
    <row r="869" ht="12.75" customHeight="1">
      <c r="D869" s="38"/>
      <c r="E869" s="119"/>
      <c r="F869" s="119"/>
    </row>
    <row r="870" ht="12.75" customHeight="1">
      <c r="D870" s="38"/>
      <c r="E870" s="119"/>
      <c r="F870" s="119"/>
    </row>
    <row r="871" ht="12.75" customHeight="1">
      <c r="D871" s="38"/>
      <c r="E871" s="119"/>
      <c r="F871" s="119"/>
    </row>
    <row r="872" ht="12.75" customHeight="1">
      <c r="D872" s="38"/>
      <c r="E872" s="119"/>
      <c r="F872" s="119"/>
    </row>
    <row r="873" ht="12.75" customHeight="1">
      <c r="D873" s="38"/>
      <c r="E873" s="119"/>
      <c r="F873" s="119"/>
    </row>
    <row r="874" ht="12.75" customHeight="1">
      <c r="D874" s="38"/>
      <c r="E874" s="119"/>
      <c r="F874" s="119"/>
    </row>
    <row r="875" ht="12.75" customHeight="1">
      <c r="D875" s="38"/>
      <c r="E875" s="119"/>
      <c r="F875" s="119"/>
    </row>
    <row r="876" ht="12.75" customHeight="1">
      <c r="D876" s="38"/>
      <c r="E876" s="119"/>
      <c r="F876" s="119"/>
    </row>
    <row r="877" ht="12.75" customHeight="1">
      <c r="D877" s="38"/>
      <c r="E877" s="119"/>
      <c r="F877" s="119"/>
    </row>
    <row r="878" ht="12.75" customHeight="1">
      <c r="D878" s="38"/>
      <c r="E878" s="119"/>
      <c r="F878" s="119"/>
    </row>
    <row r="879" ht="12.75" customHeight="1">
      <c r="D879" s="38"/>
      <c r="E879" s="119"/>
      <c r="F879" s="119"/>
    </row>
    <row r="880" ht="12.75" customHeight="1">
      <c r="D880" s="38"/>
      <c r="E880" s="119"/>
      <c r="F880" s="119"/>
    </row>
    <row r="881" ht="12.75" customHeight="1">
      <c r="D881" s="38"/>
      <c r="E881" s="119"/>
      <c r="F881" s="119"/>
    </row>
    <row r="882" ht="12.75" customHeight="1">
      <c r="D882" s="38"/>
      <c r="E882" s="119"/>
      <c r="F882" s="119"/>
    </row>
    <row r="883" ht="12.75" customHeight="1">
      <c r="D883" s="38"/>
      <c r="E883" s="119"/>
      <c r="F883" s="119"/>
    </row>
    <row r="884" ht="12.75" customHeight="1">
      <c r="D884" s="38"/>
      <c r="E884" s="119"/>
      <c r="F884" s="119"/>
    </row>
    <row r="885" ht="12.75" customHeight="1">
      <c r="D885" s="38"/>
      <c r="E885" s="119"/>
      <c r="F885" s="119"/>
    </row>
    <row r="886" ht="12.75" customHeight="1">
      <c r="D886" s="38"/>
      <c r="E886" s="119"/>
      <c r="F886" s="119"/>
    </row>
    <row r="887" ht="12.75" customHeight="1">
      <c r="D887" s="38"/>
      <c r="E887" s="119"/>
      <c r="F887" s="119"/>
    </row>
    <row r="888" ht="12.75" customHeight="1">
      <c r="D888" s="38"/>
      <c r="E888" s="119"/>
      <c r="F888" s="119"/>
    </row>
    <row r="889" ht="12.75" customHeight="1">
      <c r="D889" s="38"/>
      <c r="E889" s="119"/>
      <c r="F889" s="119"/>
    </row>
    <row r="890" ht="12.75" customHeight="1">
      <c r="D890" s="38"/>
      <c r="E890" s="119"/>
      <c r="F890" s="119"/>
    </row>
    <row r="891" ht="12.75" customHeight="1">
      <c r="D891" s="38"/>
      <c r="E891" s="119"/>
      <c r="F891" s="119"/>
    </row>
    <row r="892" ht="12.75" customHeight="1">
      <c r="D892" s="38"/>
      <c r="E892" s="119"/>
      <c r="F892" s="119"/>
    </row>
    <row r="893" ht="12.75" customHeight="1">
      <c r="D893" s="38"/>
      <c r="E893" s="119"/>
      <c r="F893" s="119"/>
    </row>
    <row r="894" ht="12.75" customHeight="1">
      <c r="D894" s="38"/>
      <c r="E894" s="119"/>
      <c r="F894" s="119"/>
    </row>
    <row r="895" ht="12.75" customHeight="1">
      <c r="D895" s="38"/>
      <c r="E895" s="119"/>
      <c r="F895" s="119"/>
    </row>
    <row r="896" ht="12.75" customHeight="1">
      <c r="D896" s="38"/>
      <c r="E896" s="119"/>
      <c r="F896" s="119"/>
    </row>
    <row r="897" ht="12.75" customHeight="1">
      <c r="D897" s="38"/>
      <c r="E897" s="119"/>
      <c r="F897" s="119"/>
    </row>
    <row r="898" ht="12.75" customHeight="1">
      <c r="D898" s="38"/>
      <c r="E898" s="119"/>
      <c r="F898" s="119"/>
    </row>
    <row r="899" ht="12.75" customHeight="1">
      <c r="D899" s="38"/>
      <c r="E899" s="119"/>
      <c r="F899" s="119"/>
    </row>
    <row r="900" ht="12.75" customHeight="1">
      <c r="D900" s="38"/>
      <c r="E900" s="119"/>
      <c r="F900" s="119"/>
    </row>
    <row r="901" ht="12.75" customHeight="1">
      <c r="D901" s="38"/>
      <c r="E901" s="119"/>
      <c r="F901" s="119"/>
    </row>
    <row r="902" ht="12.75" customHeight="1">
      <c r="D902" s="38"/>
      <c r="E902" s="119"/>
      <c r="F902" s="119"/>
    </row>
    <row r="903" ht="12.75" customHeight="1">
      <c r="D903" s="38"/>
      <c r="E903" s="119"/>
      <c r="F903" s="119"/>
    </row>
    <row r="904" ht="12.75" customHeight="1">
      <c r="D904" s="38"/>
      <c r="E904" s="119"/>
      <c r="F904" s="119"/>
    </row>
    <row r="905" ht="12.75" customHeight="1">
      <c r="D905" s="38"/>
      <c r="E905" s="119"/>
      <c r="F905" s="119"/>
    </row>
    <row r="906" ht="12.75" customHeight="1">
      <c r="D906" s="38"/>
      <c r="E906" s="119"/>
      <c r="F906" s="119"/>
    </row>
    <row r="907" ht="12.75" customHeight="1">
      <c r="D907" s="38"/>
      <c r="E907" s="119"/>
      <c r="F907" s="119"/>
    </row>
    <row r="908" ht="12.75" customHeight="1">
      <c r="D908" s="38"/>
      <c r="E908" s="119"/>
      <c r="F908" s="119"/>
    </row>
    <row r="909" ht="12.75" customHeight="1">
      <c r="D909" s="38"/>
      <c r="E909" s="119"/>
      <c r="F909" s="119"/>
    </row>
    <row r="910" ht="12.75" customHeight="1">
      <c r="D910" s="38"/>
      <c r="E910" s="119"/>
      <c r="F910" s="119"/>
    </row>
    <row r="911" ht="12.75" customHeight="1">
      <c r="D911" s="38"/>
      <c r="E911" s="119"/>
      <c r="F911" s="119"/>
    </row>
    <row r="912" ht="12.75" customHeight="1">
      <c r="D912" s="38"/>
      <c r="E912" s="119"/>
      <c r="F912" s="119"/>
    </row>
    <row r="913" ht="12.75" customHeight="1">
      <c r="D913" s="38"/>
      <c r="E913" s="119"/>
      <c r="F913" s="119"/>
    </row>
    <row r="914" ht="12.75" customHeight="1">
      <c r="D914" s="38"/>
      <c r="E914" s="119"/>
      <c r="F914" s="119"/>
    </row>
    <row r="915" ht="12.75" customHeight="1">
      <c r="D915" s="38"/>
      <c r="E915" s="119"/>
      <c r="F915" s="119"/>
    </row>
    <row r="916" ht="12.75" customHeight="1">
      <c r="D916" s="38"/>
      <c r="E916" s="119"/>
      <c r="F916" s="119"/>
    </row>
    <row r="917" ht="12.75" customHeight="1">
      <c r="D917" s="38"/>
      <c r="E917" s="119"/>
      <c r="F917" s="119"/>
    </row>
    <row r="918" ht="12.75" customHeight="1">
      <c r="D918" s="38"/>
      <c r="E918" s="119"/>
      <c r="F918" s="119"/>
    </row>
    <row r="919" ht="12.75" customHeight="1">
      <c r="D919" s="38"/>
      <c r="E919" s="119"/>
      <c r="F919" s="119"/>
    </row>
    <row r="920" ht="12.75" customHeight="1">
      <c r="D920" s="38"/>
      <c r="E920" s="119"/>
      <c r="F920" s="119"/>
    </row>
    <row r="921" ht="12.75" customHeight="1">
      <c r="D921" s="38"/>
      <c r="E921" s="119"/>
      <c r="F921" s="119"/>
    </row>
    <row r="922" ht="12.75" customHeight="1">
      <c r="D922" s="38"/>
      <c r="E922" s="119"/>
      <c r="F922" s="119"/>
    </row>
    <row r="923" ht="12.75" customHeight="1">
      <c r="D923" s="38"/>
      <c r="E923" s="119"/>
      <c r="F923" s="119"/>
    </row>
    <row r="924" ht="12.75" customHeight="1">
      <c r="D924" s="38"/>
      <c r="E924" s="119"/>
      <c r="F924" s="119"/>
    </row>
    <row r="925" ht="12.75" customHeight="1">
      <c r="D925" s="38"/>
      <c r="E925" s="119"/>
      <c r="F925" s="119"/>
    </row>
    <row r="926" ht="12.75" customHeight="1">
      <c r="D926" s="38"/>
      <c r="E926" s="119"/>
      <c r="F926" s="119"/>
    </row>
    <row r="927" ht="12.75" customHeight="1">
      <c r="D927" s="38"/>
      <c r="E927" s="119"/>
      <c r="F927" s="119"/>
    </row>
    <row r="928" ht="12.75" customHeight="1">
      <c r="D928" s="38"/>
      <c r="E928" s="119"/>
      <c r="F928" s="119"/>
    </row>
    <row r="929" ht="12.75" customHeight="1">
      <c r="D929" s="38"/>
      <c r="E929" s="119"/>
      <c r="F929" s="119"/>
    </row>
    <row r="930" ht="12.75" customHeight="1">
      <c r="D930" s="38"/>
      <c r="E930" s="119"/>
      <c r="F930" s="119"/>
    </row>
    <row r="931" ht="12.75" customHeight="1">
      <c r="D931" s="38"/>
      <c r="E931" s="119"/>
      <c r="F931" s="119"/>
    </row>
    <row r="932" ht="12.75" customHeight="1">
      <c r="D932" s="38"/>
      <c r="E932" s="119"/>
      <c r="F932" s="119"/>
    </row>
    <row r="933" ht="12.75" customHeight="1">
      <c r="D933" s="38"/>
      <c r="E933" s="119"/>
      <c r="F933" s="119"/>
    </row>
    <row r="934" ht="12.75" customHeight="1">
      <c r="D934" s="38"/>
      <c r="E934" s="119"/>
      <c r="F934" s="119"/>
    </row>
    <row r="935" ht="12.75" customHeight="1">
      <c r="D935" s="38"/>
      <c r="E935" s="119"/>
      <c r="F935" s="119"/>
    </row>
    <row r="936" ht="12.75" customHeight="1">
      <c r="D936" s="38"/>
      <c r="E936" s="119"/>
      <c r="F936" s="119"/>
    </row>
    <row r="937" ht="12.75" customHeight="1">
      <c r="D937" s="38"/>
      <c r="E937" s="119"/>
      <c r="F937" s="119"/>
    </row>
    <row r="938" ht="12.75" customHeight="1">
      <c r="D938" s="38"/>
      <c r="E938" s="119"/>
      <c r="F938" s="119"/>
    </row>
    <row r="939" ht="12.75" customHeight="1">
      <c r="D939" s="38"/>
      <c r="E939" s="119"/>
      <c r="F939" s="119"/>
    </row>
    <row r="940" ht="12.75" customHeight="1">
      <c r="D940" s="38"/>
      <c r="E940" s="119"/>
      <c r="F940" s="119"/>
    </row>
    <row r="941" ht="12.75" customHeight="1">
      <c r="D941" s="38"/>
      <c r="E941" s="119"/>
      <c r="F941" s="119"/>
    </row>
    <row r="942" ht="12.75" customHeight="1">
      <c r="D942" s="38"/>
      <c r="E942" s="119"/>
      <c r="F942" s="119"/>
    </row>
    <row r="943" ht="12.75" customHeight="1">
      <c r="D943" s="38"/>
      <c r="E943" s="119"/>
      <c r="F943" s="119"/>
    </row>
    <row r="944" ht="12.75" customHeight="1">
      <c r="D944" s="38"/>
      <c r="E944" s="119"/>
      <c r="F944" s="119"/>
    </row>
    <row r="945" ht="12.75" customHeight="1">
      <c r="D945" s="38"/>
      <c r="E945" s="119"/>
      <c r="F945" s="119"/>
    </row>
    <row r="946" ht="12.75" customHeight="1">
      <c r="D946" s="38"/>
      <c r="E946" s="119"/>
      <c r="F946" s="119"/>
    </row>
    <row r="947" ht="12.75" customHeight="1">
      <c r="D947" s="38"/>
      <c r="E947" s="119"/>
      <c r="F947" s="119"/>
    </row>
    <row r="948" ht="12.75" customHeight="1">
      <c r="D948" s="38"/>
      <c r="E948" s="119"/>
      <c r="F948" s="119"/>
    </row>
    <row r="949" ht="12.75" customHeight="1">
      <c r="D949" s="38"/>
      <c r="E949" s="119"/>
      <c r="F949" s="119"/>
    </row>
    <row r="950" ht="12.75" customHeight="1">
      <c r="D950" s="38"/>
      <c r="E950" s="119"/>
      <c r="F950" s="119"/>
    </row>
    <row r="951" ht="12.75" customHeight="1">
      <c r="D951" s="38"/>
      <c r="E951" s="119"/>
      <c r="F951" s="119"/>
    </row>
    <row r="952" ht="12.75" customHeight="1">
      <c r="D952" s="38"/>
      <c r="E952" s="119"/>
      <c r="F952" s="119"/>
    </row>
    <row r="953" ht="12.75" customHeight="1">
      <c r="D953" s="38"/>
      <c r="E953" s="119"/>
      <c r="F953" s="119"/>
    </row>
    <row r="954" ht="12.75" customHeight="1">
      <c r="D954" s="38"/>
      <c r="E954" s="119"/>
      <c r="F954" s="119"/>
    </row>
    <row r="955" ht="12.75" customHeight="1">
      <c r="D955" s="38"/>
      <c r="E955" s="119"/>
      <c r="F955" s="119"/>
    </row>
    <row r="956" ht="12.75" customHeight="1">
      <c r="D956" s="38"/>
      <c r="E956" s="119"/>
      <c r="F956" s="119"/>
    </row>
    <row r="957" ht="12.75" customHeight="1">
      <c r="D957" s="38"/>
      <c r="E957" s="119"/>
      <c r="F957" s="119"/>
    </row>
    <row r="958" ht="12.75" customHeight="1">
      <c r="D958" s="38"/>
      <c r="E958" s="119"/>
      <c r="F958" s="119"/>
    </row>
    <row r="959" ht="12.75" customHeight="1">
      <c r="D959" s="38"/>
      <c r="E959" s="119"/>
      <c r="F959" s="119"/>
    </row>
    <row r="960" ht="12.75" customHeight="1">
      <c r="D960" s="38"/>
      <c r="E960" s="119"/>
      <c r="F960" s="119"/>
    </row>
    <row r="961" ht="12.75" customHeight="1">
      <c r="D961" s="38"/>
      <c r="E961" s="119"/>
      <c r="F961" s="119"/>
    </row>
    <row r="962" ht="12.75" customHeight="1">
      <c r="D962" s="38"/>
      <c r="E962" s="119"/>
      <c r="F962" s="119"/>
    </row>
    <row r="963" ht="12.75" customHeight="1">
      <c r="D963" s="38"/>
      <c r="E963" s="119"/>
      <c r="F963" s="119"/>
    </row>
    <row r="964" ht="12.75" customHeight="1">
      <c r="D964" s="38"/>
      <c r="E964" s="119"/>
      <c r="F964" s="119"/>
    </row>
    <row r="965" ht="12.75" customHeight="1">
      <c r="D965" s="38"/>
      <c r="E965" s="119"/>
      <c r="F965" s="119"/>
    </row>
    <row r="966" ht="12.75" customHeight="1">
      <c r="D966" s="38"/>
      <c r="E966" s="119"/>
      <c r="F966" s="119"/>
    </row>
    <row r="967" ht="12.75" customHeight="1">
      <c r="D967" s="38"/>
      <c r="E967" s="119"/>
      <c r="F967" s="119"/>
    </row>
    <row r="968" ht="12.75" customHeight="1">
      <c r="D968" s="38"/>
      <c r="E968" s="119"/>
      <c r="F968" s="119"/>
    </row>
    <row r="969" ht="12.75" customHeight="1">
      <c r="D969" s="38"/>
      <c r="E969" s="119"/>
      <c r="F969" s="119"/>
    </row>
    <row r="970" ht="12.75" customHeight="1">
      <c r="D970" s="38"/>
      <c r="E970" s="119"/>
      <c r="F970" s="119"/>
    </row>
    <row r="971" ht="12.75" customHeight="1">
      <c r="D971" s="38"/>
      <c r="E971" s="119"/>
      <c r="F971" s="119"/>
    </row>
    <row r="972" ht="12.75" customHeight="1">
      <c r="D972" s="38"/>
      <c r="E972" s="119"/>
      <c r="F972" s="119"/>
    </row>
    <row r="973" ht="12.75" customHeight="1">
      <c r="D973" s="38"/>
      <c r="E973" s="119"/>
      <c r="F973" s="119"/>
    </row>
    <row r="974" ht="12.75" customHeight="1">
      <c r="D974" s="38"/>
      <c r="E974" s="119"/>
      <c r="F974" s="119"/>
    </row>
    <row r="975" ht="12.75" customHeight="1">
      <c r="D975" s="38"/>
      <c r="E975" s="119"/>
      <c r="F975" s="119"/>
    </row>
    <row r="976" ht="12.75" customHeight="1">
      <c r="D976" s="38"/>
      <c r="E976" s="119"/>
      <c r="F976" s="119"/>
    </row>
    <row r="977" ht="12.75" customHeight="1">
      <c r="D977" s="38"/>
      <c r="E977" s="119"/>
      <c r="F977" s="119"/>
    </row>
    <row r="978" ht="12.75" customHeight="1">
      <c r="D978" s="38"/>
      <c r="E978" s="119"/>
      <c r="F978" s="119"/>
    </row>
    <row r="979" ht="12.75" customHeight="1">
      <c r="D979" s="38"/>
      <c r="E979" s="119"/>
      <c r="F979" s="119"/>
    </row>
    <row r="980" ht="12.75" customHeight="1">
      <c r="D980" s="38"/>
      <c r="E980" s="119"/>
      <c r="F980" s="119"/>
    </row>
    <row r="981" ht="12.75" customHeight="1">
      <c r="D981" s="38"/>
      <c r="E981" s="119"/>
      <c r="F981" s="119"/>
    </row>
    <row r="982" ht="12.75" customHeight="1">
      <c r="D982" s="38"/>
      <c r="E982" s="119"/>
      <c r="F982" s="119"/>
    </row>
    <row r="983" ht="12.75" customHeight="1">
      <c r="D983" s="38"/>
      <c r="E983" s="119"/>
      <c r="F983" s="119"/>
    </row>
    <row r="984" ht="12.75" customHeight="1">
      <c r="D984" s="38"/>
      <c r="E984" s="119"/>
      <c r="F984" s="119"/>
    </row>
    <row r="985" ht="12.75" customHeight="1">
      <c r="D985" s="38"/>
      <c r="E985" s="119"/>
      <c r="F985" s="119"/>
    </row>
    <row r="986" ht="12.75" customHeight="1">
      <c r="D986" s="38"/>
      <c r="E986" s="119"/>
      <c r="F986" s="119"/>
    </row>
    <row r="987" ht="12.75" customHeight="1">
      <c r="D987" s="38"/>
      <c r="E987" s="119"/>
      <c r="F987" s="119"/>
    </row>
    <row r="988" ht="12.75" customHeight="1">
      <c r="D988" s="38"/>
      <c r="E988" s="119"/>
      <c r="F988" s="119"/>
    </row>
    <row r="989" ht="12.75" customHeight="1">
      <c r="D989" s="38"/>
      <c r="E989" s="119"/>
      <c r="F989" s="119"/>
    </row>
    <row r="990" ht="12.75" customHeight="1">
      <c r="D990" s="38"/>
      <c r="E990" s="119"/>
      <c r="F990" s="119"/>
    </row>
    <row r="991" ht="12.75" customHeight="1">
      <c r="D991" s="38"/>
      <c r="E991" s="119"/>
      <c r="F991" s="119"/>
    </row>
    <row r="992" ht="12.75" customHeight="1">
      <c r="D992" s="38"/>
      <c r="E992" s="119"/>
      <c r="F992" s="119"/>
    </row>
    <row r="993" ht="12.75" customHeight="1">
      <c r="D993" s="38"/>
      <c r="E993" s="119"/>
      <c r="F993" s="119"/>
    </row>
    <row r="994" ht="12.75" customHeight="1">
      <c r="D994" s="38"/>
      <c r="E994" s="119"/>
      <c r="F994" s="119"/>
    </row>
    <row r="995" ht="12.75" customHeight="1">
      <c r="D995" s="38"/>
      <c r="E995" s="119"/>
      <c r="F995" s="119"/>
    </row>
    <row r="996" ht="12.75" customHeight="1">
      <c r="D996" s="38"/>
      <c r="E996" s="119"/>
      <c r="F996" s="119"/>
    </row>
    <row r="997" ht="12.75" customHeight="1">
      <c r="D997" s="38"/>
      <c r="E997" s="119"/>
      <c r="F997" s="119"/>
    </row>
    <row r="998" ht="12.75" customHeight="1">
      <c r="D998" s="38"/>
      <c r="E998" s="119"/>
      <c r="F998" s="119"/>
    </row>
    <row r="999" ht="12.75" customHeight="1">
      <c r="D999" s="38"/>
      <c r="E999" s="119"/>
      <c r="F999" s="119"/>
    </row>
    <row r="1000" ht="12.75" customHeight="1">
      <c r="D1000" s="38"/>
      <c r="E1000" s="119"/>
      <c r="F1000" s="119"/>
    </row>
  </sheetData>
  <mergeCells count="10">
    <mergeCell ref="D4:D5"/>
    <mergeCell ref="D373:E374"/>
    <mergeCell ref="F373:F374"/>
    <mergeCell ref="A1:B3"/>
    <mergeCell ref="C1:D3"/>
    <mergeCell ref="E1:E2"/>
    <mergeCell ref="F1:F5"/>
    <mergeCell ref="A4:A5"/>
    <mergeCell ref="B4:B5"/>
    <mergeCell ref="C4:C5"/>
  </mergeCells>
  <dataValidations>
    <dataValidation type="list" allowBlank="1" showErrorMessage="1" sqref="E4">
      <formula1>$C$6:$E$6</formula1>
    </dataValidation>
  </dataValidations>
  <printOptions/>
  <pageMargins bottom="1.0" footer="0.0" header="0.0" left="0.75" right="0.75" top="1.0"/>
  <pageSetup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8.63"/>
    <col customWidth="1" min="3" max="8" width="10.63"/>
    <col customWidth="1" min="9" max="9" width="8.63"/>
    <col customWidth="1" min="10" max="11" width="13.38"/>
    <col customWidth="1" min="12" max="12" width="12.88"/>
    <col customWidth="1" min="13" max="13" width="5.75"/>
    <col customWidth="1" min="14" max="14" width="15.0"/>
    <col customWidth="1" min="15" max="15" width="9.38"/>
    <col customWidth="1" min="16" max="16" width="15.0"/>
    <col customWidth="1" min="17" max="17" width="12.88"/>
    <col customWidth="1" min="18" max="18" width="15.0"/>
    <col customWidth="1" min="19" max="20" width="8.63"/>
    <col customWidth="1" min="21" max="22" width="13.38"/>
    <col customWidth="1" min="23" max="23" width="12.88"/>
    <col customWidth="1" min="24" max="24" width="9.13"/>
    <col customWidth="1" min="25" max="26" width="8.63"/>
  </cols>
  <sheetData>
    <row r="1" ht="12.75" customHeight="1">
      <c r="C1" s="6" t="s">
        <v>2</v>
      </c>
      <c r="D1" s="7"/>
      <c r="E1" s="7"/>
      <c r="F1" s="7"/>
      <c r="G1" s="8"/>
      <c r="H1" s="123"/>
      <c r="I1" s="124"/>
      <c r="J1" s="124"/>
      <c r="K1" s="124"/>
      <c r="L1" s="124"/>
      <c r="M1" s="1" t="s">
        <v>1</v>
      </c>
      <c r="N1" s="4"/>
      <c r="O1" s="4"/>
      <c r="P1" s="4"/>
      <c r="Q1" s="4"/>
      <c r="R1" s="5"/>
      <c r="T1" s="124"/>
      <c r="U1" s="124"/>
      <c r="V1" s="124"/>
      <c r="W1" s="124"/>
      <c r="X1" s="38"/>
    </row>
    <row r="2" ht="12.75" customHeight="1">
      <c r="C2" s="125">
        <f>'MANHOUR EQUIVALENT'!F15</f>
        <v>58.68055556</v>
      </c>
      <c r="D2" s="126" t="str">
        <f>CONCATENATE("per hour in area of ",'MANHOUR EQUIVALENT'!D10)</f>
        <v>per hour in area of CAR</v>
      </c>
      <c r="E2" s="7"/>
      <c r="F2" s="7"/>
      <c r="G2" s="7"/>
      <c r="H2" s="8"/>
      <c r="I2" s="124"/>
      <c r="J2" s="124"/>
      <c r="K2" s="124"/>
      <c r="L2" s="124"/>
      <c r="M2" s="10"/>
      <c r="R2" s="12"/>
      <c r="T2" s="124"/>
      <c r="U2" s="124"/>
      <c r="V2" s="124"/>
      <c r="W2" s="124"/>
      <c r="X2" s="38"/>
    </row>
    <row r="3" ht="12.75" customHeight="1">
      <c r="C3" s="127" t="s">
        <v>3</v>
      </c>
      <c r="D3" s="20"/>
      <c r="E3" s="20"/>
      <c r="F3" s="20"/>
      <c r="G3" s="20"/>
      <c r="H3" s="21"/>
      <c r="I3" s="128"/>
      <c r="J3" s="128"/>
      <c r="K3" s="128"/>
      <c r="L3" s="128"/>
      <c r="M3" s="15"/>
      <c r="N3" s="17"/>
      <c r="O3" s="17"/>
      <c r="P3" s="17"/>
      <c r="Q3" s="17"/>
      <c r="R3" s="18"/>
      <c r="T3" s="128"/>
      <c r="U3" s="128"/>
      <c r="V3" s="128"/>
      <c r="W3" s="128"/>
      <c r="X3" s="38"/>
    </row>
    <row r="4" ht="12.75" customHeight="1">
      <c r="B4" s="48" t="s">
        <v>401</v>
      </c>
      <c r="C4" s="25"/>
      <c r="D4" s="17"/>
      <c r="E4" s="17"/>
      <c r="F4" s="17"/>
      <c r="G4" s="17"/>
      <c r="H4" s="18"/>
      <c r="I4" s="129"/>
      <c r="J4" s="130" t="s">
        <v>402</v>
      </c>
      <c r="K4" s="7"/>
      <c r="L4" s="131"/>
      <c r="M4" s="132" t="s">
        <v>6</v>
      </c>
      <c r="N4" s="7"/>
      <c r="O4" s="7"/>
      <c r="P4" s="7"/>
      <c r="Q4" s="7"/>
      <c r="R4" s="8"/>
      <c r="T4" s="129"/>
      <c r="U4" s="130" t="s">
        <v>402</v>
      </c>
      <c r="V4" s="7"/>
      <c r="W4" s="131"/>
      <c r="X4" s="38"/>
    </row>
    <row r="5" ht="12.75" customHeight="1">
      <c r="A5" s="115"/>
      <c r="B5" s="115" t="s">
        <v>9</v>
      </c>
      <c r="C5" s="133" t="s">
        <v>401</v>
      </c>
      <c r="D5" s="133" t="s">
        <v>11</v>
      </c>
      <c r="E5" s="133" t="s">
        <v>9</v>
      </c>
      <c r="F5" s="133" t="s">
        <v>11</v>
      </c>
      <c r="G5" s="133" t="s">
        <v>403</v>
      </c>
      <c r="H5" s="133" t="s">
        <v>11</v>
      </c>
      <c r="I5" s="134" t="s">
        <v>8</v>
      </c>
      <c r="J5" s="135" t="s">
        <v>401</v>
      </c>
      <c r="K5" s="135" t="s">
        <v>9</v>
      </c>
      <c r="L5" s="135" t="s">
        <v>403</v>
      </c>
      <c r="M5" s="136" t="s">
        <v>401</v>
      </c>
      <c r="N5" s="136" t="s">
        <v>8</v>
      </c>
      <c r="O5" s="136" t="s">
        <v>9</v>
      </c>
      <c r="P5" s="136" t="s">
        <v>8</v>
      </c>
      <c r="Q5" s="136" t="s">
        <v>403</v>
      </c>
      <c r="R5" s="29" t="s">
        <v>8</v>
      </c>
      <c r="T5" s="134" t="s">
        <v>8</v>
      </c>
      <c r="U5" s="135" t="s">
        <v>401</v>
      </c>
      <c r="V5" s="135" t="s">
        <v>9</v>
      </c>
      <c r="W5" s="135" t="s">
        <v>403</v>
      </c>
      <c r="X5" s="137"/>
    </row>
    <row r="6" ht="12.75" customHeight="1">
      <c r="B6" s="48" t="s">
        <v>403</v>
      </c>
      <c r="C6" s="138"/>
      <c r="D6" s="138"/>
      <c r="E6" s="138"/>
      <c r="F6" s="138"/>
      <c r="G6" s="138"/>
      <c r="H6" s="138"/>
      <c r="L6" s="139"/>
      <c r="M6" s="38"/>
      <c r="N6" s="38"/>
      <c r="O6" s="38"/>
      <c r="P6" s="38"/>
      <c r="Q6" s="38"/>
      <c r="R6" s="38"/>
      <c r="W6" s="139"/>
      <c r="X6" s="38"/>
    </row>
    <row r="7" ht="12.75" customHeight="1">
      <c r="C7" s="138"/>
      <c r="D7" s="138"/>
      <c r="E7" s="138"/>
      <c r="F7" s="138"/>
      <c r="G7" s="138"/>
      <c r="H7" s="138"/>
      <c r="L7" s="139"/>
      <c r="M7" s="38"/>
      <c r="N7" s="38"/>
      <c r="O7" s="38"/>
      <c r="P7" s="38"/>
      <c r="Q7" s="38"/>
      <c r="R7" s="38"/>
      <c r="W7" s="139"/>
      <c r="X7" s="38"/>
    </row>
    <row r="8" ht="12.75" customHeight="1">
      <c r="C8" s="138">
        <f t="shared" ref="C8:C372" si="1">J8*$C$2</f>
        <v>234.7222222</v>
      </c>
      <c r="D8" s="138" t="str">
        <f>CONCATENATE(" per ",I8)</f>
        <v> per SQ.M.</v>
      </c>
      <c r="E8" s="138">
        <f t="shared" ref="E8:E372" si="2">K8*$C$2</f>
        <v>117.3611111</v>
      </c>
      <c r="F8" s="138" t="str">
        <f>CONCATENATE(" per ",I8)</f>
        <v> per SQ.M.</v>
      </c>
      <c r="G8" s="138">
        <f t="shared" ref="G8:G372" si="3">L8*$C$2</f>
        <v>93.88888889</v>
      </c>
      <c r="H8" s="138" t="str">
        <f>CONCATENATE(" per ",I8)</f>
        <v> per SQ.M.</v>
      </c>
      <c r="I8" s="140" t="s">
        <v>404</v>
      </c>
      <c r="J8" s="38">
        <v>4.0</v>
      </c>
      <c r="K8" s="38">
        <v>2.0</v>
      </c>
      <c r="L8" s="141">
        <v>1.6</v>
      </c>
      <c r="M8" s="38">
        <f>1/J8</f>
        <v>0.25</v>
      </c>
      <c r="N8" s="38" t="str">
        <f>CONCATENATE(I8," per hour")</f>
        <v>SQ.M. per hour</v>
      </c>
      <c r="O8" s="38">
        <f>1/K8</f>
        <v>0.5</v>
      </c>
      <c r="P8" s="38" t="str">
        <f>CONCATENATE(I8," per hour")</f>
        <v>SQ.M. per hour</v>
      </c>
      <c r="Q8" s="38">
        <f>1/L8</f>
        <v>0.625</v>
      </c>
      <c r="R8" s="38" t="str">
        <f>CONCATENATE(I8," per hour")</f>
        <v>SQ.M. per hour</v>
      </c>
      <c r="T8" s="140" t="s">
        <v>404</v>
      </c>
      <c r="U8" s="38">
        <v>4.0</v>
      </c>
      <c r="V8" s="38">
        <v>2.0</v>
      </c>
      <c r="W8" s="141">
        <v>1.6</v>
      </c>
      <c r="X8" s="38" t="str">
        <f t="shared" ref="X8:X372" si="4">IF(T8&gt;0,"per hour","")</f>
        <v>per hour</v>
      </c>
      <c r="Y8" s="44" t="str">
        <f t="shared" ref="Y8:Y372" si="5">IF(T8&gt;0,"per ","")</f>
        <v>per </v>
      </c>
    </row>
    <row r="9" ht="12.75" customHeight="1">
      <c r="C9" s="138">
        <f t="shared" si="1"/>
        <v>275.7986111</v>
      </c>
      <c r="D9" s="138"/>
      <c r="E9" s="138">
        <f t="shared" si="2"/>
        <v>137.8993056</v>
      </c>
      <c r="F9" s="138"/>
      <c r="G9" s="138">
        <f t="shared" si="3"/>
        <v>110.3194444</v>
      </c>
      <c r="H9" s="138"/>
      <c r="I9" s="140" t="s">
        <v>404</v>
      </c>
      <c r="J9" s="38">
        <v>4.7</v>
      </c>
      <c r="K9" s="38">
        <v>2.35</v>
      </c>
      <c r="L9" s="141">
        <v>1.88</v>
      </c>
      <c r="M9" s="38"/>
      <c r="N9" s="38"/>
      <c r="O9" s="38"/>
      <c r="P9" s="38"/>
      <c r="Q9" s="38"/>
      <c r="R9" s="38"/>
      <c r="T9" s="140" t="s">
        <v>404</v>
      </c>
      <c r="U9" s="38">
        <v>4.7</v>
      </c>
      <c r="V9" s="38">
        <v>2.35</v>
      </c>
      <c r="W9" s="141">
        <v>1.88</v>
      </c>
      <c r="X9" s="38" t="str">
        <f t="shared" si="4"/>
        <v>per hour</v>
      </c>
      <c r="Y9" s="44" t="str">
        <f t="shared" si="5"/>
        <v>per </v>
      </c>
    </row>
    <row r="10" ht="12.75" customHeight="1">
      <c r="C10" s="138">
        <f t="shared" si="1"/>
        <v>361.4722222</v>
      </c>
      <c r="D10" s="138"/>
      <c r="E10" s="138">
        <f t="shared" si="2"/>
        <v>180.7361111</v>
      </c>
      <c r="F10" s="138"/>
      <c r="G10" s="138">
        <f t="shared" si="3"/>
        <v>144.3541667</v>
      </c>
      <c r="H10" s="138"/>
      <c r="I10" s="140" t="s">
        <v>404</v>
      </c>
      <c r="J10" s="38">
        <v>6.16</v>
      </c>
      <c r="K10" s="38">
        <v>3.08</v>
      </c>
      <c r="L10" s="141">
        <v>2.46</v>
      </c>
      <c r="M10" s="38"/>
      <c r="N10" s="38"/>
      <c r="O10" s="38"/>
      <c r="P10" s="38"/>
      <c r="Q10" s="38"/>
      <c r="R10" s="38"/>
      <c r="T10" s="140" t="s">
        <v>404</v>
      </c>
      <c r="U10" s="38">
        <v>6.16</v>
      </c>
      <c r="V10" s="38">
        <v>3.08</v>
      </c>
      <c r="W10" s="141">
        <v>2.46</v>
      </c>
      <c r="X10" s="38" t="str">
        <f t="shared" si="4"/>
        <v>per hour</v>
      </c>
      <c r="Y10" s="44" t="str">
        <f t="shared" si="5"/>
        <v>per </v>
      </c>
    </row>
    <row r="11" ht="12.75" customHeight="1">
      <c r="C11" s="138">
        <f t="shared" si="1"/>
        <v>275.7986111</v>
      </c>
      <c r="D11" s="138"/>
      <c r="E11" s="138">
        <f t="shared" si="2"/>
        <v>137.8993056</v>
      </c>
      <c r="F11" s="138"/>
      <c r="G11" s="138">
        <f t="shared" si="3"/>
        <v>110.3194444</v>
      </c>
      <c r="H11" s="138"/>
      <c r="I11" s="140" t="s">
        <v>404</v>
      </c>
      <c r="J11" s="38">
        <v>4.7</v>
      </c>
      <c r="K11" s="38">
        <v>2.35</v>
      </c>
      <c r="L11" s="141">
        <v>1.88</v>
      </c>
      <c r="M11" s="38"/>
      <c r="N11" s="38"/>
      <c r="O11" s="38"/>
      <c r="P11" s="38"/>
      <c r="Q11" s="38"/>
      <c r="R11" s="38"/>
      <c r="T11" s="140" t="s">
        <v>404</v>
      </c>
      <c r="U11" s="38">
        <v>4.7</v>
      </c>
      <c r="V11" s="38">
        <v>2.35</v>
      </c>
      <c r="W11" s="141">
        <v>1.88</v>
      </c>
      <c r="X11" s="38" t="str">
        <f t="shared" si="4"/>
        <v>per hour</v>
      </c>
      <c r="Y11" s="44" t="str">
        <f t="shared" si="5"/>
        <v>per </v>
      </c>
    </row>
    <row r="12" ht="12.75" customHeight="1">
      <c r="C12" s="138">
        <f t="shared" si="1"/>
        <v>0</v>
      </c>
      <c r="D12" s="138"/>
      <c r="E12" s="138">
        <f t="shared" si="2"/>
        <v>0</v>
      </c>
      <c r="F12" s="138"/>
      <c r="G12" s="138">
        <f t="shared" si="3"/>
        <v>0</v>
      </c>
      <c r="H12" s="138"/>
      <c r="I12" s="140"/>
      <c r="J12" s="38"/>
      <c r="K12" s="38"/>
      <c r="L12" s="141"/>
      <c r="M12" s="38"/>
      <c r="N12" s="38"/>
      <c r="O12" s="38"/>
      <c r="P12" s="38"/>
      <c r="Q12" s="38"/>
      <c r="R12" s="38"/>
      <c r="T12" s="140"/>
      <c r="U12" s="38"/>
      <c r="V12" s="38"/>
      <c r="W12" s="141"/>
      <c r="X12" s="38" t="str">
        <f t="shared" si="4"/>
        <v/>
      </c>
      <c r="Y12" s="44" t="str">
        <f t="shared" si="5"/>
        <v/>
      </c>
    </row>
    <row r="13" ht="12.75" customHeight="1">
      <c r="C13" s="138">
        <f t="shared" si="1"/>
        <v>195.9930556</v>
      </c>
      <c r="D13" s="138"/>
      <c r="E13" s="138">
        <f t="shared" si="2"/>
        <v>97.99652778</v>
      </c>
      <c r="F13" s="138"/>
      <c r="G13" s="138">
        <f t="shared" si="3"/>
        <v>78.63194444</v>
      </c>
      <c r="H13" s="138"/>
      <c r="I13" s="140" t="s">
        <v>404</v>
      </c>
      <c r="J13" s="38">
        <v>3.34</v>
      </c>
      <c r="K13" s="38">
        <v>1.67</v>
      </c>
      <c r="L13" s="141">
        <v>1.34</v>
      </c>
      <c r="M13" s="38"/>
      <c r="N13" s="38"/>
      <c r="O13" s="38"/>
      <c r="P13" s="38"/>
      <c r="Q13" s="38"/>
      <c r="R13" s="38"/>
      <c r="T13" s="140" t="s">
        <v>404</v>
      </c>
      <c r="U13" s="38">
        <v>3.34</v>
      </c>
      <c r="V13" s="38">
        <v>1.67</v>
      </c>
      <c r="W13" s="141">
        <v>1.34</v>
      </c>
      <c r="X13" s="38" t="str">
        <f t="shared" si="4"/>
        <v>per hour</v>
      </c>
      <c r="Y13" s="44" t="str">
        <f t="shared" si="5"/>
        <v>per </v>
      </c>
    </row>
    <row r="14" ht="12.75" customHeight="1">
      <c r="C14" s="138">
        <f t="shared" si="1"/>
        <v>390.8125</v>
      </c>
      <c r="D14" s="138"/>
      <c r="E14" s="138">
        <f t="shared" si="2"/>
        <v>195.40625</v>
      </c>
      <c r="F14" s="138"/>
      <c r="G14" s="138">
        <f t="shared" si="3"/>
        <v>156.0902778</v>
      </c>
      <c r="H14" s="138"/>
      <c r="I14" s="140" t="s">
        <v>404</v>
      </c>
      <c r="J14" s="38">
        <v>6.66</v>
      </c>
      <c r="K14" s="38">
        <v>3.33</v>
      </c>
      <c r="L14" s="141">
        <v>2.66</v>
      </c>
      <c r="M14" s="38"/>
      <c r="N14" s="38"/>
      <c r="O14" s="38"/>
      <c r="P14" s="38"/>
      <c r="Q14" s="38"/>
      <c r="R14" s="38"/>
      <c r="T14" s="140" t="s">
        <v>404</v>
      </c>
      <c r="U14" s="38">
        <v>6.66</v>
      </c>
      <c r="V14" s="38">
        <v>3.33</v>
      </c>
      <c r="W14" s="141">
        <v>2.66</v>
      </c>
      <c r="X14" s="38" t="str">
        <f t="shared" si="4"/>
        <v>per hour</v>
      </c>
      <c r="Y14" s="44" t="str">
        <f t="shared" si="5"/>
        <v>per </v>
      </c>
    </row>
    <row r="15" ht="12.75" customHeight="1">
      <c r="C15" s="138">
        <f t="shared" si="1"/>
        <v>0</v>
      </c>
      <c r="D15" s="138"/>
      <c r="E15" s="138">
        <f t="shared" si="2"/>
        <v>0</v>
      </c>
      <c r="F15" s="138"/>
      <c r="G15" s="138">
        <f t="shared" si="3"/>
        <v>0</v>
      </c>
      <c r="H15" s="138"/>
      <c r="I15" s="140"/>
      <c r="J15" s="38"/>
      <c r="K15" s="38"/>
      <c r="L15" s="141"/>
      <c r="M15" s="38"/>
      <c r="N15" s="38"/>
      <c r="O15" s="38"/>
      <c r="P15" s="38"/>
      <c r="Q15" s="38"/>
      <c r="R15" s="38"/>
      <c r="T15" s="140"/>
      <c r="U15" s="38"/>
      <c r="V15" s="38"/>
      <c r="W15" s="141"/>
      <c r="X15" s="38" t="str">
        <f t="shared" si="4"/>
        <v/>
      </c>
      <c r="Y15" s="44" t="str">
        <f t="shared" si="5"/>
        <v/>
      </c>
    </row>
    <row r="16" ht="12.75" customHeight="1">
      <c r="C16" s="138">
        <f t="shared" si="1"/>
        <v>1009.305556</v>
      </c>
      <c r="D16" s="138"/>
      <c r="E16" s="138">
        <f t="shared" si="2"/>
        <v>528.125</v>
      </c>
      <c r="F16" s="138"/>
      <c r="G16" s="138">
        <f t="shared" si="3"/>
        <v>403.7222222</v>
      </c>
      <c r="H16" s="138"/>
      <c r="I16" s="140" t="s">
        <v>404</v>
      </c>
      <c r="J16" s="38">
        <v>17.2</v>
      </c>
      <c r="K16" s="38">
        <v>9.0</v>
      </c>
      <c r="L16" s="141">
        <v>6.88</v>
      </c>
      <c r="M16" s="38"/>
      <c r="N16" s="38"/>
      <c r="O16" s="38"/>
      <c r="P16" s="38"/>
      <c r="Q16" s="38"/>
      <c r="R16" s="38"/>
      <c r="T16" s="140" t="s">
        <v>404</v>
      </c>
      <c r="U16" s="38">
        <v>17.2</v>
      </c>
      <c r="V16" s="38">
        <v>9.0</v>
      </c>
      <c r="W16" s="141">
        <v>6.88</v>
      </c>
      <c r="X16" s="38" t="str">
        <f t="shared" si="4"/>
        <v>per hour</v>
      </c>
      <c r="Y16" s="44" t="str">
        <f t="shared" si="5"/>
        <v>per </v>
      </c>
    </row>
    <row r="17" ht="12.75" customHeight="1">
      <c r="C17" s="138">
        <f t="shared" si="1"/>
        <v>1290.972222</v>
      </c>
      <c r="D17" s="138"/>
      <c r="E17" s="138">
        <f t="shared" si="2"/>
        <v>645.4861111</v>
      </c>
      <c r="F17" s="138"/>
      <c r="G17" s="138">
        <f t="shared" si="3"/>
        <v>516.3888889</v>
      </c>
      <c r="H17" s="138"/>
      <c r="I17" s="140" t="s">
        <v>404</v>
      </c>
      <c r="J17" s="38">
        <v>22.0</v>
      </c>
      <c r="K17" s="38">
        <v>11.0</v>
      </c>
      <c r="L17" s="141">
        <v>8.8</v>
      </c>
      <c r="M17" s="38"/>
      <c r="N17" s="38"/>
      <c r="O17" s="38"/>
      <c r="P17" s="38"/>
      <c r="Q17" s="38"/>
      <c r="R17" s="38"/>
      <c r="T17" s="140" t="s">
        <v>404</v>
      </c>
      <c r="U17" s="38">
        <v>22.0</v>
      </c>
      <c r="V17" s="38">
        <v>11.0</v>
      </c>
      <c r="W17" s="141">
        <v>8.8</v>
      </c>
      <c r="X17" s="38" t="str">
        <f t="shared" si="4"/>
        <v>per hour</v>
      </c>
      <c r="Y17" s="44" t="str">
        <f t="shared" si="5"/>
        <v>per </v>
      </c>
    </row>
    <row r="18" ht="12.75" customHeight="1">
      <c r="C18" s="138">
        <f t="shared" si="1"/>
        <v>58.68055556</v>
      </c>
      <c r="D18" s="138"/>
      <c r="E18" s="138">
        <f t="shared" si="2"/>
        <v>35.20833333</v>
      </c>
      <c r="F18" s="138"/>
      <c r="G18" s="138">
        <f t="shared" si="3"/>
        <v>23.47222222</v>
      </c>
      <c r="H18" s="138"/>
      <c r="I18" s="140" t="s">
        <v>404</v>
      </c>
      <c r="J18" s="38">
        <v>1.0</v>
      </c>
      <c r="K18" s="38">
        <v>0.6</v>
      </c>
      <c r="L18" s="141">
        <v>0.4</v>
      </c>
      <c r="M18" s="38"/>
      <c r="N18" s="38"/>
      <c r="O18" s="38"/>
      <c r="P18" s="38"/>
      <c r="Q18" s="38"/>
      <c r="R18" s="38"/>
      <c r="T18" s="140" t="s">
        <v>404</v>
      </c>
      <c r="U18" s="38">
        <v>1.0</v>
      </c>
      <c r="V18" s="38">
        <v>0.6</v>
      </c>
      <c r="W18" s="141">
        <v>0.4</v>
      </c>
      <c r="X18" s="38" t="str">
        <f t="shared" si="4"/>
        <v>per hour</v>
      </c>
      <c r="Y18" s="44" t="str">
        <f t="shared" si="5"/>
        <v>per </v>
      </c>
    </row>
    <row r="19" ht="12.75" customHeight="1">
      <c r="C19" s="138">
        <f t="shared" si="1"/>
        <v>0</v>
      </c>
      <c r="D19" s="138"/>
      <c r="E19" s="138">
        <f t="shared" si="2"/>
        <v>0</v>
      </c>
      <c r="F19" s="138"/>
      <c r="G19" s="138">
        <f t="shared" si="3"/>
        <v>0</v>
      </c>
      <c r="H19" s="138"/>
      <c r="J19" s="38"/>
      <c r="K19" s="38"/>
      <c r="L19" s="141"/>
      <c r="M19" s="38"/>
      <c r="N19" s="38"/>
      <c r="O19" s="38"/>
      <c r="P19" s="38"/>
      <c r="Q19" s="38"/>
      <c r="R19" s="38"/>
      <c r="U19" s="38"/>
      <c r="V19" s="38"/>
      <c r="W19" s="141"/>
      <c r="X19" s="38" t="str">
        <f t="shared" si="4"/>
        <v/>
      </c>
      <c r="Y19" s="44" t="str">
        <f t="shared" si="5"/>
        <v/>
      </c>
    </row>
    <row r="20" ht="12.75" customHeight="1">
      <c r="C20" s="138">
        <f t="shared" si="1"/>
        <v>126.1631944</v>
      </c>
      <c r="D20" s="138"/>
      <c r="E20" s="138">
        <f t="shared" si="2"/>
        <v>63.375</v>
      </c>
      <c r="F20" s="138"/>
      <c r="G20" s="138">
        <f t="shared" si="3"/>
        <v>50.46527778</v>
      </c>
      <c r="H20" s="138"/>
      <c r="I20" s="140" t="s">
        <v>404</v>
      </c>
      <c r="J20" s="38">
        <v>2.15</v>
      </c>
      <c r="K20" s="38">
        <v>1.08</v>
      </c>
      <c r="L20" s="141">
        <v>0.86</v>
      </c>
      <c r="M20" s="38"/>
      <c r="N20" s="38"/>
      <c r="O20" s="38"/>
      <c r="P20" s="38"/>
      <c r="Q20" s="38"/>
      <c r="R20" s="38"/>
      <c r="T20" s="140" t="s">
        <v>404</v>
      </c>
      <c r="U20" s="38">
        <v>2.15</v>
      </c>
      <c r="V20" s="38">
        <v>1.08</v>
      </c>
      <c r="W20" s="141">
        <v>0.86</v>
      </c>
      <c r="X20" s="38" t="str">
        <f t="shared" si="4"/>
        <v>per hour</v>
      </c>
      <c r="Y20" s="44" t="str">
        <f t="shared" si="5"/>
        <v>per </v>
      </c>
    </row>
    <row r="21" ht="12.75" customHeight="1">
      <c r="C21" s="138">
        <f t="shared" si="1"/>
        <v>0</v>
      </c>
      <c r="D21" s="138"/>
      <c r="E21" s="138">
        <f t="shared" si="2"/>
        <v>0</v>
      </c>
      <c r="F21" s="138"/>
      <c r="G21" s="138">
        <f t="shared" si="3"/>
        <v>0</v>
      </c>
      <c r="H21" s="138"/>
      <c r="J21" s="38"/>
      <c r="K21" s="38"/>
      <c r="L21" s="141"/>
      <c r="M21" s="38"/>
      <c r="N21" s="38"/>
      <c r="O21" s="38"/>
      <c r="P21" s="38"/>
      <c r="Q21" s="38"/>
      <c r="R21" s="38"/>
      <c r="U21" s="38"/>
      <c r="V21" s="38"/>
      <c r="W21" s="141"/>
      <c r="X21" s="38" t="str">
        <f t="shared" si="4"/>
        <v/>
      </c>
      <c r="Y21" s="44" t="str">
        <f t="shared" si="5"/>
        <v/>
      </c>
    </row>
    <row r="22" ht="12.75" customHeight="1">
      <c r="C22" s="138">
        <f t="shared" si="1"/>
        <v>0</v>
      </c>
      <c r="D22" s="138"/>
      <c r="E22" s="138">
        <f t="shared" si="2"/>
        <v>0</v>
      </c>
      <c r="F22" s="138"/>
      <c r="G22" s="138">
        <f t="shared" si="3"/>
        <v>0</v>
      </c>
      <c r="H22" s="138"/>
      <c r="J22" s="38"/>
      <c r="K22" s="38"/>
      <c r="L22" s="141"/>
      <c r="M22" s="38"/>
      <c r="N22" s="38"/>
      <c r="O22" s="38"/>
      <c r="P22" s="38"/>
      <c r="Q22" s="38"/>
      <c r="R22" s="38"/>
      <c r="U22" s="38"/>
      <c r="V22" s="38"/>
      <c r="W22" s="141"/>
      <c r="X22" s="38" t="str">
        <f t="shared" si="4"/>
        <v/>
      </c>
      <c r="Y22" s="44" t="str">
        <f t="shared" si="5"/>
        <v/>
      </c>
    </row>
    <row r="23" ht="12.75" customHeight="1">
      <c r="C23" s="138">
        <f t="shared" si="1"/>
        <v>29.34027778</v>
      </c>
      <c r="D23" s="138"/>
      <c r="E23" s="138">
        <f t="shared" si="2"/>
        <v>14.67013889</v>
      </c>
      <c r="F23" s="138"/>
      <c r="G23" s="138">
        <f t="shared" si="3"/>
        <v>11.73611111</v>
      </c>
      <c r="H23" s="138"/>
      <c r="I23" s="140" t="s">
        <v>404</v>
      </c>
      <c r="J23" s="38">
        <v>0.5</v>
      </c>
      <c r="K23" s="38">
        <v>0.25</v>
      </c>
      <c r="L23" s="141">
        <v>0.2</v>
      </c>
      <c r="M23" s="38"/>
      <c r="N23" s="38"/>
      <c r="O23" s="38"/>
      <c r="P23" s="38"/>
      <c r="Q23" s="38"/>
      <c r="R23" s="38"/>
      <c r="T23" s="140" t="s">
        <v>404</v>
      </c>
      <c r="U23" s="38">
        <v>0.5</v>
      </c>
      <c r="V23" s="38">
        <v>0.25</v>
      </c>
      <c r="W23" s="141">
        <v>0.2</v>
      </c>
      <c r="X23" s="38" t="str">
        <f t="shared" si="4"/>
        <v>per hour</v>
      </c>
      <c r="Y23" s="44" t="str">
        <f t="shared" si="5"/>
        <v>per </v>
      </c>
    </row>
    <row r="24" ht="12.75" customHeight="1">
      <c r="C24" s="138">
        <f t="shared" si="1"/>
        <v>151.3958333</v>
      </c>
      <c r="D24" s="138"/>
      <c r="E24" s="138">
        <f t="shared" si="2"/>
        <v>75.69791667</v>
      </c>
      <c r="F24" s="138"/>
      <c r="G24" s="138">
        <f t="shared" si="3"/>
        <v>60.44097222</v>
      </c>
      <c r="H24" s="138"/>
      <c r="I24" s="140" t="s">
        <v>404</v>
      </c>
      <c r="J24" s="38">
        <v>2.58</v>
      </c>
      <c r="K24" s="38">
        <v>1.29</v>
      </c>
      <c r="L24" s="141">
        <v>1.03</v>
      </c>
      <c r="M24" s="38"/>
      <c r="N24" s="38"/>
      <c r="O24" s="38"/>
      <c r="P24" s="38"/>
      <c r="Q24" s="38"/>
      <c r="R24" s="38"/>
      <c r="T24" s="140" t="s">
        <v>404</v>
      </c>
      <c r="U24" s="38">
        <v>2.58</v>
      </c>
      <c r="V24" s="38">
        <v>1.29</v>
      </c>
      <c r="W24" s="141">
        <v>1.03</v>
      </c>
      <c r="X24" s="38" t="str">
        <f t="shared" si="4"/>
        <v>per hour</v>
      </c>
      <c r="Y24" s="44" t="str">
        <f t="shared" si="5"/>
        <v>per </v>
      </c>
    </row>
    <row r="25" ht="12.75" customHeight="1">
      <c r="C25" s="138">
        <f t="shared" si="1"/>
        <v>120.8819444</v>
      </c>
      <c r="D25" s="138"/>
      <c r="E25" s="138">
        <f t="shared" si="2"/>
        <v>60.44097222</v>
      </c>
      <c r="F25" s="138"/>
      <c r="G25" s="138">
        <f t="shared" si="3"/>
        <v>48.11805556</v>
      </c>
      <c r="H25" s="138"/>
      <c r="I25" s="140" t="s">
        <v>404</v>
      </c>
      <c r="J25" s="38">
        <v>2.06</v>
      </c>
      <c r="K25" s="38">
        <v>1.03</v>
      </c>
      <c r="L25" s="141">
        <v>0.82</v>
      </c>
      <c r="M25" s="38"/>
      <c r="N25" s="38"/>
      <c r="O25" s="38"/>
      <c r="P25" s="38"/>
      <c r="Q25" s="38"/>
      <c r="R25" s="38"/>
      <c r="T25" s="140" t="s">
        <v>404</v>
      </c>
      <c r="U25" s="38">
        <v>2.06</v>
      </c>
      <c r="V25" s="38">
        <v>1.03</v>
      </c>
      <c r="W25" s="141">
        <v>0.82</v>
      </c>
      <c r="X25" s="38" t="str">
        <f t="shared" si="4"/>
        <v>per hour</v>
      </c>
      <c r="Y25" s="44" t="str">
        <f t="shared" si="5"/>
        <v>per </v>
      </c>
    </row>
    <row r="26" ht="12.75" customHeight="1">
      <c r="C26" s="138">
        <f t="shared" si="1"/>
        <v>99.75694444</v>
      </c>
      <c r="D26" s="138"/>
      <c r="E26" s="138">
        <f t="shared" si="2"/>
        <v>49.87847222</v>
      </c>
      <c r="F26" s="138"/>
      <c r="G26" s="138">
        <f t="shared" si="3"/>
        <v>39.90277778</v>
      </c>
      <c r="H26" s="138"/>
      <c r="I26" s="140" t="s">
        <v>404</v>
      </c>
      <c r="J26" s="38">
        <v>1.7</v>
      </c>
      <c r="K26" s="38">
        <v>0.85</v>
      </c>
      <c r="L26" s="141">
        <v>0.68</v>
      </c>
      <c r="M26" s="38"/>
      <c r="N26" s="38"/>
      <c r="O26" s="38"/>
      <c r="P26" s="38"/>
      <c r="Q26" s="38"/>
      <c r="R26" s="38"/>
      <c r="T26" s="140" t="s">
        <v>404</v>
      </c>
      <c r="U26" s="38">
        <v>1.7</v>
      </c>
      <c r="V26" s="38">
        <v>0.85</v>
      </c>
      <c r="W26" s="141">
        <v>0.68</v>
      </c>
      <c r="X26" s="38" t="str">
        <f t="shared" si="4"/>
        <v>per hour</v>
      </c>
      <c r="Y26" s="44" t="str">
        <f t="shared" si="5"/>
        <v>per </v>
      </c>
    </row>
    <row r="27" ht="12.75" customHeight="1">
      <c r="C27" s="138">
        <f t="shared" si="1"/>
        <v>0</v>
      </c>
      <c r="D27" s="138"/>
      <c r="E27" s="138">
        <f t="shared" si="2"/>
        <v>0</v>
      </c>
      <c r="F27" s="138"/>
      <c r="G27" s="138">
        <f t="shared" si="3"/>
        <v>0</v>
      </c>
      <c r="H27" s="138"/>
      <c r="I27" s="140" t="s">
        <v>404</v>
      </c>
      <c r="J27" s="38"/>
      <c r="K27" s="38"/>
      <c r="L27" s="141"/>
      <c r="M27" s="38"/>
      <c r="N27" s="38"/>
      <c r="O27" s="38"/>
      <c r="P27" s="38"/>
      <c r="Q27" s="38"/>
      <c r="R27" s="38"/>
      <c r="T27" s="140" t="s">
        <v>404</v>
      </c>
      <c r="U27" s="38"/>
      <c r="V27" s="38"/>
      <c r="W27" s="141"/>
      <c r="X27" s="38" t="str">
        <f t="shared" si="4"/>
        <v>per hour</v>
      </c>
      <c r="Y27" s="44" t="str">
        <f t="shared" si="5"/>
        <v>per </v>
      </c>
    </row>
    <row r="28" ht="12.75" customHeight="1">
      <c r="C28" s="138">
        <f t="shared" si="1"/>
        <v>97.99652778</v>
      </c>
      <c r="D28" s="138"/>
      <c r="E28" s="138">
        <f t="shared" si="2"/>
        <v>48.70486111</v>
      </c>
      <c r="F28" s="138"/>
      <c r="G28" s="138">
        <f t="shared" si="3"/>
        <v>39.31597222</v>
      </c>
      <c r="H28" s="138"/>
      <c r="I28" s="140" t="s">
        <v>404</v>
      </c>
      <c r="J28" s="38">
        <v>1.67</v>
      </c>
      <c r="K28" s="38">
        <v>0.83</v>
      </c>
      <c r="L28" s="141">
        <v>0.67</v>
      </c>
      <c r="M28" s="38"/>
      <c r="N28" s="38"/>
      <c r="O28" s="38"/>
      <c r="P28" s="38"/>
      <c r="Q28" s="38"/>
      <c r="R28" s="38"/>
      <c r="T28" s="140" t="s">
        <v>404</v>
      </c>
      <c r="U28" s="38">
        <v>1.67</v>
      </c>
      <c r="V28" s="38">
        <v>0.83</v>
      </c>
      <c r="W28" s="141">
        <v>0.67</v>
      </c>
      <c r="X28" s="38" t="str">
        <f t="shared" si="4"/>
        <v>per hour</v>
      </c>
      <c r="Y28" s="44" t="str">
        <f t="shared" si="5"/>
        <v>per </v>
      </c>
    </row>
    <row r="29" ht="12.75" customHeight="1">
      <c r="C29" s="138">
        <f t="shared" si="1"/>
        <v>126.75</v>
      </c>
      <c r="D29" s="138"/>
      <c r="E29" s="138">
        <f t="shared" si="2"/>
        <v>63.375</v>
      </c>
      <c r="F29" s="138"/>
      <c r="G29" s="138">
        <f t="shared" si="3"/>
        <v>50.46527778</v>
      </c>
      <c r="H29" s="138"/>
      <c r="I29" s="140" t="s">
        <v>404</v>
      </c>
      <c r="J29" s="38">
        <v>2.16</v>
      </c>
      <c r="K29" s="38">
        <v>1.08</v>
      </c>
      <c r="L29" s="141">
        <v>0.86</v>
      </c>
      <c r="M29" s="38"/>
      <c r="N29" s="38"/>
      <c r="O29" s="38"/>
      <c r="P29" s="38"/>
      <c r="Q29" s="38"/>
      <c r="R29" s="38"/>
      <c r="T29" s="140" t="s">
        <v>404</v>
      </c>
      <c r="U29" s="38">
        <v>2.16</v>
      </c>
      <c r="V29" s="38">
        <v>1.08</v>
      </c>
      <c r="W29" s="141">
        <v>0.86</v>
      </c>
      <c r="X29" s="38" t="str">
        <f t="shared" si="4"/>
        <v>per hour</v>
      </c>
      <c r="Y29" s="44" t="str">
        <f t="shared" si="5"/>
        <v>per </v>
      </c>
    </row>
    <row r="30" ht="12.75" customHeight="1">
      <c r="C30" s="138">
        <f t="shared" si="1"/>
        <v>0</v>
      </c>
      <c r="D30" s="138"/>
      <c r="E30" s="138">
        <f t="shared" si="2"/>
        <v>0</v>
      </c>
      <c r="F30" s="138"/>
      <c r="G30" s="138">
        <f t="shared" si="3"/>
        <v>0</v>
      </c>
      <c r="H30" s="138"/>
      <c r="I30" s="140" t="s">
        <v>404</v>
      </c>
      <c r="J30" s="38"/>
      <c r="K30" s="38"/>
      <c r="L30" s="141"/>
      <c r="M30" s="38"/>
      <c r="N30" s="38"/>
      <c r="O30" s="38"/>
      <c r="P30" s="38"/>
      <c r="Q30" s="38"/>
      <c r="R30" s="38"/>
      <c r="T30" s="140" t="s">
        <v>404</v>
      </c>
      <c r="U30" s="38"/>
      <c r="V30" s="38"/>
      <c r="W30" s="141"/>
      <c r="X30" s="38" t="str">
        <f t="shared" si="4"/>
        <v>per hour</v>
      </c>
      <c r="Y30" s="44" t="str">
        <f t="shared" si="5"/>
        <v>per </v>
      </c>
    </row>
    <row r="31" ht="12.75" customHeight="1">
      <c r="C31" s="138">
        <f t="shared" si="1"/>
        <v>410.7638889</v>
      </c>
      <c r="D31" s="138"/>
      <c r="E31" s="138">
        <f t="shared" si="2"/>
        <v>205.3819444</v>
      </c>
      <c r="F31" s="138"/>
      <c r="G31" s="138">
        <f t="shared" si="3"/>
        <v>164.3055556</v>
      </c>
      <c r="H31" s="138"/>
      <c r="I31" s="140" t="s">
        <v>404</v>
      </c>
      <c r="J31" s="38">
        <v>7.0</v>
      </c>
      <c r="K31" s="38">
        <v>3.5</v>
      </c>
      <c r="L31" s="141">
        <v>2.8</v>
      </c>
      <c r="M31" s="38"/>
      <c r="N31" s="38"/>
      <c r="O31" s="38"/>
      <c r="P31" s="38"/>
      <c r="Q31" s="38"/>
      <c r="R31" s="38"/>
      <c r="T31" s="140" t="s">
        <v>404</v>
      </c>
      <c r="U31" s="38">
        <v>7.0</v>
      </c>
      <c r="V31" s="38">
        <v>3.5</v>
      </c>
      <c r="W31" s="141">
        <v>2.8</v>
      </c>
      <c r="X31" s="38" t="str">
        <f t="shared" si="4"/>
        <v>per hour</v>
      </c>
      <c r="Y31" s="44" t="str">
        <f t="shared" si="5"/>
        <v>per </v>
      </c>
    </row>
    <row r="32" ht="12.75" customHeight="1">
      <c r="C32" s="138">
        <f t="shared" si="1"/>
        <v>328.6111111</v>
      </c>
      <c r="D32" s="138"/>
      <c r="E32" s="138">
        <f t="shared" si="2"/>
        <v>164.3055556</v>
      </c>
      <c r="F32" s="138"/>
      <c r="G32" s="138">
        <f t="shared" si="3"/>
        <v>131.4444444</v>
      </c>
      <c r="H32" s="138"/>
      <c r="I32" s="140" t="s">
        <v>404</v>
      </c>
      <c r="J32" s="38">
        <v>5.6</v>
      </c>
      <c r="K32" s="38">
        <v>2.8</v>
      </c>
      <c r="L32" s="141">
        <v>2.24</v>
      </c>
      <c r="M32" s="38"/>
      <c r="N32" s="38"/>
      <c r="O32" s="38"/>
      <c r="P32" s="38"/>
      <c r="Q32" s="38"/>
      <c r="R32" s="38"/>
      <c r="T32" s="140" t="s">
        <v>404</v>
      </c>
      <c r="U32" s="38">
        <v>5.6</v>
      </c>
      <c r="V32" s="38">
        <v>2.8</v>
      </c>
      <c r="W32" s="141">
        <v>2.24</v>
      </c>
      <c r="X32" s="38" t="str">
        <f t="shared" si="4"/>
        <v>per hour</v>
      </c>
      <c r="Y32" s="44" t="str">
        <f t="shared" si="5"/>
        <v>per </v>
      </c>
    </row>
    <row r="33" ht="12.75" customHeight="1">
      <c r="C33" s="138">
        <f t="shared" si="1"/>
        <v>0</v>
      </c>
      <c r="D33" s="138"/>
      <c r="E33" s="138">
        <f t="shared" si="2"/>
        <v>0</v>
      </c>
      <c r="F33" s="138"/>
      <c r="G33" s="138">
        <f t="shared" si="3"/>
        <v>0</v>
      </c>
      <c r="H33" s="138"/>
      <c r="J33" s="38"/>
      <c r="K33" s="38"/>
      <c r="L33" s="141"/>
      <c r="M33" s="38"/>
      <c r="N33" s="38"/>
      <c r="O33" s="38"/>
      <c r="P33" s="38"/>
      <c r="Q33" s="38"/>
      <c r="R33" s="38"/>
      <c r="U33" s="38"/>
      <c r="V33" s="38"/>
      <c r="W33" s="141"/>
      <c r="X33" s="38" t="str">
        <f t="shared" si="4"/>
        <v/>
      </c>
      <c r="Y33" s="44" t="str">
        <f t="shared" si="5"/>
        <v/>
      </c>
    </row>
    <row r="34" ht="12.75" customHeight="1">
      <c r="C34" s="138">
        <f t="shared" si="1"/>
        <v>0</v>
      </c>
      <c r="D34" s="138"/>
      <c r="E34" s="138">
        <f t="shared" si="2"/>
        <v>0</v>
      </c>
      <c r="F34" s="138"/>
      <c r="G34" s="138">
        <f t="shared" si="3"/>
        <v>0</v>
      </c>
      <c r="H34" s="138"/>
      <c r="J34" s="38"/>
      <c r="K34" s="38"/>
      <c r="L34" s="141"/>
      <c r="M34" s="38"/>
      <c r="N34" s="38"/>
      <c r="O34" s="38"/>
      <c r="P34" s="38"/>
      <c r="Q34" s="38"/>
      <c r="R34" s="38"/>
      <c r="U34" s="38"/>
      <c r="V34" s="38"/>
      <c r="W34" s="141"/>
      <c r="X34" s="38" t="str">
        <f t="shared" si="4"/>
        <v/>
      </c>
      <c r="Y34" s="44" t="str">
        <f t="shared" si="5"/>
        <v/>
      </c>
    </row>
    <row r="35" ht="12.75" customHeight="1">
      <c r="C35" s="138">
        <f t="shared" si="1"/>
        <v>117.3611111</v>
      </c>
      <c r="D35" s="138"/>
      <c r="E35" s="138">
        <f t="shared" si="2"/>
        <v>58.68055556</v>
      </c>
      <c r="F35" s="138"/>
      <c r="G35" s="138">
        <f t="shared" si="3"/>
        <v>46.94444444</v>
      </c>
      <c r="H35" s="138"/>
      <c r="I35" s="140" t="s">
        <v>405</v>
      </c>
      <c r="J35" s="38">
        <v>2.0</v>
      </c>
      <c r="K35" s="38">
        <v>1.0</v>
      </c>
      <c r="L35" s="141">
        <v>0.8</v>
      </c>
      <c r="M35" s="38"/>
      <c r="N35" s="38"/>
      <c r="O35" s="38"/>
      <c r="P35" s="38"/>
      <c r="Q35" s="38"/>
      <c r="R35" s="38"/>
      <c r="T35" s="140" t="s">
        <v>405</v>
      </c>
      <c r="U35" s="38">
        <v>2.0</v>
      </c>
      <c r="V35" s="38">
        <v>1.0</v>
      </c>
      <c r="W35" s="141">
        <v>0.8</v>
      </c>
      <c r="X35" s="38" t="str">
        <f t="shared" si="4"/>
        <v>per hour</v>
      </c>
      <c r="Y35" s="44" t="str">
        <f t="shared" si="5"/>
        <v>per </v>
      </c>
    </row>
    <row r="36" ht="12.75" customHeight="1">
      <c r="C36" s="138">
        <f t="shared" si="1"/>
        <v>17.01736111</v>
      </c>
      <c r="D36" s="138"/>
      <c r="E36" s="138">
        <f t="shared" si="2"/>
        <v>8.215277778</v>
      </c>
      <c r="F36" s="138"/>
      <c r="G36" s="138">
        <f t="shared" si="3"/>
        <v>6.454861111</v>
      </c>
      <c r="H36" s="138"/>
      <c r="I36" s="140" t="s">
        <v>406</v>
      </c>
      <c r="J36" s="38">
        <v>0.29</v>
      </c>
      <c r="K36" s="38">
        <v>0.14</v>
      </c>
      <c r="L36" s="141">
        <v>0.11</v>
      </c>
      <c r="M36" s="38"/>
      <c r="N36" s="38"/>
      <c r="O36" s="38"/>
      <c r="P36" s="38"/>
      <c r="Q36" s="38"/>
      <c r="R36" s="38"/>
      <c r="T36" s="140" t="s">
        <v>406</v>
      </c>
      <c r="U36" s="38">
        <v>0.29</v>
      </c>
      <c r="V36" s="38">
        <v>0.14</v>
      </c>
      <c r="W36" s="141">
        <v>0.11</v>
      </c>
      <c r="X36" s="38" t="str">
        <f t="shared" si="4"/>
        <v>per hour</v>
      </c>
      <c r="Y36" s="44" t="str">
        <f t="shared" si="5"/>
        <v>per </v>
      </c>
    </row>
    <row r="37" ht="12.75" customHeight="1">
      <c r="C37" s="138">
        <f t="shared" si="1"/>
        <v>17.60416667</v>
      </c>
      <c r="D37" s="138"/>
      <c r="E37" s="138">
        <f t="shared" si="2"/>
        <v>21.125</v>
      </c>
      <c r="F37" s="138"/>
      <c r="G37" s="138">
        <f t="shared" si="3"/>
        <v>17.01736111</v>
      </c>
      <c r="H37" s="138"/>
      <c r="I37" s="140" t="s">
        <v>406</v>
      </c>
      <c r="J37" s="38">
        <v>0.3</v>
      </c>
      <c r="K37" s="38">
        <v>0.36</v>
      </c>
      <c r="L37" s="141">
        <v>0.29</v>
      </c>
      <c r="M37" s="38"/>
      <c r="N37" s="38"/>
      <c r="O37" s="38"/>
      <c r="P37" s="38"/>
      <c r="Q37" s="38"/>
      <c r="R37" s="38"/>
      <c r="T37" s="140" t="s">
        <v>406</v>
      </c>
      <c r="U37" s="38">
        <v>0.3</v>
      </c>
      <c r="V37" s="38">
        <v>0.36</v>
      </c>
      <c r="W37" s="141">
        <v>0.29</v>
      </c>
      <c r="X37" s="38" t="str">
        <f t="shared" si="4"/>
        <v>per hour</v>
      </c>
      <c r="Y37" s="44" t="str">
        <f t="shared" si="5"/>
        <v>per </v>
      </c>
    </row>
    <row r="38" ht="12.75" customHeight="1">
      <c r="C38" s="138">
        <f t="shared" si="1"/>
        <v>31.10069444</v>
      </c>
      <c r="D38" s="138"/>
      <c r="E38" s="138">
        <f t="shared" si="2"/>
        <v>15.84375</v>
      </c>
      <c r="F38" s="138"/>
      <c r="G38" s="138">
        <f t="shared" si="3"/>
        <v>12.32291667</v>
      </c>
      <c r="H38" s="138"/>
      <c r="I38" s="140" t="s">
        <v>406</v>
      </c>
      <c r="J38" s="38">
        <v>0.53</v>
      </c>
      <c r="K38" s="38">
        <v>0.27</v>
      </c>
      <c r="L38" s="141">
        <v>0.21</v>
      </c>
      <c r="M38" s="38"/>
      <c r="N38" s="38"/>
      <c r="O38" s="38"/>
      <c r="P38" s="38"/>
      <c r="Q38" s="38"/>
      <c r="R38" s="38"/>
      <c r="T38" s="140" t="s">
        <v>406</v>
      </c>
      <c r="U38" s="38">
        <v>0.53</v>
      </c>
      <c r="V38" s="38">
        <v>0.27</v>
      </c>
      <c r="W38" s="141">
        <v>0.21</v>
      </c>
      <c r="X38" s="38" t="str">
        <f t="shared" si="4"/>
        <v>per hour</v>
      </c>
      <c r="Y38" s="44" t="str">
        <f t="shared" si="5"/>
        <v>per </v>
      </c>
    </row>
    <row r="39" ht="12.75" customHeight="1">
      <c r="C39" s="138">
        <f t="shared" si="1"/>
        <v>113.8402778</v>
      </c>
      <c r="D39" s="138"/>
      <c r="E39" s="138">
        <f t="shared" si="2"/>
        <v>56.92013889</v>
      </c>
      <c r="F39" s="138"/>
      <c r="G39" s="138">
        <f t="shared" si="3"/>
        <v>45.18402778</v>
      </c>
      <c r="H39" s="138"/>
      <c r="I39" s="140" t="s">
        <v>406</v>
      </c>
      <c r="J39" s="38">
        <v>1.94</v>
      </c>
      <c r="K39" s="38">
        <v>0.97</v>
      </c>
      <c r="L39" s="141">
        <v>0.77</v>
      </c>
      <c r="M39" s="38"/>
      <c r="N39" s="38"/>
      <c r="O39" s="38"/>
      <c r="P39" s="38"/>
      <c r="Q39" s="38"/>
      <c r="R39" s="38"/>
      <c r="T39" s="140" t="s">
        <v>406</v>
      </c>
      <c r="U39" s="38">
        <v>1.94</v>
      </c>
      <c r="V39" s="38">
        <v>0.97</v>
      </c>
      <c r="W39" s="141">
        <v>0.77</v>
      </c>
      <c r="X39" s="38" t="str">
        <f t="shared" si="4"/>
        <v>per hour</v>
      </c>
      <c r="Y39" s="44" t="str">
        <f t="shared" si="5"/>
        <v>per </v>
      </c>
    </row>
    <row r="40" ht="12.75" customHeight="1">
      <c r="C40" s="138">
        <f t="shared" si="1"/>
        <v>49.87847222</v>
      </c>
      <c r="D40" s="138"/>
      <c r="E40" s="138">
        <f t="shared" si="2"/>
        <v>25.23263889</v>
      </c>
      <c r="F40" s="138"/>
      <c r="G40" s="138">
        <f t="shared" si="3"/>
        <v>19.95138889</v>
      </c>
      <c r="H40" s="138"/>
      <c r="I40" s="140" t="s">
        <v>406</v>
      </c>
      <c r="J40" s="38">
        <v>0.85</v>
      </c>
      <c r="K40" s="38">
        <v>0.43</v>
      </c>
      <c r="L40" s="141">
        <v>0.34</v>
      </c>
      <c r="M40" s="38"/>
      <c r="N40" s="38"/>
      <c r="O40" s="38"/>
      <c r="P40" s="38"/>
      <c r="Q40" s="38"/>
      <c r="R40" s="38"/>
      <c r="T40" s="140" t="s">
        <v>406</v>
      </c>
      <c r="U40" s="38">
        <v>0.85</v>
      </c>
      <c r="V40" s="38">
        <v>0.43</v>
      </c>
      <c r="W40" s="141">
        <v>0.34</v>
      </c>
      <c r="X40" s="38" t="str">
        <f t="shared" si="4"/>
        <v>per hour</v>
      </c>
      <c r="Y40" s="44" t="str">
        <f t="shared" si="5"/>
        <v>per </v>
      </c>
    </row>
    <row r="41" ht="12.75" customHeight="1">
      <c r="C41" s="138">
        <f t="shared" si="1"/>
        <v>41.07638889</v>
      </c>
      <c r="D41" s="138"/>
      <c r="E41" s="138">
        <f t="shared" si="2"/>
        <v>20.53819444</v>
      </c>
      <c r="F41" s="138"/>
      <c r="G41" s="138">
        <f t="shared" si="3"/>
        <v>16.43055556</v>
      </c>
      <c r="H41" s="138"/>
      <c r="I41" s="140" t="s">
        <v>406</v>
      </c>
      <c r="J41" s="38">
        <v>0.7</v>
      </c>
      <c r="K41" s="38">
        <v>0.35</v>
      </c>
      <c r="L41" s="141">
        <v>0.28</v>
      </c>
      <c r="M41" s="38"/>
      <c r="N41" s="38"/>
      <c r="O41" s="38"/>
      <c r="P41" s="38"/>
      <c r="Q41" s="38"/>
      <c r="R41" s="38"/>
      <c r="T41" s="140" t="s">
        <v>406</v>
      </c>
      <c r="U41" s="38">
        <v>0.7</v>
      </c>
      <c r="V41" s="38">
        <v>0.35</v>
      </c>
      <c r="W41" s="141">
        <v>0.28</v>
      </c>
      <c r="X41" s="38" t="str">
        <f t="shared" si="4"/>
        <v>per hour</v>
      </c>
      <c r="Y41" s="44" t="str">
        <f t="shared" si="5"/>
        <v>per </v>
      </c>
    </row>
    <row r="42" ht="12.75" customHeight="1">
      <c r="C42" s="138">
        <f t="shared" si="1"/>
        <v>93.88888889</v>
      </c>
      <c r="D42" s="138"/>
      <c r="E42" s="138">
        <f t="shared" si="2"/>
        <v>46.94444444</v>
      </c>
      <c r="F42" s="138"/>
      <c r="G42" s="138">
        <f t="shared" si="3"/>
        <v>37.55555556</v>
      </c>
      <c r="H42" s="138"/>
      <c r="I42" s="140" t="s">
        <v>406</v>
      </c>
      <c r="J42" s="38">
        <v>1.6</v>
      </c>
      <c r="K42" s="38">
        <v>0.8</v>
      </c>
      <c r="L42" s="141">
        <v>0.64</v>
      </c>
      <c r="M42" s="38"/>
      <c r="N42" s="38"/>
      <c r="O42" s="38"/>
      <c r="P42" s="38"/>
      <c r="Q42" s="38"/>
      <c r="R42" s="38"/>
      <c r="T42" s="140" t="s">
        <v>406</v>
      </c>
      <c r="U42" s="38">
        <v>1.6</v>
      </c>
      <c r="V42" s="38">
        <v>0.8</v>
      </c>
      <c r="W42" s="141">
        <v>0.64</v>
      </c>
      <c r="X42" s="38" t="str">
        <f t="shared" si="4"/>
        <v>per hour</v>
      </c>
      <c r="Y42" s="44" t="str">
        <f t="shared" si="5"/>
        <v>per </v>
      </c>
    </row>
    <row r="43" ht="12.75" customHeight="1">
      <c r="C43" s="138">
        <f t="shared" si="1"/>
        <v>25.23263889</v>
      </c>
      <c r="D43" s="138"/>
      <c r="E43" s="138">
        <f t="shared" si="2"/>
        <v>12.32291667</v>
      </c>
      <c r="F43" s="138"/>
      <c r="G43" s="138">
        <f t="shared" si="3"/>
        <v>9.975694444</v>
      </c>
      <c r="H43" s="138"/>
      <c r="I43" s="140" t="s">
        <v>406</v>
      </c>
      <c r="J43" s="38">
        <v>0.43</v>
      </c>
      <c r="K43" s="38">
        <v>0.21</v>
      </c>
      <c r="L43" s="141">
        <v>0.17</v>
      </c>
      <c r="M43" s="38"/>
      <c r="N43" s="38"/>
      <c r="O43" s="38"/>
      <c r="P43" s="38"/>
      <c r="Q43" s="38"/>
      <c r="R43" s="38"/>
      <c r="T43" s="140" t="s">
        <v>406</v>
      </c>
      <c r="U43" s="38">
        <v>0.43</v>
      </c>
      <c r="V43" s="38">
        <v>0.21</v>
      </c>
      <c r="W43" s="141">
        <v>0.17</v>
      </c>
      <c r="X43" s="38" t="str">
        <f t="shared" si="4"/>
        <v>per hour</v>
      </c>
      <c r="Y43" s="44" t="str">
        <f t="shared" si="5"/>
        <v>per </v>
      </c>
    </row>
    <row r="44" ht="12.75" customHeight="1">
      <c r="C44" s="138">
        <f t="shared" si="1"/>
        <v>15.84375</v>
      </c>
      <c r="D44" s="138"/>
      <c r="E44" s="138">
        <f t="shared" si="2"/>
        <v>7.628472222</v>
      </c>
      <c r="F44" s="138"/>
      <c r="G44" s="138">
        <f t="shared" si="3"/>
        <v>6.454861111</v>
      </c>
      <c r="H44" s="138"/>
      <c r="I44" s="140" t="s">
        <v>406</v>
      </c>
      <c r="J44" s="38">
        <v>0.27</v>
      </c>
      <c r="K44" s="38">
        <v>0.13</v>
      </c>
      <c r="L44" s="141">
        <v>0.11</v>
      </c>
      <c r="M44" s="38"/>
      <c r="N44" s="38"/>
      <c r="O44" s="38"/>
      <c r="P44" s="38"/>
      <c r="Q44" s="38"/>
      <c r="R44" s="38"/>
      <c r="T44" s="140" t="s">
        <v>406</v>
      </c>
      <c r="U44" s="38">
        <v>0.27</v>
      </c>
      <c r="V44" s="38">
        <v>0.13</v>
      </c>
      <c r="W44" s="141">
        <v>0.11</v>
      </c>
      <c r="X44" s="38" t="str">
        <f t="shared" si="4"/>
        <v>per hour</v>
      </c>
      <c r="Y44" s="44" t="str">
        <f t="shared" si="5"/>
        <v>per </v>
      </c>
    </row>
    <row r="45" ht="12.75" customHeight="1">
      <c r="C45" s="138">
        <f t="shared" si="1"/>
        <v>31.10069444</v>
      </c>
      <c r="D45" s="138"/>
      <c r="E45" s="138">
        <f t="shared" si="2"/>
        <v>15.84375</v>
      </c>
      <c r="F45" s="138"/>
      <c r="G45" s="138">
        <f t="shared" si="3"/>
        <v>5.868055556</v>
      </c>
      <c r="H45" s="138"/>
      <c r="I45" s="140" t="s">
        <v>406</v>
      </c>
      <c r="J45" s="38">
        <v>0.53</v>
      </c>
      <c r="K45" s="38">
        <v>0.27</v>
      </c>
      <c r="L45" s="141">
        <v>0.1</v>
      </c>
      <c r="M45" s="38"/>
      <c r="N45" s="38"/>
      <c r="O45" s="38"/>
      <c r="P45" s="38"/>
      <c r="Q45" s="38"/>
      <c r="R45" s="38"/>
      <c r="T45" s="140" t="s">
        <v>406</v>
      </c>
      <c r="U45" s="38">
        <v>0.53</v>
      </c>
      <c r="V45" s="38">
        <v>0.27</v>
      </c>
      <c r="W45" s="141">
        <v>0.1</v>
      </c>
      <c r="X45" s="38" t="str">
        <f t="shared" si="4"/>
        <v>per hour</v>
      </c>
      <c r="Y45" s="44" t="str">
        <f t="shared" si="5"/>
        <v>per </v>
      </c>
    </row>
    <row r="46" ht="12.75" customHeight="1">
      <c r="C46" s="138">
        <f t="shared" si="1"/>
        <v>53.39930556</v>
      </c>
      <c r="D46" s="138"/>
      <c r="E46" s="138">
        <f t="shared" si="2"/>
        <v>26.99305556</v>
      </c>
      <c r="F46" s="138"/>
      <c r="G46" s="138">
        <f t="shared" si="3"/>
        <v>21.125</v>
      </c>
      <c r="H46" s="138"/>
      <c r="I46" s="140" t="s">
        <v>406</v>
      </c>
      <c r="J46" s="38">
        <v>0.91</v>
      </c>
      <c r="K46" s="38">
        <v>0.46</v>
      </c>
      <c r="L46" s="141">
        <v>0.36</v>
      </c>
      <c r="M46" s="38"/>
      <c r="N46" s="38"/>
      <c r="O46" s="38"/>
      <c r="P46" s="38"/>
      <c r="Q46" s="38"/>
      <c r="R46" s="38"/>
      <c r="T46" s="140" t="s">
        <v>406</v>
      </c>
      <c r="U46" s="38">
        <v>0.91</v>
      </c>
      <c r="V46" s="38">
        <v>0.46</v>
      </c>
      <c r="W46" s="141">
        <v>0.36</v>
      </c>
      <c r="X46" s="38" t="str">
        <f t="shared" si="4"/>
        <v>per hour</v>
      </c>
      <c r="Y46" s="44" t="str">
        <f t="shared" si="5"/>
        <v>per </v>
      </c>
    </row>
    <row r="47" ht="12.75" customHeight="1">
      <c r="C47" s="138">
        <f t="shared" si="1"/>
        <v>0</v>
      </c>
      <c r="D47" s="138"/>
      <c r="E47" s="138">
        <f t="shared" si="2"/>
        <v>0</v>
      </c>
      <c r="F47" s="138"/>
      <c r="G47" s="138">
        <f t="shared" si="3"/>
        <v>0</v>
      </c>
      <c r="H47" s="138"/>
      <c r="J47" s="38"/>
      <c r="K47" s="38"/>
      <c r="L47" s="141"/>
      <c r="M47" s="38"/>
      <c r="N47" s="38"/>
      <c r="O47" s="38"/>
      <c r="P47" s="38"/>
      <c r="Q47" s="38"/>
      <c r="R47" s="38"/>
      <c r="U47" s="38"/>
      <c r="V47" s="38"/>
      <c r="W47" s="141"/>
      <c r="X47" s="38" t="str">
        <f t="shared" si="4"/>
        <v/>
      </c>
      <c r="Y47" s="44" t="str">
        <f t="shared" si="5"/>
        <v/>
      </c>
    </row>
    <row r="48" ht="12.75" customHeight="1">
      <c r="C48" s="138">
        <f t="shared" si="1"/>
        <v>117.3611111</v>
      </c>
      <c r="D48" s="138"/>
      <c r="E48" s="138">
        <f t="shared" si="2"/>
        <v>58.68055556</v>
      </c>
      <c r="F48" s="138"/>
      <c r="G48" s="138">
        <f t="shared" si="3"/>
        <v>46.94444444</v>
      </c>
      <c r="H48" s="138"/>
      <c r="I48" s="140" t="s">
        <v>405</v>
      </c>
      <c r="J48" s="38">
        <v>2.0</v>
      </c>
      <c r="K48" s="38">
        <v>1.0</v>
      </c>
      <c r="L48" s="141">
        <v>0.8</v>
      </c>
      <c r="M48" s="38"/>
      <c r="N48" s="38"/>
      <c r="O48" s="38"/>
      <c r="P48" s="38"/>
      <c r="Q48" s="38"/>
      <c r="R48" s="38"/>
      <c r="T48" s="140" t="s">
        <v>405</v>
      </c>
      <c r="U48" s="38">
        <v>2.0</v>
      </c>
      <c r="V48" s="38">
        <v>1.0</v>
      </c>
      <c r="W48" s="141">
        <v>0.8</v>
      </c>
      <c r="X48" s="38" t="str">
        <f t="shared" si="4"/>
        <v>per hour</v>
      </c>
      <c r="Y48" s="44" t="str">
        <f t="shared" si="5"/>
        <v>per </v>
      </c>
    </row>
    <row r="49" ht="12.75" customHeight="1">
      <c r="C49" s="138">
        <f t="shared" si="1"/>
        <v>48.70486111</v>
      </c>
      <c r="D49" s="138"/>
      <c r="E49" s="138">
        <f t="shared" si="2"/>
        <v>24.64583333</v>
      </c>
      <c r="F49" s="138"/>
      <c r="G49" s="138">
        <f t="shared" si="3"/>
        <v>19.36458333</v>
      </c>
      <c r="H49" s="138"/>
      <c r="I49" s="140" t="s">
        <v>407</v>
      </c>
      <c r="J49" s="38">
        <v>0.83</v>
      </c>
      <c r="K49" s="38">
        <v>0.42</v>
      </c>
      <c r="L49" s="141">
        <v>0.33</v>
      </c>
      <c r="M49" s="38"/>
      <c r="N49" s="38"/>
      <c r="O49" s="38"/>
      <c r="P49" s="38"/>
      <c r="Q49" s="38"/>
      <c r="R49" s="38"/>
      <c r="T49" s="140" t="s">
        <v>407</v>
      </c>
      <c r="U49" s="38">
        <v>0.83</v>
      </c>
      <c r="V49" s="38">
        <v>0.42</v>
      </c>
      <c r="W49" s="141">
        <v>0.33</v>
      </c>
      <c r="X49" s="38" t="str">
        <f t="shared" si="4"/>
        <v>per hour</v>
      </c>
      <c r="Y49" s="44" t="str">
        <f t="shared" si="5"/>
        <v>per </v>
      </c>
    </row>
    <row r="50" ht="12.75" customHeight="1">
      <c r="C50" s="138">
        <f t="shared" si="1"/>
        <v>0</v>
      </c>
      <c r="D50" s="138"/>
      <c r="E50" s="138">
        <f t="shared" si="2"/>
        <v>0</v>
      </c>
      <c r="F50" s="138"/>
      <c r="G50" s="138">
        <f t="shared" si="3"/>
        <v>0</v>
      </c>
      <c r="H50" s="138"/>
      <c r="L50" s="139"/>
      <c r="M50" s="38"/>
      <c r="N50" s="38"/>
      <c r="O50" s="38"/>
      <c r="P50" s="38"/>
      <c r="Q50" s="38"/>
      <c r="R50" s="38"/>
      <c r="W50" s="139"/>
      <c r="X50" s="38" t="str">
        <f t="shared" si="4"/>
        <v/>
      </c>
      <c r="Y50" s="44" t="str">
        <f t="shared" si="5"/>
        <v/>
      </c>
    </row>
    <row r="51" ht="12.75" customHeight="1">
      <c r="C51" s="138">
        <f t="shared" si="1"/>
        <v>156.0902778</v>
      </c>
      <c r="D51" s="138"/>
      <c r="E51" s="138">
        <f t="shared" si="2"/>
        <v>78.04513889</v>
      </c>
      <c r="F51" s="138"/>
      <c r="G51" s="138">
        <f t="shared" si="3"/>
        <v>62.20138889</v>
      </c>
      <c r="H51" s="138"/>
      <c r="I51" s="140" t="s">
        <v>404</v>
      </c>
      <c r="J51" s="38">
        <v>2.66</v>
      </c>
      <c r="K51" s="38">
        <v>1.33</v>
      </c>
      <c r="L51" s="141">
        <v>1.06</v>
      </c>
      <c r="M51" s="38"/>
      <c r="N51" s="38"/>
      <c r="O51" s="38"/>
      <c r="P51" s="38"/>
      <c r="Q51" s="38"/>
      <c r="R51" s="38"/>
      <c r="T51" s="140" t="s">
        <v>404</v>
      </c>
      <c r="U51" s="38">
        <v>2.66</v>
      </c>
      <c r="V51" s="38">
        <v>1.33</v>
      </c>
      <c r="W51" s="141">
        <v>1.06</v>
      </c>
      <c r="X51" s="38" t="str">
        <f t="shared" si="4"/>
        <v>per hour</v>
      </c>
      <c r="Y51" s="44" t="str">
        <f t="shared" si="5"/>
        <v>per </v>
      </c>
    </row>
    <row r="52" ht="12.75" customHeight="1">
      <c r="C52" s="138">
        <f t="shared" si="1"/>
        <v>117.3611111</v>
      </c>
      <c r="D52" s="138"/>
      <c r="E52" s="138">
        <f t="shared" si="2"/>
        <v>58.68055556</v>
      </c>
      <c r="F52" s="138"/>
      <c r="G52" s="138">
        <f t="shared" si="3"/>
        <v>52.8125</v>
      </c>
      <c r="H52" s="138"/>
      <c r="I52" s="140" t="s">
        <v>404</v>
      </c>
      <c r="J52" s="38">
        <v>2.0</v>
      </c>
      <c r="K52" s="38">
        <v>1.0</v>
      </c>
      <c r="L52" s="141">
        <v>0.9</v>
      </c>
      <c r="M52" s="38"/>
      <c r="N52" s="38"/>
      <c r="O52" s="38"/>
      <c r="P52" s="38"/>
      <c r="Q52" s="38"/>
      <c r="R52" s="38"/>
      <c r="T52" s="140" t="s">
        <v>404</v>
      </c>
      <c r="U52" s="38">
        <v>2.0</v>
      </c>
      <c r="V52" s="38">
        <v>1.0</v>
      </c>
      <c r="W52" s="141">
        <v>0.9</v>
      </c>
      <c r="X52" s="38" t="str">
        <f t="shared" si="4"/>
        <v>per hour</v>
      </c>
      <c r="Y52" s="44" t="str">
        <f t="shared" si="5"/>
        <v>per </v>
      </c>
    </row>
    <row r="53" ht="12.75" customHeight="1">
      <c r="C53" s="138">
        <f t="shared" si="1"/>
        <v>15.25694444</v>
      </c>
      <c r="D53" s="138"/>
      <c r="E53" s="138">
        <f t="shared" si="2"/>
        <v>7.628472222</v>
      </c>
      <c r="F53" s="138"/>
      <c r="G53" s="138">
        <f t="shared" si="3"/>
        <v>5.868055556</v>
      </c>
      <c r="H53" s="138"/>
      <c r="I53" s="140" t="s">
        <v>406</v>
      </c>
      <c r="J53" s="38">
        <v>0.26</v>
      </c>
      <c r="K53" s="38">
        <v>0.13</v>
      </c>
      <c r="L53" s="141">
        <v>0.1</v>
      </c>
      <c r="M53" s="38"/>
      <c r="N53" s="38"/>
      <c r="O53" s="38"/>
      <c r="P53" s="38"/>
      <c r="Q53" s="38"/>
      <c r="R53" s="38"/>
      <c r="T53" s="140" t="s">
        <v>406</v>
      </c>
      <c r="U53" s="38">
        <v>0.26</v>
      </c>
      <c r="V53" s="38">
        <v>0.13</v>
      </c>
      <c r="W53" s="141">
        <v>0.1</v>
      </c>
      <c r="X53" s="38" t="str">
        <f t="shared" si="4"/>
        <v>per hour</v>
      </c>
      <c r="Y53" s="44" t="str">
        <f t="shared" si="5"/>
        <v>per </v>
      </c>
    </row>
    <row r="54" ht="12.75" customHeight="1">
      <c r="C54" s="138">
        <f t="shared" si="1"/>
        <v>21.125</v>
      </c>
      <c r="D54" s="138"/>
      <c r="E54" s="138">
        <f t="shared" si="2"/>
        <v>10.5625</v>
      </c>
      <c r="F54" s="138"/>
      <c r="G54" s="138">
        <f t="shared" si="3"/>
        <v>8.215277778</v>
      </c>
      <c r="H54" s="138"/>
      <c r="I54" s="140" t="s">
        <v>406</v>
      </c>
      <c r="J54" s="38">
        <v>0.36</v>
      </c>
      <c r="K54" s="38">
        <v>0.18</v>
      </c>
      <c r="L54" s="141">
        <v>0.14</v>
      </c>
      <c r="M54" s="38"/>
      <c r="N54" s="38"/>
      <c r="O54" s="38"/>
      <c r="P54" s="38"/>
      <c r="Q54" s="38"/>
      <c r="R54" s="38"/>
      <c r="T54" s="140" t="s">
        <v>406</v>
      </c>
      <c r="U54" s="38">
        <v>0.36</v>
      </c>
      <c r="V54" s="38">
        <v>0.18</v>
      </c>
      <c r="W54" s="141">
        <v>0.14</v>
      </c>
      <c r="X54" s="38" t="str">
        <f t="shared" si="4"/>
        <v>per hour</v>
      </c>
      <c r="Y54" s="44" t="str">
        <f t="shared" si="5"/>
        <v>per </v>
      </c>
    </row>
    <row r="55" ht="12.75" customHeight="1">
      <c r="C55" s="138">
        <f t="shared" si="1"/>
        <v>58.68055556</v>
      </c>
      <c r="D55" s="138"/>
      <c r="E55" s="138">
        <f t="shared" si="2"/>
        <v>29.34027778</v>
      </c>
      <c r="F55" s="138"/>
      <c r="G55" s="138">
        <f t="shared" si="3"/>
        <v>23.47222222</v>
      </c>
      <c r="H55" s="138"/>
      <c r="I55" s="140" t="s">
        <v>404</v>
      </c>
      <c r="J55" s="38">
        <v>1.0</v>
      </c>
      <c r="K55" s="38">
        <v>0.5</v>
      </c>
      <c r="L55" s="141">
        <v>0.4</v>
      </c>
      <c r="M55" s="38"/>
      <c r="N55" s="38"/>
      <c r="O55" s="38"/>
      <c r="P55" s="38"/>
      <c r="Q55" s="38"/>
      <c r="R55" s="38"/>
      <c r="T55" s="140" t="s">
        <v>404</v>
      </c>
      <c r="U55" s="38">
        <v>1.0</v>
      </c>
      <c r="V55" s="38">
        <v>0.5</v>
      </c>
      <c r="W55" s="141">
        <v>0.4</v>
      </c>
      <c r="X55" s="38" t="str">
        <f t="shared" si="4"/>
        <v>per hour</v>
      </c>
      <c r="Y55" s="44" t="str">
        <f t="shared" si="5"/>
        <v>per </v>
      </c>
    </row>
    <row r="56" ht="12.75" customHeight="1">
      <c r="C56" s="138">
        <f t="shared" si="1"/>
        <v>821.5277778</v>
      </c>
      <c r="D56" s="138"/>
      <c r="E56" s="138">
        <f t="shared" si="2"/>
        <v>410.7638889</v>
      </c>
      <c r="F56" s="138"/>
      <c r="G56" s="138">
        <f t="shared" si="3"/>
        <v>328.6111111</v>
      </c>
      <c r="H56" s="138"/>
      <c r="I56" s="140" t="s">
        <v>404</v>
      </c>
      <c r="J56" s="38">
        <v>14.0</v>
      </c>
      <c r="K56" s="38">
        <v>7.0</v>
      </c>
      <c r="L56" s="141">
        <v>5.6</v>
      </c>
      <c r="M56" s="38"/>
      <c r="N56" s="38"/>
      <c r="O56" s="38"/>
      <c r="P56" s="38"/>
      <c r="Q56" s="38"/>
      <c r="R56" s="38"/>
      <c r="T56" s="140" t="s">
        <v>404</v>
      </c>
      <c r="U56" s="38">
        <v>14.0</v>
      </c>
      <c r="V56" s="38">
        <v>7.0</v>
      </c>
      <c r="W56" s="141">
        <v>5.6</v>
      </c>
      <c r="X56" s="38" t="str">
        <f t="shared" si="4"/>
        <v>per hour</v>
      </c>
      <c r="Y56" s="44" t="str">
        <f t="shared" si="5"/>
        <v>per </v>
      </c>
    </row>
    <row r="57" ht="12.75" customHeight="1">
      <c r="C57" s="138">
        <f t="shared" si="1"/>
        <v>528.125</v>
      </c>
      <c r="D57" s="138"/>
      <c r="E57" s="138">
        <f t="shared" si="2"/>
        <v>264.0625</v>
      </c>
      <c r="F57" s="138"/>
      <c r="G57" s="138">
        <f t="shared" si="3"/>
        <v>211.25</v>
      </c>
      <c r="H57" s="138"/>
      <c r="I57" s="140" t="s">
        <v>404</v>
      </c>
      <c r="J57" s="38">
        <v>9.0</v>
      </c>
      <c r="K57" s="38">
        <v>4.5</v>
      </c>
      <c r="L57" s="141">
        <v>3.6</v>
      </c>
      <c r="M57" s="38"/>
      <c r="N57" s="38"/>
      <c r="O57" s="38"/>
      <c r="P57" s="38"/>
      <c r="Q57" s="38"/>
      <c r="R57" s="38"/>
      <c r="T57" s="140" t="s">
        <v>404</v>
      </c>
      <c r="U57" s="38">
        <v>9.0</v>
      </c>
      <c r="V57" s="38">
        <v>4.5</v>
      </c>
      <c r="W57" s="141">
        <v>3.6</v>
      </c>
      <c r="X57" s="38" t="str">
        <f t="shared" si="4"/>
        <v>per hour</v>
      </c>
      <c r="Y57" s="44" t="str">
        <f t="shared" si="5"/>
        <v>per </v>
      </c>
    </row>
    <row r="58" ht="12.75" customHeight="1">
      <c r="C58" s="138">
        <f t="shared" si="1"/>
        <v>410.7638889</v>
      </c>
      <c r="D58" s="138"/>
      <c r="E58" s="138">
        <f t="shared" si="2"/>
        <v>205.3819444</v>
      </c>
      <c r="F58" s="138"/>
      <c r="G58" s="138">
        <f t="shared" si="3"/>
        <v>164.3055556</v>
      </c>
      <c r="H58" s="138"/>
      <c r="I58" s="140" t="s">
        <v>404</v>
      </c>
      <c r="J58" s="38">
        <v>7.0</v>
      </c>
      <c r="K58" s="38">
        <v>3.5</v>
      </c>
      <c r="L58" s="141">
        <v>2.8</v>
      </c>
      <c r="M58" s="38"/>
      <c r="N58" s="38"/>
      <c r="O58" s="38"/>
      <c r="P58" s="38"/>
      <c r="Q58" s="38"/>
      <c r="R58" s="38"/>
      <c r="T58" s="140" t="s">
        <v>404</v>
      </c>
      <c r="U58" s="38">
        <v>7.0</v>
      </c>
      <c r="V58" s="38">
        <v>3.5</v>
      </c>
      <c r="W58" s="141">
        <v>2.8</v>
      </c>
      <c r="X58" s="38" t="str">
        <f t="shared" si="4"/>
        <v>per hour</v>
      </c>
      <c r="Y58" s="44" t="str">
        <f t="shared" si="5"/>
        <v>per </v>
      </c>
    </row>
    <row r="59" ht="12.75" customHeight="1">
      <c r="C59" s="138">
        <f t="shared" si="1"/>
        <v>0</v>
      </c>
      <c r="D59" s="138"/>
      <c r="E59" s="138">
        <f t="shared" si="2"/>
        <v>0</v>
      </c>
      <c r="F59" s="138"/>
      <c r="G59" s="138">
        <f t="shared" si="3"/>
        <v>0</v>
      </c>
      <c r="H59" s="138"/>
      <c r="I59" s="140"/>
      <c r="J59" s="38"/>
      <c r="K59" s="38"/>
      <c r="L59" s="141"/>
      <c r="M59" s="38"/>
      <c r="N59" s="38"/>
      <c r="O59" s="38"/>
      <c r="P59" s="38"/>
      <c r="Q59" s="38"/>
      <c r="R59" s="38"/>
      <c r="T59" s="140"/>
      <c r="U59" s="38"/>
      <c r="V59" s="38"/>
      <c r="W59" s="141"/>
      <c r="X59" s="38" t="str">
        <f t="shared" si="4"/>
        <v/>
      </c>
      <c r="Y59" s="44" t="str">
        <f t="shared" si="5"/>
        <v/>
      </c>
    </row>
    <row r="60" ht="12.75" customHeight="1">
      <c r="C60" s="138">
        <f t="shared" si="1"/>
        <v>0</v>
      </c>
      <c r="D60" s="138"/>
      <c r="E60" s="138">
        <f t="shared" si="2"/>
        <v>0</v>
      </c>
      <c r="F60" s="138"/>
      <c r="G60" s="138">
        <f t="shared" si="3"/>
        <v>0</v>
      </c>
      <c r="H60" s="138"/>
      <c r="I60" s="140"/>
      <c r="J60" s="38"/>
      <c r="K60" s="38"/>
      <c r="L60" s="141"/>
      <c r="M60" s="38"/>
      <c r="N60" s="38"/>
      <c r="O60" s="38"/>
      <c r="P60" s="38"/>
      <c r="Q60" s="38"/>
      <c r="R60" s="38"/>
      <c r="T60" s="140"/>
      <c r="U60" s="38"/>
      <c r="V60" s="38"/>
      <c r="W60" s="141"/>
      <c r="X60" s="38" t="str">
        <f t="shared" si="4"/>
        <v/>
      </c>
      <c r="Y60" s="44" t="str">
        <f t="shared" si="5"/>
        <v/>
      </c>
    </row>
    <row r="61" ht="12.75" customHeight="1">
      <c r="C61" s="138">
        <f t="shared" si="1"/>
        <v>46.94444444</v>
      </c>
      <c r="D61" s="138"/>
      <c r="E61" s="138">
        <f t="shared" si="2"/>
        <v>23.47222222</v>
      </c>
      <c r="F61" s="138"/>
      <c r="G61" s="138">
        <f t="shared" si="3"/>
        <v>18.77777778</v>
      </c>
      <c r="H61" s="138"/>
      <c r="I61" s="140" t="s">
        <v>408</v>
      </c>
      <c r="J61" s="38">
        <v>0.8</v>
      </c>
      <c r="K61" s="38">
        <v>0.4</v>
      </c>
      <c r="L61" s="141">
        <v>0.32</v>
      </c>
      <c r="M61" s="38"/>
      <c r="N61" s="38"/>
      <c r="O61" s="38"/>
      <c r="P61" s="38"/>
      <c r="Q61" s="38"/>
      <c r="R61" s="38"/>
      <c r="T61" s="140" t="s">
        <v>408</v>
      </c>
      <c r="U61" s="38">
        <v>0.8</v>
      </c>
      <c r="V61" s="38">
        <v>0.4</v>
      </c>
      <c r="W61" s="141">
        <v>0.32</v>
      </c>
      <c r="X61" s="38" t="str">
        <f t="shared" si="4"/>
        <v>per hour</v>
      </c>
      <c r="Y61" s="44" t="str">
        <f t="shared" si="5"/>
        <v>per </v>
      </c>
    </row>
    <row r="62" ht="12.75" customHeight="1">
      <c r="C62" s="138">
        <f t="shared" si="1"/>
        <v>234.7222222</v>
      </c>
      <c r="D62" s="138"/>
      <c r="E62" s="138">
        <f t="shared" si="2"/>
        <v>117.3611111</v>
      </c>
      <c r="F62" s="138"/>
      <c r="G62" s="138">
        <f t="shared" si="3"/>
        <v>93.88888889</v>
      </c>
      <c r="H62" s="138"/>
      <c r="I62" s="140" t="s">
        <v>408</v>
      </c>
      <c r="J62" s="38">
        <v>4.0</v>
      </c>
      <c r="K62" s="38">
        <v>2.0</v>
      </c>
      <c r="L62" s="141">
        <v>1.6</v>
      </c>
      <c r="M62" s="38"/>
      <c r="N62" s="38"/>
      <c r="O62" s="38"/>
      <c r="P62" s="38"/>
      <c r="Q62" s="38"/>
      <c r="R62" s="38"/>
      <c r="T62" s="140" t="s">
        <v>408</v>
      </c>
      <c r="U62" s="38">
        <v>4.0</v>
      </c>
      <c r="V62" s="38">
        <v>2.0</v>
      </c>
      <c r="W62" s="141">
        <v>1.6</v>
      </c>
      <c r="X62" s="38" t="str">
        <f t="shared" si="4"/>
        <v>per hour</v>
      </c>
      <c r="Y62" s="44" t="str">
        <f t="shared" si="5"/>
        <v>per </v>
      </c>
    </row>
    <row r="63" ht="12.75" customHeight="1">
      <c r="C63" s="138">
        <f t="shared" si="1"/>
        <v>0</v>
      </c>
      <c r="D63" s="138"/>
      <c r="E63" s="138">
        <f t="shared" si="2"/>
        <v>0</v>
      </c>
      <c r="F63" s="138"/>
      <c r="G63" s="138">
        <f t="shared" si="3"/>
        <v>0</v>
      </c>
      <c r="H63" s="138"/>
      <c r="I63" s="140"/>
      <c r="J63" s="38"/>
      <c r="K63" s="38"/>
      <c r="L63" s="141"/>
      <c r="M63" s="38"/>
      <c r="N63" s="38"/>
      <c r="O63" s="38"/>
      <c r="P63" s="38"/>
      <c r="Q63" s="38"/>
      <c r="R63" s="38"/>
      <c r="T63" s="140"/>
      <c r="U63" s="38"/>
      <c r="V63" s="38"/>
      <c r="W63" s="141"/>
      <c r="X63" s="38" t="str">
        <f t="shared" si="4"/>
        <v/>
      </c>
      <c r="Y63" s="44" t="str">
        <f t="shared" si="5"/>
        <v/>
      </c>
    </row>
    <row r="64" ht="12.75" customHeight="1">
      <c r="C64" s="138">
        <f t="shared" si="1"/>
        <v>543.3819444</v>
      </c>
      <c r="D64" s="138"/>
      <c r="E64" s="138">
        <f t="shared" si="2"/>
        <v>271.6909722</v>
      </c>
      <c r="F64" s="138"/>
      <c r="G64" s="138">
        <f t="shared" si="3"/>
        <v>217.1180556</v>
      </c>
      <c r="H64" s="138"/>
      <c r="I64" s="140" t="s">
        <v>404</v>
      </c>
      <c r="J64" s="38">
        <v>9.26</v>
      </c>
      <c r="K64" s="38">
        <v>4.63</v>
      </c>
      <c r="L64" s="141">
        <v>3.7</v>
      </c>
      <c r="M64" s="38"/>
      <c r="N64" s="38"/>
      <c r="O64" s="38"/>
      <c r="P64" s="38"/>
      <c r="Q64" s="38"/>
      <c r="R64" s="38"/>
      <c r="T64" s="140" t="s">
        <v>404</v>
      </c>
      <c r="U64" s="38">
        <v>9.26</v>
      </c>
      <c r="V64" s="38">
        <v>4.63</v>
      </c>
      <c r="W64" s="141">
        <v>3.7</v>
      </c>
      <c r="X64" s="38" t="str">
        <f t="shared" si="4"/>
        <v>per hour</v>
      </c>
      <c r="Y64" s="44" t="str">
        <f t="shared" si="5"/>
        <v>per </v>
      </c>
    </row>
    <row r="65" ht="12.75" customHeight="1">
      <c r="C65" s="138">
        <f t="shared" si="1"/>
        <v>366.1666667</v>
      </c>
      <c r="D65" s="138"/>
      <c r="E65" s="138">
        <f t="shared" si="2"/>
        <v>183.0833333</v>
      </c>
      <c r="F65" s="138"/>
      <c r="G65" s="138">
        <f t="shared" si="3"/>
        <v>146.7013889</v>
      </c>
      <c r="H65" s="138"/>
      <c r="I65" s="140" t="s">
        <v>404</v>
      </c>
      <c r="J65" s="38">
        <v>6.24</v>
      </c>
      <c r="K65" s="38">
        <v>3.12</v>
      </c>
      <c r="L65" s="141">
        <v>2.5</v>
      </c>
      <c r="M65" s="38"/>
      <c r="N65" s="38"/>
      <c r="O65" s="38"/>
      <c r="P65" s="38"/>
      <c r="Q65" s="38"/>
      <c r="R65" s="38"/>
      <c r="T65" s="140" t="s">
        <v>404</v>
      </c>
      <c r="U65" s="38">
        <v>6.24</v>
      </c>
      <c r="V65" s="38">
        <v>3.12</v>
      </c>
      <c r="W65" s="141">
        <v>2.5</v>
      </c>
      <c r="X65" s="38" t="str">
        <f t="shared" si="4"/>
        <v>per hour</v>
      </c>
      <c r="Y65" s="44" t="str">
        <f t="shared" si="5"/>
        <v>per </v>
      </c>
    </row>
    <row r="66" ht="12.75" customHeight="1">
      <c r="C66" s="138">
        <f t="shared" si="1"/>
        <v>543.3819444</v>
      </c>
      <c r="D66" s="138"/>
      <c r="E66" s="138">
        <f t="shared" si="2"/>
        <v>271.6909722</v>
      </c>
      <c r="F66" s="138"/>
      <c r="G66" s="138">
        <f t="shared" si="3"/>
        <v>217.1180556</v>
      </c>
      <c r="H66" s="138"/>
      <c r="I66" s="140" t="s">
        <v>404</v>
      </c>
      <c r="J66" s="38">
        <v>9.26</v>
      </c>
      <c r="K66" s="38">
        <v>4.63</v>
      </c>
      <c r="L66" s="141">
        <v>3.7</v>
      </c>
      <c r="M66" s="38"/>
      <c r="N66" s="38"/>
      <c r="O66" s="38"/>
      <c r="P66" s="38"/>
      <c r="Q66" s="38"/>
      <c r="R66" s="38"/>
      <c r="T66" s="140" t="s">
        <v>404</v>
      </c>
      <c r="U66" s="38">
        <v>9.26</v>
      </c>
      <c r="V66" s="38">
        <v>4.63</v>
      </c>
      <c r="W66" s="141">
        <v>3.7</v>
      </c>
      <c r="X66" s="38" t="str">
        <f t="shared" si="4"/>
        <v>per hour</v>
      </c>
      <c r="Y66" s="44" t="str">
        <f t="shared" si="5"/>
        <v>per </v>
      </c>
    </row>
    <row r="67" ht="12.75" customHeight="1">
      <c r="C67" s="138">
        <f t="shared" si="1"/>
        <v>372.0347222</v>
      </c>
      <c r="D67" s="138"/>
      <c r="E67" s="138">
        <f t="shared" si="2"/>
        <v>183.0833333</v>
      </c>
      <c r="F67" s="138"/>
      <c r="G67" s="138">
        <f t="shared" si="3"/>
        <v>146.7013889</v>
      </c>
      <c r="H67" s="138"/>
      <c r="I67" s="140" t="s">
        <v>404</v>
      </c>
      <c r="J67" s="38">
        <v>6.34</v>
      </c>
      <c r="K67" s="38">
        <v>3.12</v>
      </c>
      <c r="L67" s="141">
        <v>2.5</v>
      </c>
      <c r="M67" s="38"/>
      <c r="N67" s="38"/>
      <c r="O67" s="38"/>
      <c r="P67" s="38"/>
      <c r="Q67" s="38"/>
      <c r="R67" s="38"/>
      <c r="T67" s="140" t="s">
        <v>404</v>
      </c>
      <c r="U67" s="38">
        <v>6.34</v>
      </c>
      <c r="V67" s="38">
        <v>3.12</v>
      </c>
      <c r="W67" s="141">
        <v>2.5</v>
      </c>
      <c r="X67" s="38" t="str">
        <f t="shared" si="4"/>
        <v>per hour</v>
      </c>
      <c r="Y67" s="44" t="str">
        <f t="shared" si="5"/>
        <v>per </v>
      </c>
    </row>
    <row r="68" ht="12.75" customHeight="1">
      <c r="C68" s="138">
        <f t="shared" si="1"/>
        <v>396.6805556</v>
      </c>
      <c r="D68" s="138"/>
      <c r="E68" s="138">
        <f t="shared" si="2"/>
        <v>198.3402778</v>
      </c>
      <c r="F68" s="138"/>
      <c r="G68" s="138">
        <f t="shared" si="3"/>
        <v>158.4375</v>
      </c>
      <c r="H68" s="138"/>
      <c r="I68" s="140" t="s">
        <v>404</v>
      </c>
      <c r="J68" s="38">
        <v>6.76</v>
      </c>
      <c r="K68" s="38">
        <v>3.38</v>
      </c>
      <c r="L68" s="141">
        <v>2.7</v>
      </c>
      <c r="M68" s="38"/>
      <c r="N68" s="38"/>
      <c r="O68" s="38"/>
      <c r="P68" s="38"/>
      <c r="Q68" s="38"/>
      <c r="R68" s="38"/>
      <c r="T68" s="140" t="s">
        <v>404</v>
      </c>
      <c r="U68" s="38">
        <v>6.76</v>
      </c>
      <c r="V68" s="38">
        <v>3.38</v>
      </c>
      <c r="W68" s="141">
        <v>2.7</v>
      </c>
      <c r="X68" s="38" t="str">
        <f t="shared" si="4"/>
        <v>per hour</v>
      </c>
      <c r="Y68" s="44" t="str">
        <f t="shared" si="5"/>
        <v>per </v>
      </c>
    </row>
    <row r="69" ht="12.75" customHeight="1">
      <c r="C69" s="138">
        <f t="shared" si="1"/>
        <v>1173.611111</v>
      </c>
      <c r="D69" s="138"/>
      <c r="E69" s="138">
        <f t="shared" si="2"/>
        <v>586.8055556</v>
      </c>
      <c r="F69" s="138"/>
      <c r="G69" s="138">
        <f t="shared" si="3"/>
        <v>469.4444444</v>
      </c>
      <c r="H69" s="138"/>
      <c r="I69" s="140" t="s">
        <v>409</v>
      </c>
      <c r="J69" s="38">
        <v>20.0</v>
      </c>
      <c r="K69" s="38">
        <v>10.0</v>
      </c>
      <c r="L69" s="141">
        <v>8.0</v>
      </c>
      <c r="M69" s="38"/>
      <c r="N69" s="38"/>
      <c r="O69" s="38"/>
      <c r="P69" s="38"/>
      <c r="Q69" s="38"/>
      <c r="R69" s="38"/>
      <c r="T69" s="140" t="s">
        <v>409</v>
      </c>
      <c r="U69" s="38">
        <v>20.0</v>
      </c>
      <c r="V69" s="38">
        <v>10.0</v>
      </c>
      <c r="W69" s="141">
        <v>8.0</v>
      </c>
      <c r="X69" s="38" t="str">
        <f t="shared" si="4"/>
        <v>per hour</v>
      </c>
      <c r="Y69" s="44" t="str">
        <f t="shared" si="5"/>
        <v>per </v>
      </c>
    </row>
    <row r="70" ht="12.75" customHeight="1">
      <c r="C70" s="138">
        <f t="shared" si="1"/>
        <v>1408.333333</v>
      </c>
      <c r="D70" s="138"/>
      <c r="E70" s="138">
        <f t="shared" si="2"/>
        <v>704.1666667</v>
      </c>
      <c r="F70" s="138"/>
      <c r="G70" s="138">
        <f t="shared" si="3"/>
        <v>563.3333333</v>
      </c>
      <c r="H70" s="138"/>
      <c r="I70" s="140" t="s">
        <v>409</v>
      </c>
      <c r="J70" s="38">
        <v>24.0</v>
      </c>
      <c r="K70" s="38">
        <v>12.0</v>
      </c>
      <c r="L70" s="141">
        <v>9.6</v>
      </c>
      <c r="M70" s="38"/>
      <c r="N70" s="38"/>
      <c r="O70" s="38"/>
      <c r="P70" s="38"/>
      <c r="Q70" s="38"/>
      <c r="R70" s="38"/>
      <c r="T70" s="140" t="s">
        <v>409</v>
      </c>
      <c r="U70" s="38">
        <v>24.0</v>
      </c>
      <c r="V70" s="38">
        <v>12.0</v>
      </c>
      <c r="W70" s="141">
        <v>9.6</v>
      </c>
      <c r="X70" s="38" t="str">
        <f t="shared" si="4"/>
        <v>per hour</v>
      </c>
      <c r="Y70" s="44" t="str">
        <f t="shared" si="5"/>
        <v>per </v>
      </c>
    </row>
    <row r="71" ht="12.75" customHeight="1">
      <c r="C71" s="138">
        <f t="shared" si="1"/>
        <v>1173.611111</v>
      </c>
      <c r="D71" s="138"/>
      <c r="E71" s="138">
        <f t="shared" si="2"/>
        <v>586.8055556</v>
      </c>
      <c r="F71" s="138"/>
      <c r="G71" s="138">
        <f t="shared" si="3"/>
        <v>469.4444444</v>
      </c>
      <c r="H71" s="138"/>
      <c r="I71" s="140" t="s">
        <v>409</v>
      </c>
      <c r="J71" s="38">
        <v>20.0</v>
      </c>
      <c r="K71" s="38">
        <v>10.0</v>
      </c>
      <c r="L71" s="141">
        <v>8.0</v>
      </c>
      <c r="M71" s="38"/>
      <c r="N71" s="38"/>
      <c r="O71" s="38"/>
      <c r="P71" s="38"/>
      <c r="Q71" s="38"/>
      <c r="R71" s="38"/>
      <c r="T71" s="140" t="s">
        <v>409</v>
      </c>
      <c r="U71" s="38">
        <v>20.0</v>
      </c>
      <c r="V71" s="38">
        <v>10.0</v>
      </c>
      <c r="W71" s="141">
        <v>8.0</v>
      </c>
      <c r="X71" s="38" t="str">
        <f t="shared" si="4"/>
        <v>per hour</v>
      </c>
      <c r="Y71" s="44" t="str">
        <f t="shared" si="5"/>
        <v>per </v>
      </c>
    </row>
    <row r="72" ht="12.75" customHeight="1">
      <c r="C72" s="138">
        <f t="shared" si="1"/>
        <v>2934.027778</v>
      </c>
      <c r="D72" s="138"/>
      <c r="E72" s="138">
        <f t="shared" si="2"/>
        <v>1467.013889</v>
      </c>
      <c r="F72" s="138"/>
      <c r="G72" s="138">
        <f t="shared" si="3"/>
        <v>1173.611111</v>
      </c>
      <c r="H72" s="138"/>
      <c r="I72" s="140" t="s">
        <v>409</v>
      </c>
      <c r="J72" s="38">
        <v>50.0</v>
      </c>
      <c r="K72" s="38">
        <v>25.0</v>
      </c>
      <c r="L72" s="141">
        <v>20.0</v>
      </c>
      <c r="M72" s="38"/>
      <c r="N72" s="38"/>
      <c r="O72" s="38"/>
      <c r="P72" s="38"/>
      <c r="Q72" s="38"/>
      <c r="R72" s="38"/>
      <c r="T72" s="140" t="s">
        <v>409</v>
      </c>
      <c r="U72" s="38">
        <v>50.0</v>
      </c>
      <c r="V72" s="38">
        <v>25.0</v>
      </c>
      <c r="W72" s="141">
        <v>20.0</v>
      </c>
      <c r="X72" s="38" t="str">
        <f t="shared" si="4"/>
        <v>per hour</v>
      </c>
      <c r="Y72" s="44" t="str">
        <f t="shared" si="5"/>
        <v>per </v>
      </c>
    </row>
    <row r="73" ht="12.75" customHeight="1">
      <c r="C73" s="138">
        <f t="shared" si="1"/>
        <v>36.96875</v>
      </c>
      <c r="D73" s="138"/>
      <c r="E73" s="138">
        <f t="shared" si="2"/>
        <v>18.19097222</v>
      </c>
      <c r="F73" s="138"/>
      <c r="G73" s="138">
        <f t="shared" si="3"/>
        <v>14.67013889</v>
      </c>
      <c r="H73" s="138"/>
      <c r="I73" s="140" t="s">
        <v>407</v>
      </c>
      <c r="J73" s="38">
        <v>0.63</v>
      </c>
      <c r="K73" s="38">
        <v>0.31</v>
      </c>
      <c r="L73" s="141">
        <v>0.25</v>
      </c>
      <c r="M73" s="38"/>
      <c r="N73" s="38"/>
      <c r="O73" s="38"/>
      <c r="P73" s="38"/>
      <c r="Q73" s="38"/>
      <c r="R73" s="38"/>
      <c r="T73" s="140" t="s">
        <v>407</v>
      </c>
      <c r="U73" s="38">
        <v>0.63</v>
      </c>
      <c r="V73" s="38">
        <v>0.31</v>
      </c>
      <c r="W73" s="141">
        <v>0.25</v>
      </c>
      <c r="X73" s="38" t="str">
        <f t="shared" si="4"/>
        <v>per hour</v>
      </c>
      <c r="Y73" s="44" t="str">
        <f t="shared" si="5"/>
        <v>per </v>
      </c>
    </row>
    <row r="74" ht="12.75" customHeight="1">
      <c r="C74" s="138">
        <f t="shared" si="1"/>
        <v>187.7777778</v>
      </c>
      <c r="D74" s="138"/>
      <c r="E74" s="138">
        <f t="shared" si="2"/>
        <v>93.88888889</v>
      </c>
      <c r="F74" s="138"/>
      <c r="G74" s="138">
        <f t="shared" si="3"/>
        <v>75.11111111</v>
      </c>
      <c r="H74" s="138"/>
      <c r="I74" s="140" t="s">
        <v>410</v>
      </c>
      <c r="J74" s="38">
        <v>3.2</v>
      </c>
      <c r="K74" s="38">
        <v>1.6</v>
      </c>
      <c r="L74" s="141">
        <v>1.28</v>
      </c>
      <c r="M74" s="38"/>
      <c r="N74" s="38"/>
      <c r="O74" s="38"/>
      <c r="P74" s="38"/>
      <c r="Q74" s="38"/>
      <c r="R74" s="38"/>
      <c r="T74" s="140" t="s">
        <v>410</v>
      </c>
      <c r="U74" s="38">
        <v>3.2</v>
      </c>
      <c r="V74" s="38">
        <v>1.6</v>
      </c>
      <c r="W74" s="141">
        <v>1.28</v>
      </c>
      <c r="X74" s="38" t="str">
        <f t="shared" si="4"/>
        <v>per hour</v>
      </c>
      <c r="Y74" s="44" t="str">
        <f t="shared" si="5"/>
        <v>per </v>
      </c>
    </row>
    <row r="75" ht="12.75" customHeight="1">
      <c r="C75" s="138">
        <f t="shared" si="1"/>
        <v>25.81944444</v>
      </c>
      <c r="D75" s="138"/>
      <c r="E75" s="138">
        <f t="shared" si="2"/>
        <v>12.90972222</v>
      </c>
      <c r="F75" s="138"/>
      <c r="G75" s="138">
        <f t="shared" si="3"/>
        <v>10.5625</v>
      </c>
      <c r="H75" s="138"/>
      <c r="I75" s="140" t="s">
        <v>406</v>
      </c>
      <c r="J75" s="38">
        <v>0.44</v>
      </c>
      <c r="K75" s="38">
        <v>0.22</v>
      </c>
      <c r="L75" s="141">
        <v>0.18</v>
      </c>
      <c r="M75" s="38"/>
      <c r="N75" s="38"/>
      <c r="O75" s="38"/>
      <c r="P75" s="38"/>
      <c r="Q75" s="38"/>
      <c r="R75" s="38"/>
      <c r="T75" s="140" t="s">
        <v>406</v>
      </c>
      <c r="U75" s="38">
        <v>0.44</v>
      </c>
      <c r="V75" s="38">
        <v>0.22</v>
      </c>
      <c r="W75" s="141">
        <v>0.18</v>
      </c>
      <c r="X75" s="38" t="str">
        <f t="shared" si="4"/>
        <v>per hour</v>
      </c>
      <c r="Y75" s="44" t="str">
        <f t="shared" si="5"/>
        <v>per </v>
      </c>
    </row>
    <row r="76" ht="12.75" customHeight="1">
      <c r="C76" s="138">
        <f t="shared" si="1"/>
        <v>38.72916667</v>
      </c>
      <c r="D76" s="138"/>
      <c r="E76" s="138">
        <f t="shared" si="2"/>
        <v>19.36458333</v>
      </c>
      <c r="F76" s="138"/>
      <c r="G76" s="138">
        <f t="shared" si="3"/>
        <v>15.25694444</v>
      </c>
      <c r="H76" s="138"/>
      <c r="I76" s="140" t="s">
        <v>406</v>
      </c>
      <c r="J76" s="38">
        <v>0.66</v>
      </c>
      <c r="K76" s="38">
        <v>0.33</v>
      </c>
      <c r="L76" s="141">
        <v>0.26</v>
      </c>
      <c r="M76" s="38"/>
      <c r="N76" s="38"/>
      <c r="O76" s="38"/>
      <c r="P76" s="38"/>
      <c r="Q76" s="38"/>
      <c r="R76" s="38"/>
      <c r="T76" s="140" t="s">
        <v>406</v>
      </c>
      <c r="U76" s="38">
        <v>0.66</v>
      </c>
      <c r="V76" s="38">
        <v>0.33</v>
      </c>
      <c r="W76" s="141">
        <v>0.26</v>
      </c>
      <c r="X76" s="38" t="str">
        <f t="shared" si="4"/>
        <v>per hour</v>
      </c>
      <c r="Y76" s="44" t="str">
        <f t="shared" si="5"/>
        <v>per </v>
      </c>
    </row>
    <row r="77" ht="12.75" customHeight="1">
      <c r="C77" s="138">
        <f t="shared" si="1"/>
        <v>366.1666667</v>
      </c>
      <c r="D77" s="138"/>
      <c r="E77" s="138">
        <f t="shared" si="2"/>
        <v>183.0833333</v>
      </c>
      <c r="F77" s="138"/>
      <c r="G77" s="138">
        <f t="shared" si="3"/>
        <v>146.7013889</v>
      </c>
      <c r="H77" s="138"/>
      <c r="I77" s="140" t="s">
        <v>404</v>
      </c>
      <c r="J77" s="38">
        <v>6.24</v>
      </c>
      <c r="K77" s="38">
        <v>3.12</v>
      </c>
      <c r="L77" s="141">
        <v>2.5</v>
      </c>
      <c r="M77" s="38"/>
      <c r="N77" s="38"/>
      <c r="O77" s="38"/>
      <c r="P77" s="38"/>
      <c r="Q77" s="38"/>
      <c r="R77" s="38"/>
      <c r="T77" s="140" t="s">
        <v>404</v>
      </c>
      <c r="U77" s="38">
        <v>6.24</v>
      </c>
      <c r="V77" s="38">
        <v>3.12</v>
      </c>
      <c r="W77" s="141">
        <v>2.5</v>
      </c>
      <c r="X77" s="38" t="str">
        <f t="shared" si="4"/>
        <v>per hour</v>
      </c>
      <c r="Y77" s="44" t="str">
        <f t="shared" si="5"/>
        <v>per </v>
      </c>
    </row>
    <row r="78" ht="12.75" customHeight="1">
      <c r="C78" s="138">
        <f t="shared" si="1"/>
        <v>0</v>
      </c>
      <c r="D78" s="138"/>
      <c r="E78" s="138">
        <f t="shared" si="2"/>
        <v>0</v>
      </c>
      <c r="F78" s="138"/>
      <c r="G78" s="138">
        <f t="shared" si="3"/>
        <v>0</v>
      </c>
      <c r="H78" s="138"/>
      <c r="K78" s="38"/>
      <c r="L78" s="141"/>
      <c r="M78" s="38"/>
      <c r="N78" s="38"/>
      <c r="O78" s="38"/>
      <c r="P78" s="38"/>
      <c r="Q78" s="38"/>
      <c r="R78" s="38"/>
      <c r="V78" s="38"/>
      <c r="W78" s="141"/>
      <c r="X78" s="38" t="str">
        <f t="shared" si="4"/>
        <v/>
      </c>
      <c r="Y78" s="44" t="str">
        <f t="shared" si="5"/>
        <v/>
      </c>
    </row>
    <row r="79" ht="12.75" customHeight="1">
      <c r="C79" s="138">
        <f t="shared" si="1"/>
        <v>0</v>
      </c>
      <c r="D79" s="138"/>
      <c r="E79" s="138">
        <f t="shared" si="2"/>
        <v>0</v>
      </c>
      <c r="F79" s="138"/>
      <c r="G79" s="138">
        <f t="shared" si="3"/>
        <v>0</v>
      </c>
      <c r="H79" s="138"/>
      <c r="K79" s="38"/>
      <c r="L79" s="141"/>
      <c r="M79" s="38"/>
      <c r="N79" s="38"/>
      <c r="O79" s="38"/>
      <c r="P79" s="38"/>
      <c r="Q79" s="38"/>
      <c r="R79" s="38"/>
      <c r="V79" s="38"/>
      <c r="W79" s="141"/>
      <c r="X79" s="38" t="str">
        <f t="shared" si="4"/>
        <v/>
      </c>
      <c r="Y79" s="44" t="str">
        <f t="shared" si="5"/>
        <v/>
      </c>
    </row>
    <row r="80" ht="12.75" customHeight="1">
      <c r="C80" s="138">
        <f t="shared" si="1"/>
        <v>195.9930556</v>
      </c>
      <c r="D80" s="138"/>
      <c r="E80" s="138">
        <f t="shared" si="2"/>
        <v>97.99652778</v>
      </c>
      <c r="F80" s="138"/>
      <c r="G80" s="138">
        <f t="shared" si="3"/>
        <v>78.63194444</v>
      </c>
      <c r="H80" s="138"/>
      <c r="I80" s="140" t="s">
        <v>404</v>
      </c>
      <c r="J80" s="38">
        <v>3.34</v>
      </c>
      <c r="K80" s="38">
        <v>1.67</v>
      </c>
      <c r="L80" s="141">
        <v>1.34</v>
      </c>
      <c r="M80" s="38"/>
      <c r="N80" s="38"/>
      <c r="O80" s="38"/>
      <c r="P80" s="38"/>
      <c r="Q80" s="38"/>
      <c r="R80" s="38"/>
      <c r="T80" s="140" t="s">
        <v>404</v>
      </c>
      <c r="U80" s="38">
        <v>3.34</v>
      </c>
      <c r="V80" s="38">
        <v>1.67</v>
      </c>
      <c r="W80" s="141">
        <v>1.34</v>
      </c>
      <c r="X80" s="38" t="str">
        <f t="shared" si="4"/>
        <v>per hour</v>
      </c>
      <c r="Y80" s="44" t="str">
        <f t="shared" si="5"/>
        <v>per </v>
      </c>
    </row>
    <row r="81" ht="12.75" customHeight="1">
      <c r="C81" s="138">
        <f t="shared" si="1"/>
        <v>167.8263889</v>
      </c>
      <c r="D81" s="138"/>
      <c r="E81" s="138">
        <f t="shared" si="2"/>
        <v>83.91319444</v>
      </c>
      <c r="F81" s="138"/>
      <c r="G81" s="138">
        <f t="shared" si="3"/>
        <v>78.63194444</v>
      </c>
      <c r="H81" s="138"/>
      <c r="I81" s="140" t="s">
        <v>404</v>
      </c>
      <c r="J81" s="38">
        <v>2.86</v>
      </c>
      <c r="K81" s="38">
        <v>1.43</v>
      </c>
      <c r="L81" s="141">
        <v>1.34</v>
      </c>
      <c r="M81" s="38"/>
      <c r="N81" s="38"/>
      <c r="O81" s="38"/>
      <c r="P81" s="38"/>
      <c r="Q81" s="38"/>
      <c r="R81" s="38"/>
      <c r="T81" s="140" t="s">
        <v>404</v>
      </c>
      <c r="U81" s="38">
        <v>2.86</v>
      </c>
      <c r="V81" s="38">
        <v>1.43</v>
      </c>
      <c r="W81" s="141">
        <v>1.34</v>
      </c>
      <c r="X81" s="38" t="str">
        <f t="shared" si="4"/>
        <v>per hour</v>
      </c>
      <c r="Y81" s="44" t="str">
        <f t="shared" si="5"/>
        <v>per </v>
      </c>
    </row>
    <row r="82" ht="12.75" customHeight="1">
      <c r="C82" s="138">
        <f t="shared" si="1"/>
        <v>234.7222222</v>
      </c>
      <c r="D82" s="138"/>
      <c r="E82" s="138">
        <f t="shared" si="2"/>
        <v>117.3611111</v>
      </c>
      <c r="F82" s="138"/>
      <c r="G82" s="138">
        <f t="shared" si="3"/>
        <v>93.88888889</v>
      </c>
      <c r="H82" s="138"/>
      <c r="I82" s="140" t="s">
        <v>404</v>
      </c>
      <c r="J82" s="38">
        <v>4.0</v>
      </c>
      <c r="K82" s="38">
        <v>2.0</v>
      </c>
      <c r="L82" s="141">
        <v>1.6</v>
      </c>
      <c r="M82" s="38"/>
      <c r="N82" s="38"/>
      <c r="O82" s="38"/>
      <c r="P82" s="38"/>
      <c r="Q82" s="38"/>
      <c r="R82" s="38"/>
      <c r="T82" s="140" t="s">
        <v>404</v>
      </c>
      <c r="U82" s="38">
        <v>4.0</v>
      </c>
      <c r="V82" s="38">
        <v>2.0</v>
      </c>
      <c r="W82" s="141">
        <v>1.6</v>
      </c>
      <c r="X82" s="38" t="str">
        <f t="shared" si="4"/>
        <v>per hour</v>
      </c>
      <c r="Y82" s="44" t="str">
        <f t="shared" si="5"/>
        <v>per </v>
      </c>
    </row>
    <row r="83" ht="12.75" customHeight="1">
      <c r="C83" s="138">
        <f t="shared" si="1"/>
        <v>586.8055556</v>
      </c>
      <c r="D83" s="138"/>
      <c r="E83" s="138">
        <f t="shared" si="2"/>
        <v>293.4027778</v>
      </c>
      <c r="F83" s="138"/>
      <c r="G83" s="138">
        <f t="shared" si="3"/>
        <v>234.7222222</v>
      </c>
      <c r="H83" s="138"/>
      <c r="I83" s="140" t="s">
        <v>404</v>
      </c>
      <c r="J83" s="38">
        <v>10.0</v>
      </c>
      <c r="K83" s="38">
        <v>5.0</v>
      </c>
      <c r="L83" s="141">
        <v>4.0</v>
      </c>
      <c r="M83" s="38"/>
      <c r="N83" s="38"/>
      <c r="O83" s="38"/>
      <c r="P83" s="38"/>
      <c r="Q83" s="38"/>
      <c r="R83" s="38"/>
      <c r="T83" s="140" t="s">
        <v>404</v>
      </c>
      <c r="U83" s="38">
        <v>10.0</v>
      </c>
      <c r="V83" s="38">
        <v>5.0</v>
      </c>
      <c r="W83" s="141">
        <v>4.0</v>
      </c>
      <c r="X83" s="38" t="str">
        <f t="shared" si="4"/>
        <v>per hour</v>
      </c>
      <c r="Y83" s="44" t="str">
        <f t="shared" si="5"/>
        <v>per </v>
      </c>
    </row>
    <row r="84" ht="12.75" customHeight="1">
      <c r="C84" s="138">
        <f t="shared" si="1"/>
        <v>1235.8125</v>
      </c>
      <c r="D84" s="138"/>
      <c r="E84" s="138">
        <f t="shared" si="2"/>
        <v>617.90625</v>
      </c>
      <c r="F84" s="138"/>
      <c r="G84" s="138">
        <f t="shared" si="3"/>
        <v>494.0902778</v>
      </c>
      <c r="H84" s="138"/>
      <c r="I84" s="140" t="s">
        <v>404</v>
      </c>
      <c r="J84" s="38">
        <v>21.06</v>
      </c>
      <c r="K84" s="38">
        <v>10.53</v>
      </c>
      <c r="L84" s="141">
        <v>8.42</v>
      </c>
      <c r="M84" s="38"/>
      <c r="N84" s="38"/>
      <c r="O84" s="38"/>
      <c r="P84" s="38"/>
      <c r="Q84" s="38"/>
      <c r="R84" s="38"/>
      <c r="T84" s="140" t="s">
        <v>404</v>
      </c>
      <c r="U84" s="38">
        <v>21.06</v>
      </c>
      <c r="V84" s="38">
        <v>10.53</v>
      </c>
      <c r="W84" s="141">
        <v>8.42</v>
      </c>
      <c r="X84" s="38" t="str">
        <f t="shared" si="4"/>
        <v>per hour</v>
      </c>
      <c r="Y84" s="44" t="str">
        <f t="shared" si="5"/>
        <v>per </v>
      </c>
    </row>
    <row r="85" ht="12.75" customHeight="1">
      <c r="C85" s="138">
        <f t="shared" si="1"/>
        <v>510.5208333</v>
      </c>
      <c r="D85" s="138"/>
      <c r="E85" s="138">
        <f t="shared" si="2"/>
        <v>255.2604167</v>
      </c>
      <c r="F85" s="138"/>
      <c r="G85" s="138">
        <f t="shared" si="3"/>
        <v>204.2083333</v>
      </c>
      <c r="H85" s="138"/>
      <c r="I85" s="140" t="s">
        <v>404</v>
      </c>
      <c r="J85" s="38">
        <v>8.7</v>
      </c>
      <c r="K85" s="38">
        <v>4.35</v>
      </c>
      <c r="L85" s="141">
        <v>3.48</v>
      </c>
      <c r="M85" s="38"/>
      <c r="N85" s="38"/>
      <c r="O85" s="38"/>
      <c r="P85" s="38"/>
      <c r="Q85" s="38"/>
      <c r="R85" s="38"/>
      <c r="T85" s="140" t="s">
        <v>404</v>
      </c>
      <c r="U85" s="38">
        <v>8.7</v>
      </c>
      <c r="V85" s="38">
        <v>4.35</v>
      </c>
      <c r="W85" s="141">
        <v>3.48</v>
      </c>
      <c r="X85" s="38" t="str">
        <f t="shared" si="4"/>
        <v>per hour</v>
      </c>
      <c r="Y85" s="44" t="str">
        <f t="shared" si="5"/>
        <v>per </v>
      </c>
    </row>
    <row r="86" ht="12.75" customHeight="1">
      <c r="C86" s="138">
        <f t="shared" si="1"/>
        <v>352.0833333</v>
      </c>
      <c r="D86" s="138"/>
      <c r="E86" s="138">
        <f t="shared" si="2"/>
        <v>176.0416667</v>
      </c>
      <c r="F86" s="138"/>
      <c r="G86" s="138">
        <f t="shared" si="3"/>
        <v>140.8333333</v>
      </c>
      <c r="H86" s="138"/>
      <c r="I86" s="140" t="s">
        <v>404</v>
      </c>
      <c r="J86" s="38">
        <v>6.0</v>
      </c>
      <c r="K86" s="38">
        <v>3.0</v>
      </c>
      <c r="L86" s="141">
        <v>2.4</v>
      </c>
      <c r="M86" s="38"/>
      <c r="N86" s="38"/>
      <c r="O86" s="38"/>
      <c r="P86" s="38"/>
      <c r="Q86" s="38"/>
      <c r="R86" s="38"/>
      <c r="T86" s="140" t="s">
        <v>404</v>
      </c>
      <c r="U86" s="38">
        <v>6.0</v>
      </c>
      <c r="V86" s="38">
        <v>3.0</v>
      </c>
      <c r="W86" s="141">
        <v>2.4</v>
      </c>
      <c r="X86" s="38" t="str">
        <f t="shared" si="4"/>
        <v>per hour</v>
      </c>
      <c r="Y86" s="44" t="str">
        <f t="shared" si="5"/>
        <v>per </v>
      </c>
    </row>
    <row r="87" ht="12.75" customHeight="1">
      <c r="C87" s="138">
        <f t="shared" si="1"/>
        <v>528.125</v>
      </c>
      <c r="D87" s="138"/>
      <c r="E87" s="138">
        <f t="shared" si="2"/>
        <v>264.0625</v>
      </c>
      <c r="F87" s="138"/>
      <c r="G87" s="138">
        <f t="shared" si="3"/>
        <v>211.25</v>
      </c>
      <c r="H87" s="138"/>
      <c r="I87" s="140" t="s">
        <v>404</v>
      </c>
      <c r="J87" s="38">
        <v>9.0</v>
      </c>
      <c r="K87" s="38">
        <v>4.5</v>
      </c>
      <c r="L87" s="141">
        <v>3.6</v>
      </c>
      <c r="M87" s="38"/>
      <c r="N87" s="38"/>
      <c r="O87" s="38"/>
      <c r="P87" s="38"/>
      <c r="Q87" s="38"/>
      <c r="R87" s="38"/>
      <c r="T87" s="140" t="s">
        <v>404</v>
      </c>
      <c r="U87" s="38">
        <v>9.0</v>
      </c>
      <c r="V87" s="38">
        <v>4.5</v>
      </c>
      <c r="W87" s="141">
        <v>3.6</v>
      </c>
      <c r="X87" s="38" t="str">
        <f t="shared" si="4"/>
        <v>per hour</v>
      </c>
      <c r="Y87" s="44" t="str">
        <f t="shared" si="5"/>
        <v>per </v>
      </c>
    </row>
    <row r="88" ht="12.75" customHeight="1">
      <c r="C88" s="138">
        <f t="shared" si="1"/>
        <v>469.4444444</v>
      </c>
      <c r="D88" s="138"/>
      <c r="E88" s="138">
        <f t="shared" si="2"/>
        <v>234.7222222</v>
      </c>
      <c r="F88" s="138"/>
      <c r="G88" s="138">
        <f t="shared" si="3"/>
        <v>187.7777778</v>
      </c>
      <c r="H88" s="138"/>
      <c r="I88" s="140" t="s">
        <v>404</v>
      </c>
      <c r="J88" s="38">
        <v>8.0</v>
      </c>
      <c r="K88" s="38">
        <v>4.0</v>
      </c>
      <c r="L88" s="141">
        <v>3.2</v>
      </c>
      <c r="M88" s="38"/>
      <c r="N88" s="38"/>
      <c r="O88" s="38"/>
      <c r="P88" s="38"/>
      <c r="Q88" s="38"/>
      <c r="R88" s="38"/>
      <c r="T88" s="140" t="s">
        <v>404</v>
      </c>
      <c r="U88" s="38">
        <v>8.0</v>
      </c>
      <c r="V88" s="38">
        <v>4.0</v>
      </c>
      <c r="W88" s="141">
        <v>3.2</v>
      </c>
      <c r="X88" s="38" t="str">
        <f t="shared" si="4"/>
        <v>per hour</v>
      </c>
      <c r="Y88" s="44" t="str">
        <f t="shared" si="5"/>
        <v>per </v>
      </c>
    </row>
    <row r="89" ht="12.75" customHeight="1">
      <c r="C89" s="138">
        <f t="shared" si="1"/>
        <v>58.68055556</v>
      </c>
      <c r="D89" s="138"/>
      <c r="E89" s="138">
        <f t="shared" si="2"/>
        <v>29.34027778</v>
      </c>
      <c r="F89" s="138"/>
      <c r="G89" s="138">
        <f t="shared" si="3"/>
        <v>23.47222222</v>
      </c>
      <c r="H89" s="138"/>
      <c r="I89" s="140" t="s">
        <v>404</v>
      </c>
      <c r="J89" s="38">
        <v>1.0</v>
      </c>
      <c r="K89" s="38">
        <v>0.5</v>
      </c>
      <c r="L89" s="141">
        <v>0.4</v>
      </c>
      <c r="M89" s="38"/>
      <c r="N89" s="38"/>
      <c r="O89" s="38"/>
      <c r="P89" s="38"/>
      <c r="Q89" s="38"/>
      <c r="R89" s="38"/>
      <c r="T89" s="140" t="s">
        <v>404</v>
      </c>
      <c r="U89" s="38">
        <v>1.0</v>
      </c>
      <c r="V89" s="38">
        <v>0.5</v>
      </c>
      <c r="W89" s="141">
        <v>0.4</v>
      </c>
      <c r="X89" s="38" t="str">
        <f t="shared" si="4"/>
        <v>per hour</v>
      </c>
      <c r="Y89" s="44" t="str">
        <f t="shared" si="5"/>
        <v>per </v>
      </c>
    </row>
    <row r="90" ht="12.75" customHeight="1">
      <c r="C90" s="138">
        <f t="shared" si="1"/>
        <v>352.0833333</v>
      </c>
      <c r="D90" s="138"/>
      <c r="E90" s="138">
        <f t="shared" si="2"/>
        <v>176.0416667</v>
      </c>
      <c r="F90" s="138"/>
      <c r="G90" s="138">
        <f t="shared" si="3"/>
        <v>199.5138889</v>
      </c>
      <c r="H90" s="138"/>
      <c r="I90" s="140" t="s">
        <v>404</v>
      </c>
      <c r="J90" s="38">
        <v>6.0</v>
      </c>
      <c r="K90" s="38">
        <v>3.0</v>
      </c>
      <c r="L90" s="141">
        <v>3.4</v>
      </c>
      <c r="M90" s="38"/>
      <c r="N90" s="38"/>
      <c r="O90" s="38"/>
      <c r="P90" s="38"/>
      <c r="Q90" s="38"/>
      <c r="R90" s="38"/>
      <c r="T90" s="140" t="s">
        <v>404</v>
      </c>
      <c r="U90" s="38">
        <v>6.0</v>
      </c>
      <c r="V90" s="38">
        <v>3.0</v>
      </c>
      <c r="W90" s="141">
        <v>3.4</v>
      </c>
      <c r="X90" s="38" t="str">
        <f t="shared" si="4"/>
        <v>per hour</v>
      </c>
      <c r="Y90" s="44" t="str">
        <f t="shared" si="5"/>
        <v>per </v>
      </c>
    </row>
    <row r="91" ht="12.75" customHeight="1">
      <c r="C91" s="138">
        <f t="shared" si="1"/>
        <v>234.7222222</v>
      </c>
      <c r="D91" s="138"/>
      <c r="E91" s="138">
        <f t="shared" si="2"/>
        <v>117.3611111</v>
      </c>
      <c r="F91" s="138"/>
      <c r="G91" s="138">
        <f t="shared" si="3"/>
        <v>93.88888889</v>
      </c>
      <c r="H91" s="138"/>
      <c r="I91" s="140" t="s">
        <v>404</v>
      </c>
      <c r="J91" s="38">
        <v>4.0</v>
      </c>
      <c r="K91" s="38">
        <v>2.0</v>
      </c>
      <c r="L91" s="141">
        <v>1.6</v>
      </c>
      <c r="M91" s="38"/>
      <c r="N91" s="38"/>
      <c r="O91" s="38"/>
      <c r="P91" s="38"/>
      <c r="Q91" s="38"/>
      <c r="R91" s="38"/>
      <c r="T91" s="140" t="s">
        <v>404</v>
      </c>
      <c r="U91" s="38">
        <v>4.0</v>
      </c>
      <c r="V91" s="38">
        <v>2.0</v>
      </c>
      <c r="W91" s="141">
        <v>1.6</v>
      </c>
      <c r="X91" s="38" t="str">
        <f t="shared" si="4"/>
        <v>per hour</v>
      </c>
      <c r="Y91" s="44" t="str">
        <f t="shared" si="5"/>
        <v>per </v>
      </c>
    </row>
    <row r="92" ht="12.75" customHeight="1">
      <c r="C92" s="138">
        <f t="shared" si="1"/>
        <v>140.8333333</v>
      </c>
      <c r="D92" s="138"/>
      <c r="E92" s="138">
        <f t="shared" si="2"/>
        <v>70.41666667</v>
      </c>
      <c r="F92" s="138"/>
      <c r="G92" s="138">
        <f t="shared" si="3"/>
        <v>56.33333333</v>
      </c>
      <c r="H92" s="138"/>
      <c r="I92" s="140" t="s">
        <v>404</v>
      </c>
      <c r="J92" s="38">
        <v>2.4</v>
      </c>
      <c r="K92" s="38">
        <v>1.2</v>
      </c>
      <c r="L92" s="141">
        <v>0.96</v>
      </c>
      <c r="M92" s="38"/>
      <c r="N92" s="38"/>
      <c r="O92" s="38"/>
      <c r="P92" s="38"/>
      <c r="Q92" s="38"/>
      <c r="R92" s="38"/>
      <c r="T92" s="140" t="s">
        <v>404</v>
      </c>
      <c r="U92" s="38">
        <v>2.4</v>
      </c>
      <c r="V92" s="38">
        <v>1.2</v>
      </c>
      <c r="W92" s="141">
        <v>0.96</v>
      </c>
      <c r="X92" s="38" t="str">
        <f t="shared" si="4"/>
        <v>per hour</v>
      </c>
      <c r="Y92" s="44" t="str">
        <f t="shared" si="5"/>
        <v>per </v>
      </c>
    </row>
    <row r="93" ht="12.75" customHeight="1">
      <c r="C93" s="138">
        <f t="shared" si="1"/>
        <v>211.25</v>
      </c>
      <c r="D93" s="138"/>
      <c r="E93" s="138">
        <f t="shared" si="2"/>
        <v>105.625</v>
      </c>
      <c r="F93" s="138"/>
      <c r="G93" s="138">
        <f t="shared" si="3"/>
        <v>84.5</v>
      </c>
      <c r="H93" s="138"/>
      <c r="I93" s="140" t="s">
        <v>404</v>
      </c>
      <c r="J93" s="38">
        <v>3.6</v>
      </c>
      <c r="K93" s="38">
        <v>1.8</v>
      </c>
      <c r="L93" s="141">
        <v>1.44</v>
      </c>
      <c r="M93" s="38"/>
      <c r="N93" s="38"/>
      <c r="O93" s="38"/>
      <c r="P93" s="38"/>
      <c r="Q93" s="38"/>
      <c r="R93" s="38"/>
      <c r="T93" s="140" t="s">
        <v>404</v>
      </c>
      <c r="U93" s="38">
        <v>3.6</v>
      </c>
      <c r="V93" s="38">
        <v>1.8</v>
      </c>
      <c r="W93" s="141">
        <v>1.44</v>
      </c>
      <c r="X93" s="38" t="str">
        <f t="shared" si="4"/>
        <v>per hour</v>
      </c>
      <c r="Y93" s="44" t="str">
        <f t="shared" si="5"/>
        <v>per </v>
      </c>
    </row>
    <row r="94" ht="12.75" customHeight="1">
      <c r="C94" s="138">
        <f t="shared" si="1"/>
        <v>997.5694444</v>
      </c>
      <c r="D94" s="138"/>
      <c r="E94" s="138">
        <f t="shared" si="2"/>
        <v>557.4652778</v>
      </c>
      <c r="F94" s="138"/>
      <c r="G94" s="138">
        <f t="shared" si="3"/>
        <v>399.0277778</v>
      </c>
      <c r="H94" s="138"/>
      <c r="I94" s="140" t="s">
        <v>404</v>
      </c>
      <c r="J94" s="38">
        <v>17.0</v>
      </c>
      <c r="K94" s="38">
        <v>9.5</v>
      </c>
      <c r="L94" s="141">
        <v>6.8</v>
      </c>
      <c r="M94" s="38"/>
      <c r="N94" s="38"/>
      <c r="O94" s="38"/>
      <c r="P94" s="38"/>
      <c r="Q94" s="38"/>
      <c r="R94" s="38"/>
      <c r="T94" s="140" t="s">
        <v>404</v>
      </c>
      <c r="U94" s="38">
        <v>17.0</v>
      </c>
      <c r="V94" s="38">
        <v>9.5</v>
      </c>
      <c r="W94" s="141">
        <v>6.8</v>
      </c>
      <c r="X94" s="38" t="str">
        <f t="shared" si="4"/>
        <v>per hour</v>
      </c>
      <c r="Y94" s="44" t="str">
        <f t="shared" si="5"/>
        <v>per </v>
      </c>
    </row>
    <row r="95" ht="12.75" customHeight="1">
      <c r="C95" s="138">
        <f t="shared" si="1"/>
        <v>133.7916667</v>
      </c>
      <c r="D95" s="138"/>
      <c r="E95" s="138">
        <f t="shared" si="2"/>
        <v>66.89583333</v>
      </c>
      <c r="F95" s="138"/>
      <c r="G95" s="138">
        <f t="shared" si="3"/>
        <v>53.39930556</v>
      </c>
      <c r="H95" s="138"/>
      <c r="I95" s="140" t="s">
        <v>404</v>
      </c>
      <c r="J95" s="38">
        <v>2.28</v>
      </c>
      <c r="K95" s="38">
        <v>1.14</v>
      </c>
      <c r="L95" s="141">
        <v>0.91</v>
      </c>
      <c r="M95" s="38"/>
      <c r="N95" s="38"/>
      <c r="O95" s="38"/>
      <c r="P95" s="38"/>
      <c r="Q95" s="38"/>
      <c r="R95" s="38"/>
      <c r="T95" s="140" t="s">
        <v>404</v>
      </c>
      <c r="U95" s="38">
        <v>2.28</v>
      </c>
      <c r="V95" s="38">
        <v>1.14</v>
      </c>
      <c r="W95" s="141">
        <v>0.91</v>
      </c>
      <c r="X95" s="38" t="str">
        <f t="shared" si="4"/>
        <v>per hour</v>
      </c>
      <c r="Y95" s="44" t="str">
        <f t="shared" si="5"/>
        <v>per </v>
      </c>
    </row>
    <row r="96" ht="12.75" customHeight="1">
      <c r="C96" s="138">
        <f t="shared" si="1"/>
        <v>83.91319444</v>
      </c>
      <c r="D96" s="138"/>
      <c r="E96" s="138">
        <f t="shared" si="2"/>
        <v>42.25</v>
      </c>
      <c r="F96" s="138"/>
      <c r="G96" s="138">
        <f t="shared" si="3"/>
        <v>33.44791667</v>
      </c>
      <c r="H96" s="138"/>
      <c r="I96" s="140" t="s">
        <v>404</v>
      </c>
      <c r="J96" s="38">
        <v>1.43</v>
      </c>
      <c r="K96" s="38">
        <v>0.72</v>
      </c>
      <c r="L96" s="141">
        <v>0.57</v>
      </c>
      <c r="M96" s="38"/>
      <c r="N96" s="38"/>
      <c r="O96" s="38"/>
      <c r="P96" s="38"/>
      <c r="Q96" s="38"/>
      <c r="R96" s="38"/>
      <c r="T96" s="140" t="s">
        <v>404</v>
      </c>
      <c r="U96" s="38">
        <v>1.43</v>
      </c>
      <c r="V96" s="38">
        <v>0.72</v>
      </c>
      <c r="W96" s="141">
        <v>0.57</v>
      </c>
      <c r="X96" s="38" t="str">
        <f t="shared" si="4"/>
        <v>per hour</v>
      </c>
      <c r="Y96" s="44" t="str">
        <f t="shared" si="5"/>
        <v>per </v>
      </c>
    </row>
    <row r="97" ht="12.75" customHeight="1">
      <c r="C97" s="138">
        <f t="shared" si="1"/>
        <v>0</v>
      </c>
      <c r="D97" s="138"/>
      <c r="E97" s="138">
        <f t="shared" si="2"/>
        <v>0</v>
      </c>
      <c r="F97" s="138"/>
      <c r="G97" s="138">
        <f t="shared" si="3"/>
        <v>0</v>
      </c>
      <c r="H97" s="138"/>
      <c r="I97" s="140"/>
      <c r="K97" s="38"/>
      <c r="L97" s="141"/>
      <c r="M97" s="38"/>
      <c r="N97" s="38"/>
      <c r="O97" s="38"/>
      <c r="P97" s="38"/>
      <c r="Q97" s="38"/>
      <c r="R97" s="38"/>
      <c r="T97" s="140"/>
      <c r="V97" s="38"/>
      <c r="W97" s="141"/>
      <c r="X97" s="38" t="str">
        <f t="shared" si="4"/>
        <v/>
      </c>
      <c r="Y97" s="44" t="str">
        <f t="shared" si="5"/>
        <v/>
      </c>
    </row>
    <row r="98" ht="12.75" customHeight="1">
      <c r="C98" s="138">
        <f t="shared" si="1"/>
        <v>187.7777778</v>
      </c>
      <c r="D98" s="138"/>
      <c r="E98" s="138">
        <f t="shared" si="2"/>
        <v>93.88888889</v>
      </c>
      <c r="F98" s="138"/>
      <c r="G98" s="138">
        <f t="shared" si="3"/>
        <v>75.11111111</v>
      </c>
      <c r="H98" s="138"/>
      <c r="I98" s="140" t="s">
        <v>404</v>
      </c>
      <c r="J98" s="38">
        <v>3.2</v>
      </c>
      <c r="K98" s="38">
        <v>1.6</v>
      </c>
      <c r="L98" s="141">
        <v>1.28</v>
      </c>
      <c r="M98" s="38"/>
      <c r="N98" s="38"/>
      <c r="O98" s="38"/>
      <c r="P98" s="38"/>
      <c r="Q98" s="38"/>
      <c r="R98" s="38"/>
      <c r="T98" s="140" t="s">
        <v>404</v>
      </c>
      <c r="U98" s="38">
        <v>3.2</v>
      </c>
      <c r="V98" s="38">
        <v>1.6</v>
      </c>
      <c r="W98" s="141">
        <v>1.28</v>
      </c>
      <c r="X98" s="38" t="str">
        <f t="shared" si="4"/>
        <v>per hour</v>
      </c>
      <c r="Y98" s="44" t="str">
        <f t="shared" si="5"/>
        <v>per </v>
      </c>
    </row>
    <row r="99" ht="12.75" customHeight="1">
      <c r="C99" s="138">
        <f t="shared" si="1"/>
        <v>156.0902778</v>
      </c>
      <c r="D99" s="138"/>
      <c r="E99" s="138">
        <f t="shared" si="2"/>
        <v>78.04513889</v>
      </c>
      <c r="F99" s="138"/>
      <c r="G99" s="138">
        <f t="shared" si="3"/>
        <v>62.20138889</v>
      </c>
      <c r="H99" s="138"/>
      <c r="I99" s="140" t="s">
        <v>404</v>
      </c>
      <c r="J99" s="38">
        <v>2.66</v>
      </c>
      <c r="K99" s="38">
        <v>1.33</v>
      </c>
      <c r="L99" s="141">
        <v>1.06</v>
      </c>
      <c r="M99" s="38"/>
      <c r="N99" s="38"/>
      <c r="O99" s="38"/>
      <c r="P99" s="38"/>
      <c r="Q99" s="38"/>
      <c r="R99" s="38"/>
      <c r="T99" s="140" t="s">
        <v>404</v>
      </c>
      <c r="U99" s="38">
        <v>2.66</v>
      </c>
      <c r="V99" s="38">
        <v>1.33</v>
      </c>
      <c r="W99" s="141">
        <v>1.06</v>
      </c>
      <c r="X99" s="38" t="str">
        <f t="shared" si="4"/>
        <v>per hour</v>
      </c>
      <c r="Y99" s="44" t="str">
        <f t="shared" si="5"/>
        <v>per </v>
      </c>
    </row>
    <row r="100" ht="12.75" customHeight="1">
      <c r="C100" s="138">
        <f t="shared" si="1"/>
        <v>234.7222222</v>
      </c>
      <c r="D100" s="138"/>
      <c r="E100" s="138">
        <f t="shared" si="2"/>
        <v>117.3611111</v>
      </c>
      <c r="F100" s="138"/>
      <c r="G100" s="138">
        <f t="shared" si="3"/>
        <v>93.88888889</v>
      </c>
      <c r="H100" s="138"/>
      <c r="I100" s="140" t="s">
        <v>404</v>
      </c>
      <c r="J100" s="38">
        <v>4.0</v>
      </c>
      <c r="K100" s="38">
        <v>2.0</v>
      </c>
      <c r="L100" s="141">
        <v>1.6</v>
      </c>
      <c r="M100" s="38"/>
      <c r="N100" s="38"/>
      <c r="O100" s="38"/>
      <c r="P100" s="38"/>
      <c r="Q100" s="38"/>
      <c r="R100" s="38"/>
      <c r="T100" s="140" t="s">
        <v>404</v>
      </c>
      <c r="U100" s="38">
        <v>4.0</v>
      </c>
      <c r="V100" s="38">
        <v>2.0</v>
      </c>
      <c r="W100" s="141">
        <v>1.6</v>
      </c>
      <c r="X100" s="38" t="str">
        <f t="shared" si="4"/>
        <v>per hour</v>
      </c>
      <c r="Y100" s="44" t="str">
        <f t="shared" si="5"/>
        <v>per </v>
      </c>
    </row>
    <row r="101" ht="12.75" customHeight="1">
      <c r="C101" s="138">
        <f t="shared" si="1"/>
        <v>625.5347222</v>
      </c>
      <c r="D101" s="138"/>
      <c r="E101" s="138">
        <f t="shared" si="2"/>
        <v>312.7673611</v>
      </c>
      <c r="F101" s="138"/>
      <c r="G101" s="138">
        <f t="shared" si="3"/>
        <v>249.9791667</v>
      </c>
      <c r="H101" s="138"/>
      <c r="I101" s="140" t="s">
        <v>404</v>
      </c>
      <c r="J101" s="38">
        <v>10.66</v>
      </c>
      <c r="K101" s="38">
        <v>5.33</v>
      </c>
      <c r="L101" s="141">
        <v>4.26</v>
      </c>
      <c r="M101" s="38"/>
      <c r="N101" s="38"/>
      <c r="O101" s="38"/>
      <c r="P101" s="38"/>
      <c r="Q101" s="38"/>
      <c r="R101" s="38"/>
      <c r="T101" s="140" t="s">
        <v>404</v>
      </c>
      <c r="U101" s="38">
        <v>10.66</v>
      </c>
      <c r="V101" s="38">
        <v>5.33</v>
      </c>
      <c r="W101" s="141">
        <v>4.26</v>
      </c>
      <c r="X101" s="38" t="str">
        <f t="shared" si="4"/>
        <v>per hour</v>
      </c>
      <c r="Y101" s="44" t="str">
        <f t="shared" si="5"/>
        <v>per </v>
      </c>
    </row>
    <row r="102" ht="12.75" customHeight="1">
      <c r="C102" s="138">
        <f t="shared" si="1"/>
        <v>700.6458333</v>
      </c>
      <c r="D102" s="138"/>
      <c r="E102" s="138">
        <f t="shared" si="2"/>
        <v>350.3229167</v>
      </c>
      <c r="F102" s="138"/>
      <c r="G102" s="138">
        <f t="shared" si="3"/>
        <v>280.4930556</v>
      </c>
      <c r="H102" s="138"/>
      <c r="I102" s="140" t="s">
        <v>404</v>
      </c>
      <c r="J102" s="38">
        <v>11.94</v>
      </c>
      <c r="K102" s="38">
        <v>5.97</v>
      </c>
      <c r="L102" s="141">
        <v>4.78</v>
      </c>
      <c r="M102" s="38"/>
      <c r="N102" s="38"/>
      <c r="O102" s="38"/>
      <c r="P102" s="38"/>
      <c r="Q102" s="38"/>
      <c r="R102" s="38"/>
      <c r="T102" s="140" t="s">
        <v>404</v>
      </c>
      <c r="U102" s="38">
        <v>11.94</v>
      </c>
      <c r="V102" s="38">
        <v>5.97</v>
      </c>
      <c r="W102" s="141">
        <v>4.78</v>
      </c>
      <c r="X102" s="38" t="str">
        <f t="shared" si="4"/>
        <v>per hour</v>
      </c>
      <c r="Y102" s="44" t="str">
        <f t="shared" si="5"/>
        <v>per </v>
      </c>
    </row>
    <row r="103" ht="12.75" customHeight="1">
      <c r="C103" s="138">
        <f t="shared" si="1"/>
        <v>0</v>
      </c>
      <c r="D103" s="138"/>
      <c r="E103" s="138">
        <f t="shared" si="2"/>
        <v>0</v>
      </c>
      <c r="F103" s="138"/>
      <c r="G103" s="138">
        <f t="shared" si="3"/>
        <v>0</v>
      </c>
      <c r="H103" s="138"/>
      <c r="L103" s="141"/>
      <c r="M103" s="38"/>
      <c r="N103" s="38"/>
      <c r="O103" s="38"/>
      <c r="P103" s="38"/>
      <c r="Q103" s="38"/>
      <c r="R103" s="38"/>
      <c r="W103" s="141"/>
      <c r="X103" s="38" t="str">
        <f t="shared" si="4"/>
        <v/>
      </c>
      <c r="Y103" s="44" t="str">
        <f t="shared" si="5"/>
        <v/>
      </c>
    </row>
    <row r="104" ht="12.75" customHeight="1">
      <c r="C104" s="138">
        <f t="shared" si="1"/>
        <v>0</v>
      </c>
      <c r="D104" s="138"/>
      <c r="E104" s="138">
        <f t="shared" si="2"/>
        <v>0</v>
      </c>
      <c r="F104" s="138"/>
      <c r="G104" s="138">
        <f t="shared" si="3"/>
        <v>0</v>
      </c>
      <c r="H104" s="138"/>
      <c r="L104" s="139"/>
      <c r="M104" s="38"/>
      <c r="N104" s="38"/>
      <c r="O104" s="38"/>
      <c r="P104" s="38"/>
      <c r="Q104" s="38"/>
      <c r="R104" s="38"/>
      <c r="W104" s="139"/>
      <c r="X104" s="38" t="str">
        <f t="shared" si="4"/>
        <v/>
      </c>
      <c r="Y104" s="44" t="str">
        <f t="shared" si="5"/>
        <v/>
      </c>
    </row>
    <row r="105" ht="12.75" customHeight="1">
      <c r="C105" s="138">
        <f t="shared" si="1"/>
        <v>0</v>
      </c>
      <c r="D105" s="138"/>
      <c r="E105" s="138">
        <f t="shared" si="2"/>
        <v>0</v>
      </c>
      <c r="F105" s="138"/>
      <c r="G105" s="138">
        <f t="shared" si="3"/>
        <v>0</v>
      </c>
      <c r="H105" s="138"/>
      <c r="L105" s="139"/>
      <c r="M105" s="38"/>
      <c r="N105" s="38"/>
      <c r="O105" s="38"/>
      <c r="P105" s="38"/>
      <c r="Q105" s="38"/>
      <c r="R105" s="38"/>
      <c r="W105" s="139"/>
      <c r="X105" s="38" t="str">
        <f t="shared" si="4"/>
        <v/>
      </c>
      <c r="Y105" s="44" t="str">
        <f t="shared" si="5"/>
        <v/>
      </c>
    </row>
    <row r="106" ht="12.75" customHeight="1">
      <c r="C106" s="138">
        <f t="shared" si="1"/>
        <v>126.75</v>
      </c>
      <c r="D106" s="138"/>
      <c r="E106" s="138">
        <f t="shared" si="2"/>
        <v>63.375</v>
      </c>
      <c r="F106" s="138"/>
      <c r="G106" s="138">
        <f t="shared" si="3"/>
        <v>50.46527778</v>
      </c>
      <c r="H106" s="138"/>
      <c r="I106" s="140" t="s">
        <v>404</v>
      </c>
      <c r="J106" s="38">
        <v>2.16</v>
      </c>
      <c r="K106" s="38">
        <v>1.08</v>
      </c>
      <c r="L106" s="141">
        <v>0.86</v>
      </c>
      <c r="M106" s="38"/>
      <c r="N106" s="38"/>
      <c r="O106" s="38"/>
      <c r="P106" s="38"/>
      <c r="Q106" s="38"/>
      <c r="R106" s="38"/>
      <c r="T106" s="140" t="s">
        <v>404</v>
      </c>
      <c r="U106" s="38">
        <v>2.16</v>
      </c>
      <c r="V106" s="38">
        <v>1.08</v>
      </c>
      <c r="W106" s="141">
        <v>0.86</v>
      </c>
      <c r="X106" s="38" t="str">
        <f t="shared" si="4"/>
        <v>per hour</v>
      </c>
      <c r="Y106" s="44" t="str">
        <f t="shared" si="5"/>
        <v>per </v>
      </c>
    </row>
    <row r="107" ht="12.75" customHeight="1">
      <c r="C107" s="138">
        <f t="shared" si="1"/>
        <v>359.125</v>
      </c>
      <c r="D107" s="138"/>
      <c r="E107" s="138">
        <f t="shared" si="2"/>
        <v>179.5625</v>
      </c>
      <c r="F107" s="138"/>
      <c r="G107" s="138">
        <f t="shared" si="3"/>
        <v>143.7673611</v>
      </c>
      <c r="H107" s="138"/>
      <c r="I107" s="140" t="s">
        <v>404</v>
      </c>
      <c r="J107" s="38">
        <v>6.12</v>
      </c>
      <c r="K107" s="38">
        <v>3.06</v>
      </c>
      <c r="L107" s="141">
        <v>2.45</v>
      </c>
      <c r="M107" s="38"/>
      <c r="N107" s="38"/>
      <c r="O107" s="38"/>
      <c r="P107" s="38"/>
      <c r="Q107" s="38"/>
      <c r="R107" s="38"/>
      <c r="T107" s="140" t="s">
        <v>404</v>
      </c>
      <c r="U107" s="38">
        <v>6.12</v>
      </c>
      <c r="V107" s="38">
        <v>3.06</v>
      </c>
      <c r="W107" s="141">
        <v>2.45</v>
      </c>
      <c r="X107" s="38" t="str">
        <f t="shared" si="4"/>
        <v>per hour</v>
      </c>
      <c r="Y107" s="44" t="str">
        <f t="shared" si="5"/>
        <v>per </v>
      </c>
    </row>
    <row r="108" ht="12.75" customHeight="1">
      <c r="C108" s="138">
        <f t="shared" si="1"/>
        <v>117.3611111</v>
      </c>
      <c r="D108" s="138"/>
      <c r="E108" s="138">
        <f t="shared" si="2"/>
        <v>58.68055556</v>
      </c>
      <c r="F108" s="138"/>
      <c r="G108" s="138">
        <f t="shared" si="3"/>
        <v>46.94444444</v>
      </c>
      <c r="H108" s="138"/>
      <c r="I108" s="140" t="s">
        <v>411</v>
      </c>
      <c r="J108" s="38">
        <v>2.0</v>
      </c>
      <c r="K108" s="38">
        <v>1.0</v>
      </c>
      <c r="L108" s="141">
        <v>0.8</v>
      </c>
      <c r="M108" s="38"/>
      <c r="N108" s="38"/>
      <c r="O108" s="38"/>
      <c r="P108" s="38"/>
      <c r="Q108" s="38"/>
      <c r="R108" s="38"/>
      <c r="T108" s="140" t="s">
        <v>411</v>
      </c>
      <c r="U108" s="38">
        <v>2.0</v>
      </c>
      <c r="V108" s="38">
        <v>1.0</v>
      </c>
      <c r="W108" s="141">
        <v>0.8</v>
      </c>
      <c r="X108" s="38" t="str">
        <f t="shared" si="4"/>
        <v>per hour</v>
      </c>
      <c r="Y108" s="44" t="str">
        <f t="shared" si="5"/>
        <v>per </v>
      </c>
    </row>
    <row r="109" ht="12.75" customHeight="1">
      <c r="C109" s="138">
        <f t="shared" si="1"/>
        <v>93.88888889</v>
      </c>
      <c r="D109" s="138"/>
      <c r="E109" s="138">
        <f t="shared" si="2"/>
        <v>575.0694444</v>
      </c>
      <c r="F109" s="138"/>
      <c r="G109" s="138">
        <f t="shared" si="3"/>
        <v>37.55555556</v>
      </c>
      <c r="H109" s="138"/>
      <c r="I109" s="140" t="s">
        <v>411</v>
      </c>
      <c r="J109" s="38">
        <v>1.6</v>
      </c>
      <c r="K109" s="38">
        <v>9.8</v>
      </c>
      <c r="L109" s="141">
        <v>0.64</v>
      </c>
      <c r="M109" s="38"/>
      <c r="N109" s="38"/>
      <c r="O109" s="38"/>
      <c r="P109" s="38"/>
      <c r="Q109" s="38"/>
      <c r="R109" s="38"/>
      <c r="T109" s="140" t="s">
        <v>411</v>
      </c>
      <c r="U109" s="38">
        <v>1.6</v>
      </c>
      <c r="V109" s="38">
        <v>9.8</v>
      </c>
      <c r="W109" s="141">
        <v>0.64</v>
      </c>
      <c r="X109" s="38" t="str">
        <f t="shared" si="4"/>
        <v>per hour</v>
      </c>
      <c r="Y109" s="44" t="str">
        <f t="shared" si="5"/>
        <v>per </v>
      </c>
    </row>
    <row r="110" ht="12.75" customHeight="1">
      <c r="C110" s="138">
        <f t="shared" si="1"/>
        <v>59.26736111</v>
      </c>
      <c r="D110" s="138"/>
      <c r="E110" s="138">
        <f t="shared" si="2"/>
        <v>29.92708333</v>
      </c>
      <c r="F110" s="138"/>
      <c r="G110" s="138">
        <f t="shared" si="3"/>
        <v>23.47222222</v>
      </c>
      <c r="H110" s="138"/>
      <c r="I110" s="140" t="s">
        <v>412</v>
      </c>
      <c r="J110" s="38">
        <v>1.01</v>
      </c>
      <c r="K110" s="38">
        <v>0.51</v>
      </c>
      <c r="L110" s="141">
        <v>0.4</v>
      </c>
      <c r="M110" s="38"/>
      <c r="N110" s="38"/>
      <c r="O110" s="38"/>
      <c r="P110" s="38"/>
      <c r="Q110" s="38"/>
      <c r="R110" s="38"/>
      <c r="T110" s="140" t="s">
        <v>412</v>
      </c>
      <c r="U110" s="38">
        <v>1.01</v>
      </c>
      <c r="V110" s="38">
        <v>0.51</v>
      </c>
      <c r="W110" s="141">
        <v>0.4</v>
      </c>
      <c r="X110" s="38" t="str">
        <f t="shared" si="4"/>
        <v>per hour</v>
      </c>
      <c r="Y110" s="44" t="str">
        <f t="shared" si="5"/>
        <v>per </v>
      </c>
    </row>
    <row r="111" ht="12.75" customHeight="1">
      <c r="C111" s="138">
        <f t="shared" si="1"/>
        <v>407.2430556</v>
      </c>
      <c r="D111" s="138"/>
      <c r="E111" s="138">
        <f t="shared" si="2"/>
        <v>203.6215278</v>
      </c>
      <c r="F111" s="138"/>
      <c r="G111" s="138">
        <f t="shared" si="3"/>
        <v>163.1319444</v>
      </c>
      <c r="H111" s="138"/>
      <c r="I111" s="140" t="s">
        <v>411</v>
      </c>
      <c r="J111" s="38">
        <v>6.94</v>
      </c>
      <c r="K111" s="38">
        <v>3.47</v>
      </c>
      <c r="L111" s="141">
        <v>2.78</v>
      </c>
      <c r="M111" s="38"/>
      <c r="N111" s="38"/>
      <c r="O111" s="38"/>
      <c r="P111" s="38"/>
      <c r="Q111" s="38"/>
      <c r="R111" s="38"/>
      <c r="T111" s="140" t="s">
        <v>411</v>
      </c>
      <c r="U111" s="38">
        <v>6.94</v>
      </c>
      <c r="V111" s="38">
        <v>3.47</v>
      </c>
      <c r="W111" s="141">
        <v>2.78</v>
      </c>
      <c r="X111" s="38" t="str">
        <f t="shared" si="4"/>
        <v>per hour</v>
      </c>
      <c r="Y111" s="44" t="str">
        <f t="shared" si="5"/>
        <v>per </v>
      </c>
    </row>
    <row r="112" ht="12.75" customHeight="1">
      <c r="C112" s="138">
        <f t="shared" si="1"/>
        <v>96.23611111</v>
      </c>
      <c r="D112" s="138"/>
      <c r="E112" s="138">
        <f t="shared" si="2"/>
        <v>48.11805556</v>
      </c>
      <c r="F112" s="138"/>
      <c r="G112" s="138">
        <f t="shared" si="3"/>
        <v>38.72916667</v>
      </c>
      <c r="H112" s="138"/>
      <c r="I112" s="140" t="s">
        <v>411</v>
      </c>
      <c r="J112" s="38">
        <v>1.64</v>
      </c>
      <c r="K112" s="38">
        <v>0.82</v>
      </c>
      <c r="L112" s="141">
        <v>0.66</v>
      </c>
      <c r="M112" s="38"/>
      <c r="N112" s="38"/>
      <c r="O112" s="38"/>
      <c r="P112" s="38"/>
      <c r="Q112" s="38"/>
      <c r="R112" s="38"/>
      <c r="T112" s="140" t="s">
        <v>411</v>
      </c>
      <c r="U112" s="38">
        <v>1.64</v>
      </c>
      <c r="V112" s="38">
        <v>0.82</v>
      </c>
      <c r="W112" s="141">
        <v>0.66</v>
      </c>
      <c r="X112" s="38" t="str">
        <f t="shared" si="4"/>
        <v>per hour</v>
      </c>
      <c r="Y112" s="44" t="str">
        <f t="shared" si="5"/>
        <v>per </v>
      </c>
    </row>
    <row r="113" ht="12.75" customHeight="1">
      <c r="C113" s="138">
        <f t="shared" si="1"/>
        <v>61.61458333</v>
      </c>
      <c r="D113" s="138"/>
      <c r="E113" s="138">
        <f t="shared" si="2"/>
        <v>31.10069444</v>
      </c>
      <c r="F113" s="138"/>
      <c r="G113" s="138">
        <f t="shared" si="3"/>
        <v>24.64583333</v>
      </c>
      <c r="H113" s="138"/>
      <c r="I113" s="140" t="s">
        <v>412</v>
      </c>
      <c r="J113" s="38">
        <v>1.05</v>
      </c>
      <c r="K113" s="38">
        <v>0.53</v>
      </c>
      <c r="L113" s="141">
        <v>0.42</v>
      </c>
      <c r="M113" s="38"/>
      <c r="N113" s="38"/>
      <c r="O113" s="38"/>
      <c r="P113" s="38"/>
      <c r="Q113" s="38"/>
      <c r="R113" s="38"/>
      <c r="T113" s="140" t="s">
        <v>412</v>
      </c>
      <c r="U113" s="38">
        <v>1.05</v>
      </c>
      <c r="V113" s="38">
        <v>0.53</v>
      </c>
      <c r="W113" s="141">
        <v>0.42</v>
      </c>
      <c r="X113" s="38" t="str">
        <f t="shared" si="4"/>
        <v>per hour</v>
      </c>
      <c r="Y113" s="44" t="str">
        <f t="shared" si="5"/>
        <v>per </v>
      </c>
    </row>
    <row r="114" ht="12.75" customHeight="1">
      <c r="C114" s="138">
        <f t="shared" si="1"/>
        <v>113.8402778</v>
      </c>
      <c r="D114" s="138"/>
      <c r="E114" s="138">
        <f t="shared" si="2"/>
        <v>56.92013889</v>
      </c>
      <c r="F114" s="138"/>
      <c r="G114" s="138">
        <f t="shared" si="3"/>
        <v>104.4513889</v>
      </c>
      <c r="H114" s="138"/>
      <c r="I114" s="140" t="s">
        <v>412</v>
      </c>
      <c r="J114" s="38">
        <v>1.94</v>
      </c>
      <c r="K114" s="38">
        <v>0.97</v>
      </c>
      <c r="L114" s="141">
        <v>1.78</v>
      </c>
      <c r="M114" s="38"/>
      <c r="N114" s="38"/>
      <c r="O114" s="38"/>
      <c r="P114" s="38"/>
      <c r="Q114" s="38"/>
      <c r="R114" s="38"/>
      <c r="T114" s="140" t="s">
        <v>412</v>
      </c>
      <c r="U114" s="38">
        <v>1.94</v>
      </c>
      <c r="V114" s="38">
        <v>0.97</v>
      </c>
      <c r="W114" s="141">
        <v>1.78</v>
      </c>
      <c r="X114" s="38" t="str">
        <f t="shared" si="4"/>
        <v>per hour</v>
      </c>
      <c r="Y114" s="44" t="str">
        <f t="shared" si="5"/>
        <v>per </v>
      </c>
    </row>
    <row r="115" ht="12.75" customHeight="1">
      <c r="C115" s="138">
        <f t="shared" si="1"/>
        <v>18.77777778</v>
      </c>
      <c r="D115" s="138"/>
      <c r="E115" s="138">
        <f t="shared" si="2"/>
        <v>9.388888889</v>
      </c>
      <c r="F115" s="138"/>
      <c r="G115" s="138">
        <f t="shared" si="3"/>
        <v>7.628472222</v>
      </c>
      <c r="H115" s="138"/>
      <c r="I115" s="140" t="s">
        <v>412</v>
      </c>
      <c r="J115" s="38">
        <v>0.32</v>
      </c>
      <c r="K115" s="38">
        <v>0.16</v>
      </c>
      <c r="L115" s="141">
        <v>0.13</v>
      </c>
      <c r="M115" s="38"/>
      <c r="N115" s="38"/>
      <c r="O115" s="38"/>
      <c r="P115" s="38"/>
      <c r="Q115" s="38"/>
      <c r="R115" s="38"/>
      <c r="T115" s="140" t="s">
        <v>412</v>
      </c>
      <c r="U115" s="38">
        <v>0.32</v>
      </c>
      <c r="V115" s="38">
        <v>0.16</v>
      </c>
      <c r="W115" s="141">
        <v>0.13</v>
      </c>
      <c r="X115" s="38" t="str">
        <f t="shared" si="4"/>
        <v>per hour</v>
      </c>
      <c r="Y115" s="44" t="str">
        <f t="shared" si="5"/>
        <v>per </v>
      </c>
    </row>
    <row r="116" ht="12.75" customHeight="1">
      <c r="C116" s="138">
        <f t="shared" si="1"/>
        <v>104.4513889</v>
      </c>
      <c r="D116" s="138"/>
      <c r="E116" s="138">
        <f t="shared" si="2"/>
        <v>528.125</v>
      </c>
      <c r="F116" s="138"/>
      <c r="G116" s="138">
        <f t="shared" si="3"/>
        <v>41.66319444</v>
      </c>
      <c r="H116" s="138"/>
      <c r="I116" s="140" t="s">
        <v>412</v>
      </c>
      <c r="J116" s="38">
        <v>1.78</v>
      </c>
      <c r="K116" s="38">
        <v>9.0</v>
      </c>
      <c r="L116" s="141">
        <v>0.71</v>
      </c>
      <c r="M116" s="38"/>
      <c r="N116" s="38"/>
      <c r="O116" s="38"/>
      <c r="P116" s="38"/>
      <c r="Q116" s="38"/>
      <c r="R116" s="38"/>
      <c r="T116" s="140" t="s">
        <v>412</v>
      </c>
      <c r="U116" s="38">
        <v>1.78</v>
      </c>
      <c r="V116" s="38">
        <v>9.0</v>
      </c>
      <c r="W116" s="141">
        <v>0.71</v>
      </c>
      <c r="X116" s="38" t="str">
        <f t="shared" si="4"/>
        <v>per hour</v>
      </c>
      <c r="Y116" s="44" t="str">
        <f t="shared" si="5"/>
        <v>per </v>
      </c>
    </row>
    <row r="117" ht="12.75" customHeight="1">
      <c r="C117" s="138">
        <f t="shared" si="1"/>
        <v>34.62152778</v>
      </c>
      <c r="D117" s="138"/>
      <c r="E117" s="138">
        <f t="shared" si="2"/>
        <v>17.60416667</v>
      </c>
      <c r="F117" s="138"/>
      <c r="G117" s="138">
        <f t="shared" si="3"/>
        <v>14.08333333</v>
      </c>
      <c r="H117" s="138"/>
      <c r="I117" s="140" t="s">
        <v>412</v>
      </c>
      <c r="J117" s="38">
        <v>0.59</v>
      </c>
      <c r="K117" s="38">
        <v>0.3</v>
      </c>
      <c r="L117" s="141">
        <v>0.24</v>
      </c>
      <c r="M117" s="38"/>
      <c r="N117" s="38"/>
      <c r="O117" s="38"/>
      <c r="P117" s="38"/>
      <c r="Q117" s="38"/>
      <c r="R117" s="38"/>
      <c r="T117" s="140" t="s">
        <v>412</v>
      </c>
      <c r="U117" s="38">
        <v>0.59</v>
      </c>
      <c r="V117" s="38">
        <v>0.3</v>
      </c>
      <c r="W117" s="141">
        <v>0.24</v>
      </c>
      <c r="X117" s="38" t="str">
        <f t="shared" si="4"/>
        <v>per hour</v>
      </c>
      <c r="Y117" s="44" t="str">
        <f t="shared" si="5"/>
        <v>per </v>
      </c>
    </row>
    <row r="118" ht="12.75" customHeight="1">
      <c r="C118" s="138">
        <f t="shared" si="1"/>
        <v>15.84375</v>
      </c>
      <c r="D118" s="138"/>
      <c r="E118" s="138">
        <f t="shared" si="2"/>
        <v>7.628472222</v>
      </c>
      <c r="F118" s="138"/>
      <c r="G118" s="138">
        <f t="shared" si="3"/>
        <v>6.454861111</v>
      </c>
      <c r="H118" s="138"/>
      <c r="I118" s="140" t="s">
        <v>412</v>
      </c>
      <c r="J118" s="38">
        <v>0.27</v>
      </c>
      <c r="K118" s="38">
        <v>0.13</v>
      </c>
      <c r="L118" s="141">
        <v>0.11</v>
      </c>
      <c r="M118" s="38"/>
      <c r="N118" s="38"/>
      <c r="O118" s="38"/>
      <c r="P118" s="38"/>
      <c r="Q118" s="38"/>
      <c r="R118" s="38"/>
      <c r="T118" s="140" t="s">
        <v>412</v>
      </c>
      <c r="U118" s="38">
        <v>0.27</v>
      </c>
      <c r="V118" s="38">
        <v>0.13</v>
      </c>
      <c r="W118" s="141">
        <v>0.11</v>
      </c>
      <c r="X118" s="38" t="str">
        <f t="shared" si="4"/>
        <v>per hour</v>
      </c>
      <c r="Y118" s="44" t="str">
        <f t="shared" si="5"/>
        <v>per </v>
      </c>
    </row>
    <row r="119" ht="12.75" customHeight="1">
      <c r="C119" s="138">
        <f t="shared" si="1"/>
        <v>211.25</v>
      </c>
      <c r="D119" s="138"/>
      <c r="E119" s="138">
        <f t="shared" si="2"/>
        <v>105.625</v>
      </c>
      <c r="F119" s="138"/>
      <c r="G119" s="138">
        <f t="shared" si="3"/>
        <v>84.5</v>
      </c>
      <c r="H119" s="138"/>
      <c r="I119" s="140" t="s">
        <v>404</v>
      </c>
      <c r="J119" s="38">
        <v>3.6</v>
      </c>
      <c r="K119" s="38">
        <v>1.8</v>
      </c>
      <c r="L119" s="141">
        <v>1.44</v>
      </c>
      <c r="M119" s="38"/>
      <c r="N119" s="38"/>
      <c r="O119" s="38"/>
      <c r="P119" s="38"/>
      <c r="Q119" s="38"/>
      <c r="R119" s="38"/>
      <c r="T119" s="140" t="s">
        <v>404</v>
      </c>
      <c r="U119" s="38">
        <v>3.6</v>
      </c>
      <c r="V119" s="38">
        <v>1.8</v>
      </c>
      <c r="W119" s="141">
        <v>1.44</v>
      </c>
      <c r="X119" s="38" t="str">
        <f t="shared" si="4"/>
        <v>per hour</v>
      </c>
      <c r="Y119" s="44" t="str">
        <f t="shared" si="5"/>
        <v>per </v>
      </c>
    </row>
    <row r="120" ht="12.75" customHeight="1">
      <c r="C120" s="138">
        <f t="shared" si="1"/>
        <v>211.25</v>
      </c>
      <c r="D120" s="138"/>
      <c r="E120" s="138">
        <f t="shared" si="2"/>
        <v>105.625</v>
      </c>
      <c r="F120" s="138"/>
      <c r="G120" s="138">
        <f t="shared" si="3"/>
        <v>84.5</v>
      </c>
      <c r="H120" s="138"/>
      <c r="I120" s="140" t="s">
        <v>404</v>
      </c>
      <c r="J120" s="38">
        <v>3.6</v>
      </c>
      <c r="K120" s="38">
        <v>1.8</v>
      </c>
      <c r="L120" s="141">
        <v>1.44</v>
      </c>
      <c r="M120" s="38"/>
      <c r="N120" s="38"/>
      <c r="O120" s="38"/>
      <c r="P120" s="38"/>
      <c r="Q120" s="38"/>
      <c r="R120" s="38"/>
      <c r="T120" s="140" t="s">
        <v>404</v>
      </c>
      <c r="U120" s="38">
        <v>3.6</v>
      </c>
      <c r="V120" s="38">
        <v>1.8</v>
      </c>
      <c r="W120" s="141">
        <v>1.44</v>
      </c>
      <c r="X120" s="38" t="str">
        <f t="shared" si="4"/>
        <v>per hour</v>
      </c>
      <c r="Y120" s="44" t="str">
        <f t="shared" si="5"/>
        <v>per </v>
      </c>
    </row>
    <row r="121" ht="12.75" customHeight="1">
      <c r="C121" s="138">
        <f t="shared" si="1"/>
        <v>997.5694444</v>
      </c>
      <c r="D121" s="138"/>
      <c r="E121" s="138">
        <f t="shared" si="2"/>
        <v>498.7847222</v>
      </c>
      <c r="F121" s="138"/>
      <c r="G121" s="138">
        <f t="shared" si="3"/>
        <v>399.0277778</v>
      </c>
      <c r="H121" s="138"/>
      <c r="I121" s="140" t="s">
        <v>404</v>
      </c>
      <c r="J121" s="38">
        <v>17.0</v>
      </c>
      <c r="K121" s="38">
        <v>8.5</v>
      </c>
      <c r="L121" s="141">
        <v>6.8</v>
      </c>
      <c r="M121" s="38"/>
      <c r="N121" s="38"/>
      <c r="O121" s="38"/>
      <c r="P121" s="38"/>
      <c r="Q121" s="38"/>
      <c r="R121" s="38"/>
      <c r="T121" s="140" t="s">
        <v>404</v>
      </c>
      <c r="U121" s="38">
        <v>17.0</v>
      </c>
      <c r="V121" s="38">
        <v>8.5</v>
      </c>
      <c r="W121" s="141">
        <v>6.8</v>
      </c>
      <c r="X121" s="38" t="str">
        <f t="shared" si="4"/>
        <v>per hour</v>
      </c>
      <c r="Y121" s="44" t="str">
        <f t="shared" si="5"/>
        <v>per </v>
      </c>
    </row>
    <row r="122" ht="12.75" customHeight="1">
      <c r="C122" s="138">
        <f t="shared" si="1"/>
        <v>234.7222222</v>
      </c>
      <c r="D122" s="138"/>
      <c r="E122" s="138">
        <f t="shared" si="2"/>
        <v>117.3611111</v>
      </c>
      <c r="F122" s="138"/>
      <c r="G122" s="138">
        <f t="shared" si="3"/>
        <v>93.88888889</v>
      </c>
      <c r="H122" s="138"/>
      <c r="I122" s="140" t="s">
        <v>404</v>
      </c>
      <c r="J122" s="38">
        <v>4.0</v>
      </c>
      <c r="K122" s="38">
        <v>2.0</v>
      </c>
      <c r="L122" s="141">
        <v>1.6</v>
      </c>
      <c r="M122" s="38"/>
      <c r="N122" s="38"/>
      <c r="O122" s="38"/>
      <c r="P122" s="38"/>
      <c r="Q122" s="38"/>
      <c r="R122" s="38"/>
      <c r="T122" s="140" t="s">
        <v>404</v>
      </c>
      <c r="U122" s="38">
        <v>4.0</v>
      </c>
      <c r="V122" s="38">
        <v>2.0</v>
      </c>
      <c r="W122" s="141">
        <v>1.6</v>
      </c>
      <c r="X122" s="38" t="str">
        <f t="shared" si="4"/>
        <v>per hour</v>
      </c>
      <c r="Y122" s="44" t="str">
        <f t="shared" si="5"/>
        <v>per </v>
      </c>
    </row>
    <row r="123" ht="12.75" customHeight="1">
      <c r="C123" s="138">
        <f t="shared" si="1"/>
        <v>199.5138889</v>
      </c>
      <c r="D123" s="138"/>
      <c r="E123" s="138">
        <f t="shared" si="2"/>
        <v>99.75694444</v>
      </c>
      <c r="F123" s="138"/>
      <c r="G123" s="138">
        <f t="shared" si="3"/>
        <v>79.80555556</v>
      </c>
      <c r="H123" s="138"/>
      <c r="I123" s="140" t="s">
        <v>404</v>
      </c>
      <c r="J123" s="38">
        <v>3.4</v>
      </c>
      <c r="K123" s="38">
        <v>1.7</v>
      </c>
      <c r="L123" s="141">
        <v>1.36</v>
      </c>
      <c r="M123" s="38"/>
      <c r="N123" s="38"/>
      <c r="O123" s="38"/>
      <c r="P123" s="38"/>
      <c r="Q123" s="38"/>
      <c r="R123" s="38"/>
      <c r="T123" s="140" t="s">
        <v>404</v>
      </c>
      <c r="U123" s="38">
        <v>3.4</v>
      </c>
      <c r="V123" s="38">
        <v>1.7</v>
      </c>
      <c r="W123" s="141">
        <v>1.36</v>
      </c>
      <c r="X123" s="38" t="str">
        <f t="shared" si="4"/>
        <v>per hour</v>
      </c>
      <c r="Y123" s="44" t="str">
        <f t="shared" si="5"/>
        <v>per </v>
      </c>
    </row>
    <row r="124" ht="12.75" customHeight="1">
      <c r="C124" s="138">
        <f t="shared" si="1"/>
        <v>70.41666667</v>
      </c>
      <c r="D124" s="138"/>
      <c r="E124" s="138">
        <f t="shared" si="2"/>
        <v>35.20833333</v>
      </c>
      <c r="F124" s="138"/>
      <c r="G124" s="138">
        <f t="shared" si="3"/>
        <v>28.16666667</v>
      </c>
      <c r="H124" s="138"/>
      <c r="I124" s="140" t="s">
        <v>404</v>
      </c>
      <c r="J124" s="38">
        <v>1.2</v>
      </c>
      <c r="K124" s="38">
        <v>0.6</v>
      </c>
      <c r="L124" s="141">
        <v>0.48</v>
      </c>
      <c r="M124" s="38"/>
      <c r="N124" s="38"/>
      <c r="O124" s="38"/>
      <c r="P124" s="38"/>
      <c r="Q124" s="38"/>
      <c r="R124" s="38"/>
      <c r="T124" s="140" t="s">
        <v>404</v>
      </c>
      <c r="U124" s="38">
        <v>1.2</v>
      </c>
      <c r="V124" s="38">
        <v>0.6</v>
      </c>
      <c r="W124" s="141">
        <v>0.48</v>
      </c>
      <c r="X124" s="38" t="str">
        <f t="shared" si="4"/>
        <v>per hour</v>
      </c>
      <c r="Y124" s="44" t="str">
        <f t="shared" si="5"/>
        <v>per </v>
      </c>
    </row>
    <row r="125" ht="12.75" customHeight="1">
      <c r="C125" s="138">
        <f t="shared" si="1"/>
        <v>0</v>
      </c>
      <c r="D125" s="138"/>
      <c r="E125" s="138">
        <f t="shared" si="2"/>
        <v>0</v>
      </c>
      <c r="F125" s="138"/>
      <c r="G125" s="138">
        <f t="shared" si="3"/>
        <v>0</v>
      </c>
      <c r="H125" s="138"/>
      <c r="L125" s="139"/>
      <c r="M125" s="38"/>
      <c r="N125" s="38"/>
      <c r="O125" s="38"/>
      <c r="P125" s="38"/>
      <c r="Q125" s="38"/>
      <c r="R125" s="38"/>
      <c r="W125" s="139"/>
      <c r="X125" s="38" t="str">
        <f t="shared" si="4"/>
        <v/>
      </c>
      <c r="Y125" s="44" t="str">
        <f t="shared" si="5"/>
        <v/>
      </c>
    </row>
    <row r="126" ht="12.75" customHeight="1">
      <c r="C126" s="138">
        <f t="shared" si="1"/>
        <v>0</v>
      </c>
      <c r="D126" s="138"/>
      <c r="E126" s="138">
        <f t="shared" si="2"/>
        <v>0</v>
      </c>
      <c r="F126" s="138"/>
      <c r="G126" s="138">
        <f t="shared" si="3"/>
        <v>0</v>
      </c>
      <c r="H126" s="138"/>
      <c r="L126" s="139"/>
      <c r="M126" s="38"/>
      <c r="N126" s="38"/>
      <c r="O126" s="38"/>
      <c r="P126" s="38"/>
      <c r="Q126" s="38"/>
      <c r="R126" s="38"/>
      <c r="W126" s="139"/>
      <c r="X126" s="38" t="str">
        <f t="shared" si="4"/>
        <v/>
      </c>
      <c r="Y126" s="44" t="str">
        <f t="shared" si="5"/>
        <v/>
      </c>
    </row>
    <row r="127" ht="12.75" customHeight="1">
      <c r="C127" s="138">
        <f t="shared" si="1"/>
        <v>0</v>
      </c>
      <c r="D127" s="138"/>
      <c r="E127" s="138">
        <f t="shared" si="2"/>
        <v>0</v>
      </c>
      <c r="F127" s="138"/>
      <c r="G127" s="138">
        <f t="shared" si="3"/>
        <v>0</v>
      </c>
      <c r="H127" s="138"/>
      <c r="L127" s="139"/>
      <c r="M127" s="38"/>
      <c r="N127" s="38"/>
      <c r="O127" s="38"/>
      <c r="P127" s="38"/>
      <c r="Q127" s="38"/>
      <c r="R127" s="38"/>
      <c r="W127" s="139"/>
      <c r="X127" s="38" t="str">
        <f t="shared" si="4"/>
        <v/>
      </c>
      <c r="Y127" s="44" t="str">
        <f t="shared" si="5"/>
        <v/>
      </c>
    </row>
    <row r="128" ht="12.75" customHeight="1">
      <c r="C128" s="138">
        <f t="shared" si="1"/>
        <v>586.8055556</v>
      </c>
      <c r="D128" s="138"/>
      <c r="E128" s="138">
        <f t="shared" si="2"/>
        <v>293.4027778</v>
      </c>
      <c r="F128" s="138"/>
      <c r="G128" s="138">
        <f t="shared" si="3"/>
        <v>234.7222222</v>
      </c>
      <c r="H128" s="138"/>
      <c r="I128" s="140" t="s">
        <v>413</v>
      </c>
      <c r="J128" s="38">
        <v>10.0</v>
      </c>
      <c r="K128" s="38">
        <v>5.0</v>
      </c>
      <c r="L128" s="141">
        <v>4.0</v>
      </c>
      <c r="M128" s="38"/>
      <c r="N128" s="38"/>
      <c r="O128" s="38"/>
      <c r="P128" s="38"/>
      <c r="Q128" s="38"/>
      <c r="R128" s="38"/>
      <c r="T128" s="140" t="s">
        <v>413</v>
      </c>
      <c r="U128" s="38">
        <v>10.0</v>
      </c>
      <c r="V128" s="38">
        <v>5.0</v>
      </c>
      <c r="W128" s="141">
        <v>4.0</v>
      </c>
      <c r="X128" s="38" t="str">
        <f t="shared" si="4"/>
        <v>per hour</v>
      </c>
      <c r="Y128" s="44" t="str">
        <f t="shared" si="5"/>
        <v>per </v>
      </c>
    </row>
    <row r="129" ht="12.75" customHeight="1">
      <c r="C129" s="138">
        <f t="shared" si="1"/>
        <v>2934.027778</v>
      </c>
      <c r="D129" s="138"/>
      <c r="E129" s="138">
        <f t="shared" si="2"/>
        <v>1467.013889</v>
      </c>
      <c r="F129" s="138"/>
      <c r="G129" s="138">
        <f t="shared" si="3"/>
        <v>1173.611111</v>
      </c>
      <c r="H129" s="138"/>
      <c r="I129" s="140" t="s">
        <v>413</v>
      </c>
      <c r="J129" s="38">
        <v>50.0</v>
      </c>
      <c r="K129" s="38">
        <v>25.0</v>
      </c>
      <c r="L129" s="141">
        <v>20.0</v>
      </c>
      <c r="M129" s="38"/>
      <c r="N129" s="38"/>
      <c r="O129" s="38"/>
      <c r="P129" s="38"/>
      <c r="Q129" s="38"/>
      <c r="R129" s="38"/>
      <c r="T129" s="140" t="s">
        <v>413</v>
      </c>
      <c r="U129" s="38">
        <v>50.0</v>
      </c>
      <c r="V129" s="38">
        <v>25.0</v>
      </c>
      <c r="W129" s="141">
        <v>20.0</v>
      </c>
      <c r="X129" s="38" t="str">
        <f t="shared" si="4"/>
        <v>per hour</v>
      </c>
      <c r="Y129" s="44" t="str">
        <f t="shared" si="5"/>
        <v>per </v>
      </c>
    </row>
    <row r="130" ht="12.75" customHeight="1">
      <c r="C130" s="138">
        <f t="shared" si="1"/>
        <v>117.3611111</v>
      </c>
      <c r="D130" s="138"/>
      <c r="E130" s="138">
        <f t="shared" si="2"/>
        <v>58.68055556</v>
      </c>
      <c r="F130" s="138"/>
      <c r="G130" s="138">
        <f t="shared" si="3"/>
        <v>46.94444444</v>
      </c>
      <c r="H130" s="138"/>
      <c r="I130" s="140" t="s">
        <v>404</v>
      </c>
      <c r="J130" s="38">
        <v>2.0</v>
      </c>
      <c r="K130" s="38">
        <v>1.0</v>
      </c>
      <c r="L130" s="141">
        <v>0.8</v>
      </c>
      <c r="M130" s="38"/>
      <c r="N130" s="38"/>
      <c r="O130" s="38"/>
      <c r="P130" s="38"/>
      <c r="Q130" s="38"/>
      <c r="R130" s="38"/>
      <c r="T130" s="140" t="s">
        <v>404</v>
      </c>
      <c r="U130" s="38">
        <v>2.0</v>
      </c>
      <c r="V130" s="38">
        <v>1.0</v>
      </c>
      <c r="W130" s="141">
        <v>0.8</v>
      </c>
      <c r="X130" s="38" t="str">
        <f t="shared" si="4"/>
        <v>per hour</v>
      </c>
      <c r="Y130" s="44" t="str">
        <f t="shared" si="5"/>
        <v>per </v>
      </c>
    </row>
    <row r="131" ht="12.75" customHeight="1">
      <c r="C131" s="138">
        <f t="shared" si="1"/>
        <v>167.8263889</v>
      </c>
      <c r="D131" s="138"/>
      <c r="E131" s="138">
        <f t="shared" si="2"/>
        <v>83.91319444</v>
      </c>
      <c r="F131" s="138"/>
      <c r="G131" s="138">
        <f t="shared" si="3"/>
        <v>66.89583333</v>
      </c>
      <c r="H131" s="138"/>
      <c r="I131" s="140" t="s">
        <v>404</v>
      </c>
      <c r="J131" s="38">
        <v>2.86</v>
      </c>
      <c r="K131" s="38">
        <v>1.43</v>
      </c>
      <c r="L131" s="141">
        <v>1.14</v>
      </c>
      <c r="M131" s="38"/>
      <c r="N131" s="38"/>
      <c r="O131" s="38"/>
      <c r="P131" s="38"/>
      <c r="Q131" s="38"/>
      <c r="R131" s="38"/>
      <c r="T131" s="140" t="s">
        <v>404</v>
      </c>
      <c r="U131" s="38">
        <v>2.86</v>
      </c>
      <c r="V131" s="38">
        <v>1.43</v>
      </c>
      <c r="W131" s="141">
        <v>1.14</v>
      </c>
      <c r="X131" s="38" t="str">
        <f t="shared" si="4"/>
        <v>per hour</v>
      </c>
      <c r="Y131" s="44" t="str">
        <f t="shared" si="5"/>
        <v>per </v>
      </c>
    </row>
    <row r="132" ht="12.75" customHeight="1">
      <c r="C132" s="138">
        <f t="shared" si="1"/>
        <v>0</v>
      </c>
      <c r="D132" s="138"/>
      <c r="E132" s="138">
        <f t="shared" si="2"/>
        <v>0</v>
      </c>
      <c r="F132" s="138"/>
      <c r="G132" s="138">
        <f t="shared" si="3"/>
        <v>0</v>
      </c>
      <c r="H132" s="138"/>
      <c r="J132" s="38"/>
      <c r="K132" s="38"/>
      <c r="L132" s="141"/>
      <c r="M132" s="38"/>
      <c r="N132" s="38"/>
      <c r="O132" s="38"/>
      <c r="P132" s="38"/>
      <c r="Q132" s="38"/>
      <c r="R132" s="38"/>
      <c r="U132" s="38"/>
      <c r="V132" s="38"/>
      <c r="W132" s="141"/>
      <c r="X132" s="38" t="str">
        <f t="shared" si="4"/>
        <v/>
      </c>
      <c r="Y132" s="44" t="str">
        <f t="shared" si="5"/>
        <v/>
      </c>
    </row>
    <row r="133" ht="12.75" customHeight="1">
      <c r="C133" s="138">
        <f t="shared" si="1"/>
        <v>8.215277778</v>
      </c>
      <c r="D133" s="138"/>
      <c r="E133" s="138">
        <f t="shared" si="2"/>
        <v>4.107638889</v>
      </c>
      <c r="F133" s="138"/>
      <c r="G133" s="138">
        <f t="shared" si="3"/>
        <v>3.520833333</v>
      </c>
      <c r="H133" s="138"/>
      <c r="I133" s="140" t="s">
        <v>414</v>
      </c>
      <c r="J133" s="38">
        <v>0.14</v>
      </c>
      <c r="K133" s="38">
        <v>0.07</v>
      </c>
      <c r="L133" s="141">
        <v>0.06</v>
      </c>
      <c r="M133" s="38"/>
      <c r="N133" s="38"/>
      <c r="O133" s="38"/>
      <c r="P133" s="38"/>
      <c r="Q133" s="38"/>
      <c r="R133" s="38"/>
      <c r="T133" s="140" t="s">
        <v>414</v>
      </c>
      <c r="U133" s="38">
        <v>0.14</v>
      </c>
      <c r="V133" s="38">
        <v>0.07</v>
      </c>
      <c r="W133" s="141">
        <v>0.06</v>
      </c>
      <c r="X133" s="38" t="str">
        <f t="shared" si="4"/>
        <v>per hour</v>
      </c>
      <c r="Y133" s="44" t="str">
        <f t="shared" si="5"/>
        <v>per </v>
      </c>
    </row>
    <row r="134" ht="12.75" customHeight="1">
      <c r="C134" s="138">
        <f t="shared" si="1"/>
        <v>9.388888889</v>
      </c>
      <c r="D134" s="138"/>
      <c r="E134" s="138">
        <f t="shared" si="2"/>
        <v>4.694444444</v>
      </c>
      <c r="F134" s="138"/>
      <c r="G134" s="138">
        <f t="shared" si="3"/>
        <v>3.520833333</v>
      </c>
      <c r="H134" s="138"/>
      <c r="I134" s="140" t="s">
        <v>414</v>
      </c>
      <c r="J134" s="38">
        <v>0.16</v>
      </c>
      <c r="K134" s="38">
        <v>0.08</v>
      </c>
      <c r="L134" s="141">
        <v>0.06</v>
      </c>
      <c r="M134" s="38"/>
      <c r="N134" s="38"/>
      <c r="O134" s="38"/>
      <c r="P134" s="38"/>
      <c r="Q134" s="38"/>
      <c r="R134" s="38"/>
      <c r="T134" s="140" t="s">
        <v>414</v>
      </c>
      <c r="U134" s="38">
        <v>0.16</v>
      </c>
      <c r="V134" s="38">
        <v>0.08</v>
      </c>
      <c r="W134" s="141">
        <v>0.06</v>
      </c>
      <c r="X134" s="38" t="str">
        <f t="shared" si="4"/>
        <v>per hour</v>
      </c>
      <c r="Y134" s="44" t="str">
        <f t="shared" si="5"/>
        <v>per </v>
      </c>
    </row>
    <row r="135" ht="12.75" customHeight="1">
      <c r="C135" s="138">
        <f t="shared" si="1"/>
        <v>11.73611111</v>
      </c>
      <c r="D135" s="138"/>
      <c r="E135" s="138">
        <f t="shared" si="2"/>
        <v>5.868055556</v>
      </c>
      <c r="F135" s="138"/>
      <c r="G135" s="138">
        <f t="shared" si="3"/>
        <v>4.694444444</v>
      </c>
      <c r="H135" s="138"/>
      <c r="I135" s="140" t="s">
        <v>414</v>
      </c>
      <c r="J135" s="38">
        <v>0.2</v>
      </c>
      <c r="K135" s="38">
        <v>0.1</v>
      </c>
      <c r="L135" s="141">
        <v>0.08</v>
      </c>
      <c r="M135" s="38"/>
      <c r="N135" s="38"/>
      <c r="O135" s="38"/>
      <c r="P135" s="38"/>
      <c r="Q135" s="38"/>
      <c r="R135" s="38"/>
      <c r="T135" s="140" t="s">
        <v>414</v>
      </c>
      <c r="U135" s="38">
        <v>0.2</v>
      </c>
      <c r="V135" s="38">
        <v>0.1</v>
      </c>
      <c r="W135" s="141">
        <v>0.08</v>
      </c>
      <c r="X135" s="38" t="str">
        <f t="shared" si="4"/>
        <v>per hour</v>
      </c>
      <c r="Y135" s="44" t="str">
        <f t="shared" si="5"/>
        <v>per </v>
      </c>
    </row>
    <row r="136" ht="12.75" customHeight="1">
      <c r="C136" s="138">
        <f t="shared" si="1"/>
        <v>1877.777778</v>
      </c>
      <c r="D136" s="138"/>
      <c r="E136" s="138">
        <f t="shared" si="2"/>
        <v>938.8888889</v>
      </c>
      <c r="F136" s="138"/>
      <c r="G136" s="138">
        <f t="shared" si="3"/>
        <v>751.1111111</v>
      </c>
      <c r="H136" s="138"/>
      <c r="I136" s="140" t="s">
        <v>413</v>
      </c>
      <c r="J136" s="38">
        <v>32.0</v>
      </c>
      <c r="K136" s="38">
        <v>16.0</v>
      </c>
      <c r="L136" s="141">
        <v>12.8</v>
      </c>
      <c r="M136" s="38"/>
      <c r="N136" s="38"/>
      <c r="O136" s="38"/>
      <c r="P136" s="38"/>
      <c r="Q136" s="38"/>
      <c r="R136" s="38"/>
      <c r="T136" s="140" t="s">
        <v>413</v>
      </c>
      <c r="U136" s="38">
        <v>32.0</v>
      </c>
      <c r="V136" s="38">
        <v>16.0</v>
      </c>
      <c r="W136" s="141">
        <v>12.8</v>
      </c>
      <c r="X136" s="38" t="str">
        <f t="shared" si="4"/>
        <v>per hour</v>
      </c>
      <c r="Y136" s="44" t="str">
        <f t="shared" si="5"/>
        <v>per </v>
      </c>
    </row>
    <row r="137" ht="12.75" customHeight="1">
      <c r="C137" s="138">
        <f t="shared" si="1"/>
        <v>211.25</v>
      </c>
      <c r="D137" s="138"/>
      <c r="E137" s="138">
        <f t="shared" si="2"/>
        <v>105.625</v>
      </c>
      <c r="F137" s="138"/>
      <c r="G137" s="138">
        <f t="shared" si="3"/>
        <v>84.5</v>
      </c>
      <c r="H137" s="138"/>
      <c r="I137" s="140" t="s">
        <v>413</v>
      </c>
      <c r="J137" s="38">
        <v>3.6</v>
      </c>
      <c r="K137" s="38">
        <v>1.8</v>
      </c>
      <c r="L137" s="141">
        <v>1.44</v>
      </c>
      <c r="M137" s="38"/>
      <c r="N137" s="38"/>
      <c r="O137" s="38"/>
      <c r="P137" s="38"/>
      <c r="Q137" s="38"/>
      <c r="R137" s="38"/>
      <c r="T137" s="140" t="s">
        <v>413</v>
      </c>
      <c r="U137" s="38">
        <v>3.6</v>
      </c>
      <c r="V137" s="38">
        <v>1.8</v>
      </c>
      <c r="W137" s="141">
        <v>1.44</v>
      </c>
      <c r="X137" s="38" t="str">
        <f t="shared" si="4"/>
        <v>per hour</v>
      </c>
      <c r="Y137" s="44" t="str">
        <f t="shared" si="5"/>
        <v>per </v>
      </c>
    </row>
    <row r="138" ht="12.75" customHeight="1">
      <c r="C138" s="138">
        <f t="shared" si="1"/>
        <v>0</v>
      </c>
      <c r="D138" s="138"/>
      <c r="E138" s="138">
        <f t="shared" si="2"/>
        <v>0</v>
      </c>
      <c r="F138" s="138"/>
      <c r="G138" s="138">
        <f t="shared" si="3"/>
        <v>0</v>
      </c>
      <c r="H138" s="138"/>
      <c r="J138" s="38"/>
      <c r="K138" s="38"/>
      <c r="L138" s="141"/>
      <c r="M138" s="38"/>
      <c r="N138" s="38"/>
      <c r="O138" s="38"/>
      <c r="P138" s="38"/>
      <c r="Q138" s="38"/>
      <c r="R138" s="38"/>
      <c r="U138" s="38"/>
      <c r="V138" s="38"/>
      <c r="W138" s="141"/>
      <c r="X138" s="38" t="str">
        <f t="shared" si="4"/>
        <v/>
      </c>
      <c r="Y138" s="44" t="str">
        <f t="shared" si="5"/>
        <v/>
      </c>
    </row>
    <row r="139" ht="12.75" customHeight="1">
      <c r="C139" s="138">
        <f t="shared" si="1"/>
        <v>821.5277778</v>
      </c>
      <c r="D139" s="138"/>
      <c r="E139" s="138">
        <f t="shared" si="2"/>
        <v>410.7638889</v>
      </c>
      <c r="F139" s="138"/>
      <c r="G139" s="138">
        <f t="shared" si="3"/>
        <v>328.6111111</v>
      </c>
      <c r="H139" s="138"/>
      <c r="I139" s="140" t="s">
        <v>413</v>
      </c>
      <c r="J139" s="38">
        <v>14.0</v>
      </c>
      <c r="K139" s="38">
        <v>7.0</v>
      </c>
      <c r="L139" s="141">
        <v>5.6</v>
      </c>
      <c r="M139" s="38"/>
      <c r="N139" s="38"/>
      <c r="O139" s="38"/>
      <c r="P139" s="38"/>
      <c r="Q139" s="38"/>
      <c r="R139" s="38"/>
      <c r="T139" s="140" t="s">
        <v>413</v>
      </c>
      <c r="U139" s="38">
        <v>14.0</v>
      </c>
      <c r="V139" s="38">
        <v>7.0</v>
      </c>
      <c r="W139" s="141">
        <v>5.6</v>
      </c>
      <c r="X139" s="38" t="str">
        <f t="shared" si="4"/>
        <v>per hour</v>
      </c>
      <c r="Y139" s="44" t="str">
        <f t="shared" si="5"/>
        <v>per </v>
      </c>
    </row>
    <row r="140" ht="12.75" customHeight="1">
      <c r="C140" s="138">
        <f t="shared" si="1"/>
        <v>1643.055556</v>
      </c>
      <c r="D140" s="138"/>
      <c r="E140" s="138">
        <f t="shared" si="2"/>
        <v>821.5277778</v>
      </c>
      <c r="F140" s="138"/>
      <c r="G140" s="138">
        <f t="shared" si="3"/>
        <v>657.2222222</v>
      </c>
      <c r="H140" s="138"/>
      <c r="I140" s="140" t="s">
        <v>413</v>
      </c>
      <c r="J140" s="38">
        <v>28.0</v>
      </c>
      <c r="K140" s="38">
        <v>14.0</v>
      </c>
      <c r="L140" s="141">
        <v>11.2</v>
      </c>
      <c r="M140" s="38"/>
      <c r="N140" s="38"/>
      <c r="O140" s="38"/>
      <c r="P140" s="38"/>
      <c r="Q140" s="38"/>
      <c r="R140" s="38"/>
      <c r="T140" s="140" t="s">
        <v>413</v>
      </c>
      <c r="U140" s="38">
        <v>28.0</v>
      </c>
      <c r="V140" s="38">
        <v>14.0</v>
      </c>
      <c r="W140" s="141">
        <v>11.2</v>
      </c>
      <c r="X140" s="38" t="str">
        <f t="shared" si="4"/>
        <v>per hour</v>
      </c>
      <c r="Y140" s="44" t="str">
        <f t="shared" si="5"/>
        <v>per </v>
      </c>
    </row>
    <row r="141" ht="12.75" customHeight="1">
      <c r="C141" s="138">
        <f t="shared" si="1"/>
        <v>3168.75</v>
      </c>
      <c r="D141" s="138"/>
      <c r="E141" s="138">
        <f t="shared" si="2"/>
        <v>1584.375</v>
      </c>
      <c r="F141" s="138"/>
      <c r="G141" s="138">
        <f t="shared" si="3"/>
        <v>1267.5</v>
      </c>
      <c r="H141" s="138"/>
      <c r="I141" s="140" t="s">
        <v>413</v>
      </c>
      <c r="J141" s="38">
        <v>54.0</v>
      </c>
      <c r="K141" s="38">
        <v>27.0</v>
      </c>
      <c r="L141" s="141">
        <v>21.6</v>
      </c>
      <c r="M141" s="38"/>
      <c r="N141" s="38"/>
      <c r="O141" s="38"/>
      <c r="P141" s="38"/>
      <c r="Q141" s="38"/>
      <c r="R141" s="38"/>
      <c r="T141" s="140" t="s">
        <v>413</v>
      </c>
      <c r="U141" s="38">
        <v>54.0</v>
      </c>
      <c r="V141" s="38">
        <v>27.0</v>
      </c>
      <c r="W141" s="141">
        <v>21.6</v>
      </c>
      <c r="X141" s="38" t="str">
        <f t="shared" si="4"/>
        <v>per hour</v>
      </c>
      <c r="Y141" s="44" t="str">
        <f t="shared" si="5"/>
        <v>per </v>
      </c>
    </row>
    <row r="142" ht="12.75" customHeight="1">
      <c r="C142" s="138">
        <f t="shared" si="1"/>
        <v>328.6111111</v>
      </c>
      <c r="D142" s="138"/>
      <c r="E142" s="138">
        <f t="shared" si="2"/>
        <v>164.3055556</v>
      </c>
      <c r="F142" s="138"/>
      <c r="G142" s="138">
        <f t="shared" si="3"/>
        <v>131.4444444</v>
      </c>
      <c r="H142" s="138"/>
      <c r="I142" s="140" t="s">
        <v>404</v>
      </c>
      <c r="J142" s="38">
        <v>5.6</v>
      </c>
      <c r="K142" s="38">
        <v>2.8</v>
      </c>
      <c r="L142" s="141">
        <v>2.24</v>
      </c>
      <c r="M142" s="38"/>
      <c r="N142" s="38"/>
      <c r="O142" s="38"/>
      <c r="P142" s="38"/>
      <c r="Q142" s="38"/>
      <c r="R142" s="38"/>
      <c r="T142" s="140" t="s">
        <v>404</v>
      </c>
      <c r="U142" s="38">
        <v>5.6</v>
      </c>
      <c r="V142" s="38">
        <v>2.8</v>
      </c>
      <c r="W142" s="141">
        <v>2.24</v>
      </c>
      <c r="X142" s="38" t="str">
        <f t="shared" si="4"/>
        <v>per hour</v>
      </c>
      <c r="Y142" s="44" t="str">
        <f t="shared" si="5"/>
        <v>per </v>
      </c>
    </row>
    <row r="143" ht="12.75" customHeight="1">
      <c r="C143" s="138">
        <f t="shared" si="1"/>
        <v>0</v>
      </c>
      <c r="D143" s="138"/>
      <c r="E143" s="138">
        <f t="shared" si="2"/>
        <v>0</v>
      </c>
      <c r="F143" s="138"/>
      <c r="G143" s="138">
        <f t="shared" si="3"/>
        <v>0</v>
      </c>
      <c r="H143" s="138"/>
      <c r="J143" s="38"/>
      <c r="K143" s="38"/>
      <c r="L143" s="141"/>
      <c r="M143" s="38"/>
      <c r="N143" s="38"/>
      <c r="O143" s="38"/>
      <c r="P143" s="38"/>
      <c r="Q143" s="38"/>
      <c r="R143" s="38"/>
      <c r="U143" s="38"/>
      <c r="V143" s="38"/>
      <c r="W143" s="141"/>
      <c r="X143" s="38" t="str">
        <f t="shared" si="4"/>
        <v/>
      </c>
      <c r="Y143" s="44" t="str">
        <f t="shared" si="5"/>
        <v/>
      </c>
    </row>
    <row r="144" ht="12.75" customHeight="1">
      <c r="C144" s="138">
        <f t="shared" si="1"/>
        <v>2464.583333</v>
      </c>
      <c r="D144" s="138"/>
      <c r="E144" s="138">
        <f t="shared" si="2"/>
        <v>1232.291667</v>
      </c>
      <c r="F144" s="138"/>
      <c r="G144" s="138">
        <f t="shared" si="3"/>
        <v>985.8333333</v>
      </c>
      <c r="H144" s="138"/>
      <c r="I144" s="140" t="s">
        <v>413</v>
      </c>
      <c r="J144" s="38">
        <v>42.0</v>
      </c>
      <c r="K144" s="38">
        <v>21.0</v>
      </c>
      <c r="L144" s="141">
        <v>16.8</v>
      </c>
      <c r="M144" s="38"/>
      <c r="N144" s="38"/>
      <c r="O144" s="38"/>
      <c r="P144" s="38"/>
      <c r="Q144" s="38"/>
      <c r="R144" s="38"/>
      <c r="T144" s="140" t="s">
        <v>413</v>
      </c>
      <c r="U144" s="38">
        <v>42.0</v>
      </c>
      <c r="V144" s="38">
        <v>21.0</v>
      </c>
      <c r="W144" s="141">
        <v>16.8</v>
      </c>
      <c r="X144" s="38" t="str">
        <f t="shared" si="4"/>
        <v>per hour</v>
      </c>
      <c r="Y144" s="44" t="str">
        <f t="shared" si="5"/>
        <v>per </v>
      </c>
    </row>
    <row r="145" ht="12.75" customHeight="1">
      <c r="C145" s="138">
        <f t="shared" si="1"/>
        <v>62.20138889</v>
      </c>
      <c r="D145" s="138"/>
      <c r="E145" s="138">
        <f t="shared" si="2"/>
        <v>31.10069444</v>
      </c>
      <c r="F145" s="138"/>
      <c r="G145" s="138">
        <f t="shared" si="3"/>
        <v>24.64583333</v>
      </c>
      <c r="H145" s="138"/>
      <c r="I145" s="140" t="s">
        <v>414</v>
      </c>
      <c r="J145" s="38">
        <v>1.06</v>
      </c>
      <c r="K145" s="38">
        <v>0.53</v>
      </c>
      <c r="L145" s="141">
        <v>0.42</v>
      </c>
      <c r="M145" s="38"/>
      <c r="N145" s="38"/>
      <c r="O145" s="38"/>
      <c r="P145" s="38"/>
      <c r="Q145" s="38"/>
      <c r="R145" s="38"/>
      <c r="T145" s="140" t="s">
        <v>414</v>
      </c>
      <c r="U145" s="38">
        <v>1.06</v>
      </c>
      <c r="V145" s="38">
        <v>0.53</v>
      </c>
      <c r="W145" s="141">
        <v>0.42</v>
      </c>
      <c r="X145" s="38" t="str">
        <f t="shared" si="4"/>
        <v>per hour</v>
      </c>
      <c r="Y145" s="44" t="str">
        <f t="shared" si="5"/>
        <v>per </v>
      </c>
    </row>
    <row r="146" ht="12.75" customHeight="1">
      <c r="C146" s="138">
        <f t="shared" si="1"/>
        <v>38.72916667</v>
      </c>
      <c r="D146" s="138"/>
      <c r="E146" s="138">
        <f t="shared" si="2"/>
        <v>19.36458333</v>
      </c>
      <c r="F146" s="138"/>
      <c r="G146" s="138">
        <f t="shared" si="3"/>
        <v>15.25694444</v>
      </c>
      <c r="H146" s="138"/>
      <c r="I146" s="140" t="s">
        <v>414</v>
      </c>
      <c r="J146" s="38">
        <v>0.66</v>
      </c>
      <c r="K146" s="38">
        <v>0.33</v>
      </c>
      <c r="L146" s="141">
        <v>0.26</v>
      </c>
      <c r="M146" s="38"/>
      <c r="N146" s="38"/>
      <c r="O146" s="38"/>
      <c r="P146" s="38"/>
      <c r="Q146" s="38"/>
      <c r="R146" s="38"/>
      <c r="T146" s="140" t="s">
        <v>414</v>
      </c>
      <c r="U146" s="38">
        <v>0.66</v>
      </c>
      <c r="V146" s="38">
        <v>0.33</v>
      </c>
      <c r="W146" s="141">
        <v>0.26</v>
      </c>
      <c r="X146" s="38" t="str">
        <f t="shared" si="4"/>
        <v>per hour</v>
      </c>
      <c r="Y146" s="44" t="str">
        <f t="shared" si="5"/>
        <v>per </v>
      </c>
    </row>
    <row r="147" ht="12.75" customHeight="1">
      <c r="C147" s="138">
        <f t="shared" si="1"/>
        <v>0</v>
      </c>
      <c r="D147" s="138"/>
      <c r="E147" s="138">
        <f t="shared" si="2"/>
        <v>0</v>
      </c>
      <c r="F147" s="138"/>
      <c r="G147" s="138">
        <f t="shared" si="3"/>
        <v>0</v>
      </c>
      <c r="H147" s="138"/>
      <c r="L147" s="139"/>
      <c r="M147" s="38"/>
      <c r="N147" s="38"/>
      <c r="O147" s="38"/>
      <c r="P147" s="38"/>
      <c r="Q147" s="38"/>
      <c r="R147" s="38"/>
      <c r="W147" s="139"/>
      <c r="X147" s="38" t="str">
        <f t="shared" si="4"/>
        <v/>
      </c>
      <c r="Y147" s="44" t="str">
        <f t="shared" si="5"/>
        <v/>
      </c>
    </row>
    <row r="148" ht="12.75" customHeight="1">
      <c r="C148" s="138">
        <f t="shared" si="1"/>
        <v>0</v>
      </c>
      <c r="D148" s="138"/>
      <c r="E148" s="138">
        <f t="shared" si="2"/>
        <v>0</v>
      </c>
      <c r="F148" s="138"/>
      <c r="G148" s="138">
        <f t="shared" si="3"/>
        <v>0</v>
      </c>
      <c r="H148" s="138"/>
      <c r="L148" s="139"/>
      <c r="M148" s="38"/>
      <c r="N148" s="38"/>
      <c r="O148" s="38"/>
      <c r="P148" s="38"/>
      <c r="Q148" s="38"/>
      <c r="R148" s="38"/>
      <c r="W148" s="139"/>
      <c r="X148" s="38" t="str">
        <f t="shared" si="4"/>
        <v/>
      </c>
      <c r="Y148" s="44" t="str">
        <f t="shared" si="5"/>
        <v/>
      </c>
    </row>
    <row r="149" ht="12.75" customHeight="1">
      <c r="C149" s="138">
        <f t="shared" si="1"/>
        <v>0</v>
      </c>
      <c r="D149" s="138"/>
      <c r="E149" s="138">
        <f t="shared" si="2"/>
        <v>0</v>
      </c>
      <c r="F149" s="138"/>
      <c r="G149" s="138">
        <f t="shared" si="3"/>
        <v>0</v>
      </c>
      <c r="H149" s="138"/>
      <c r="L149" s="139"/>
      <c r="M149" s="38"/>
      <c r="N149" s="38"/>
      <c r="O149" s="38"/>
      <c r="P149" s="38"/>
      <c r="Q149" s="38"/>
      <c r="R149" s="38"/>
      <c r="W149" s="139"/>
      <c r="X149" s="38" t="str">
        <f t="shared" si="4"/>
        <v/>
      </c>
      <c r="Y149" s="44" t="str">
        <f t="shared" si="5"/>
        <v/>
      </c>
    </row>
    <row r="150" ht="12.75" customHeight="1">
      <c r="C150" s="138">
        <f t="shared" si="1"/>
        <v>70.41666667</v>
      </c>
      <c r="D150" s="138"/>
      <c r="E150" s="138">
        <f t="shared" si="2"/>
        <v>35.20833333</v>
      </c>
      <c r="F150" s="138"/>
      <c r="G150" s="138">
        <f t="shared" si="3"/>
        <v>28.16666667</v>
      </c>
      <c r="H150" s="138"/>
      <c r="I150" s="140" t="s">
        <v>413</v>
      </c>
      <c r="J150" s="38">
        <v>1.2</v>
      </c>
      <c r="K150" s="38">
        <v>0.6</v>
      </c>
      <c r="L150" s="141">
        <v>0.48</v>
      </c>
      <c r="M150" s="38"/>
      <c r="N150" s="38"/>
      <c r="O150" s="38"/>
      <c r="P150" s="38"/>
      <c r="Q150" s="38"/>
      <c r="R150" s="38"/>
      <c r="T150" s="140" t="s">
        <v>413</v>
      </c>
      <c r="U150" s="38">
        <v>1.2</v>
      </c>
      <c r="V150" s="38">
        <v>0.6</v>
      </c>
      <c r="W150" s="141">
        <v>0.48</v>
      </c>
      <c r="X150" s="38" t="str">
        <f t="shared" si="4"/>
        <v>per hour</v>
      </c>
      <c r="Y150" s="44" t="str">
        <f t="shared" si="5"/>
        <v>per </v>
      </c>
    </row>
    <row r="151" ht="12.75" customHeight="1">
      <c r="C151" s="138">
        <f t="shared" si="1"/>
        <v>93.88888889</v>
      </c>
      <c r="D151" s="138"/>
      <c r="E151" s="138">
        <f t="shared" si="2"/>
        <v>46.94444444</v>
      </c>
      <c r="F151" s="138"/>
      <c r="G151" s="138">
        <f t="shared" si="3"/>
        <v>37.55555556</v>
      </c>
      <c r="H151" s="138"/>
      <c r="I151" s="140" t="s">
        <v>413</v>
      </c>
      <c r="J151" s="38">
        <v>1.6</v>
      </c>
      <c r="K151" s="38">
        <v>0.8</v>
      </c>
      <c r="L151" s="141">
        <v>0.64</v>
      </c>
      <c r="M151" s="38"/>
      <c r="N151" s="38"/>
      <c r="O151" s="38"/>
      <c r="P151" s="38"/>
      <c r="Q151" s="38"/>
      <c r="R151" s="38"/>
      <c r="T151" s="140" t="s">
        <v>413</v>
      </c>
      <c r="U151" s="38">
        <v>1.6</v>
      </c>
      <c r="V151" s="38">
        <v>0.8</v>
      </c>
      <c r="W151" s="141">
        <v>0.64</v>
      </c>
      <c r="X151" s="38" t="str">
        <f t="shared" si="4"/>
        <v>per hour</v>
      </c>
      <c r="Y151" s="44" t="str">
        <f t="shared" si="5"/>
        <v>per </v>
      </c>
    </row>
    <row r="152" ht="12.75" customHeight="1">
      <c r="C152" s="138">
        <f t="shared" si="1"/>
        <v>129.0972222</v>
      </c>
      <c r="D152" s="138"/>
      <c r="E152" s="138">
        <f t="shared" si="2"/>
        <v>64.54861111</v>
      </c>
      <c r="F152" s="138"/>
      <c r="G152" s="138">
        <f t="shared" si="3"/>
        <v>51.63888889</v>
      </c>
      <c r="H152" s="138"/>
      <c r="I152" s="140" t="s">
        <v>413</v>
      </c>
      <c r="J152" s="38">
        <v>2.2</v>
      </c>
      <c r="K152" s="38">
        <v>1.1</v>
      </c>
      <c r="L152" s="141">
        <v>0.88</v>
      </c>
      <c r="M152" s="38"/>
      <c r="N152" s="38"/>
      <c r="O152" s="38"/>
      <c r="P152" s="38"/>
      <c r="Q152" s="38"/>
      <c r="R152" s="38"/>
      <c r="T152" s="140" t="s">
        <v>413</v>
      </c>
      <c r="U152" s="38">
        <v>2.2</v>
      </c>
      <c r="V152" s="38">
        <v>1.1</v>
      </c>
      <c r="W152" s="141">
        <v>0.88</v>
      </c>
      <c r="X152" s="38" t="str">
        <f t="shared" si="4"/>
        <v>per hour</v>
      </c>
      <c r="Y152" s="44" t="str">
        <f t="shared" si="5"/>
        <v>per </v>
      </c>
    </row>
    <row r="153" ht="12.75" customHeight="1">
      <c r="C153" s="138">
        <f t="shared" si="1"/>
        <v>140.8333333</v>
      </c>
      <c r="D153" s="138"/>
      <c r="E153" s="138">
        <f t="shared" si="2"/>
        <v>70.41666667</v>
      </c>
      <c r="F153" s="138"/>
      <c r="G153" s="138">
        <f t="shared" si="3"/>
        <v>56.33333333</v>
      </c>
      <c r="H153" s="138"/>
      <c r="I153" s="140" t="s">
        <v>413</v>
      </c>
      <c r="J153" s="38">
        <v>2.4</v>
      </c>
      <c r="K153" s="38">
        <v>1.2</v>
      </c>
      <c r="L153" s="141">
        <v>0.96</v>
      </c>
      <c r="M153" s="38"/>
      <c r="N153" s="38"/>
      <c r="O153" s="38"/>
      <c r="P153" s="38"/>
      <c r="Q153" s="38"/>
      <c r="R153" s="38"/>
      <c r="T153" s="140" t="s">
        <v>413</v>
      </c>
      <c r="U153" s="38">
        <v>2.4</v>
      </c>
      <c r="V153" s="38">
        <v>1.2</v>
      </c>
      <c r="W153" s="141">
        <v>0.96</v>
      </c>
      <c r="X153" s="38" t="str">
        <f t="shared" si="4"/>
        <v>per hour</v>
      </c>
      <c r="Y153" s="44" t="str">
        <f t="shared" si="5"/>
        <v>per </v>
      </c>
    </row>
    <row r="154" ht="12.75" customHeight="1">
      <c r="C154" s="138">
        <f t="shared" si="1"/>
        <v>176.0416667</v>
      </c>
      <c r="D154" s="138"/>
      <c r="E154" s="138">
        <f t="shared" si="2"/>
        <v>88.02083333</v>
      </c>
      <c r="F154" s="138"/>
      <c r="G154" s="138">
        <f t="shared" si="3"/>
        <v>70.41666667</v>
      </c>
      <c r="H154" s="138"/>
      <c r="I154" s="140" t="s">
        <v>413</v>
      </c>
      <c r="J154" s="38">
        <v>3.0</v>
      </c>
      <c r="K154" s="38">
        <v>1.5</v>
      </c>
      <c r="L154" s="141">
        <v>1.2</v>
      </c>
      <c r="M154" s="38"/>
      <c r="N154" s="38"/>
      <c r="O154" s="38"/>
      <c r="P154" s="38"/>
      <c r="Q154" s="38"/>
      <c r="R154" s="38"/>
      <c r="T154" s="140" t="s">
        <v>413</v>
      </c>
      <c r="U154" s="38">
        <v>3.0</v>
      </c>
      <c r="V154" s="38">
        <v>1.5</v>
      </c>
      <c r="W154" s="141">
        <v>1.2</v>
      </c>
      <c r="X154" s="38" t="str">
        <f t="shared" si="4"/>
        <v>per hour</v>
      </c>
      <c r="Y154" s="44" t="str">
        <f t="shared" si="5"/>
        <v>per </v>
      </c>
    </row>
    <row r="155" ht="12.75" customHeight="1">
      <c r="C155" s="138">
        <f t="shared" si="1"/>
        <v>0</v>
      </c>
      <c r="D155" s="138"/>
      <c r="E155" s="138">
        <f t="shared" si="2"/>
        <v>0</v>
      </c>
      <c r="F155" s="138"/>
      <c r="G155" s="138">
        <f t="shared" si="3"/>
        <v>0</v>
      </c>
      <c r="H155" s="138"/>
      <c r="J155" s="38"/>
      <c r="K155" s="38"/>
      <c r="L155" s="141"/>
      <c r="M155" s="38"/>
      <c r="N155" s="38"/>
      <c r="O155" s="38"/>
      <c r="P155" s="38"/>
      <c r="Q155" s="38"/>
      <c r="R155" s="38"/>
      <c r="U155" s="38"/>
      <c r="V155" s="38"/>
      <c r="W155" s="141"/>
      <c r="X155" s="38" t="str">
        <f t="shared" si="4"/>
        <v/>
      </c>
      <c r="Y155" s="44" t="str">
        <f t="shared" si="5"/>
        <v/>
      </c>
    </row>
    <row r="156" ht="12.75" customHeight="1">
      <c r="C156" s="138">
        <f t="shared" si="1"/>
        <v>469.4444444</v>
      </c>
      <c r="D156" s="138"/>
      <c r="E156" s="138">
        <f t="shared" si="2"/>
        <v>234.7222222</v>
      </c>
      <c r="F156" s="138"/>
      <c r="G156" s="138">
        <f t="shared" si="3"/>
        <v>187.7777778</v>
      </c>
      <c r="H156" s="138"/>
      <c r="I156" s="140" t="s">
        <v>413</v>
      </c>
      <c r="J156" s="38">
        <v>8.0</v>
      </c>
      <c r="K156" s="38">
        <v>4.0</v>
      </c>
      <c r="L156" s="141">
        <v>3.2</v>
      </c>
      <c r="M156" s="38"/>
      <c r="N156" s="38"/>
      <c r="O156" s="38"/>
      <c r="P156" s="38"/>
      <c r="Q156" s="38"/>
      <c r="R156" s="38"/>
      <c r="T156" s="140" t="s">
        <v>413</v>
      </c>
      <c r="U156" s="38">
        <v>8.0</v>
      </c>
      <c r="V156" s="38">
        <v>4.0</v>
      </c>
      <c r="W156" s="141">
        <v>3.2</v>
      </c>
      <c r="X156" s="38" t="str">
        <f t="shared" si="4"/>
        <v>per hour</v>
      </c>
      <c r="Y156" s="44" t="str">
        <f t="shared" si="5"/>
        <v>per </v>
      </c>
    </row>
    <row r="157" ht="12.75" customHeight="1">
      <c r="C157" s="138">
        <f t="shared" si="1"/>
        <v>762.8472222</v>
      </c>
      <c r="D157" s="138"/>
      <c r="E157" s="138">
        <f t="shared" si="2"/>
        <v>381.4236111</v>
      </c>
      <c r="F157" s="138"/>
      <c r="G157" s="138">
        <f t="shared" si="3"/>
        <v>305.1388889</v>
      </c>
      <c r="H157" s="138"/>
      <c r="I157" s="140" t="s">
        <v>413</v>
      </c>
      <c r="J157" s="38">
        <v>13.0</v>
      </c>
      <c r="K157" s="38">
        <v>6.5</v>
      </c>
      <c r="L157" s="141">
        <v>5.2</v>
      </c>
      <c r="M157" s="38"/>
      <c r="N157" s="38"/>
      <c r="O157" s="38"/>
      <c r="P157" s="38"/>
      <c r="Q157" s="38"/>
      <c r="R157" s="38"/>
      <c r="T157" s="140" t="s">
        <v>413</v>
      </c>
      <c r="U157" s="38">
        <v>13.0</v>
      </c>
      <c r="V157" s="38">
        <v>6.5</v>
      </c>
      <c r="W157" s="141">
        <v>5.2</v>
      </c>
      <c r="X157" s="38" t="str">
        <f t="shared" si="4"/>
        <v>per hour</v>
      </c>
      <c r="Y157" s="44" t="str">
        <f t="shared" si="5"/>
        <v>per </v>
      </c>
    </row>
    <row r="158" ht="12.75" customHeight="1">
      <c r="C158" s="138">
        <f t="shared" si="1"/>
        <v>1232.291667</v>
      </c>
      <c r="D158" s="138"/>
      <c r="E158" s="138">
        <f t="shared" si="2"/>
        <v>616.1458333</v>
      </c>
      <c r="F158" s="138"/>
      <c r="G158" s="138">
        <f t="shared" si="3"/>
        <v>492.9166667</v>
      </c>
      <c r="H158" s="138"/>
      <c r="I158" s="140" t="s">
        <v>413</v>
      </c>
      <c r="J158" s="38">
        <v>21.0</v>
      </c>
      <c r="K158" s="38">
        <v>10.5</v>
      </c>
      <c r="L158" s="141">
        <v>8.4</v>
      </c>
      <c r="M158" s="38"/>
      <c r="N158" s="38"/>
      <c r="O158" s="38"/>
      <c r="P158" s="38"/>
      <c r="Q158" s="38"/>
      <c r="R158" s="38"/>
      <c r="T158" s="140" t="s">
        <v>413</v>
      </c>
      <c r="U158" s="38">
        <v>21.0</v>
      </c>
      <c r="V158" s="38">
        <v>10.5</v>
      </c>
      <c r="W158" s="141">
        <v>8.4</v>
      </c>
      <c r="X158" s="38" t="str">
        <f t="shared" si="4"/>
        <v>per hour</v>
      </c>
      <c r="Y158" s="44" t="str">
        <f t="shared" si="5"/>
        <v>per </v>
      </c>
    </row>
    <row r="159" ht="12.75" customHeight="1">
      <c r="C159" s="138">
        <f t="shared" si="1"/>
        <v>645.4861111</v>
      </c>
      <c r="D159" s="138"/>
      <c r="E159" s="138">
        <f t="shared" si="2"/>
        <v>322.7430556</v>
      </c>
      <c r="F159" s="138"/>
      <c r="G159" s="138">
        <f t="shared" si="3"/>
        <v>258.1944444</v>
      </c>
      <c r="H159" s="138"/>
      <c r="I159" s="140" t="s">
        <v>413</v>
      </c>
      <c r="J159" s="38">
        <v>11.0</v>
      </c>
      <c r="K159" s="38">
        <v>5.5</v>
      </c>
      <c r="L159" s="141">
        <v>4.4</v>
      </c>
      <c r="M159" s="38"/>
      <c r="N159" s="38"/>
      <c r="O159" s="38"/>
      <c r="P159" s="38"/>
      <c r="Q159" s="38"/>
      <c r="R159" s="38"/>
      <c r="T159" s="140" t="s">
        <v>413</v>
      </c>
      <c r="U159" s="38">
        <v>11.0</v>
      </c>
      <c r="V159" s="38">
        <v>5.5</v>
      </c>
      <c r="W159" s="141">
        <v>4.4</v>
      </c>
      <c r="X159" s="38" t="str">
        <f t="shared" si="4"/>
        <v>per hour</v>
      </c>
      <c r="Y159" s="44" t="str">
        <f t="shared" si="5"/>
        <v>per </v>
      </c>
    </row>
    <row r="160" ht="12.75" customHeight="1">
      <c r="C160" s="138">
        <f t="shared" si="1"/>
        <v>938.8888889</v>
      </c>
      <c r="D160" s="138"/>
      <c r="E160" s="138">
        <f t="shared" si="2"/>
        <v>469.4444444</v>
      </c>
      <c r="F160" s="138"/>
      <c r="G160" s="138">
        <f t="shared" si="3"/>
        <v>375.5555556</v>
      </c>
      <c r="H160" s="138"/>
      <c r="I160" s="140" t="s">
        <v>413</v>
      </c>
      <c r="J160" s="38">
        <v>16.0</v>
      </c>
      <c r="K160" s="38">
        <v>8.0</v>
      </c>
      <c r="L160" s="141">
        <v>6.4</v>
      </c>
      <c r="M160" s="38"/>
      <c r="N160" s="38"/>
      <c r="O160" s="38"/>
      <c r="P160" s="38"/>
      <c r="Q160" s="38"/>
      <c r="R160" s="38"/>
      <c r="T160" s="140" t="s">
        <v>413</v>
      </c>
      <c r="U160" s="38">
        <v>16.0</v>
      </c>
      <c r="V160" s="38">
        <v>8.0</v>
      </c>
      <c r="W160" s="141">
        <v>6.4</v>
      </c>
      <c r="X160" s="38" t="str">
        <f t="shared" si="4"/>
        <v>per hour</v>
      </c>
      <c r="Y160" s="44" t="str">
        <f t="shared" si="5"/>
        <v>per </v>
      </c>
    </row>
    <row r="161" ht="12.75" customHeight="1">
      <c r="C161" s="138">
        <f t="shared" si="1"/>
        <v>1408.333333</v>
      </c>
      <c r="D161" s="138"/>
      <c r="E161" s="138">
        <f t="shared" si="2"/>
        <v>704.1666667</v>
      </c>
      <c r="F161" s="138"/>
      <c r="G161" s="138">
        <f t="shared" si="3"/>
        <v>563.3333333</v>
      </c>
      <c r="H161" s="138"/>
      <c r="I161" s="140" t="s">
        <v>413</v>
      </c>
      <c r="J161" s="38">
        <v>24.0</v>
      </c>
      <c r="K161" s="38">
        <v>12.0</v>
      </c>
      <c r="L161" s="141">
        <v>9.6</v>
      </c>
      <c r="M161" s="38"/>
      <c r="N161" s="38"/>
      <c r="O161" s="38"/>
      <c r="P161" s="38"/>
      <c r="Q161" s="38"/>
      <c r="R161" s="38"/>
      <c r="T161" s="140" t="s">
        <v>413</v>
      </c>
      <c r="U161" s="38">
        <v>24.0</v>
      </c>
      <c r="V161" s="38">
        <v>12.0</v>
      </c>
      <c r="W161" s="141">
        <v>9.6</v>
      </c>
      <c r="X161" s="38" t="str">
        <f t="shared" si="4"/>
        <v>per hour</v>
      </c>
      <c r="Y161" s="44" t="str">
        <f t="shared" si="5"/>
        <v>per </v>
      </c>
    </row>
    <row r="162" ht="12.75" customHeight="1">
      <c r="C162" s="138">
        <f t="shared" si="1"/>
        <v>0</v>
      </c>
      <c r="D162" s="138"/>
      <c r="E162" s="138">
        <f t="shared" si="2"/>
        <v>0</v>
      </c>
      <c r="F162" s="138"/>
      <c r="G162" s="138">
        <f t="shared" si="3"/>
        <v>0</v>
      </c>
      <c r="H162" s="138"/>
      <c r="J162" s="38"/>
      <c r="K162" s="38"/>
      <c r="L162" s="141"/>
      <c r="M162" s="38"/>
      <c r="N162" s="38"/>
      <c r="O162" s="38"/>
      <c r="P162" s="38"/>
      <c r="Q162" s="38"/>
      <c r="R162" s="38"/>
      <c r="U162" s="38"/>
      <c r="V162" s="38"/>
      <c r="W162" s="141"/>
      <c r="X162" s="38" t="str">
        <f t="shared" si="4"/>
        <v/>
      </c>
      <c r="Y162" s="44" t="str">
        <f t="shared" si="5"/>
        <v/>
      </c>
    </row>
    <row r="163" ht="12.75" customHeight="1">
      <c r="C163" s="138">
        <f t="shared" si="1"/>
        <v>152.5694444</v>
      </c>
      <c r="D163" s="138"/>
      <c r="E163" s="138">
        <f t="shared" si="2"/>
        <v>76.28472222</v>
      </c>
      <c r="F163" s="138"/>
      <c r="G163" s="138">
        <f t="shared" si="3"/>
        <v>61.02777778</v>
      </c>
      <c r="H163" s="138"/>
      <c r="I163" s="140" t="s">
        <v>404</v>
      </c>
      <c r="J163" s="38">
        <v>2.6</v>
      </c>
      <c r="K163" s="38">
        <v>1.3</v>
      </c>
      <c r="L163" s="141">
        <v>1.04</v>
      </c>
      <c r="M163" s="38"/>
      <c r="N163" s="38"/>
      <c r="O163" s="38"/>
      <c r="P163" s="38"/>
      <c r="Q163" s="38"/>
      <c r="R163" s="38"/>
      <c r="T163" s="140" t="s">
        <v>404</v>
      </c>
      <c r="U163" s="38">
        <v>2.6</v>
      </c>
      <c r="V163" s="38">
        <v>1.3</v>
      </c>
      <c r="W163" s="141">
        <v>1.04</v>
      </c>
      <c r="X163" s="38" t="str">
        <f t="shared" si="4"/>
        <v>per hour</v>
      </c>
      <c r="Y163" s="44" t="str">
        <f t="shared" si="5"/>
        <v>per </v>
      </c>
    </row>
    <row r="164" ht="12.75" customHeight="1">
      <c r="C164" s="138">
        <f t="shared" si="1"/>
        <v>2112.5</v>
      </c>
      <c r="D164" s="138"/>
      <c r="E164" s="138">
        <f t="shared" si="2"/>
        <v>1056.25</v>
      </c>
      <c r="F164" s="138"/>
      <c r="G164" s="138">
        <f t="shared" si="3"/>
        <v>845</v>
      </c>
      <c r="H164" s="138"/>
      <c r="I164" s="140" t="s">
        <v>413</v>
      </c>
      <c r="J164" s="38">
        <v>36.0</v>
      </c>
      <c r="K164" s="38">
        <v>18.0</v>
      </c>
      <c r="L164" s="141">
        <v>14.4</v>
      </c>
      <c r="M164" s="38"/>
      <c r="N164" s="38"/>
      <c r="O164" s="38"/>
      <c r="P164" s="38"/>
      <c r="Q164" s="38"/>
      <c r="R164" s="38"/>
      <c r="T164" s="140" t="s">
        <v>413</v>
      </c>
      <c r="U164" s="38">
        <v>36.0</v>
      </c>
      <c r="V164" s="38">
        <v>18.0</v>
      </c>
      <c r="W164" s="141">
        <v>14.4</v>
      </c>
      <c r="X164" s="38" t="str">
        <f t="shared" si="4"/>
        <v>per hour</v>
      </c>
      <c r="Y164" s="44" t="str">
        <f t="shared" si="5"/>
        <v>per </v>
      </c>
    </row>
    <row r="165" ht="12.75" customHeight="1">
      <c r="C165" s="138">
        <f t="shared" si="1"/>
        <v>0</v>
      </c>
      <c r="D165" s="138"/>
      <c r="E165" s="138">
        <f t="shared" si="2"/>
        <v>0</v>
      </c>
      <c r="F165" s="138"/>
      <c r="G165" s="138">
        <f t="shared" si="3"/>
        <v>0</v>
      </c>
      <c r="H165" s="138"/>
      <c r="J165" s="38"/>
      <c r="K165" s="38"/>
      <c r="L165" s="141"/>
      <c r="M165" s="38"/>
      <c r="N165" s="38"/>
      <c r="O165" s="38"/>
      <c r="P165" s="38"/>
      <c r="Q165" s="38"/>
      <c r="R165" s="38"/>
      <c r="U165" s="38"/>
      <c r="V165" s="38"/>
      <c r="W165" s="141"/>
      <c r="X165" s="38" t="str">
        <f t="shared" si="4"/>
        <v/>
      </c>
      <c r="Y165" s="44" t="str">
        <f t="shared" si="5"/>
        <v/>
      </c>
    </row>
    <row r="166" ht="12.75" customHeight="1">
      <c r="C166" s="138">
        <f t="shared" si="1"/>
        <v>52.8125</v>
      </c>
      <c r="D166" s="138"/>
      <c r="E166" s="138">
        <f t="shared" si="2"/>
        <v>26.40625</v>
      </c>
      <c r="F166" s="138"/>
      <c r="G166" s="138">
        <f t="shared" si="3"/>
        <v>21.125</v>
      </c>
      <c r="H166" s="138"/>
      <c r="I166" s="140" t="s">
        <v>404</v>
      </c>
      <c r="J166" s="38">
        <v>0.9</v>
      </c>
      <c r="K166" s="38">
        <v>0.45</v>
      </c>
      <c r="L166" s="141">
        <v>0.36</v>
      </c>
      <c r="M166" s="38"/>
      <c r="N166" s="38"/>
      <c r="O166" s="38"/>
      <c r="P166" s="38"/>
      <c r="Q166" s="38"/>
      <c r="R166" s="38"/>
      <c r="T166" s="140" t="s">
        <v>404</v>
      </c>
      <c r="U166" s="38">
        <v>0.9</v>
      </c>
      <c r="V166" s="38">
        <v>0.45</v>
      </c>
      <c r="W166" s="141">
        <v>0.36</v>
      </c>
      <c r="X166" s="38" t="str">
        <f t="shared" si="4"/>
        <v>per hour</v>
      </c>
      <c r="Y166" s="44" t="str">
        <f t="shared" si="5"/>
        <v>per </v>
      </c>
    </row>
    <row r="167" ht="12.75" customHeight="1">
      <c r="C167" s="138">
        <f t="shared" si="1"/>
        <v>64.54861111</v>
      </c>
      <c r="D167" s="138"/>
      <c r="E167" s="138">
        <f t="shared" si="2"/>
        <v>32.27430556</v>
      </c>
      <c r="F167" s="138"/>
      <c r="G167" s="138">
        <f t="shared" si="3"/>
        <v>25.81944444</v>
      </c>
      <c r="H167" s="138"/>
      <c r="I167" s="140" t="s">
        <v>404</v>
      </c>
      <c r="J167" s="38">
        <v>1.1</v>
      </c>
      <c r="K167" s="38">
        <v>0.55</v>
      </c>
      <c r="L167" s="141">
        <v>0.44</v>
      </c>
      <c r="M167" s="38"/>
      <c r="N167" s="38"/>
      <c r="O167" s="38"/>
      <c r="P167" s="38"/>
      <c r="Q167" s="38"/>
      <c r="R167" s="38"/>
      <c r="T167" s="140" t="s">
        <v>404</v>
      </c>
      <c r="U167" s="38">
        <v>1.1</v>
      </c>
      <c r="V167" s="38">
        <v>0.55</v>
      </c>
      <c r="W167" s="141">
        <v>0.44</v>
      </c>
      <c r="X167" s="38" t="str">
        <f t="shared" si="4"/>
        <v>per hour</v>
      </c>
      <c r="Y167" s="44" t="str">
        <f t="shared" si="5"/>
        <v>per </v>
      </c>
    </row>
    <row r="168" ht="12.75" customHeight="1">
      <c r="C168" s="138">
        <f t="shared" si="1"/>
        <v>140.8333333</v>
      </c>
      <c r="D168" s="138"/>
      <c r="E168" s="138">
        <f t="shared" si="2"/>
        <v>70.41666667</v>
      </c>
      <c r="F168" s="138"/>
      <c r="G168" s="138">
        <f t="shared" si="3"/>
        <v>56.33333333</v>
      </c>
      <c r="H168" s="138"/>
      <c r="I168" s="140" t="s">
        <v>413</v>
      </c>
      <c r="J168" s="38">
        <v>2.4</v>
      </c>
      <c r="K168" s="38">
        <v>1.2</v>
      </c>
      <c r="L168" s="141">
        <v>0.96</v>
      </c>
      <c r="M168" s="38"/>
      <c r="N168" s="38"/>
      <c r="O168" s="38"/>
      <c r="P168" s="38"/>
      <c r="Q168" s="38"/>
      <c r="R168" s="38"/>
      <c r="T168" s="140" t="s">
        <v>413</v>
      </c>
      <c r="U168" s="38">
        <v>2.4</v>
      </c>
      <c r="V168" s="38">
        <v>1.2</v>
      </c>
      <c r="W168" s="141">
        <v>0.96</v>
      </c>
      <c r="X168" s="38" t="str">
        <f t="shared" si="4"/>
        <v>per hour</v>
      </c>
      <c r="Y168" s="44" t="str">
        <f t="shared" si="5"/>
        <v>per </v>
      </c>
    </row>
    <row r="169" ht="12.75" customHeight="1">
      <c r="C169" s="138">
        <f t="shared" si="1"/>
        <v>0</v>
      </c>
      <c r="D169" s="138"/>
      <c r="E169" s="138">
        <f t="shared" si="2"/>
        <v>0</v>
      </c>
      <c r="F169" s="138"/>
      <c r="G169" s="138">
        <f t="shared" si="3"/>
        <v>0</v>
      </c>
      <c r="H169" s="138"/>
      <c r="J169" s="38"/>
      <c r="K169" s="38"/>
      <c r="L169" s="141"/>
      <c r="M169" s="38"/>
      <c r="N169" s="38"/>
      <c r="O169" s="38"/>
      <c r="P169" s="38"/>
      <c r="Q169" s="38"/>
      <c r="R169" s="38"/>
      <c r="U169" s="38"/>
      <c r="V169" s="38"/>
      <c r="W169" s="141"/>
      <c r="X169" s="38" t="str">
        <f t="shared" si="4"/>
        <v/>
      </c>
      <c r="Y169" s="44" t="str">
        <f t="shared" si="5"/>
        <v/>
      </c>
    </row>
    <row r="170" ht="12.75" customHeight="1">
      <c r="C170" s="138">
        <f t="shared" si="1"/>
        <v>14.08333333</v>
      </c>
      <c r="D170" s="138"/>
      <c r="E170" s="138">
        <f t="shared" si="2"/>
        <v>7.041666667</v>
      </c>
      <c r="F170" s="138"/>
      <c r="G170" s="138">
        <f t="shared" si="3"/>
        <v>5.868055556</v>
      </c>
      <c r="H170" s="138"/>
      <c r="I170" s="140" t="s">
        <v>404</v>
      </c>
      <c r="J170" s="38">
        <v>0.24</v>
      </c>
      <c r="K170" s="38">
        <v>0.12</v>
      </c>
      <c r="L170" s="141">
        <v>0.1</v>
      </c>
      <c r="M170" s="38"/>
      <c r="N170" s="38"/>
      <c r="O170" s="38"/>
      <c r="P170" s="38"/>
      <c r="Q170" s="38"/>
      <c r="R170" s="38"/>
      <c r="T170" s="140" t="s">
        <v>404</v>
      </c>
      <c r="U170" s="38">
        <v>0.24</v>
      </c>
      <c r="V170" s="38">
        <v>0.12</v>
      </c>
      <c r="W170" s="141">
        <v>0.1</v>
      </c>
      <c r="X170" s="38" t="str">
        <f t="shared" si="4"/>
        <v>per hour</v>
      </c>
      <c r="Y170" s="44" t="str">
        <f t="shared" si="5"/>
        <v>per </v>
      </c>
    </row>
    <row r="171" ht="12.75" customHeight="1">
      <c r="C171" s="138">
        <f t="shared" si="1"/>
        <v>211.25</v>
      </c>
      <c r="D171" s="138"/>
      <c r="E171" s="138">
        <f t="shared" si="2"/>
        <v>105.625</v>
      </c>
      <c r="F171" s="138"/>
      <c r="G171" s="138">
        <f t="shared" si="3"/>
        <v>84.5</v>
      </c>
      <c r="H171" s="138"/>
      <c r="I171" s="140" t="s">
        <v>413</v>
      </c>
      <c r="J171" s="38">
        <v>3.6</v>
      </c>
      <c r="K171" s="38">
        <v>1.8</v>
      </c>
      <c r="L171" s="141">
        <v>1.44</v>
      </c>
      <c r="M171" s="38"/>
      <c r="N171" s="38"/>
      <c r="O171" s="38"/>
      <c r="P171" s="38"/>
      <c r="Q171" s="38"/>
      <c r="R171" s="38"/>
      <c r="T171" s="140" t="s">
        <v>413</v>
      </c>
      <c r="U171" s="38">
        <v>3.6</v>
      </c>
      <c r="V171" s="38">
        <v>1.8</v>
      </c>
      <c r="W171" s="141">
        <v>1.44</v>
      </c>
      <c r="X171" s="38" t="str">
        <f t="shared" si="4"/>
        <v>per hour</v>
      </c>
      <c r="Y171" s="44" t="str">
        <f t="shared" si="5"/>
        <v>per </v>
      </c>
    </row>
    <row r="172" ht="12.75" customHeight="1">
      <c r="C172" s="138">
        <f t="shared" si="1"/>
        <v>152.5694444</v>
      </c>
      <c r="D172" s="138"/>
      <c r="E172" s="138">
        <f t="shared" si="2"/>
        <v>76.28472222</v>
      </c>
      <c r="F172" s="138"/>
      <c r="G172" s="138">
        <f t="shared" si="3"/>
        <v>61.02777778</v>
      </c>
      <c r="H172" s="138"/>
      <c r="I172" s="140" t="s">
        <v>404</v>
      </c>
      <c r="J172" s="38">
        <v>2.6</v>
      </c>
      <c r="K172" s="38">
        <v>1.3</v>
      </c>
      <c r="L172" s="141">
        <v>1.04</v>
      </c>
      <c r="M172" s="38"/>
      <c r="N172" s="38"/>
      <c r="O172" s="38"/>
      <c r="P172" s="38"/>
      <c r="Q172" s="38"/>
      <c r="R172" s="38"/>
      <c r="T172" s="140" t="s">
        <v>404</v>
      </c>
      <c r="U172" s="38">
        <v>2.6</v>
      </c>
      <c r="V172" s="38">
        <v>1.3</v>
      </c>
      <c r="W172" s="141">
        <v>1.04</v>
      </c>
      <c r="X172" s="38" t="str">
        <f t="shared" si="4"/>
        <v>per hour</v>
      </c>
      <c r="Y172" s="44" t="str">
        <f t="shared" si="5"/>
        <v>per </v>
      </c>
    </row>
    <row r="173" ht="12.75" customHeight="1">
      <c r="C173" s="138">
        <f t="shared" si="1"/>
        <v>164.3055556</v>
      </c>
      <c r="D173" s="138"/>
      <c r="E173" s="138">
        <f t="shared" si="2"/>
        <v>82.15277778</v>
      </c>
      <c r="F173" s="138"/>
      <c r="G173" s="138">
        <f t="shared" si="3"/>
        <v>65.72222222</v>
      </c>
      <c r="H173" s="138"/>
      <c r="I173" s="140" t="s">
        <v>404</v>
      </c>
      <c r="J173" s="38">
        <v>2.8</v>
      </c>
      <c r="K173" s="38">
        <v>1.4</v>
      </c>
      <c r="L173" s="141">
        <v>1.12</v>
      </c>
      <c r="M173" s="38"/>
      <c r="N173" s="38"/>
      <c r="O173" s="38"/>
      <c r="P173" s="38"/>
      <c r="Q173" s="38"/>
      <c r="R173" s="38"/>
      <c r="T173" s="140" t="s">
        <v>404</v>
      </c>
      <c r="U173" s="38">
        <v>2.8</v>
      </c>
      <c r="V173" s="38">
        <v>1.4</v>
      </c>
      <c r="W173" s="141">
        <v>1.12</v>
      </c>
      <c r="X173" s="38" t="str">
        <f t="shared" si="4"/>
        <v>per hour</v>
      </c>
      <c r="Y173" s="44" t="str">
        <f t="shared" si="5"/>
        <v>per </v>
      </c>
    </row>
    <row r="174" ht="12.75" customHeight="1">
      <c r="C174" s="138">
        <f t="shared" si="1"/>
        <v>176.0416667</v>
      </c>
      <c r="D174" s="138"/>
      <c r="E174" s="138">
        <f t="shared" si="2"/>
        <v>88.02083333</v>
      </c>
      <c r="F174" s="138"/>
      <c r="G174" s="138">
        <f t="shared" si="3"/>
        <v>70.41666667</v>
      </c>
      <c r="H174" s="138"/>
      <c r="I174" s="140" t="s">
        <v>404</v>
      </c>
      <c r="J174" s="38">
        <v>3.0</v>
      </c>
      <c r="K174" s="38">
        <v>1.5</v>
      </c>
      <c r="L174" s="141">
        <v>1.2</v>
      </c>
      <c r="M174" s="38"/>
      <c r="N174" s="38"/>
      <c r="O174" s="38"/>
      <c r="P174" s="38"/>
      <c r="Q174" s="38"/>
      <c r="R174" s="38"/>
      <c r="T174" s="140" t="s">
        <v>404</v>
      </c>
      <c r="U174" s="38">
        <v>3.0</v>
      </c>
      <c r="V174" s="38">
        <v>1.5</v>
      </c>
      <c r="W174" s="141">
        <v>1.2</v>
      </c>
      <c r="X174" s="38" t="str">
        <f t="shared" si="4"/>
        <v>per hour</v>
      </c>
      <c r="Y174" s="44" t="str">
        <f t="shared" si="5"/>
        <v>per </v>
      </c>
    </row>
    <row r="175" ht="12.75" customHeight="1">
      <c r="C175" s="138">
        <f t="shared" si="1"/>
        <v>37.55555556</v>
      </c>
      <c r="D175" s="138"/>
      <c r="E175" s="138">
        <f t="shared" si="2"/>
        <v>18.77777778</v>
      </c>
      <c r="F175" s="138"/>
      <c r="G175" s="138">
        <f t="shared" si="3"/>
        <v>15.25694444</v>
      </c>
      <c r="H175" s="138"/>
      <c r="I175" s="140" t="s">
        <v>404</v>
      </c>
      <c r="J175" s="38">
        <v>0.64</v>
      </c>
      <c r="K175" s="38">
        <v>0.32</v>
      </c>
      <c r="L175" s="141">
        <v>0.26</v>
      </c>
      <c r="M175" s="38"/>
      <c r="N175" s="38"/>
      <c r="O175" s="38"/>
      <c r="P175" s="38"/>
      <c r="Q175" s="38"/>
      <c r="R175" s="38"/>
      <c r="T175" s="140" t="s">
        <v>404</v>
      </c>
      <c r="U175" s="38">
        <v>0.64</v>
      </c>
      <c r="V175" s="38">
        <v>0.32</v>
      </c>
      <c r="W175" s="141">
        <v>0.26</v>
      </c>
      <c r="X175" s="38" t="str">
        <f t="shared" si="4"/>
        <v>per hour</v>
      </c>
      <c r="Y175" s="44" t="str">
        <f t="shared" si="5"/>
        <v>per </v>
      </c>
    </row>
    <row r="176" ht="12.75" customHeight="1">
      <c r="C176" s="138">
        <f t="shared" si="1"/>
        <v>140.8333333</v>
      </c>
      <c r="D176" s="138"/>
      <c r="E176" s="138">
        <f t="shared" si="2"/>
        <v>70.41666667</v>
      </c>
      <c r="F176" s="138"/>
      <c r="G176" s="138">
        <f t="shared" si="3"/>
        <v>56.33333333</v>
      </c>
      <c r="H176" s="138"/>
      <c r="I176" s="140" t="s">
        <v>404</v>
      </c>
      <c r="J176" s="38">
        <v>2.4</v>
      </c>
      <c r="K176" s="38">
        <v>1.2</v>
      </c>
      <c r="L176" s="141">
        <v>0.96</v>
      </c>
      <c r="M176" s="38"/>
      <c r="N176" s="38"/>
      <c r="O176" s="38"/>
      <c r="P176" s="38"/>
      <c r="Q176" s="38"/>
      <c r="R176" s="38"/>
      <c r="T176" s="140" t="s">
        <v>404</v>
      </c>
      <c r="U176" s="38">
        <v>2.4</v>
      </c>
      <c r="V176" s="38">
        <v>1.2</v>
      </c>
      <c r="W176" s="141">
        <v>0.96</v>
      </c>
      <c r="X176" s="38" t="str">
        <f t="shared" si="4"/>
        <v>per hour</v>
      </c>
      <c r="Y176" s="44" t="str">
        <f t="shared" si="5"/>
        <v>per </v>
      </c>
    </row>
    <row r="177" ht="12.75" customHeight="1">
      <c r="C177" s="138">
        <f t="shared" si="1"/>
        <v>37.55555556</v>
      </c>
      <c r="D177" s="138"/>
      <c r="E177" s="138">
        <f t="shared" si="2"/>
        <v>18.77777778</v>
      </c>
      <c r="F177" s="138"/>
      <c r="G177" s="138">
        <f t="shared" si="3"/>
        <v>15.25694444</v>
      </c>
      <c r="H177" s="138"/>
      <c r="I177" s="140" t="s">
        <v>404</v>
      </c>
      <c r="J177" s="38">
        <v>0.64</v>
      </c>
      <c r="K177" s="38">
        <v>0.32</v>
      </c>
      <c r="L177" s="141">
        <v>0.26</v>
      </c>
      <c r="M177" s="38"/>
      <c r="N177" s="38"/>
      <c r="O177" s="38"/>
      <c r="P177" s="38"/>
      <c r="Q177" s="38"/>
      <c r="R177" s="38"/>
      <c r="T177" s="140" t="s">
        <v>404</v>
      </c>
      <c r="U177" s="38">
        <v>0.64</v>
      </c>
      <c r="V177" s="38">
        <v>0.32</v>
      </c>
      <c r="W177" s="141">
        <v>0.26</v>
      </c>
      <c r="X177" s="38" t="str">
        <f t="shared" si="4"/>
        <v>per hour</v>
      </c>
      <c r="Y177" s="44" t="str">
        <f t="shared" si="5"/>
        <v>per </v>
      </c>
    </row>
    <row r="178" ht="12.75" customHeight="1">
      <c r="C178" s="138">
        <f t="shared" si="1"/>
        <v>49.29166667</v>
      </c>
      <c r="D178" s="138"/>
      <c r="E178" s="138">
        <f t="shared" si="2"/>
        <v>24.64583333</v>
      </c>
      <c r="F178" s="138"/>
      <c r="G178" s="138">
        <f t="shared" si="3"/>
        <v>19.95138889</v>
      </c>
      <c r="H178" s="138"/>
      <c r="I178" s="140" t="s">
        <v>404</v>
      </c>
      <c r="J178" s="38">
        <v>0.84</v>
      </c>
      <c r="K178" s="38">
        <v>0.42</v>
      </c>
      <c r="L178" s="141">
        <v>0.34</v>
      </c>
      <c r="M178" s="38"/>
      <c r="N178" s="38"/>
      <c r="O178" s="38"/>
      <c r="P178" s="38"/>
      <c r="Q178" s="38"/>
      <c r="R178" s="38"/>
      <c r="T178" s="140" t="s">
        <v>404</v>
      </c>
      <c r="U178" s="38">
        <v>0.84</v>
      </c>
      <c r="V178" s="38">
        <v>0.42</v>
      </c>
      <c r="W178" s="141">
        <v>0.34</v>
      </c>
      <c r="X178" s="38" t="str">
        <f t="shared" si="4"/>
        <v>per hour</v>
      </c>
      <c r="Y178" s="44" t="str">
        <f t="shared" si="5"/>
        <v>per </v>
      </c>
    </row>
    <row r="179" ht="12.75" customHeight="1">
      <c r="C179" s="138">
        <f t="shared" si="1"/>
        <v>61.02777778</v>
      </c>
      <c r="D179" s="138"/>
      <c r="E179" s="138">
        <f t="shared" si="2"/>
        <v>30.51388889</v>
      </c>
      <c r="F179" s="138"/>
      <c r="G179" s="138">
        <f t="shared" si="3"/>
        <v>24.64583333</v>
      </c>
      <c r="H179" s="138"/>
      <c r="I179" s="140" t="s">
        <v>404</v>
      </c>
      <c r="J179" s="38">
        <v>1.04</v>
      </c>
      <c r="K179" s="38">
        <v>0.52</v>
      </c>
      <c r="L179" s="141">
        <v>0.42</v>
      </c>
      <c r="M179" s="38"/>
      <c r="N179" s="38"/>
      <c r="O179" s="38"/>
      <c r="P179" s="38"/>
      <c r="Q179" s="38"/>
      <c r="R179" s="38"/>
      <c r="T179" s="140" t="s">
        <v>404</v>
      </c>
      <c r="U179" s="38">
        <v>1.04</v>
      </c>
      <c r="V179" s="38">
        <v>0.52</v>
      </c>
      <c r="W179" s="141">
        <v>0.42</v>
      </c>
      <c r="X179" s="38" t="str">
        <f t="shared" si="4"/>
        <v>per hour</v>
      </c>
      <c r="Y179" s="44" t="str">
        <f t="shared" si="5"/>
        <v>per </v>
      </c>
    </row>
    <row r="180" ht="12.75" customHeight="1">
      <c r="C180" s="138">
        <f t="shared" si="1"/>
        <v>70.41666667</v>
      </c>
      <c r="D180" s="138"/>
      <c r="E180" s="138">
        <f t="shared" si="2"/>
        <v>35.20833333</v>
      </c>
      <c r="F180" s="138"/>
      <c r="G180" s="138">
        <f t="shared" si="3"/>
        <v>28.16666667</v>
      </c>
      <c r="H180" s="138"/>
      <c r="I180" s="140" t="s">
        <v>413</v>
      </c>
      <c r="J180" s="38">
        <v>1.2</v>
      </c>
      <c r="K180" s="38">
        <v>0.6</v>
      </c>
      <c r="L180" s="141">
        <v>0.48</v>
      </c>
      <c r="M180" s="38"/>
      <c r="N180" s="38"/>
      <c r="O180" s="38"/>
      <c r="P180" s="38"/>
      <c r="Q180" s="38"/>
      <c r="R180" s="38"/>
      <c r="T180" s="140" t="s">
        <v>413</v>
      </c>
      <c r="U180" s="38">
        <v>1.2</v>
      </c>
      <c r="V180" s="38">
        <v>0.6</v>
      </c>
      <c r="W180" s="141">
        <v>0.48</v>
      </c>
      <c r="X180" s="38" t="str">
        <f t="shared" si="4"/>
        <v>per hour</v>
      </c>
      <c r="Y180" s="44" t="str">
        <f t="shared" si="5"/>
        <v>per </v>
      </c>
    </row>
    <row r="181" ht="12.75" customHeight="1">
      <c r="C181" s="138">
        <f t="shared" si="1"/>
        <v>0</v>
      </c>
      <c r="D181" s="138"/>
      <c r="E181" s="138">
        <f t="shared" si="2"/>
        <v>0</v>
      </c>
      <c r="F181" s="138"/>
      <c r="G181" s="138">
        <f t="shared" si="3"/>
        <v>0</v>
      </c>
      <c r="H181" s="138"/>
      <c r="J181" s="38"/>
      <c r="K181" s="38"/>
      <c r="L181" s="141"/>
      <c r="M181" s="38"/>
      <c r="N181" s="38"/>
      <c r="O181" s="38"/>
      <c r="P181" s="38"/>
      <c r="Q181" s="38"/>
      <c r="R181" s="38"/>
      <c r="U181" s="38"/>
      <c r="V181" s="38"/>
      <c r="W181" s="141"/>
      <c r="X181" s="38" t="str">
        <f t="shared" si="4"/>
        <v/>
      </c>
      <c r="Y181" s="44" t="str">
        <f t="shared" si="5"/>
        <v/>
      </c>
    </row>
    <row r="182" ht="12.75" customHeight="1">
      <c r="C182" s="138">
        <f t="shared" si="1"/>
        <v>49.29166667</v>
      </c>
      <c r="D182" s="138"/>
      <c r="E182" s="138">
        <f t="shared" si="2"/>
        <v>24.64583333</v>
      </c>
      <c r="F182" s="138"/>
      <c r="G182" s="138">
        <f t="shared" si="3"/>
        <v>19.95138889</v>
      </c>
      <c r="H182" s="138"/>
      <c r="I182" s="140" t="s">
        <v>404</v>
      </c>
      <c r="J182" s="38">
        <v>0.84</v>
      </c>
      <c r="K182" s="38">
        <v>0.42</v>
      </c>
      <c r="L182" s="141">
        <v>0.34</v>
      </c>
      <c r="M182" s="38"/>
      <c r="N182" s="38"/>
      <c r="O182" s="38"/>
      <c r="P182" s="38"/>
      <c r="Q182" s="38"/>
      <c r="R182" s="38"/>
      <c r="T182" s="140" t="s">
        <v>404</v>
      </c>
      <c r="U182" s="38">
        <v>0.84</v>
      </c>
      <c r="V182" s="38">
        <v>0.42</v>
      </c>
      <c r="W182" s="141">
        <v>0.34</v>
      </c>
      <c r="X182" s="38" t="str">
        <f t="shared" si="4"/>
        <v>per hour</v>
      </c>
      <c r="Y182" s="44" t="str">
        <f t="shared" si="5"/>
        <v>per </v>
      </c>
    </row>
    <row r="183" ht="12.75" customHeight="1">
      <c r="C183" s="138">
        <f t="shared" si="1"/>
        <v>23.47222222</v>
      </c>
      <c r="D183" s="138"/>
      <c r="E183" s="138">
        <f t="shared" si="2"/>
        <v>11.73611111</v>
      </c>
      <c r="F183" s="138"/>
      <c r="G183" s="138">
        <f t="shared" si="3"/>
        <v>9.388888889</v>
      </c>
      <c r="H183" s="138"/>
      <c r="I183" s="140" t="s">
        <v>404</v>
      </c>
      <c r="J183" s="38">
        <v>0.4</v>
      </c>
      <c r="K183" s="38">
        <v>0.2</v>
      </c>
      <c r="L183" s="141">
        <v>0.16</v>
      </c>
      <c r="M183" s="38"/>
      <c r="N183" s="38"/>
      <c r="O183" s="38"/>
      <c r="P183" s="38"/>
      <c r="Q183" s="38"/>
      <c r="R183" s="38"/>
      <c r="T183" s="140" t="s">
        <v>404</v>
      </c>
      <c r="U183" s="38">
        <v>0.4</v>
      </c>
      <c r="V183" s="38">
        <v>0.2</v>
      </c>
      <c r="W183" s="141">
        <v>0.16</v>
      </c>
      <c r="X183" s="38" t="str">
        <f t="shared" si="4"/>
        <v>per hour</v>
      </c>
      <c r="Y183" s="44" t="str">
        <f t="shared" si="5"/>
        <v>per </v>
      </c>
    </row>
    <row r="184" ht="12.75" customHeight="1">
      <c r="C184" s="138">
        <f t="shared" si="1"/>
        <v>23.47222222</v>
      </c>
      <c r="D184" s="138"/>
      <c r="E184" s="138">
        <f t="shared" si="2"/>
        <v>11.73611111</v>
      </c>
      <c r="F184" s="138"/>
      <c r="G184" s="138">
        <f t="shared" si="3"/>
        <v>9.388888889</v>
      </c>
      <c r="H184" s="138"/>
      <c r="I184" s="140" t="s">
        <v>404</v>
      </c>
      <c r="J184" s="38">
        <v>0.4</v>
      </c>
      <c r="K184" s="38">
        <v>0.2</v>
      </c>
      <c r="L184" s="141">
        <v>0.16</v>
      </c>
      <c r="M184" s="38"/>
      <c r="N184" s="38"/>
      <c r="O184" s="38"/>
      <c r="P184" s="38"/>
      <c r="Q184" s="38"/>
      <c r="R184" s="38"/>
      <c r="T184" s="140" t="s">
        <v>404</v>
      </c>
      <c r="U184" s="38">
        <v>0.4</v>
      </c>
      <c r="V184" s="38">
        <v>0.2</v>
      </c>
      <c r="W184" s="141">
        <v>0.16</v>
      </c>
      <c r="X184" s="38" t="str">
        <f t="shared" si="4"/>
        <v>per hour</v>
      </c>
      <c r="Y184" s="44" t="str">
        <f t="shared" si="5"/>
        <v>per </v>
      </c>
    </row>
    <row r="185" ht="12.75" customHeight="1">
      <c r="C185" s="138">
        <f t="shared" si="1"/>
        <v>0</v>
      </c>
      <c r="D185" s="138"/>
      <c r="E185" s="138">
        <f t="shared" si="2"/>
        <v>0</v>
      </c>
      <c r="F185" s="138"/>
      <c r="G185" s="138">
        <f t="shared" si="3"/>
        <v>0</v>
      </c>
      <c r="H185" s="138"/>
      <c r="L185" s="139"/>
      <c r="M185" s="38"/>
      <c r="N185" s="38"/>
      <c r="O185" s="38"/>
      <c r="P185" s="38"/>
      <c r="Q185" s="38"/>
      <c r="R185" s="38"/>
      <c r="W185" s="139"/>
      <c r="X185" s="38" t="str">
        <f t="shared" si="4"/>
        <v/>
      </c>
      <c r="Y185" s="44" t="str">
        <f t="shared" si="5"/>
        <v/>
      </c>
    </row>
    <row r="186" ht="12.75" customHeight="1">
      <c r="C186" s="138">
        <f t="shared" si="1"/>
        <v>49.29166667</v>
      </c>
      <c r="D186" s="138"/>
      <c r="E186" s="138">
        <f t="shared" si="2"/>
        <v>24.64583333</v>
      </c>
      <c r="F186" s="138"/>
      <c r="G186" s="138">
        <f t="shared" si="3"/>
        <v>19.95138889</v>
      </c>
      <c r="H186" s="138"/>
      <c r="I186" s="140" t="s">
        <v>404</v>
      </c>
      <c r="J186" s="38">
        <v>0.84</v>
      </c>
      <c r="K186" s="38">
        <v>0.42</v>
      </c>
      <c r="L186" s="141">
        <v>0.34</v>
      </c>
      <c r="M186" s="38"/>
      <c r="N186" s="38"/>
      <c r="O186" s="38"/>
      <c r="P186" s="38"/>
      <c r="Q186" s="38"/>
      <c r="R186" s="38"/>
      <c r="T186" s="140" t="s">
        <v>404</v>
      </c>
      <c r="U186" s="38">
        <v>0.84</v>
      </c>
      <c r="V186" s="38">
        <v>0.42</v>
      </c>
      <c r="W186" s="141">
        <v>0.34</v>
      </c>
      <c r="X186" s="38" t="str">
        <f t="shared" si="4"/>
        <v>per hour</v>
      </c>
      <c r="Y186" s="44" t="str">
        <f t="shared" si="5"/>
        <v>per </v>
      </c>
    </row>
    <row r="187" ht="12.75" customHeight="1">
      <c r="C187" s="138">
        <f t="shared" si="1"/>
        <v>492.9166667</v>
      </c>
      <c r="D187" s="138"/>
      <c r="E187" s="138">
        <f t="shared" si="2"/>
        <v>246.4583333</v>
      </c>
      <c r="F187" s="138"/>
      <c r="G187" s="138">
        <f t="shared" si="3"/>
        <v>197.1666667</v>
      </c>
      <c r="H187" s="138"/>
      <c r="I187" s="140" t="s">
        <v>404</v>
      </c>
      <c r="J187" s="38">
        <v>8.4</v>
      </c>
      <c r="K187" s="38">
        <v>4.2</v>
      </c>
      <c r="L187" s="141">
        <v>3.36</v>
      </c>
      <c r="M187" s="38"/>
      <c r="N187" s="38"/>
      <c r="O187" s="38"/>
      <c r="P187" s="38"/>
      <c r="Q187" s="38"/>
      <c r="R187" s="38"/>
      <c r="T187" s="140" t="s">
        <v>404</v>
      </c>
      <c r="U187" s="38">
        <v>8.4</v>
      </c>
      <c r="V187" s="38">
        <v>4.2</v>
      </c>
      <c r="W187" s="141">
        <v>3.36</v>
      </c>
      <c r="X187" s="38" t="str">
        <f t="shared" si="4"/>
        <v>per hour</v>
      </c>
      <c r="Y187" s="44" t="str">
        <f t="shared" si="5"/>
        <v>per </v>
      </c>
    </row>
    <row r="188" ht="12.75" customHeight="1">
      <c r="C188" s="138">
        <f t="shared" si="1"/>
        <v>0</v>
      </c>
      <c r="D188" s="138"/>
      <c r="E188" s="138">
        <f t="shared" si="2"/>
        <v>0</v>
      </c>
      <c r="F188" s="138"/>
      <c r="G188" s="138">
        <f t="shared" si="3"/>
        <v>0</v>
      </c>
      <c r="H188" s="138"/>
      <c r="L188" s="139"/>
      <c r="M188" s="38"/>
      <c r="N188" s="38"/>
      <c r="O188" s="38"/>
      <c r="P188" s="38"/>
      <c r="Q188" s="38"/>
      <c r="R188" s="38"/>
      <c r="W188" s="139"/>
      <c r="X188" s="38" t="str">
        <f t="shared" si="4"/>
        <v/>
      </c>
      <c r="Y188" s="44" t="str">
        <f t="shared" si="5"/>
        <v/>
      </c>
    </row>
    <row r="189" ht="12.75" customHeight="1">
      <c r="C189" s="138">
        <f t="shared" si="1"/>
        <v>37.55555556</v>
      </c>
      <c r="D189" s="138"/>
      <c r="E189" s="138">
        <f t="shared" si="2"/>
        <v>18.77777778</v>
      </c>
      <c r="F189" s="138"/>
      <c r="G189" s="138">
        <f t="shared" si="3"/>
        <v>15.25694444</v>
      </c>
      <c r="H189" s="138"/>
      <c r="I189" s="140" t="s">
        <v>404</v>
      </c>
      <c r="J189" s="38">
        <v>0.64</v>
      </c>
      <c r="K189" s="38">
        <v>0.32</v>
      </c>
      <c r="L189" s="141">
        <v>0.26</v>
      </c>
      <c r="M189" s="38"/>
      <c r="N189" s="38"/>
      <c r="O189" s="38"/>
      <c r="P189" s="38"/>
      <c r="Q189" s="38"/>
      <c r="R189" s="38"/>
      <c r="T189" s="140" t="s">
        <v>404</v>
      </c>
      <c r="U189" s="38">
        <v>0.64</v>
      </c>
      <c r="V189" s="38">
        <v>0.32</v>
      </c>
      <c r="W189" s="141">
        <v>0.26</v>
      </c>
      <c r="X189" s="38" t="str">
        <f t="shared" si="4"/>
        <v>per hour</v>
      </c>
      <c r="Y189" s="44" t="str">
        <f t="shared" si="5"/>
        <v>per </v>
      </c>
    </row>
    <row r="190" ht="12.75" customHeight="1">
      <c r="C190" s="138">
        <f t="shared" si="1"/>
        <v>49.29166667</v>
      </c>
      <c r="D190" s="138"/>
      <c r="E190" s="138">
        <f t="shared" si="2"/>
        <v>24.64583333</v>
      </c>
      <c r="F190" s="138"/>
      <c r="G190" s="138">
        <f t="shared" si="3"/>
        <v>19.95138889</v>
      </c>
      <c r="H190" s="138"/>
      <c r="I190" s="140" t="s">
        <v>404</v>
      </c>
      <c r="J190" s="38">
        <v>0.84</v>
      </c>
      <c r="K190" s="38">
        <v>0.42</v>
      </c>
      <c r="L190" s="141">
        <v>0.34</v>
      </c>
      <c r="M190" s="38"/>
      <c r="N190" s="38"/>
      <c r="O190" s="38"/>
      <c r="P190" s="38"/>
      <c r="Q190" s="38"/>
      <c r="R190" s="38"/>
      <c r="T190" s="140" t="s">
        <v>404</v>
      </c>
      <c r="U190" s="38">
        <v>0.84</v>
      </c>
      <c r="V190" s="38">
        <v>0.42</v>
      </c>
      <c r="W190" s="141">
        <v>0.34</v>
      </c>
      <c r="X190" s="38" t="str">
        <f t="shared" si="4"/>
        <v>per hour</v>
      </c>
      <c r="Y190" s="44" t="str">
        <f t="shared" si="5"/>
        <v>per </v>
      </c>
    </row>
    <row r="191" ht="12.75" customHeight="1">
      <c r="C191" s="138">
        <f t="shared" si="1"/>
        <v>61.02777778</v>
      </c>
      <c r="D191" s="138"/>
      <c r="E191" s="138">
        <f t="shared" si="2"/>
        <v>30.51388889</v>
      </c>
      <c r="F191" s="138"/>
      <c r="G191" s="138">
        <f t="shared" si="3"/>
        <v>24.64583333</v>
      </c>
      <c r="H191" s="138"/>
      <c r="I191" s="140" t="s">
        <v>404</v>
      </c>
      <c r="J191" s="38">
        <v>1.04</v>
      </c>
      <c r="K191" s="38">
        <v>0.52</v>
      </c>
      <c r="L191" s="141">
        <v>0.42</v>
      </c>
      <c r="M191" s="38"/>
      <c r="N191" s="38"/>
      <c r="O191" s="38"/>
      <c r="P191" s="38"/>
      <c r="Q191" s="38"/>
      <c r="R191" s="38"/>
      <c r="T191" s="140" t="s">
        <v>404</v>
      </c>
      <c r="U191" s="38">
        <v>1.04</v>
      </c>
      <c r="V191" s="38">
        <v>0.52</v>
      </c>
      <c r="W191" s="141">
        <v>0.42</v>
      </c>
      <c r="X191" s="38" t="str">
        <f t="shared" si="4"/>
        <v>per hour</v>
      </c>
      <c r="Y191" s="44" t="str">
        <f t="shared" si="5"/>
        <v>per </v>
      </c>
    </row>
    <row r="192" ht="12.75" customHeight="1">
      <c r="C192" s="138">
        <f t="shared" si="1"/>
        <v>0</v>
      </c>
      <c r="D192" s="138"/>
      <c r="E192" s="138">
        <f t="shared" si="2"/>
        <v>0</v>
      </c>
      <c r="F192" s="138"/>
      <c r="G192" s="138">
        <f t="shared" si="3"/>
        <v>0</v>
      </c>
      <c r="H192" s="138"/>
      <c r="L192" s="139"/>
      <c r="M192" s="38"/>
      <c r="N192" s="38"/>
      <c r="O192" s="38"/>
      <c r="P192" s="38"/>
      <c r="Q192" s="38"/>
      <c r="R192" s="38"/>
      <c r="W192" s="139"/>
      <c r="X192" s="38" t="str">
        <f t="shared" si="4"/>
        <v/>
      </c>
      <c r="Y192" s="44" t="str">
        <f t="shared" si="5"/>
        <v/>
      </c>
    </row>
    <row r="193" ht="12.75" customHeight="1">
      <c r="C193" s="138">
        <f t="shared" si="1"/>
        <v>82.15277778</v>
      </c>
      <c r="D193" s="138"/>
      <c r="E193" s="138">
        <f t="shared" si="2"/>
        <v>41.07638889</v>
      </c>
      <c r="F193" s="138"/>
      <c r="G193" s="138">
        <f t="shared" si="3"/>
        <v>32.86111111</v>
      </c>
      <c r="H193" s="138"/>
      <c r="I193" s="140" t="s">
        <v>413</v>
      </c>
      <c r="J193" s="38">
        <v>1.4</v>
      </c>
      <c r="K193" s="38">
        <v>0.7</v>
      </c>
      <c r="L193" s="141">
        <v>0.56</v>
      </c>
      <c r="M193" s="38"/>
      <c r="N193" s="38"/>
      <c r="O193" s="38"/>
      <c r="P193" s="38"/>
      <c r="Q193" s="38"/>
      <c r="R193" s="38"/>
      <c r="T193" s="140" t="s">
        <v>413</v>
      </c>
      <c r="U193" s="38">
        <v>1.4</v>
      </c>
      <c r="V193" s="38">
        <v>0.7</v>
      </c>
      <c r="W193" s="141">
        <v>0.56</v>
      </c>
      <c r="X193" s="38" t="str">
        <f t="shared" si="4"/>
        <v>per hour</v>
      </c>
      <c r="Y193" s="44" t="str">
        <f t="shared" si="5"/>
        <v>per </v>
      </c>
    </row>
    <row r="194" ht="12.75" customHeight="1">
      <c r="C194" s="138">
        <f t="shared" si="1"/>
        <v>23.47222222</v>
      </c>
      <c r="D194" s="138"/>
      <c r="E194" s="138">
        <f t="shared" si="2"/>
        <v>11.73611111</v>
      </c>
      <c r="F194" s="138"/>
      <c r="G194" s="138">
        <f t="shared" si="3"/>
        <v>9.388888889</v>
      </c>
      <c r="H194" s="138"/>
      <c r="I194" s="140" t="s">
        <v>404</v>
      </c>
      <c r="J194" s="38">
        <v>0.4</v>
      </c>
      <c r="K194" s="38">
        <v>0.2</v>
      </c>
      <c r="L194" s="141">
        <v>0.16</v>
      </c>
      <c r="M194" s="38"/>
      <c r="N194" s="38"/>
      <c r="O194" s="38"/>
      <c r="P194" s="38"/>
      <c r="Q194" s="38"/>
      <c r="R194" s="38"/>
      <c r="T194" s="140" t="s">
        <v>404</v>
      </c>
      <c r="U194" s="38">
        <v>0.4</v>
      </c>
      <c r="V194" s="38">
        <v>0.2</v>
      </c>
      <c r="W194" s="141">
        <v>0.16</v>
      </c>
      <c r="X194" s="38" t="str">
        <f t="shared" si="4"/>
        <v>per hour</v>
      </c>
      <c r="Y194" s="44" t="str">
        <f t="shared" si="5"/>
        <v>per </v>
      </c>
    </row>
    <row r="195" ht="12.75" customHeight="1">
      <c r="C195" s="138">
        <f t="shared" si="1"/>
        <v>234.7222222</v>
      </c>
      <c r="D195" s="138"/>
      <c r="E195" s="138">
        <f t="shared" si="2"/>
        <v>117.3611111</v>
      </c>
      <c r="F195" s="138"/>
      <c r="G195" s="138">
        <f t="shared" si="3"/>
        <v>93.88888889</v>
      </c>
      <c r="H195" s="138"/>
      <c r="I195" s="140" t="s">
        <v>413</v>
      </c>
      <c r="J195" s="38">
        <v>4.0</v>
      </c>
      <c r="K195" s="38">
        <v>2.0</v>
      </c>
      <c r="L195" s="141">
        <v>1.6</v>
      </c>
      <c r="M195" s="38"/>
      <c r="N195" s="38"/>
      <c r="O195" s="38"/>
      <c r="P195" s="38"/>
      <c r="Q195" s="38"/>
      <c r="R195" s="38"/>
      <c r="T195" s="140" t="s">
        <v>413</v>
      </c>
      <c r="U195" s="38">
        <v>4.0</v>
      </c>
      <c r="V195" s="38">
        <v>2.0</v>
      </c>
      <c r="W195" s="141">
        <v>1.6</v>
      </c>
      <c r="X195" s="38" t="str">
        <f t="shared" si="4"/>
        <v>per hour</v>
      </c>
      <c r="Y195" s="44" t="str">
        <f t="shared" si="5"/>
        <v>per </v>
      </c>
    </row>
    <row r="196" ht="12.75" customHeight="1">
      <c r="C196" s="138">
        <f t="shared" si="1"/>
        <v>0</v>
      </c>
      <c r="D196" s="138"/>
      <c r="E196" s="138">
        <f t="shared" si="2"/>
        <v>0</v>
      </c>
      <c r="F196" s="138"/>
      <c r="G196" s="138">
        <f t="shared" si="3"/>
        <v>0</v>
      </c>
      <c r="H196" s="138"/>
      <c r="L196" s="139"/>
      <c r="M196" s="38"/>
      <c r="N196" s="38"/>
      <c r="O196" s="38"/>
      <c r="P196" s="38"/>
      <c r="Q196" s="38"/>
      <c r="R196" s="38"/>
      <c r="W196" s="139"/>
      <c r="X196" s="38" t="str">
        <f t="shared" si="4"/>
        <v/>
      </c>
      <c r="Y196" s="44" t="str">
        <f t="shared" si="5"/>
        <v/>
      </c>
    </row>
    <row r="197" ht="12.75" customHeight="1">
      <c r="C197" s="138">
        <f t="shared" si="1"/>
        <v>938.8888889</v>
      </c>
      <c r="D197" s="138"/>
      <c r="E197" s="138">
        <f t="shared" si="2"/>
        <v>469.4444444</v>
      </c>
      <c r="F197" s="138"/>
      <c r="G197" s="138">
        <f t="shared" si="3"/>
        <v>375.5555556</v>
      </c>
      <c r="H197" s="138"/>
      <c r="I197" s="140" t="s">
        <v>413</v>
      </c>
      <c r="J197" s="38">
        <v>16.0</v>
      </c>
      <c r="K197" s="38">
        <v>8.0</v>
      </c>
      <c r="L197" s="141">
        <v>6.4</v>
      </c>
      <c r="M197" s="38"/>
      <c r="N197" s="38"/>
      <c r="O197" s="38"/>
      <c r="P197" s="38"/>
      <c r="Q197" s="38"/>
      <c r="R197" s="38"/>
      <c r="T197" s="140" t="s">
        <v>413</v>
      </c>
      <c r="U197" s="38">
        <v>16.0</v>
      </c>
      <c r="V197" s="38">
        <v>8.0</v>
      </c>
      <c r="W197" s="141">
        <v>6.4</v>
      </c>
      <c r="X197" s="38" t="str">
        <f t="shared" si="4"/>
        <v>per hour</v>
      </c>
      <c r="Y197" s="44" t="str">
        <f t="shared" si="5"/>
        <v>per </v>
      </c>
    </row>
    <row r="198" ht="12.75" customHeight="1">
      <c r="C198" s="138">
        <f t="shared" si="1"/>
        <v>153.7430556</v>
      </c>
      <c r="D198" s="138"/>
      <c r="E198" s="138">
        <f t="shared" si="2"/>
        <v>76.87152778</v>
      </c>
      <c r="F198" s="138"/>
      <c r="G198" s="138">
        <f t="shared" si="3"/>
        <v>61.61458333</v>
      </c>
      <c r="H198" s="138"/>
      <c r="I198" s="140" t="s">
        <v>413</v>
      </c>
      <c r="J198" s="38">
        <v>2.62</v>
      </c>
      <c r="K198" s="38">
        <v>1.31</v>
      </c>
      <c r="L198" s="141">
        <v>1.05</v>
      </c>
      <c r="M198" s="38"/>
      <c r="N198" s="38"/>
      <c r="O198" s="38"/>
      <c r="P198" s="38"/>
      <c r="Q198" s="38"/>
      <c r="R198" s="38"/>
      <c r="T198" s="140" t="s">
        <v>413</v>
      </c>
      <c r="U198" s="38">
        <v>2.62</v>
      </c>
      <c r="V198" s="38">
        <v>1.31</v>
      </c>
      <c r="W198" s="141">
        <v>1.05</v>
      </c>
      <c r="X198" s="38" t="str">
        <f t="shared" si="4"/>
        <v>per hour</v>
      </c>
      <c r="Y198" s="44" t="str">
        <f t="shared" si="5"/>
        <v>per </v>
      </c>
    </row>
    <row r="199" ht="12.75" customHeight="1">
      <c r="C199" s="138">
        <f t="shared" si="1"/>
        <v>192.4722222</v>
      </c>
      <c r="D199" s="138"/>
      <c r="E199" s="138">
        <f t="shared" si="2"/>
        <v>96.23611111</v>
      </c>
      <c r="F199" s="138"/>
      <c r="G199" s="138">
        <f t="shared" si="3"/>
        <v>76.87152778</v>
      </c>
      <c r="H199" s="138"/>
      <c r="I199" s="140" t="s">
        <v>413</v>
      </c>
      <c r="J199" s="38">
        <v>3.28</v>
      </c>
      <c r="K199" s="38">
        <v>1.64</v>
      </c>
      <c r="L199" s="141">
        <v>1.31</v>
      </c>
      <c r="M199" s="38"/>
      <c r="N199" s="38"/>
      <c r="O199" s="38"/>
      <c r="P199" s="38"/>
      <c r="Q199" s="38"/>
      <c r="R199" s="38"/>
      <c r="T199" s="140" t="s">
        <v>413</v>
      </c>
      <c r="U199" s="38">
        <v>3.28</v>
      </c>
      <c r="V199" s="38">
        <v>1.64</v>
      </c>
      <c r="W199" s="141">
        <v>1.31</v>
      </c>
      <c r="X199" s="38" t="str">
        <f t="shared" si="4"/>
        <v>per hour</v>
      </c>
      <c r="Y199" s="44" t="str">
        <f t="shared" si="5"/>
        <v>per </v>
      </c>
    </row>
    <row r="200" ht="12.75" customHeight="1">
      <c r="C200" s="138">
        <f t="shared" si="1"/>
        <v>308.6597222</v>
      </c>
      <c r="D200" s="138"/>
      <c r="E200" s="138">
        <f t="shared" si="2"/>
        <v>154.3298611</v>
      </c>
      <c r="F200" s="138"/>
      <c r="G200" s="138">
        <f t="shared" si="3"/>
        <v>123.2291667</v>
      </c>
      <c r="H200" s="138"/>
      <c r="I200" s="140" t="s">
        <v>413</v>
      </c>
      <c r="J200" s="38">
        <v>5.26</v>
      </c>
      <c r="K200" s="38">
        <v>2.63</v>
      </c>
      <c r="L200" s="141">
        <v>2.1</v>
      </c>
      <c r="M200" s="38"/>
      <c r="N200" s="38"/>
      <c r="O200" s="38"/>
      <c r="P200" s="38"/>
      <c r="Q200" s="38"/>
      <c r="R200" s="38"/>
      <c r="T200" s="140" t="s">
        <v>413</v>
      </c>
      <c r="U200" s="38">
        <v>5.26</v>
      </c>
      <c r="V200" s="38">
        <v>2.63</v>
      </c>
      <c r="W200" s="141">
        <v>2.1</v>
      </c>
      <c r="X200" s="38" t="str">
        <f t="shared" si="4"/>
        <v>per hour</v>
      </c>
      <c r="Y200" s="44" t="str">
        <f t="shared" si="5"/>
        <v>per </v>
      </c>
    </row>
    <row r="201" ht="12.75" customHeight="1">
      <c r="C201" s="138">
        <f t="shared" si="1"/>
        <v>0</v>
      </c>
      <c r="D201" s="138"/>
      <c r="E201" s="138">
        <f t="shared" si="2"/>
        <v>0</v>
      </c>
      <c r="F201" s="138"/>
      <c r="G201" s="138">
        <f t="shared" si="3"/>
        <v>0</v>
      </c>
      <c r="H201" s="138"/>
      <c r="I201" s="140"/>
      <c r="L201" s="139"/>
      <c r="M201" s="38"/>
      <c r="N201" s="38"/>
      <c r="O201" s="38"/>
      <c r="P201" s="38"/>
      <c r="Q201" s="38"/>
      <c r="R201" s="38"/>
      <c r="T201" s="140"/>
      <c r="W201" s="139"/>
      <c r="X201" s="38" t="str">
        <f t="shared" si="4"/>
        <v/>
      </c>
      <c r="Y201" s="44" t="str">
        <f t="shared" si="5"/>
        <v/>
      </c>
    </row>
    <row r="202" ht="12.75" customHeight="1">
      <c r="C202" s="138">
        <f t="shared" si="1"/>
        <v>782.7986111</v>
      </c>
      <c r="D202" s="138"/>
      <c r="E202" s="138">
        <f t="shared" si="2"/>
        <v>391.3993056</v>
      </c>
      <c r="F202" s="138"/>
      <c r="G202" s="138">
        <f t="shared" si="3"/>
        <v>313.3541667</v>
      </c>
      <c r="H202" s="138"/>
      <c r="I202" s="140" t="s">
        <v>413</v>
      </c>
      <c r="J202" s="38">
        <v>13.34</v>
      </c>
      <c r="K202" s="38">
        <v>6.67</v>
      </c>
      <c r="L202" s="141">
        <v>5.34</v>
      </c>
      <c r="M202" s="38"/>
      <c r="N202" s="38"/>
      <c r="O202" s="38"/>
      <c r="P202" s="38"/>
      <c r="Q202" s="38"/>
      <c r="R202" s="38"/>
      <c r="T202" s="140" t="s">
        <v>413</v>
      </c>
      <c r="U202" s="38">
        <v>13.34</v>
      </c>
      <c r="V202" s="38">
        <v>6.67</v>
      </c>
      <c r="W202" s="141">
        <v>5.34</v>
      </c>
      <c r="X202" s="38" t="str">
        <f t="shared" si="4"/>
        <v>per hour</v>
      </c>
      <c r="Y202" s="44" t="str">
        <f t="shared" si="5"/>
        <v>per </v>
      </c>
    </row>
    <row r="203" ht="12.75" customHeight="1">
      <c r="C203" s="138">
        <f t="shared" si="1"/>
        <v>1956.409722</v>
      </c>
      <c r="D203" s="138"/>
      <c r="E203" s="138">
        <f t="shared" si="2"/>
        <v>978.2048611</v>
      </c>
      <c r="F203" s="138"/>
      <c r="G203" s="138">
        <f t="shared" si="3"/>
        <v>782.7986111</v>
      </c>
      <c r="H203" s="138"/>
      <c r="I203" s="140" t="s">
        <v>413</v>
      </c>
      <c r="J203" s="38">
        <v>33.34</v>
      </c>
      <c r="K203" s="38">
        <v>16.67</v>
      </c>
      <c r="L203" s="141">
        <v>13.34</v>
      </c>
      <c r="M203" s="38"/>
      <c r="N203" s="38"/>
      <c r="O203" s="38"/>
      <c r="P203" s="38"/>
      <c r="Q203" s="38"/>
      <c r="R203" s="38"/>
      <c r="T203" s="140" t="s">
        <v>413</v>
      </c>
      <c r="U203" s="38">
        <v>33.34</v>
      </c>
      <c r="V203" s="38">
        <v>16.67</v>
      </c>
      <c r="W203" s="141">
        <v>13.34</v>
      </c>
      <c r="X203" s="38" t="str">
        <f t="shared" si="4"/>
        <v>per hour</v>
      </c>
      <c r="Y203" s="44" t="str">
        <f t="shared" si="5"/>
        <v>per </v>
      </c>
    </row>
    <row r="204" ht="12.75" customHeight="1">
      <c r="C204" s="138">
        <f t="shared" si="1"/>
        <v>0</v>
      </c>
      <c r="D204" s="138"/>
      <c r="E204" s="138">
        <f t="shared" si="2"/>
        <v>0</v>
      </c>
      <c r="F204" s="138"/>
      <c r="G204" s="138">
        <f t="shared" si="3"/>
        <v>0</v>
      </c>
      <c r="H204" s="138"/>
      <c r="L204" s="141"/>
      <c r="M204" s="38"/>
      <c r="N204" s="38"/>
      <c r="O204" s="38"/>
      <c r="P204" s="38"/>
      <c r="Q204" s="38"/>
      <c r="R204" s="38"/>
      <c r="W204" s="141"/>
      <c r="X204" s="38" t="str">
        <f t="shared" si="4"/>
        <v/>
      </c>
      <c r="Y204" s="44" t="str">
        <f t="shared" si="5"/>
        <v/>
      </c>
    </row>
    <row r="205" ht="12.75" customHeight="1">
      <c r="C205" s="138">
        <f t="shared" si="1"/>
        <v>96.23611111</v>
      </c>
      <c r="D205" s="138"/>
      <c r="E205" s="138">
        <f t="shared" si="2"/>
        <v>48.11805556</v>
      </c>
      <c r="F205" s="138"/>
      <c r="G205" s="138">
        <f t="shared" si="3"/>
        <v>38.72916667</v>
      </c>
      <c r="H205" s="138"/>
      <c r="I205" s="140" t="s">
        <v>413</v>
      </c>
      <c r="J205" s="38">
        <v>1.64</v>
      </c>
      <c r="K205" s="38">
        <v>0.82</v>
      </c>
      <c r="L205" s="141">
        <v>0.66</v>
      </c>
      <c r="M205" s="38"/>
      <c r="N205" s="38"/>
      <c r="O205" s="38"/>
      <c r="P205" s="38"/>
      <c r="Q205" s="38"/>
      <c r="R205" s="38"/>
      <c r="T205" s="140" t="s">
        <v>413</v>
      </c>
      <c r="U205" s="38">
        <v>1.64</v>
      </c>
      <c r="V205" s="38">
        <v>0.82</v>
      </c>
      <c r="W205" s="141">
        <v>0.66</v>
      </c>
      <c r="X205" s="38" t="str">
        <f t="shared" si="4"/>
        <v>per hour</v>
      </c>
      <c r="Y205" s="44" t="str">
        <f t="shared" si="5"/>
        <v>per </v>
      </c>
    </row>
    <row r="206" ht="12.75" customHeight="1">
      <c r="C206" s="138">
        <f t="shared" si="1"/>
        <v>586.8055556</v>
      </c>
      <c r="D206" s="138"/>
      <c r="E206" s="138">
        <f t="shared" si="2"/>
        <v>293.4027778</v>
      </c>
      <c r="F206" s="138"/>
      <c r="G206" s="138">
        <f t="shared" si="3"/>
        <v>234.7222222</v>
      </c>
      <c r="H206" s="138"/>
      <c r="I206" s="140" t="s">
        <v>413</v>
      </c>
      <c r="J206" s="38">
        <v>10.0</v>
      </c>
      <c r="K206" s="38">
        <v>5.0</v>
      </c>
      <c r="L206" s="141">
        <v>4.0</v>
      </c>
      <c r="M206" s="38"/>
      <c r="N206" s="38"/>
      <c r="O206" s="38"/>
      <c r="P206" s="38"/>
      <c r="Q206" s="38"/>
      <c r="R206" s="38"/>
      <c r="T206" s="140" t="s">
        <v>413</v>
      </c>
      <c r="U206" s="38">
        <v>10.0</v>
      </c>
      <c r="V206" s="38">
        <v>5.0</v>
      </c>
      <c r="W206" s="141">
        <v>4.0</v>
      </c>
      <c r="X206" s="38" t="str">
        <f t="shared" si="4"/>
        <v>per hour</v>
      </c>
      <c r="Y206" s="44" t="str">
        <f t="shared" si="5"/>
        <v>per </v>
      </c>
    </row>
    <row r="207" ht="12.75" customHeight="1">
      <c r="C207" s="138">
        <f t="shared" si="1"/>
        <v>0</v>
      </c>
      <c r="D207" s="138"/>
      <c r="E207" s="138">
        <f t="shared" si="2"/>
        <v>0</v>
      </c>
      <c r="F207" s="138"/>
      <c r="G207" s="138">
        <f t="shared" si="3"/>
        <v>0</v>
      </c>
      <c r="H207" s="138"/>
      <c r="L207" s="139"/>
      <c r="M207" s="38"/>
      <c r="N207" s="38"/>
      <c r="O207" s="38"/>
      <c r="P207" s="38"/>
      <c r="Q207" s="38"/>
      <c r="R207" s="38"/>
      <c r="W207" s="139"/>
      <c r="X207" s="38" t="str">
        <f t="shared" si="4"/>
        <v/>
      </c>
      <c r="Y207" s="44" t="str">
        <f t="shared" si="5"/>
        <v/>
      </c>
    </row>
    <row r="208" ht="12.75" customHeight="1">
      <c r="C208" s="138">
        <f t="shared" si="1"/>
        <v>0</v>
      </c>
      <c r="D208" s="138"/>
      <c r="E208" s="138">
        <f t="shared" si="2"/>
        <v>0</v>
      </c>
      <c r="F208" s="138"/>
      <c r="G208" s="138">
        <f t="shared" si="3"/>
        <v>0</v>
      </c>
      <c r="H208" s="138"/>
      <c r="L208" s="139"/>
      <c r="M208" s="38"/>
      <c r="N208" s="38"/>
      <c r="O208" s="38"/>
      <c r="P208" s="38"/>
      <c r="Q208" s="38"/>
      <c r="R208" s="38"/>
      <c r="W208" s="139"/>
      <c r="X208" s="38" t="str">
        <f t="shared" si="4"/>
        <v/>
      </c>
      <c r="Y208" s="44" t="str">
        <f t="shared" si="5"/>
        <v/>
      </c>
    </row>
    <row r="209" ht="12.75" customHeight="1">
      <c r="C209" s="138">
        <f t="shared" si="1"/>
        <v>146.7013889</v>
      </c>
      <c r="D209" s="138"/>
      <c r="E209" s="138">
        <f t="shared" si="2"/>
        <v>73.35069444</v>
      </c>
      <c r="F209" s="138"/>
      <c r="G209" s="138">
        <f t="shared" si="3"/>
        <v>58.68055556</v>
      </c>
      <c r="H209" s="138"/>
      <c r="I209" s="140" t="s">
        <v>412</v>
      </c>
      <c r="J209" s="38">
        <v>2.5</v>
      </c>
      <c r="K209" s="44">
        <v>1.25</v>
      </c>
      <c r="L209" s="139">
        <v>1.0</v>
      </c>
      <c r="M209" s="38"/>
      <c r="N209" s="38"/>
      <c r="O209" s="38"/>
      <c r="P209" s="38"/>
      <c r="Q209" s="38"/>
      <c r="R209" s="38"/>
      <c r="T209" s="140" t="s">
        <v>412</v>
      </c>
      <c r="U209" s="38">
        <v>2.5</v>
      </c>
      <c r="V209" s="44">
        <v>1.25</v>
      </c>
      <c r="W209" s="139">
        <v>1.0</v>
      </c>
      <c r="X209" s="38" t="str">
        <f t="shared" si="4"/>
        <v>per hour</v>
      </c>
      <c r="Y209" s="44" t="str">
        <f t="shared" si="5"/>
        <v>per </v>
      </c>
    </row>
    <row r="210" ht="12.75" customHeight="1">
      <c r="C210" s="138">
        <f t="shared" si="1"/>
        <v>195.9930556</v>
      </c>
      <c r="D210" s="138"/>
      <c r="E210" s="138">
        <f t="shared" si="2"/>
        <v>97.99652778</v>
      </c>
      <c r="F210" s="138"/>
      <c r="G210" s="138">
        <f t="shared" si="3"/>
        <v>137.3125</v>
      </c>
      <c r="H210" s="138"/>
      <c r="I210" s="140" t="s">
        <v>412</v>
      </c>
      <c r="J210" s="38">
        <v>3.34</v>
      </c>
      <c r="K210" s="44">
        <v>1.67</v>
      </c>
      <c r="L210" s="139">
        <v>2.34</v>
      </c>
      <c r="M210" s="38"/>
      <c r="N210" s="38"/>
      <c r="O210" s="38"/>
      <c r="P210" s="38"/>
      <c r="Q210" s="38"/>
      <c r="R210" s="38"/>
      <c r="T210" s="140" t="s">
        <v>412</v>
      </c>
      <c r="U210" s="38">
        <v>3.34</v>
      </c>
      <c r="V210" s="44">
        <v>1.67</v>
      </c>
      <c r="W210" s="139">
        <v>2.34</v>
      </c>
      <c r="X210" s="38" t="str">
        <f t="shared" si="4"/>
        <v>per hour</v>
      </c>
      <c r="Y210" s="44" t="str">
        <f t="shared" si="5"/>
        <v>per </v>
      </c>
    </row>
    <row r="211" ht="12.75" customHeight="1">
      <c r="C211" s="138">
        <f t="shared" si="1"/>
        <v>293.4027778</v>
      </c>
      <c r="D211" s="138"/>
      <c r="E211" s="138">
        <f t="shared" si="2"/>
        <v>146.7013889</v>
      </c>
      <c r="F211" s="138"/>
      <c r="G211" s="138">
        <f t="shared" si="3"/>
        <v>117.3611111</v>
      </c>
      <c r="H211" s="138"/>
      <c r="I211" s="140" t="s">
        <v>412</v>
      </c>
      <c r="J211" s="38">
        <v>5.0</v>
      </c>
      <c r="K211" s="44">
        <v>2.5</v>
      </c>
      <c r="L211" s="139">
        <v>2.0</v>
      </c>
      <c r="M211" s="38"/>
      <c r="N211" s="38"/>
      <c r="O211" s="38"/>
      <c r="P211" s="38"/>
      <c r="Q211" s="38"/>
      <c r="R211" s="38"/>
      <c r="T211" s="140" t="s">
        <v>412</v>
      </c>
      <c r="U211" s="38">
        <v>5.0</v>
      </c>
      <c r="V211" s="44">
        <v>2.5</v>
      </c>
      <c r="W211" s="139">
        <v>2.0</v>
      </c>
      <c r="X211" s="38" t="str">
        <f t="shared" si="4"/>
        <v>per hour</v>
      </c>
      <c r="Y211" s="44" t="str">
        <f t="shared" si="5"/>
        <v>per </v>
      </c>
    </row>
    <row r="212" ht="12.75" customHeight="1">
      <c r="C212" s="138">
        <f t="shared" si="1"/>
        <v>390.8125</v>
      </c>
      <c r="D212" s="138"/>
      <c r="E212" s="138">
        <f t="shared" si="2"/>
        <v>195.40625</v>
      </c>
      <c r="F212" s="138"/>
      <c r="G212" s="138">
        <f t="shared" si="3"/>
        <v>156.0902778</v>
      </c>
      <c r="H212" s="138"/>
      <c r="I212" s="140" t="s">
        <v>412</v>
      </c>
      <c r="J212" s="44">
        <v>6.66</v>
      </c>
      <c r="K212" s="44">
        <v>3.33</v>
      </c>
      <c r="L212" s="139">
        <v>2.66</v>
      </c>
      <c r="M212" s="38"/>
      <c r="N212" s="38"/>
      <c r="O212" s="38"/>
      <c r="P212" s="38"/>
      <c r="Q212" s="38"/>
      <c r="R212" s="38"/>
      <c r="T212" s="140" t="s">
        <v>412</v>
      </c>
      <c r="U212" s="44">
        <v>6.66</v>
      </c>
      <c r="V212" s="44">
        <v>3.33</v>
      </c>
      <c r="W212" s="139">
        <v>2.66</v>
      </c>
      <c r="X212" s="38" t="str">
        <f t="shared" si="4"/>
        <v>per hour</v>
      </c>
      <c r="Y212" s="44" t="str">
        <f t="shared" si="5"/>
        <v>per </v>
      </c>
    </row>
    <row r="213" ht="12.75" customHeight="1">
      <c r="C213" s="138">
        <f t="shared" si="1"/>
        <v>12.32291667</v>
      </c>
      <c r="D213" s="138"/>
      <c r="E213" s="138">
        <f t="shared" si="2"/>
        <v>6.454861111</v>
      </c>
      <c r="F213" s="138"/>
      <c r="G213" s="138">
        <f t="shared" si="3"/>
        <v>4.694444444</v>
      </c>
      <c r="H213" s="138"/>
      <c r="I213" s="140" t="s">
        <v>413</v>
      </c>
      <c r="J213" s="44">
        <v>0.21</v>
      </c>
      <c r="K213" s="44">
        <v>0.11</v>
      </c>
      <c r="L213" s="139">
        <v>0.08</v>
      </c>
      <c r="M213" s="38"/>
      <c r="N213" s="38"/>
      <c r="O213" s="38"/>
      <c r="P213" s="38"/>
      <c r="Q213" s="38"/>
      <c r="R213" s="38"/>
      <c r="T213" s="140" t="s">
        <v>413</v>
      </c>
      <c r="U213" s="44">
        <v>0.21</v>
      </c>
      <c r="V213" s="44">
        <v>0.11</v>
      </c>
      <c r="W213" s="139">
        <v>0.08</v>
      </c>
      <c r="X213" s="38" t="str">
        <f t="shared" si="4"/>
        <v>per hour</v>
      </c>
      <c r="Y213" s="44" t="str">
        <f t="shared" si="5"/>
        <v>per </v>
      </c>
    </row>
    <row r="214" ht="12.75" customHeight="1">
      <c r="C214" s="138">
        <f t="shared" si="1"/>
        <v>24.64583333</v>
      </c>
      <c r="D214" s="138"/>
      <c r="E214" s="138">
        <f t="shared" si="2"/>
        <v>12.32291667</v>
      </c>
      <c r="F214" s="138"/>
      <c r="G214" s="138">
        <f t="shared" si="3"/>
        <v>9.975694444</v>
      </c>
      <c r="H214" s="138"/>
      <c r="I214" s="140" t="s">
        <v>413</v>
      </c>
      <c r="J214" s="44">
        <v>0.42</v>
      </c>
      <c r="K214" s="44">
        <v>0.21</v>
      </c>
      <c r="L214" s="139">
        <v>0.17</v>
      </c>
      <c r="M214" s="38"/>
      <c r="N214" s="38"/>
      <c r="O214" s="38"/>
      <c r="P214" s="38"/>
      <c r="Q214" s="38"/>
      <c r="R214" s="38"/>
      <c r="T214" s="140" t="s">
        <v>413</v>
      </c>
      <c r="U214" s="44">
        <v>0.42</v>
      </c>
      <c r="V214" s="44">
        <v>0.21</v>
      </c>
      <c r="W214" s="139">
        <v>0.17</v>
      </c>
      <c r="X214" s="38" t="str">
        <f t="shared" si="4"/>
        <v>per hour</v>
      </c>
      <c r="Y214" s="44" t="str">
        <f t="shared" si="5"/>
        <v>per </v>
      </c>
    </row>
    <row r="215" ht="12.75" customHeight="1">
      <c r="C215" s="138">
        <f t="shared" si="1"/>
        <v>56.33333333</v>
      </c>
      <c r="D215" s="138"/>
      <c r="E215" s="138">
        <f t="shared" si="2"/>
        <v>28.16666667</v>
      </c>
      <c r="F215" s="138"/>
      <c r="G215" s="138">
        <f t="shared" si="3"/>
        <v>22.29861111</v>
      </c>
      <c r="H215" s="138"/>
      <c r="I215" s="140" t="s">
        <v>404</v>
      </c>
      <c r="J215" s="44">
        <v>0.96</v>
      </c>
      <c r="K215" s="44">
        <v>0.48</v>
      </c>
      <c r="L215" s="139">
        <v>0.38</v>
      </c>
      <c r="M215" s="38"/>
      <c r="N215" s="38"/>
      <c r="O215" s="38"/>
      <c r="P215" s="38"/>
      <c r="Q215" s="38"/>
      <c r="R215" s="38"/>
      <c r="T215" s="140" t="s">
        <v>404</v>
      </c>
      <c r="U215" s="44">
        <v>0.96</v>
      </c>
      <c r="V215" s="44">
        <v>0.48</v>
      </c>
      <c r="W215" s="139">
        <v>0.38</v>
      </c>
      <c r="X215" s="38" t="str">
        <f t="shared" si="4"/>
        <v>per hour</v>
      </c>
      <c r="Y215" s="44" t="str">
        <f t="shared" si="5"/>
        <v>per </v>
      </c>
    </row>
    <row r="216" ht="12.75" customHeight="1">
      <c r="C216" s="138">
        <f t="shared" si="1"/>
        <v>6.454861111</v>
      </c>
      <c r="D216" s="138"/>
      <c r="E216" s="138">
        <f t="shared" si="2"/>
        <v>3.520833333</v>
      </c>
      <c r="F216" s="138"/>
      <c r="G216" s="138">
        <f t="shared" si="3"/>
        <v>2.347222222</v>
      </c>
      <c r="H216" s="138"/>
      <c r="I216" s="140" t="s">
        <v>413</v>
      </c>
      <c r="J216" s="44">
        <v>0.11</v>
      </c>
      <c r="K216" s="44">
        <v>0.06</v>
      </c>
      <c r="L216" s="139">
        <v>0.04</v>
      </c>
      <c r="M216" s="38"/>
      <c r="N216" s="38"/>
      <c r="O216" s="38"/>
      <c r="P216" s="38"/>
      <c r="Q216" s="38"/>
      <c r="R216" s="38"/>
      <c r="T216" s="140" t="s">
        <v>413</v>
      </c>
      <c r="U216" s="44">
        <v>0.11</v>
      </c>
      <c r="V216" s="44">
        <v>0.06</v>
      </c>
      <c r="W216" s="139">
        <v>0.04</v>
      </c>
      <c r="X216" s="38" t="str">
        <f t="shared" si="4"/>
        <v>per hour</v>
      </c>
      <c r="Y216" s="44" t="str">
        <f t="shared" si="5"/>
        <v>per </v>
      </c>
    </row>
    <row r="217" ht="12.75" customHeight="1">
      <c r="C217" s="138">
        <f t="shared" si="1"/>
        <v>0</v>
      </c>
      <c r="D217" s="138"/>
      <c r="E217" s="138">
        <f t="shared" si="2"/>
        <v>0</v>
      </c>
      <c r="F217" s="138"/>
      <c r="G217" s="138">
        <f t="shared" si="3"/>
        <v>0</v>
      </c>
      <c r="H217" s="138"/>
      <c r="L217" s="139"/>
      <c r="M217" s="38"/>
      <c r="N217" s="38"/>
      <c r="O217" s="38"/>
      <c r="P217" s="38"/>
      <c r="Q217" s="38"/>
      <c r="R217" s="38"/>
      <c r="W217" s="139"/>
      <c r="X217" s="38" t="str">
        <f t="shared" si="4"/>
        <v/>
      </c>
      <c r="Y217" s="44" t="str">
        <f t="shared" si="5"/>
        <v/>
      </c>
    </row>
    <row r="218" ht="12.75" customHeight="1">
      <c r="C218" s="138">
        <f t="shared" si="1"/>
        <v>5.868055556</v>
      </c>
      <c r="D218" s="138"/>
      <c r="E218" s="138">
        <f t="shared" si="2"/>
        <v>2.934027778</v>
      </c>
      <c r="F218" s="138"/>
      <c r="G218" s="138">
        <f t="shared" si="3"/>
        <v>2.347222222</v>
      </c>
      <c r="H218" s="138"/>
      <c r="I218" s="140" t="s">
        <v>404</v>
      </c>
      <c r="J218" s="44">
        <v>0.1</v>
      </c>
      <c r="K218" s="44">
        <v>0.05</v>
      </c>
      <c r="L218" s="139">
        <v>0.04</v>
      </c>
      <c r="M218" s="38"/>
      <c r="N218" s="38"/>
      <c r="O218" s="38"/>
      <c r="P218" s="38"/>
      <c r="Q218" s="38"/>
      <c r="R218" s="38"/>
      <c r="T218" s="140" t="s">
        <v>404</v>
      </c>
      <c r="U218" s="44">
        <v>0.1</v>
      </c>
      <c r="V218" s="44">
        <v>0.05</v>
      </c>
      <c r="W218" s="139">
        <v>0.04</v>
      </c>
      <c r="X218" s="38" t="str">
        <f t="shared" si="4"/>
        <v>per hour</v>
      </c>
      <c r="Y218" s="44" t="str">
        <f t="shared" si="5"/>
        <v>per </v>
      </c>
    </row>
    <row r="219" ht="12.75" customHeight="1">
      <c r="C219" s="138">
        <f t="shared" si="1"/>
        <v>3.520833333</v>
      </c>
      <c r="D219" s="138"/>
      <c r="E219" s="138">
        <f t="shared" si="2"/>
        <v>1.760416667</v>
      </c>
      <c r="F219" s="138"/>
      <c r="G219" s="138">
        <f t="shared" si="3"/>
        <v>1.173611111</v>
      </c>
      <c r="H219" s="138"/>
      <c r="I219" s="140" t="s">
        <v>404</v>
      </c>
      <c r="J219" s="44">
        <v>0.06</v>
      </c>
      <c r="K219" s="44">
        <v>0.03</v>
      </c>
      <c r="L219" s="139">
        <v>0.02</v>
      </c>
      <c r="M219" s="38"/>
      <c r="N219" s="38"/>
      <c r="O219" s="38"/>
      <c r="P219" s="38"/>
      <c r="Q219" s="38"/>
      <c r="R219" s="38"/>
      <c r="T219" s="140" t="s">
        <v>404</v>
      </c>
      <c r="U219" s="44">
        <v>0.06</v>
      </c>
      <c r="V219" s="44">
        <v>0.03</v>
      </c>
      <c r="W219" s="139">
        <v>0.02</v>
      </c>
      <c r="X219" s="38" t="str">
        <f t="shared" si="4"/>
        <v>per hour</v>
      </c>
      <c r="Y219" s="44" t="str">
        <f t="shared" si="5"/>
        <v>per </v>
      </c>
    </row>
    <row r="220" ht="12.75" customHeight="1">
      <c r="C220" s="138">
        <f t="shared" si="1"/>
        <v>198.3402778</v>
      </c>
      <c r="D220" s="138"/>
      <c r="E220" s="138">
        <f t="shared" si="2"/>
        <v>99.17013889</v>
      </c>
      <c r="F220" s="138"/>
      <c r="G220" s="138">
        <f t="shared" si="3"/>
        <v>79.21875</v>
      </c>
      <c r="H220" s="138"/>
      <c r="I220" s="140" t="s">
        <v>413</v>
      </c>
      <c r="J220" s="44">
        <v>3.38</v>
      </c>
      <c r="K220" s="44">
        <v>1.69</v>
      </c>
      <c r="L220" s="139">
        <v>1.35</v>
      </c>
      <c r="M220" s="38"/>
      <c r="N220" s="38"/>
      <c r="O220" s="38"/>
      <c r="P220" s="38"/>
      <c r="Q220" s="38"/>
      <c r="R220" s="38"/>
      <c r="T220" s="140" t="s">
        <v>413</v>
      </c>
      <c r="U220" s="44">
        <v>3.38</v>
      </c>
      <c r="V220" s="44">
        <v>1.69</v>
      </c>
      <c r="W220" s="139">
        <v>1.35</v>
      </c>
      <c r="X220" s="38" t="str">
        <f t="shared" si="4"/>
        <v>per hour</v>
      </c>
      <c r="Y220" s="44" t="str">
        <f t="shared" si="5"/>
        <v>per </v>
      </c>
    </row>
    <row r="221" ht="12.75" customHeight="1">
      <c r="C221" s="138">
        <f t="shared" si="1"/>
        <v>117.3611111</v>
      </c>
      <c r="D221" s="138"/>
      <c r="E221" s="138">
        <f t="shared" si="2"/>
        <v>58.68055556</v>
      </c>
      <c r="F221" s="138"/>
      <c r="G221" s="138">
        <f t="shared" si="3"/>
        <v>46.94444444</v>
      </c>
      <c r="H221" s="138"/>
      <c r="I221" s="140" t="s">
        <v>413</v>
      </c>
      <c r="J221" s="38">
        <v>2.0</v>
      </c>
      <c r="K221" s="38">
        <v>1.0</v>
      </c>
      <c r="L221" s="139">
        <v>0.8</v>
      </c>
      <c r="M221" s="38"/>
      <c r="N221" s="38"/>
      <c r="O221" s="38"/>
      <c r="P221" s="38"/>
      <c r="Q221" s="38"/>
      <c r="R221" s="38"/>
      <c r="T221" s="140" t="s">
        <v>413</v>
      </c>
      <c r="U221" s="38">
        <v>2.0</v>
      </c>
      <c r="V221" s="38">
        <v>1.0</v>
      </c>
      <c r="W221" s="139">
        <v>0.8</v>
      </c>
      <c r="X221" s="38" t="str">
        <f t="shared" si="4"/>
        <v>per hour</v>
      </c>
      <c r="Y221" s="44" t="str">
        <f t="shared" si="5"/>
        <v>per </v>
      </c>
    </row>
    <row r="222" ht="12.75" customHeight="1">
      <c r="C222" s="138">
        <f t="shared" si="1"/>
        <v>242.9375</v>
      </c>
      <c r="D222" s="138"/>
      <c r="E222" s="138">
        <f t="shared" si="2"/>
        <v>121.46875</v>
      </c>
      <c r="F222" s="138"/>
      <c r="G222" s="138">
        <f t="shared" si="3"/>
        <v>97.40972222</v>
      </c>
      <c r="H222" s="138"/>
      <c r="I222" s="140" t="s">
        <v>413</v>
      </c>
      <c r="J222" s="44">
        <v>4.14</v>
      </c>
      <c r="K222" s="44">
        <v>2.07</v>
      </c>
      <c r="L222" s="139">
        <v>1.66</v>
      </c>
      <c r="M222" s="38"/>
      <c r="N222" s="38"/>
      <c r="O222" s="38"/>
      <c r="P222" s="38"/>
      <c r="Q222" s="38"/>
      <c r="R222" s="38"/>
      <c r="T222" s="140" t="s">
        <v>413</v>
      </c>
      <c r="U222" s="44">
        <v>4.14</v>
      </c>
      <c r="V222" s="44">
        <v>2.07</v>
      </c>
      <c r="W222" s="139">
        <v>1.66</v>
      </c>
      <c r="X222" s="38" t="str">
        <f t="shared" si="4"/>
        <v>per hour</v>
      </c>
      <c r="Y222" s="44" t="str">
        <f t="shared" si="5"/>
        <v>per </v>
      </c>
    </row>
    <row r="223" ht="12.75" customHeight="1">
      <c r="C223" s="138">
        <f t="shared" si="1"/>
        <v>0</v>
      </c>
      <c r="D223" s="138"/>
      <c r="E223" s="138">
        <f t="shared" si="2"/>
        <v>0</v>
      </c>
      <c r="F223" s="138"/>
      <c r="G223" s="138">
        <f t="shared" si="3"/>
        <v>0</v>
      </c>
      <c r="H223" s="138"/>
      <c r="L223" s="139"/>
      <c r="M223" s="38"/>
      <c r="N223" s="38"/>
      <c r="O223" s="38"/>
      <c r="P223" s="38"/>
      <c r="Q223" s="38"/>
      <c r="R223" s="38"/>
      <c r="W223" s="139"/>
      <c r="X223" s="38" t="str">
        <f t="shared" si="4"/>
        <v/>
      </c>
      <c r="Y223" s="44" t="str">
        <f t="shared" si="5"/>
        <v/>
      </c>
    </row>
    <row r="224" ht="12.75" customHeight="1">
      <c r="C224" s="138">
        <f t="shared" si="1"/>
        <v>125.5763889</v>
      </c>
      <c r="D224" s="138"/>
      <c r="E224" s="138">
        <f t="shared" si="2"/>
        <v>62.78819444</v>
      </c>
      <c r="F224" s="138"/>
      <c r="G224" s="138">
        <f t="shared" si="3"/>
        <v>50.46527778</v>
      </c>
      <c r="H224" s="138"/>
      <c r="I224" s="140" t="s">
        <v>413</v>
      </c>
      <c r="J224" s="44">
        <v>2.14</v>
      </c>
      <c r="K224" s="44">
        <v>1.07</v>
      </c>
      <c r="L224" s="139">
        <v>0.86</v>
      </c>
      <c r="M224" s="38"/>
      <c r="N224" s="38"/>
      <c r="O224" s="38"/>
      <c r="P224" s="38"/>
      <c r="Q224" s="38"/>
      <c r="R224" s="38"/>
      <c r="T224" s="140" t="s">
        <v>413</v>
      </c>
      <c r="U224" s="44">
        <v>2.14</v>
      </c>
      <c r="V224" s="44">
        <v>1.07</v>
      </c>
      <c r="W224" s="139">
        <v>0.86</v>
      </c>
      <c r="X224" s="38" t="str">
        <f t="shared" si="4"/>
        <v>per hour</v>
      </c>
      <c r="Y224" s="44" t="str">
        <f t="shared" si="5"/>
        <v>per </v>
      </c>
    </row>
    <row r="225" ht="12.75" customHeight="1">
      <c r="C225" s="138">
        <f t="shared" si="1"/>
        <v>0</v>
      </c>
      <c r="D225" s="138"/>
      <c r="E225" s="138">
        <f t="shared" si="2"/>
        <v>0</v>
      </c>
      <c r="F225" s="138"/>
      <c r="G225" s="138">
        <f t="shared" si="3"/>
        <v>0</v>
      </c>
      <c r="H225" s="138"/>
      <c r="L225" s="139"/>
      <c r="M225" s="38"/>
      <c r="N225" s="38"/>
      <c r="O225" s="38"/>
      <c r="P225" s="38"/>
      <c r="Q225" s="38"/>
      <c r="R225" s="38"/>
      <c r="W225" s="139"/>
      <c r="X225" s="38" t="str">
        <f t="shared" si="4"/>
        <v/>
      </c>
      <c r="Y225" s="44" t="str">
        <f t="shared" si="5"/>
        <v/>
      </c>
    </row>
    <row r="226" ht="12.75" customHeight="1">
      <c r="C226" s="138">
        <f t="shared" si="1"/>
        <v>0</v>
      </c>
      <c r="D226" s="138"/>
      <c r="E226" s="138">
        <f t="shared" si="2"/>
        <v>0</v>
      </c>
      <c r="F226" s="138"/>
      <c r="G226" s="138">
        <f t="shared" si="3"/>
        <v>0</v>
      </c>
      <c r="H226" s="138"/>
      <c r="I226" s="46"/>
      <c r="J226" s="46"/>
      <c r="L226" s="139"/>
      <c r="M226" s="38"/>
      <c r="N226" s="38"/>
      <c r="O226" s="38"/>
      <c r="P226" s="38"/>
      <c r="Q226" s="38"/>
      <c r="R226" s="38"/>
      <c r="T226" s="46"/>
      <c r="U226" s="46"/>
      <c r="W226" s="139"/>
      <c r="X226" s="38" t="str">
        <f t="shared" si="4"/>
        <v/>
      </c>
      <c r="Y226" s="44" t="str">
        <f t="shared" si="5"/>
        <v/>
      </c>
    </row>
    <row r="227" ht="12.75" customHeight="1">
      <c r="C227" s="138">
        <f t="shared" si="1"/>
        <v>0</v>
      </c>
      <c r="D227" s="138"/>
      <c r="E227" s="138">
        <f t="shared" si="2"/>
        <v>0</v>
      </c>
      <c r="F227" s="138"/>
      <c r="G227" s="138">
        <f t="shared" si="3"/>
        <v>0</v>
      </c>
      <c r="H227" s="138"/>
      <c r="L227" s="139"/>
      <c r="M227" s="38"/>
      <c r="N227" s="38"/>
      <c r="O227" s="38"/>
      <c r="P227" s="38"/>
      <c r="Q227" s="38"/>
      <c r="R227" s="38"/>
      <c r="W227" s="139"/>
      <c r="X227" s="38" t="str">
        <f t="shared" si="4"/>
        <v/>
      </c>
      <c r="Y227" s="44" t="str">
        <f t="shared" si="5"/>
        <v/>
      </c>
    </row>
    <row r="228" ht="12.75" customHeight="1">
      <c r="C228" s="138">
        <f t="shared" si="1"/>
        <v>77.45833333</v>
      </c>
      <c r="D228" s="138"/>
      <c r="E228" s="138">
        <f t="shared" si="2"/>
        <v>38.72916667</v>
      </c>
      <c r="F228" s="138"/>
      <c r="G228" s="138">
        <f t="shared" si="3"/>
        <v>31.10069444</v>
      </c>
      <c r="H228" s="138"/>
      <c r="I228" s="140" t="s">
        <v>412</v>
      </c>
      <c r="J228" s="44">
        <v>1.32</v>
      </c>
      <c r="K228" s="44">
        <v>0.66</v>
      </c>
      <c r="L228" s="141">
        <v>0.53</v>
      </c>
      <c r="M228" s="38"/>
      <c r="N228" s="38"/>
      <c r="O228" s="38"/>
      <c r="P228" s="38"/>
      <c r="Q228" s="38"/>
      <c r="R228" s="38"/>
      <c r="T228" s="140" t="s">
        <v>412</v>
      </c>
      <c r="U228" s="44">
        <v>1.32</v>
      </c>
      <c r="V228" s="44">
        <v>0.66</v>
      </c>
      <c r="W228" s="141">
        <v>0.53</v>
      </c>
      <c r="X228" s="38" t="str">
        <f t="shared" si="4"/>
        <v>per hour</v>
      </c>
      <c r="Y228" s="44" t="str">
        <f t="shared" si="5"/>
        <v>per </v>
      </c>
    </row>
    <row r="229" ht="12.75" customHeight="1">
      <c r="C229" s="138">
        <f t="shared" si="1"/>
        <v>77.45833333</v>
      </c>
      <c r="D229" s="138"/>
      <c r="E229" s="138">
        <f t="shared" si="2"/>
        <v>38.72916667</v>
      </c>
      <c r="F229" s="138"/>
      <c r="G229" s="138">
        <f t="shared" si="3"/>
        <v>31.10069444</v>
      </c>
      <c r="H229" s="138"/>
      <c r="I229" s="140" t="s">
        <v>412</v>
      </c>
      <c r="J229" s="44">
        <v>1.32</v>
      </c>
      <c r="K229" s="44">
        <v>0.66</v>
      </c>
      <c r="L229" s="141">
        <v>0.53</v>
      </c>
      <c r="M229" s="38"/>
      <c r="N229" s="38"/>
      <c r="O229" s="38"/>
      <c r="P229" s="38"/>
      <c r="Q229" s="38"/>
      <c r="R229" s="38"/>
      <c r="T229" s="140" t="s">
        <v>412</v>
      </c>
      <c r="U229" s="44">
        <v>1.32</v>
      </c>
      <c r="V229" s="44">
        <v>0.66</v>
      </c>
      <c r="W229" s="141">
        <v>0.53</v>
      </c>
      <c r="X229" s="38" t="str">
        <f t="shared" si="4"/>
        <v>per hour</v>
      </c>
      <c r="Y229" s="44" t="str">
        <f t="shared" si="5"/>
        <v>per </v>
      </c>
    </row>
    <row r="230" ht="12.75" customHeight="1">
      <c r="C230" s="138">
        <f t="shared" si="1"/>
        <v>86.84722222</v>
      </c>
      <c r="D230" s="138"/>
      <c r="E230" s="138">
        <f t="shared" si="2"/>
        <v>43.42361111</v>
      </c>
      <c r="F230" s="138"/>
      <c r="G230" s="138">
        <f t="shared" si="3"/>
        <v>34.62152778</v>
      </c>
      <c r="H230" s="138"/>
      <c r="I230" s="140" t="s">
        <v>412</v>
      </c>
      <c r="J230" s="44">
        <v>1.48</v>
      </c>
      <c r="K230" s="44">
        <v>0.74</v>
      </c>
      <c r="L230" s="141">
        <v>0.59</v>
      </c>
      <c r="M230" s="38"/>
      <c r="N230" s="38"/>
      <c r="O230" s="38"/>
      <c r="P230" s="38"/>
      <c r="Q230" s="38"/>
      <c r="R230" s="38"/>
      <c r="T230" s="140" t="s">
        <v>412</v>
      </c>
      <c r="U230" s="44">
        <v>1.48</v>
      </c>
      <c r="V230" s="44">
        <v>0.74</v>
      </c>
      <c r="W230" s="141">
        <v>0.59</v>
      </c>
      <c r="X230" s="38" t="str">
        <f t="shared" si="4"/>
        <v>per hour</v>
      </c>
      <c r="Y230" s="44" t="str">
        <f t="shared" si="5"/>
        <v>per </v>
      </c>
    </row>
    <row r="231" ht="12.75" customHeight="1">
      <c r="C231" s="138">
        <f t="shared" si="1"/>
        <v>96.23611111</v>
      </c>
      <c r="D231" s="138"/>
      <c r="E231" s="138">
        <f t="shared" si="2"/>
        <v>48.11805556</v>
      </c>
      <c r="F231" s="138"/>
      <c r="G231" s="138">
        <f t="shared" si="3"/>
        <v>38.72916667</v>
      </c>
      <c r="H231" s="138"/>
      <c r="I231" s="140" t="s">
        <v>412</v>
      </c>
      <c r="J231" s="44">
        <v>1.64</v>
      </c>
      <c r="K231" s="44">
        <v>0.82</v>
      </c>
      <c r="L231" s="141">
        <v>0.66</v>
      </c>
      <c r="M231" s="38"/>
      <c r="N231" s="38"/>
      <c r="O231" s="38"/>
      <c r="P231" s="38"/>
      <c r="Q231" s="38"/>
      <c r="R231" s="38"/>
      <c r="T231" s="140" t="s">
        <v>412</v>
      </c>
      <c r="U231" s="44">
        <v>1.64</v>
      </c>
      <c r="V231" s="44">
        <v>0.82</v>
      </c>
      <c r="W231" s="141">
        <v>0.66</v>
      </c>
      <c r="X231" s="38" t="str">
        <f t="shared" si="4"/>
        <v>per hour</v>
      </c>
      <c r="Y231" s="44" t="str">
        <f t="shared" si="5"/>
        <v>per </v>
      </c>
    </row>
    <row r="232" ht="12.75" customHeight="1">
      <c r="C232" s="138">
        <f t="shared" si="1"/>
        <v>115.6006944</v>
      </c>
      <c r="D232" s="138"/>
      <c r="E232" s="138">
        <f t="shared" si="2"/>
        <v>57.50694444</v>
      </c>
      <c r="F232" s="138"/>
      <c r="G232" s="138">
        <f t="shared" si="3"/>
        <v>41.07638889</v>
      </c>
      <c r="H232" s="138"/>
      <c r="I232" s="140" t="s">
        <v>412</v>
      </c>
      <c r="J232" s="44">
        <v>1.97</v>
      </c>
      <c r="K232" s="44">
        <v>0.98</v>
      </c>
      <c r="L232" s="141">
        <v>0.7</v>
      </c>
      <c r="M232" s="38"/>
      <c r="N232" s="38"/>
      <c r="O232" s="38"/>
      <c r="P232" s="38"/>
      <c r="Q232" s="38"/>
      <c r="R232" s="38"/>
      <c r="T232" s="140" t="s">
        <v>412</v>
      </c>
      <c r="U232" s="44">
        <v>1.97</v>
      </c>
      <c r="V232" s="44">
        <v>0.98</v>
      </c>
      <c r="W232" s="141">
        <v>0.7</v>
      </c>
      <c r="X232" s="38" t="str">
        <f t="shared" si="4"/>
        <v>per hour</v>
      </c>
      <c r="Y232" s="44" t="str">
        <f t="shared" si="5"/>
        <v>per </v>
      </c>
    </row>
    <row r="233" ht="12.75" customHeight="1">
      <c r="C233" s="138">
        <f t="shared" si="1"/>
        <v>126.75</v>
      </c>
      <c r="D233" s="138"/>
      <c r="E233" s="138">
        <f t="shared" si="2"/>
        <v>63.375</v>
      </c>
      <c r="F233" s="138"/>
      <c r="G233" s="138">
        <f t="shared" si="3"/>
        <v>50.46527778</v>
      </c>
      <c r="H233" s="138"/>
      <c r="I233" s="140" t="s">
        <v>412</v>
      </c>
      <c r="J233" s="44">
        <v>2.16</v>
      </c>
      <c r="K233" s="44">
        <v>1.08</v>
      </c>
      <c r="L233" s="141">
        <v>0.86</v>
      </c>
      <c r="M233" s="38"/>
      <c r="N233" s="38"/>
      <c r="O233" s="38"/>
      <c r="P233" s="38"/>
      <c r="Q233" s="38"/>
      <c r="R233" s="38"/>
      <c r="T233" s="140" t="s">
        <v>412</v>
      </c>
      <c r="U233" s="44">
        <v>2.16</v>
      </c>
      <c r="V233" s="44">
        <v>1.08</v>
      </c>
      <c r="W233" s="141">
        <v>0.86</v>
      </c>
      <c r="X233" s="38" t="str">
        <f t="shared" si="4"/>
        <v>per hour</v>
      </c>
      <c r="Y233" s="44" t="str">
        <f t="shared" si="5"/>
        <v>per </v>
      </c>
    </row>
    <row r="234" ht="12.75" customHeight="1">
      <c r="C234" s="138">
        <f t="shared" si="1"/>
        <v>134.9652778</v>
      </c>
      <c r="D234" s="138"/>
      <c r="E234" s="138">
        <f t="shared" si="2"/>
        <v>67.48263889</v>
      </c>
      <c r="F234" s="138"/>
      <c r="G234" s="138">
        <f t="shared" si="3"/>
        <v>53.98611111</v>
      </c>
      <c r="H234" s="138"/>
      <c r="I234" s="140" t="s">
        <v>412</v>
      </c>
      <c r="J234" s="44">
        <v>2.3</v>
      </c>
      <c r="K234" s="44">
        <v>1.15</v>
      </c>
      <c r="L234" s="141">
        <v>0.92</v>
      </c>
      <c r="M234" s="38"/>
      <c r="N234" s="38"/>
      <c r="O234" s="38"/>
      <c r="P234" s="38"/>
      <c r="Q234" s="38"/>
      <c r="R234" s="38"/>
      <c r="T234" s="140" t="s">
        <v>412</v>
      </c>
      <c r="U234" s="44">
        <v>2.3</v>
      </c>
      <c r="V234" s="44">
        <v>1.15</v>
      </c>
      <c r="W234" s="141">
        <v>0.92</v>
      </c>
      <c r="X234" s="38" t="str">
        <f t="shared" si="4"/>
        <v>per hour</v>
      </c>
      <c r="Y234" s="44" t="str">
        <f t="shared" si="5"/>
        <v>per </v>
      </c>
    </row>
    <row r="235" ht="12.75" customHeight="1">
      <c r="C235" s="138">
        <f t="shared" si="1"/>
        <v>154.9166667</v>
      </c>
      <c r="D235" s="138"/>
      <c r="E235" s="138">
        <f t="shared" si="2"/>
        <v>77.45833333</v>
      </c>
      <c r="F235" s="138"/>
      <c r="G235" s="138">
        <f t="shared" si="3"/>
        <v>62.20138889</v>
      </c>
      <c r="H235" s="138"/>
      <c r="I235" s="140" t="s">
        <v>412</v>
      </c>
      <c r="J235" s="44">
        <v>2.64</v>
      </c>
      <c r="K235" s="44">
        <v>1.32</v>
      </c>
      <c r="L235" s="141">
        <v>1.06</v>
      </c>
      <c r="M235" s="38"/>
      <c r="N235" s="38"/>
      <c r="O235" s="38"/>
      <c r="P235" s="38"/>
      <c r="Q235" s="38"/>
      <c r="R235" s="38"/>
      <c r="T235" s="140" t="s">
        <v>412</v>
      </c>
      <c r="U235" s="44">
        <v>2.64</v>
      </c>
      <c r="V235" s="44">
        <v>1.32</v>
      </c>
      <c r="W235" s="141">
        <v>1.06</v>
      </c>
      <c r="X235" s="38" t="str">
        <f t="shared" si="4"/>
        <v>per hour</v>
      </c>
      <c r="Y235" s="44" t="str">
        <f t="shared" si="5"/>
        <v>per </v>
      </c>
    </row>
    <row r="236" ht="12.75" customHeight="1">
      <c r="C236" s="138">
        <f t="shared" si="1"/>
        <v>0</v>
      </c>
      <c r="D236" s="138"/>
      <c r="E236" s="138">
        <f t="shared" si="2"/>
        <v>0</v>
      </c>
      <c r="F236" s="138"/>
      <c r="G236" s="138">
        <f t="shared" si="3"/>
        <v>0</v>
      </c>
      <c r="H236" s="138"/>
      <c r="L236" s="141"/>
      <c r="M236" s="38"/>
      <c r="N236" s="38"/>
      <c r="O236" s="38"/>
      <c r="P236" s="38"/>
      <c r="Q236" s="38"/>
      <c r="R236" s="38"/>
      <c r="W236" s="141"/>
      <c r="X236" s="38" t="str">
        <f t="shared" si="4"/>
        <v/>
      </c>
      <c r="Y236" s="44" t="str">
        <f t="shared" si="5"/>
        <v/>
      </c>
    </row>
    <row r="237" ht="12.75" customHeight="1">
      <c r="C237" s="138">
        <f t="shared" si="1"/>
        <v>257.0208333</v>
      </c>
      <c r="D237" s="138"/>
      <c r="E237" s="138">
        <f t="shared" si="2"/>
        <v>128.5104167</v>
      </c>
      <c r="F237" s="138"/>
      <c r="G237" s="138">
        <f t="shared" si="3"/>
        <v>102.6909722</v>
      </c>
      <c r="H237" s="138"/>
      <c r="I237" s="140" t="s">
        <v>412</v>
      </c>
      <c r="J237" s="44">
        <v>4.38</v>
      </c>
      <c r="K237" s="44">
        <v>2.19</v>
      </c>
      <c r="L237" s="141">
        <v>1.75</v>
      </c>
      <c r="M237" s="38"/>
      <c r="N237" s="38"/>
      <c r="O237" s="38"/>
      <c r="P237" s="38"/>
      <c r="Q237" s="38"/>
      <c r="R237" s="38"/>
      <c r="T237" s="140" t="s">
        <v>412</v>
      </c>
      <c r="U237" s="44">
        <v>4.38</v>
      </c>
      <c r="V237" s="44">
        <v>2.19</v>
      </c>
      <c r="W237" s="141">
        <v>1.75</v>
      </c>
      <c r="X237" s="38" t="str">
        <f t="shared" si="4"/>
        <v>per hour</v>
      </c>
      <c r="Y237" s="44" t="str">
        <f t="shared" si="5"/>
        <v>per </v>
      </c>
    </row>
    <row r="238" ht="12.75" customHeight="1">
      <c r="C238" s="138">
        <f t="shared" si="1"/>
        <v>386.1180556</v>
      </c>
      <c r="D238" s="138"/>
      <c r="E238" s="138">
        <f t="shared" si="2"/>
        <v>193.0590278</v>
      </c>
      <c r="F238" s="138"/>
      <c r="G238" s="138">
        <f t="shared" si="3"/>
        <v>154.3298611</v>
      </c>
      <c r="H238" s="138"/>
      <c r="I238" s="140" t="s">
        <v>412</v>
      </c>
      <c r="J238" s="44">
        <v>6.58</v>
      </c>
      <c r="K238" s="44">
        <v>3.29</v>
      </c>
      <c r="L238" s="141">
        <v>2.63</v>
      </c>
      <c r="M238" s="38"/>
      <c r="N238" s="38"/>
      <c r="O238" s="38"/>
      <c r="P238" s="38"/>
      <c r="Q238" s="38"/>
      <c r="R238" s="38"/>
      <c r="T238" s="140" t="s">
        <v>412</v>
      </c>
      <c r="U238" s="44">
        <v>6.58</v>
      </c>
      <c r="V238" s="44">
        <v>3.29</v>
      </c>
      <c r="W238" s="141">
        <v>2.63</v>
      </c>
      <c r="X238" s="38" t="str">
        <f t="shared" si="4"/>
        <v>per hour</v>
      </c>
      <c r="Y238" s="44" t="str">
        <f t="shared" si="5"/>
        <v>per </v>
      </c>
    </row>
    <row r="239" ht="12.75" customHeight="1">
      <c r="C239" s="138">
        <f t="shared" si="1"/>
        <v>577.4166667</v>
      </c>
      <c r="D239" s="138"/>
      <c r="E239" s="138">
        <f t="shared" si="2"/>
        <v>288.7083333</v>
      </c>
      <c r="F239" s="138"/>
      <c r="G239" s="138">
        <f t="shared" si="3"/>
        <v>231.2013889</v>
      </c>
      <c r="H239" s="138"/>
      <c r="I239" s="140" t="s">
        <v>412</v>
      </c>
      <c r="J239" s="44">
        <v>9.84</v>
      </c>
      <c r="K239" s="44">
        <v>4.92</v>
      </c>
      <c r="L239" s="141">
        <v>3.94</v>
      </c>
      <c r="M239" s="38"/>
      <c r="N239" s="38"/>
      <c r="O239" s="38"/>
      <c r="P239" s="38"/>
      <c r="Q239" s="38"/>
      <c r="R239" s="38"/>
      <c r="T239" s="140" t="s">
        <v>412</v>
      </c>
      <c r="U239" s="44">
        <v>9.84</v>
      </c>
      <c r="V239" s="44">
        <v>4.92</v>
      </c>
      <c r="W239" s="141">
        <v>3.94</v>
      </c>
      <c r="X239" s="38" t="str">
        <f t="shared" si="4"/>
        <v>per hour</v>
      </c>
      <c r="Y239" s="44" t="str">
        <f t="shared" si="5"/>
        <v>per </v>
      </c>
    </row>
    <row r="240" ht="12.75" customHeight="1">
      <c r="C240" s="138">
        <f t="shared" si="1"/>
        <v>771.0625</v>
      </c>
      <c r="D240" s="138"/>
      <c r="E240" s="138">
        <f t="shared" si="2"/>
        <v>385.53125</v>
      </c>
      <c r="F240" s="138"/>
      <c r="G240" s="138">
        <f t="shared" si="3"/>
        <v>308.6597222</v>
      </c>
      <c r="H240" s="138"/>
      <c r="I240" s="140" t="s">
        <v>412</v>
      </c>
      <c r="J240" s="44">
        <v>13.14</v>
      </c>
      <c r="K240" s="44">
        <v>6.57</v>
      </c>
      <c r="L240" s="141">
        <v>5.26</v>
      </c>
      <c r="M240" s="38"/>
      <c r="N240" s="38"/>
      <c r="O240" s="38"/>
      <c r="P240" s="38"/>
      <c r="Q240" s="38"/>
      <c r="R240" s="38"/>
      <c r="T240" s="140" t="s">
        <v>412</v>
      </c>
      <c r="U240" s="44">
        <v>13.14</v>
      </c>
      <c r="V240" s="44">
        <v>6.57</v>
      </c>
      <c r="W240" s="141">
        <v>5.26</v>
      </c>
      <c r="X240" s="38" t="str">
        <f t="shared" si="4"/>
        <v>per hour</v>
      </c>
      <c r="Y240" s="44" t="str">
        <f t="shared" si="5"/>
        <v>per </v>
      </c>
    </row>
    <row r="241" ht="12.75" customHeight="1">
      <c r="C241" s="138">
        <f t="shared" si="1"/>
        <v>1156.006944</v>
      </c>
      <c r="D241" s="138"/>
      <c r="E241" s="138">
        <f t="shared" si="2"/>
        <v>578.0034722</v>
      </c>
      <c r="F241" s="138"/>
      <c r="G241" s="138">
        <f t="shared" si="3"/>
        <v>468.2708333</v>
      </c>
      <c r="H241" s="138"/>
      <c r="I241" s="140" t="s">
        <v>412</v>
      </c>
      <c r="J241" s="44">
        <v>19.7</v>
      </c>
      <c r="K241" s="44">
        <v>9.85</v>
      </c>
      <c r="L241" s="141">
        <v>7.98</v>
      </c>
      <c r="M241" s="38"/>
      <c r="N241" s="38"/>
      <c r="O241" s="38"/>
      <c r="P241" s="38"/>
      <c r="Q241" s="38"/>
      <c r="R241" s="38"/>
      <c r="T241" s="140" t="s">
        <v>412</v>
      </c>
      <c r="U241" s="44">
        <v>19.7</v>
      </c>
      <c r="V241" s="44">
        <v>9.85</v>
      </c>
      <c r="W241" s="141">
        <v>7.98</v>
      </c>
      <c r="X241" s="38" t="str">
        <f t="shared" si="4"/>
        <v>per hour</v>
      </c>
      <c r="Y241" s="44" t="str">
        <f t="shared" si="5"/>
        <v>per </v>
      </c>
    </row>
    <row r="242" ht="12.75" customHeight="1">
      <c r="C242" s="138">
        <f t="shared" si="1"/>
        <v>1209.993056</v>
      </c>
      <c r="D242" s="138"/>
      <c r="E242" s="138">
        <f t="shared" si="2"/>
        <v>604.9965278</v>
      </c>
      <c r="F242" s="138"/>
      <c r="G242" s="138">
        <f t="shared" si="3"/>
        <v>484.1145833</v>
      </c>
      <c r="H242" s="138"/>
      <c r="I242" s="140" t="s">
        <v>412</v>
      </c>
      <c r="J242" s="44">
        <v>20.62</v>
      </c>
      <c r="K242" s="44">
        <v>10.31</v>
      </c>
      <c r="L242" s="141">
        <v>8.25</v>
      </c>
      <c r="M242" s="38"/>
      <c r="N242" s="38"/>
      <c r="O242" s="38"/>
      <c r="P242" s="38"/>
      <c r="Q242" s="38"/>
      <c r="R242" s="38"/>
      <c r="T242" s="140" t="s">
        <v>412</v>
      </c>
      <c r="U242" s="44">
        <v>20.62</v>
      </c>
      <c r="V242" s="44">
        <v>10.31</v>
      </c>
      <c r="W242" s="141">
        <v>8.25</v>
      </c>
      <c r="X242" s="38" t="str">
        <f t="shared" si="4"/>
        <v>per hour</v>
      </c>
      <c r="Y242" s="44" t="str">
        <f t="shared" si="5"/>
        <v>per </v>
      </c>
    </row>
    <row r="243" ht="12.75" customHeight="1">
      <c r="C243" s="138">
        <f t="shared" si="1"/>
        <v>1414.201389</v>
      </c>
      <c r="D243" s="138"/>
      <c r="E243" s="138">
        <f t="shared" si="2"/>
        <v>707.1006944</v>
      </c>
      <c r="F243" s="138"/>
      <c r="G243" s="138">
        <f t="shared" si="3"/>
        <v>565.6805556</v>
      </c>
      <c r="H243" s="138"/>
      <c r="I243" s="140" t="s">
        <v>412</v>
      </c>
      <c r="J243" s="44">
        <v>24.1</v>
      </c>
      <c r="K243" s="44">
        <v>12.05</v>
      </c>
      <c r="L243" s="141">
        <v>9.64</v>
      </c>
      <c r="M243" s="38"/>
      <c r="N243" s="38"/>
      <c r="O243" s="38"/>
      <c r="P243" s="38"/>
      <c r="Q243" s="38"/>
      <c r="R243" s="38"/>
      <c r="T243" s="140" t="s">
        <v>412</v>
      </c>
      <c r="U243" s="44">
        <v>24.1</v>
      </c>
      <c r="V243" s="44">
        <v>12.05</v>
      </c>
      <c r="W243" s="141">
        <v>9.64</v>
      </c>
      <c r="X243" s="38" t="str">
        <f t="shared" si="4"/>
        <v>per hour</v>
      </c>
      <c r="Y243" s="44" t="str">
        <f t="shared" si="5"/>
        <v>per </v>
      </c>
    </row>
    <row r="244" ht="12.75" customHeight="1">
      <c r="C244" s="138">
        <f t="shared" si="1"/>
        <v>1606.673611</v>
      </c>
      <c r="D244" s="138"/>
      <c r="E244" s="138">
        <f t="shared" si="2"/>
        <v>803.3368056</v>
      </c>
      <c r="F244" s="138"/>
      <c r="G244" s="138">
        <f t="shared" si="3"/>
        <v>642.5520833</v>
      </c>
      <c r="H244" s="138"/>
      <c r="I244" s="140" t="s">
        <v>412</v>
      </c>
      <c r="J244" s="44">
        <v>27.38</v>
      </c>
      <c r="K244" s="44">
        <v>13.69</v>
      </c>
      <c r="L244" s="141">
        <v>10.95</v>
      </c>
      <c r="M244" s="38"/>
      <c r="N244" s="38"/>
      <c r="O244" s="38"/>
      <c r="P244" s="38"/>
      <c r="Q244" s="38"/>
      <c r="R244" s="38"/>
      <c r="T244" s="140" t="s">
        <v>412</v>
      </c>
      <c r="U244" s="44">
        <v>27.38</v>
      </c>
      <c r="V244" s="44">
        <v>13.69</v>
      </c>
      <c r="W244" s="141">
        <v>10.95</v>
      </c>
      <c r="X244" s="38" t="str">
        <f t="shared" si="4"/>
        <v>per hour</v>
      </c>
      <c r="Y244" s="44" t="str">
        <f t="shared" si="5"/>
        <v>per </v>
      </c>
    </row>
    <row r="245" ht="12.75" customHeight="1">
      <c r="C245" s="138">
        <f t="shared" si="1"/>
        <v>1800.319444</v>
      </c>
      <c r="D245" s="138"/>
      <c r="E245" s="138">
        <f t="shared" si="2"/>
        <v>900.1597222</v>
      </c>
      <c r="F245" s="138"/>
      <c r="G245" s="138">
        <f t="shared" si="3"/>
        <v>720.0104167</v>
      </c>
      <c r="H245" s="138"/>
      <c r="I245" s="140" t="s">
        <v>412</v>
      </c>
      <c r="J245" s="44">
        <v>30.68</v>
      </c>
      <c r="K245" s="44">
        <v>15.34</v>
      </c>
      <c r="L245" s="141">
        <v>12.27</v>
      </c>
      <c r="M245" s="38"/>
      <c r="N245" s="38"/>
      <c r="O245" s="38"/>
      <c r="P245" s="38"/>
      <c r="Q245" s="38"/>
      <c r="R245" s="38"/>
      <c r="T245" s="140" t="s">
        <v>412</v>
      </c>
      <c r="U245" s="44">
        <v>30.68</v>
      </c>
      <c r="V245" s="44">
        <v>15.34</v>
      </c>
      <c r="W245" s="141">
        <v>12.27</v>
      </c>
      <c r="X245" s="38" t="str">
        <f t="shared" si="4"/>
        <v>per hour</v>
      </c>
      <c r="Y245" s="44" t="str">
        <f t="shared" si="5"/>
        <v>per </v>
      </c>
    </row>
    <row r="246" ht="12.75" customHeight="1">
      <c r="C246" s="138">
        <f t="shared" si="1"/>
        <v>1928.243056</v>
      </c>
      <c r="D246" s="138"/>
      <c r="E246" s="138">
        <f t="shared" si="2"/>
        <v>964.1215278</v>
      </c>
      <c r="F246" s="138"/>
      <c r="G246" s="138">
        <f t="shared" si="3"/>
        <v>771.0625</v>
      </c>
      <c r="H246" s="138"/>
      <c r="I246" s="140" t="s">
        <v>412</v>
      </c>
      <c r="J246" s="44">
        <v>32.86</v>
      </c>
      <c r="K246" s="44">
        <v>16.43</v>
      </c>
      <c r="L246" s="141">
        <v>13.14</v>
      </c>
      <c r="M246" s="38"/>
      <c r="N246" s="38"/>
      <c r="O246" s="38"/>
      <c r="P246" s="38"/>
      <c r="Q246" s="38"/>
      <c r="R246" s="38"/>
      <c r="T246" s="140" t="s">
        <v>412</v>
      </c>
      <c r="U246" s="44">
        <v>32.86</v>
      </c>
      <c r="V246" s="44">
        <v>16.43</v>
      </c>
      <c r="W246" s="141">
        <v>13.14</v>
      </c>
      <c r="X246" s="38" t="str">
        <f t="shared" si="4"/>
        <v>per hour</v>
      </c>
      <c r="Y246" s="44" t="str">
        <f t="shared" si="5"/>
        <v>per </v>
      </c>
    </row>
    <row r="247" ht="12.75" customHeight="1">
      <c r="C247" s="138">
        <f t="shared" si="1"/>
        <v>2120.715278</v>
      </c>
      <c r="D247" s="138"/>
      <c r="E247" s="138">
        <f t="shared" si="2"/>
        <v>1060.357639</v>
      </c>
      <c r="F247" s="138"/>
      <c r="G247" s="138">
        <f t="shared" si="3"/>
        <v>848.5208333</v>
      </c>
      <c r="H247" s="138"/>
      <c r="I247" s="140" t="s">
        <v>412</v>
      </c>
      <c r="J247" s="44">
        <v>36.14</v>
      </c>
      <c r="K247" s="44">
        <v>18.07</v>
      </c>
      <c r="L247" s="141">
        <v>14.46</v>
      </c>
      <c r="M247" s="38"/>
      <c r="N247" s="38"/>
      <c r="O247" s="38"/>
      <c r="P247" s="38"/>
      <c r="Q247" s="38"/>
      <c r="R247" s="38"/>
      <c r="T247" s="140" t="s">
        <v>412</v>
      </c>
      <c r="U247" s="44">
        <v>36.14</v>
      </c>
      <c r="V247" s="44">
        <v>18.07</v>
      </c>
      <c r="W247" s="141">
        <v>14.46</v>
      </c>
      <c r="X247" s="38" t="str">
        <f t="shared" si="4"/>
        <v>per hour</v>
      </c>
      <c r="Y247" s="44" t="str">
        <f t="shared" si="5"/>
        <v>per </v>
      </c>
    </row>
    <row r="248" ht="12.75" customHeight="1">
      <c r="C248" s="138">
        <f t="shared" si="1"/>
        <v>2410.597222</v>
      </c>
      <c r="D248" s="138"/>
      <c r="E248" s="138">
        <f t="shared" si="2"/>
        <v>1205.298611</v>
      </c>
      <c r="F248" s="138"/>
      <c r="G248" s="138">
        <f t="shared" si="3"/>
        <v>964.1215278</v>
      </c>
      <c r="H248" s="138"/>
      <c r="I248" s="140" t="s">
        <v>412</v>
      </c>
      <c r="J248" s="44">
        <v>41.08</v>
      </c>
      <c r="K248" s="44">
        <v>20.54</v>
      </c>
      <c r="L248" s="141">
        <v>16.43</v>
      </c>
      <c r="M248" s="38"/>
      <c r="N248" s="38"/>
      <c r="O248" s="38"/>
      <c r="P248" s="38"/>
      <c r="Q248" s="38"/>
      <c r="R248" s="38"/>
      <c r="T248" s="140" t="s">
        <v>412</v>
      </c>
      <c r="U248" s="44">
        <v>41.08</v>
      </c>
      <c r="V248" s="44">
        <v>20.54</v>
      </c>
      <c r="W248" s="141">
        <v>16.43</v>
      </c>
      <c r="X248" s="38" t="str">
        <f t="shared" si="4"/>
        <v>per hour</v>
      </c>
      <c r="Y248" s="44" t="str">
        <f t="shared" si="5"/>
        <v>per </v>
      </c>
    </row>
    <row r="249" ht="12.75" customHeight="1">
      <c r="C249" s="138">
        <f t="shared" si="1"/>
        <v>0</v>
      </c>
      <c r="D249" s="138"/>
      <c r="E249" s="138">
        <f t="shared" si="2"/>
        <v>0</v>
      </c>
      <c r="F249" s="138"/>
      <c r="G249" s="138">
        <f t="shared" si="3"/>
        <v>0</v>
      </c>
      <c r="H249" s="138"/>
      <c r="L249" s="141"/>
      <c r="M249" s="38"/>
      <c r="N249" s="38"/>
      <c r="O249" s="38"/>
      <c r="P249" s="38"/>
      <c r="Q249" s="38"/>
      <c r="R249" s="38"/>
      <c r="W249" s="141"/>
      <c r="X249" s="38" t="str">
        <f t="shared" si="4"/>
        <v/>
      </c>
      <c r="Y249" s="44" t="str">
        <f t="shared" si="5"/>
        <v/>
      </c>
    </row>
    <row r="250" ht="12.75" customHeight="1">
      <c r="C250" s="138">
        <f t="shared" si="1"/>
        <v>22.29861111</v>
      </c>
      <c r="D250" s="138"/>
      <c r="E250" s="138">
        <f t="shared" si="2"/>
        <v>11.14930556</v>
      </c>
      <c r="F250" s="138"/>
      <c r="G250" s="138">
        <f t="shared" si="3"/>
        <v>8.802083333</v>
      </c>
      <c r="H250" s="138"/>
      <c r="I250" s="140" t="s">
        <v>412</v>
      </c>
      <c r="J250" s="44">
        <v>0.38</v>
      </c>
      <c r="K250" s="44">
        <v>0.19</v>
      </c>
      <c r="L250" s="141">
        <v>0.15</v>
      </c>
      <c r="M250" s="38"/>
      <c r="N250" s="38"/>
      <c r="O250" s="38"/>
      <c r="P250" s="38"/>
      <c r="Q250" s="38"/>
      <c r="R250" s="38"/>
      <c r="T250" s="140" t="s">
        <v>412</v>
      </c>
      <c r="U250" s="44">
        <v>0.38</v>
      </c>
      <c r="V250" s="44">
        <v>0.19</v>
      </c>
      <c r="W250" s="141">
        <v>0.15</v>
      </c>
      <c r="X250" s="38" t="str">
        <f t="shared" si="4"/>
        <v>per hour</v>
      </c>
      <c r="Y250" s="44" t="str">
        <f t="shared" si="5"/>
        <v>per </v>
      </c>
    </row>
    <row r="251" ht="12.75" customHeight="1">
      <c r="C251" s="138">
        <f t="shared" si="1"/>
        <v>86.84722222</v>
      </c>
      <c r="D251" s="138"/>
      <c r="E251" s="138">
        <f t="shared" si="2"/>
        <v>43.42361111</v>
      </c>
      <c r="F251" s="138"/>
      <c r="G251" s="138">
        <f t="shared" si="3"/>
        <v>34.62152778</v>
      </c>
      <c r="H251" s="138"/>
      <c r="I251" s="140" t="s">
        <v>412</v>
      </c>
      <c r="J251" s="44">
        <v>1.48</v>
      </c>
      <c r="K251" s="44">
        <v>0.74</v>
      </c>
      <c r="L251" s="141">
        <v>0.59</v>
      </c>
      <c r="M251" s="38"/>
      <c r="N251" s="38"/>
      <c r="O251" s="38"/>
      <c r="P251" s="38"/>
      <c r="Q251" s="38"/>
      <c r="R251" s="38"/>
      <c r="T251" s="140" t="s">
        <v>412</v>
      </c>
      <c r="U251" s="44">
        <v>1.48</v>
      </c>
      <c r="V251" s="44">
        <v>0.74</v>
      </c>
      <c r="W251" s="141">
        <v>0.59</v>
      </c>
      <c r="X251" s="38" t="str">
        <f t="shared" si="4"/>
        <v>per hour</v>
      </c>
      <c r="Y251" s="44" t="str">
        <f t="shared" si="5"/>
        <v>per </v>
      </c>
    </row>
    <row r="252" ht="12.75" customHeight="1">
      <c r="C252" s="138">
        <f t="shared" si="1"/>
        <v>96.23611111</v>
      </c>
      <c r="D252" s="138"/>
      <c r="E252" s="138">
        <f t="shared" si="2"/>
        <v>48.11805556</v>
      </c>
      <c r="F252" s="138"/>
      <c r="G252" s="138">
        <f t="shared" si="3"/>
        <v>38.72916667</v>
      </c>
      <c r="H252" s="138"/>
      <c r="I252" s="140" t="s">
        <v>412</v>
      </c>
      <c r="J252" s="44">
        <v>1.64</v>
      </c>
      <c r="K252" s="44">
        <v>0.82</v>
      </c>
      <c r="L252" s="141">
        <v>0.66</v>
      </c>
      <c r="M252" s="38"/>
      <c r="N252" s="38"/>
      <c r="O252" s="38"/>
      <c r="P252" s="38"/>
      <c r="Q252" s="38"/>
      <c r="R252" s="38"/>
      <c r="T252" s="140" t="s">
        <v>412</v>
      </c>
      <c r="U252" s="44">
        <v>1.64</v>
      </c>
      <c r="V252" s="44">
        <v>0.82</v>
      </c>
      <c r="W252" s="141">
        <v>0.66</v>
      </c>
      <c r="X252" s="38" t="str">
        <f t="shared" si="4"/>
        <v>per hour</v>
      </c>
      <c r="Y252" s="44" t="str">
        <f t="shared" si="5"/>
        <v>per </v>
      </c>
    </row>
    <row r="253" ht="12.75" customHeight="1">
      <c r="C253" s="138">
        <f t="shared" si="1"/>
        <v>115.0138889</v>
      </c>
      <c r="D253" s="138"/>
      <c r="E253" s="138">
        <f t="shared" si="2"/>
        <v>57.50694444</v>
      </c>
      <c r="F253" s="138"/>
      <c r="G253" s="138">
        <f t="shared" si="3"/>
        <v>45.77083333</v>
      </c>
      <c r="H253" s="138"/>
      <c r="I253" s="140" t="s">
        <v>412</v>
      </c>
      <c r="J253" s="44">
        <v>1.96</v>
      </c>
      <c r="K253" s="44">
        <v>0.98</v>
      </c>
      <c r="L253" s="141">
        <v>0.78</v>
      </c>
      <c r="M253" s="38"/>
      <c r="N253" s="38"/>
      <c r="O253" s="38"/>
      <c r="P253" s="38"/>
      <c r="Q253" s="38"/>
      <c r="R253" s="38"/>
      <c r="T253" s="140" t="s">
        <v>412</v>
      </c>
      <c r="U253" s="44">
        <v>1.96</v>
      </c>
      <c r="V253" s="44">
        <v>0.98</v>
      </c>
      <c r="W253" s="141">
        <v>0.78</v>
      </c>
      <c r="X253" s="38" t="str">
        <f t="shared" si="4"/>
        <v>per hour</v>
      </c>
      <c r="Y253" s="44" t="str">
        <f t="shared" si="5"/>
        <v>per </v>
      </c>
    </row>
    <row r="254" ht="12.75" customHeight="1">
      <c r="C254" s="138">
        <f t="shared" si="1"/>
        <v>126.75</v>
      </c>
      <c r="D254" s="138"/>
      <c r="E254" s="138">
        <f t="shared" si="2"/>
        <v>63.375</v>
      </c>
      <c r="F254" s="138"/>
      <c r="G254" s="138">
        <f t="shared" si="3"/>
        <v>50.46527778</v>
      </c>
      <c r="H254" s="138"/>
      <c r="I254" s="140" t="s">
        <v>412</v>
      </c>
      <c r="J254" s="44">
        <v>2.16</v>
      </c>
      <c r="K254" s="44">
        <v>1.08</v>
      </c>
      <c r="L254" s="141">
        <v>0.86</v>
      </c>
      <c r="M254" s="38"/>
      <c r="N254" s="38"/>
      <c r="O254" s="38"/>
      <c r="P254" s="38"/>
      <c r="Q254" s="38"/>
      <c r="R254" s="38"/>
      <c r="T254" s="140" t="s">
        <v>412</v>
      </c>
      <c r="U254" s="44">
        <v>2.16</v>
      </c>
      <c r="V254" s="44">
        <v>1.08</v>
      </c>
      <c r="W254" s="141">
        <v>0.86</v>
      </c>
      <c r="X254" s="38" t="str">
        <f t="shared" si="4"/>
        <v>per hour</v>
      </c>
      <c r="Y254" s="44" t="str">
        <f t="shared" si="5"/>
        <v>per </v>
      </c>
    </row>
    <row r="255" ht="12.75" customHeight="1">
      <c r="C255" s="138">
        <f t="shared" si="1"/>
        <v>153.7430556</v>
      </c>
      <c r="D255" s="138"/>
      <c r="E255" s="138">
        <f t="shared" si="2"/>
        <v>76.87152778</v>
      </c>
      <c r="F255" s="138"/>
      <c r="G255" s="138">
        <f t="shared" si="3"/>
        <v>61.61458333</v>
      </c>
      <c r="H255" s="138"/>
      <c r="I255" s="140" t="s">
        <v>412</v>
      </c>
      <c r="J255" s="44">
        <v>2.62</v>
      </c>
      <c r="K255" s="44">
        <v>1.31</v>
      </c>
      <c r="L255" s="141">
        <v>1.05</v>
      </c>
      <c r="M255" s="38"/>
      <c r="N255" s="38"/>
      <c r="O255" s="38"/>
      <c r="P255" s="38"/>
      <c r="Q255" s="38"/>
      <c r="R255" s="38"/>
      <c r="T255" s="140" t="s">
        <v>412</v>
      </c>
      <c r="U255" s="44">
        <v>2.62</v>
      </c>
      <c r="V255" s="44">
        <v>1.31</v>
      </c>
      <c r="W255" s="141">
        <v>1.05</v>
      </c>
      <c r="X255" s="38" t="str">
        <f t="shared" si="4"/>
        <v>per hour</v>
      </c>
      <c r="Y255" s="44" t="str">
        <f t="shared" si="5"/>
        <v>per </v>
      </c>
    </row>
    <row r="256" ht="12.75" customHeight="1">
      <c r="C256" s="138">
        <f t="shared" si="1"/>
        <v>192.4722222</v>
      </c>
      <c r="D256" s="138"/>
      <c r="E256" s="138">
        <f t="shared" si="2"/>
        <v>96.23611111</v>
      </c>
      <c r="F256" s="138"/>
      <c r="G256" s="138">
        <f t="shared" si="3"/>
        <v>76.87152778</v>
      </c>
      <c r="H256" s="138"/>
      <c r="I256" s="140" t="s">
        <v>412</v>
      </c>
      <c r="J256" s="44">
        <v>3.28</v>
      </c>
      <c r="K256" s="44">
        <v>1.64</v>
      </c>
      <c r="L256" s="141">
        <v>1.31</v>
      </c>
      <c r="M256" s="38"/>
      <c r="N256" s="38"/>
      <c r="O256" s="38"/>
      <c r="P256" s="38"/>
      <c r="Q256" s="38"/>
      <c r="R256" s="38"/>
      <c r="T256" s="140" t="s">
        <v>412</v>
      </c>
      <c r="U256" s="44">
        <v>3.28</v>
      </c>
      <c r="V256" s="44">
        <v>1.64</v>
      </c>
      <c r="W256" s="141">
        <v>1.31</v>
      </c>
      <c r="X256" s="38" t="str">
        <f t="shared" si="4"/>
        <v>per hour</v>
      </c>
      <c r="Y256" s="44" t="str">
        <f t="shared" si="5"/>
        <v>per </v>
      </c>
    </row>
    <row r="257" ht="12.75" customHeight="1">
      <c r="C257" s="138">
        <f t="shared" si="1"/>
        <v>288.7083333</v>
      </c>
      <c r="D257" s="138"/>
      <c r="E257" s="138">
        <f t="shared" si="2"/>
        <v>144.3541667</v>
      </c>
      <c r="F257" s="138"/>
      <c r="G257" s="138">
        <f t="shared" si="3"/>
        <v>115.6006944</v>
      </c>
      <c r="H257" s="138"/>
      <c r="I257" s="140" t="s">
        <v>412</v>
      </c>
      <c r="J257" s="44">
        <v>4.92</v>
      </c>
      <c r="K257" s="44">
        <v>2.46</v>
      </c>
      <c r="L257" s="141">
        <v>1.97</v>
      </c>
      <c r="M257" s="38"/>
      <c r="N257" s="38"/>
      <c r="O257" s="38"/>
      <c r="P257" s="38"/>
      <c r="Q257" s="38"/>
      <c r="R257" s="38"/>
      <c r="T257" s="140" t="s">
        <v>412</v>
      </c>
      <c r="U257" s="44">
        <v>4.92</v>
      </c>
      <c r="V257" s="44">
        <v>2.46</v>
      </c>
      <c r="W257" s="141">
        <v>1.97</v>
      </c>
      <c r="X257" s="38" t="str">
        <f t="shared" si="4"/>
        <v>per hour</v>
      </c>
      <c r="Y257" s="44" t="str">
        <f t="shared" si="5"/>
        <v>per </v>
      </c>
    </row>
    <row r="258" ht="12.75" customHeight="1">
      <c r="C258" s="138">
        <f t="shared" si="1"/>
        <v>0</v>
      </c>
      <c r="D258" s="138"/>
      <c r="E258" s="138">
        <f t="shared" si="2"/>
        <v>0</v>
      </c>
      <c r="F258" s="138"/>
      <c r="G258" s="138">
        <f t="shared" si="3"/>
        <v>0</v>
      </c>
      <c r="H258" s="138"/>
      <c r="L258" s="141"/>
      <c r="M258" s="38"/>
      <c r="N258" s="38"/>
      <c r="O258" s="38"/>
      <c r="P258" s="38"/>
      <c r="Q258" s="38"/>
      <c r="R258" s="38"/>
      <c r="W258" s="141"/>
      <c r="X258" s="38" t="str">
        <f t="shared" si="4"/>
        <v/>
      </c>
      <c r="Y258" s="44" t="str">
        <f t="shared" si="5"/>
        <v/>
      </c>
    </row>
    <row r="259" ht="12.75" customHeight="1">
      <c r="C259" s="138">
        <f t="shared" si="1"/>
        <v>528.125</v>
      </c>
      <c r="D259" s="138"/>
      <c r="E259" s="138">
        <f t="shared" si="2"/>
        <v>234.7222222</v>
      </c>
      <c r="F259" s="138"/>
      <c r="G259" s="138">
        <f t="shared" si="3"/>
        <v>187.7777778</v>
      </c>
      <c r="H259" s="138"/>
      <c r="I259" s="140" t="s">
        <v>412</v>
      </c>
      <c r="J259" s="38">
        <v>9.0</v>
      </c>
      <c r="K259" s="38">
        <v>4.0</v>
      </c>
      <c r="L259" s="141">
        <v>3.2</v>
      </c>
      <c r="M259" s="38"/>
      <c r="N259" s="38"/>
      <c r="O259" s="38"/>
      <c r="P259" s="38"/>
      <c r="Q259" s="38"/>
      <c r="R259" s="38"/>
      <c r="T259" s="140" t="s">
        <v>412</v>
      </c>
      <c r="U259" s="38">
        <v>9.0</v>
      </c>
      <c r="V259" s="38">
        <v>4.0</v>
      </c>
      <c r="W259" s="141">
        <v>3.2</v>
      </c>
      <c r="X259" s="38" t="str">
        <f t="shared" si="4"/>
        <v>per hour</v>
      </c>
      <c r="Y259" s="44" t="str">
        <f t="shared" si="5"/>
        <v>per </v>
      </c>
    </row>
    <row r="260" ht="12.75" customHeight="1">
      <c r="C260" s="138">
        <f t="shared" si="1"/>
        <v>751.1111111</v>
      </c>
      <c r="D260" s="138"/>
      <c r="E260" s="138">
        <f t="shared" si="2"/>
        <v>375.5555556</v>
      </c>
      <c r="F260" s="138"/>
      <c r="G260" s="138">
        <f t="shared" si="3"/>
        <v>300.4444444</v>
      </c>
      <c r="H260" s="138"/>
      <c r="I260" s="140" t="s">
        <v>412</v>
      </c>
      <c r="J260" s="44">
        <v>12.8</v>
      </c>
      <c r="K260" s="38">
        <v>6.4</v>
      </c>
      <c r="L260" s="141">
        <v>5.12</v>
      </c>
      <c r="M260" s="38"/>
      <c r="N260" s="38"/>
      <c r="O260" s="38"/>
      <c r="P260" s="38"/>
      <c r="Q260" s="38"/>
      <c r="R260" s="38"/>
      <c r="T260" s="140" t="s">
        <v>412</v>
      </c>
      <c r="U260" s="44">
        <v>12.8</v>
      </c>
      <c r="V260" s="38">
        <v>6.4</v>
      </c>
      <c r="W260" s="141">
        <v>5.12</v>
      </c>
      <c r="X260" s="38" t="str">
        <f t="shared" si="4"/>
        <v>per hour</v>
      </c>
      <c r="Y260" s="44" t="str">
        <f t="shared" si="5"/>
        <v>per </v>
      </c>
    </row>
    <row r="261" ht="12.75" customHeight="1">
      <c r="C261" s="138">
        <f t="shared" si="1"/>
        <v>1252.243056</v>
      </c>
      <c r="D261" s="138"/>
      <c r="E261" s="138">
        <f t="shared" si="2"/>
        <v>626.1215278</v>
      </c>
      <c r="F261" s="138"/>
      <c r="G261" s="138">
        <f t="shared" si="3"/>
        <v>501.1319444</v>
      </c>
      <c r="H261" s="138"/>
      <c r="I261" s="140" t="s">
        <v>412</v>
      </c>
      <c r="J261" s="44">
        <v>21.34</v>
      </c>
      <c r="K261" s="38">
        <v>10.67</v>
      </c>
      <c r="L261" s="141">
        <v>8.54</v>
      </c>
      <c r="M261" s="38"/>
      <c r="N261" s="38"/>
      <c r="O261" s="38"/>
      <c r="P261" s="38"/>
      <c r="Q261" s="38"/>
      <c r="R261" s="38"/>
      <c r="T261" s="140" t="s">
        <v>412</v>
      </c>
      <c r="U261" s="44">
        <v>21.34</v>
      </c>
      <c r="V261" s="38">
        <v>10.67</v>
      </c>
      <c r="W261" s="141">
        <v>8.54</v>
      </c>
      <c r="X261" s="38" t="str">
        <f t="shared" si="4"/>
        <v>per hour</v>
      </c>
      <c r="Y261" s="44" t="str">
        <f t="shared" si="5"/>
        <v>per </v>
      </c>
    </row>
    <row r="262" ht="12.75" customHeight="1">
      <c r="C262" s="138">
        <f t="shared" si="1"/>
        <v>156.0902778</v>
      </c>
      <c r="D262" s="138"/>
      <c r="E262" s="138">
        <f t="shared" si="2"/>
        <v>78.04513889</v>
      </c>
      <c r="F262" s="138"/>
      <c r="G262" s="138">
        <f t="shared" si="3"/>
        <v>62.20138889</v>
      </c>
      <c r="H262" s="138"/>
      <c r="I262" s="140" t="s">
        <v>412</v>
      </c>
      <c r="J262" s="44">
        <v>2.66</v>
      </c>
      <c r="K262" s="38">
        <v>1.33</v>
      </c>
      <c r="L262" s="141">
        <v>1.06</v>
      </c>
      <c r="M262" s="38"/>
      <c r="N262" s="38"/>
      <c r="O262" s="38"/>
      <c r="P262" s="38"/>
      <c r="Q262" s="38"/>
      <c r="R262" s="38"/>
      <c r="T262" s="140" t="s">
        <v>412</v>
      </c>
      <c r="U262" s="44">
        <v>2.66</v>
      </c>
      <c r="V262" s="38">
        <v>1.33</v>
      </c>
      <c r="W262" s="141">
        <v>1.06</v>
      </c>
      <c r="X262" s="38" t="str">
        <f t="shared" si="4"/>
        <v>per hour</v>
      </c>
      <c r="Y262" s="44" t="str">
        <f t="shared" si="5"/>
        <v>per </v>
      </c>
    </row>
    <row r="263" ht="12.75" customHeight="1">
      <c r="C263" s="138">
        <f t="shared" si="1"/>
        <v>0</v>
      </c>
      <c r="D263" s="138"/>
      <c r="E263" s="138">
        <f t="shared" si="2"/>
        <v>0</v>
      </c>
      <c r="F263" s="138"/>
      <c r="G263" s="138">
        <f t="shared" si="3"/>
        <v>0</v>
      </c>
      <c r="H263" s="138"/>
      <c r="K263" s="38"/>
      <c r="L263" s="141"/>
      <c r="M263" s="38"/>
      <c r="N263" s="38"/>
      <c r="O263" s="38"/>
      <c r="P263" s="38"/>
      <c r="Q263" s="38"/>
      <c r="R263" s="38"/>
      <c r="V263" s="38"/>
      <c r="W263" s="141"/>
      <c r="X263" s="38" t="str">
        <f t="shared" si="4"/>
        <v/>
      </c>
      <c r="Y263" s="44" t="str">
        <f t="shared" si="5"/>
        <v/>
      </c>
    </row>
    <row r="264" ht="12.75" customHeight="1">
      <c r="C264" s="138">
        <f t="shared" si="1"/>
        <v>938.8888889</v>
      </c>
      <c r="D264" s="138"/>
      <c r="E264" s="138">
        <f t="shared" si="2"/>
        <v>469.4444444</v>
      </c>
      <c r="F264" s="138"/>
      <c r="G264" s="138">
        <f t="shared" si="3"/>
        <v>375.5555556</v>
      </c>
      <c r="H264" s="138"/>
      <c r="I264" s="140" t="s">
        <v>409</v>
      </c>
      <c r="J264" s="38">
        <v>16.0</v>
      </c>
      <c r="K264" s="38">
        <v>8.0</v>
      </c>
      <c r="L264" s="141">
        <v>6.4</v>
      </c>
      <c r="M264" s="38"/>
      <c r="N264" s="38"/>
      <c r="O264" s="38"/>
      <c r="P264" s="38"/>
      <c r="Q264" s="38"/>
      <c r="R264" s="38"/>
      <c r="T264" s="140" t="s">
        <v>409</v>
      </c>
      <c r="U264" s="38">
        <v>16.0</v>
      </c>
      <c r="V264" s="38">
        <v>8.0</v>
      </c>
      <c r="W264" s="141">
        <v>6.4</v>
      </c>
      <c r="X264" s="38" t="str">
        <f t="shared" si="4"/>
        <v>per hour</v>
      </c>
      <c r="Y264" s="44" t="str">
        <f t="shared" si="5"/>
        <v>per </v>
      </c>
    </row>
    <row r="265" ht="12.75" customHeight="1">
      <c r="C265" s="138">
        <f t="shared" si="1"/>
        <v>1408.333333</v>
      </c>
      <c r="D265" s="138"/>
      <c r="E265" s="138">
        <f t="shared" si="2"/>
        <v>704.1666667</v>
      </c>
      <c r="F265" s="138"/>
      <c r="G265" s="138">
        <f t="shared" si="3"/>
        <v>563.3333333</v>
      </c>
      <c r="H265" s="138"/>
      <c r="I265" s="140" t="s">
        <v>409</v>
      </c>
      <c r="J265" s="38">
        <v>24.0</v>
      </c>
      <c r="K265" s="38">
        <v>12.0</v>
      </c>
      <c r="L265" s="141">
        <v>9.6</v>
      </c>
      <c r="M265" s="38"/>
      <c r="N265" s="38"/>
      <c r="O265" s="38"/>
      <c r="P265" s="38"/>
      <c r="Q265" s="38"/>
      <c r="R265" s="38"/>
      <c r="T265" s="140" t="s">
        <v>409</v>
      </c>
      <c r="U265" s="38">
        <v>24.0</v>
      </c>
      <c r="V265" s="38">
        <v>12.0</v>
      </c>
      <c r="W265" s="141">
        <v>9.6</v>
      </c>
      <c r="X265" s="38" t="str">
        <f t="shared" si="4"/>
        <v>per hour</v>
      </c>
      <c r="Y265" s="44" t="str">
        <f t="shared" si="5"/>
        <v>per </v>
      </c>
    </row>
    <row r="266" ht="12.75" customHeight="1">
      <c r="C266" s="138">
        <f t="shared" si="1"/>
        <v>2816.666667</v>
      </c>
      <c r="D266" s="138"/>
      <c r="E266" s="138">
        <f t="shared" si="2"/>
        <v>1408.333333</v>
      </c>
      <c r="F266" s="138"/>
      <c r="G266" s="138">
        <f t="shared" si="3"/>
        <v>1126.666667</v>
      </c>
      <c r="H266" s="138"/>
      <c r="I266" s="140" t="s">
        <v>409</v>
      </c>
      <c r="J266" s="38">
        <v>48.0</v>
      </c>
      <c r="K266" s="38">
        <v>24.0</v>
      </c>
      <c r="L266" s="141">
        <v>19.2</v>
      </c>
      <c r="M266" s="38"/>
      <c r="N266" s="38"/>
      <c r="O266" s="38"/>
      <c r="P266" s="38"/>
      <c r="Q266" s="38"/>
      <c r="R266" s="38"/>
      <c r="T266" s="140" t="s">
        <v>409</v>
      </c>
      <c r="U266" s="38">
        <v>48.0</v>
      </c>
      <c r="V266" s="38">
        <v>24.0</v>
      </c>
      <c r="W266" s="141">
        <v>19.2</v>
      </c>
      <c r="X266" s="38" t="str">
        <f t="shared" si="4"/>
        <v>per hour</v>
      </c>
      <c r="Y266" s="44" t="str">
        <f t="shared" si="5"/>
        <v>per </v>
      </c>
    </row>
    <row r="267" ht="12.75" customHeight="1">
      <c r="C267" s="138">
        <f t="shared" si="1"/>
        <v>1877.777778</v>
      </c>
      <c r="D267" s="138"/>
      <c r="E267" s="138">
        <f t="shared" si="2"/>
        <v>938.8888889</v>
      </c>
      <c r="F267" s="138"/>
      <c r="G267" s="138">
        <f t="shared" si="3"/>
        <v>751.1111111</v>
      </c>
      <c r="H267" s="138"/>
      <c r="I267" s="140" t="s">
        <v>409</v>
      </c>
      <c r="J267" s="38">
        <v>32.0</v>
      </c>
      <c r="K267" s="38">
        <v>16.0</v>
      </c>
      <c r="L267" s="141">
        <v>12.8</v>
      </c>
      <c r="M267" s="38"/>
      <c r="N267" s="38"/>
      <c r="O267" s="38"/>
      <c r="P267" s="38"/>
      <c r="Q267" s="38"/>
      <c r="R267" s="38"/>
      <c r="T267" s="140" t="s">
        <v>409</v>
      </c>
      <c r="U267" s="38">
        <v>32.0</v>
      </c>
      <c r="V267" s="38">
        <v>16.0</v>
      </c>
      <c r="W267" s="141">
        <v>12.8</v>
      </c>
      <c r="X267" s="38" t="str">
        <f t="shared" si="4"/>
        <v>per hour</v>
      </c>
      <c r="Y267" s="44" t="str">
        <f t="shared" si="5"/>
        <v>per </v>
      </c>
    </row>
    <row r="268" ht="12.75" customHeight="1">
      <c r="C268" s="138">
        <f t="shared" si="1"/>
        <v>1173.611111</v>
      </c>
      <c r="D268" s="138"/>
      <c r="E268" s="138">
        <f t="shared" si="2"/>
        <v>586.8055556</v>
      </c>
      <c r="F268" s="138"/>
      <c r="G268" s="138">
        <f t="shared" si="3"/>
        <v>469.4444444</v>
      </c>
      <c r="H268" s="138"/>
      <c r="I268" s="140" t="s">
        <v>409</v>
      </c>
      <c r="J268" s="38">
        <v>20.0</v>
      </c>
      <c r="K268" s="38">
        <v>10.0</v>
      </c>
      <c r="L268" s="141">
        <v>8.0</v>
      </c>
      <c r="M268" s="38"/>
      <c r="N268" s="38"/>
      <c r="O268" s="38"/>
      <c r="P268" s="38"/>
      <c r="Q268" s="38"/>
      <c r="R268" s="38"/>
      <c r="T268" s="140" t="s">
        <v>409</v>
      </c>
      <c r="U268" s="38">
        <v>20.0</v>
      </c>
      <c r="V268" s="38">
        <v>10.0</v>
      </c>
      <c r="W268" s="141">
        <v>8.0</v>
      </c>
      <c r="X268" s="38" t="str">
        <f t="shared" si="4"/>
        <v>per hour</v>
      </c>
      <c r="Y268" s="44" t="str">
        <f t="shared" si="5"/>
        <v>per </v>
      </c>
    </row>
    <row r="269" ht="12.75" customHeight="1">
      <c r="C269" s="138">
        <f t="shared" si="1"/>
        <v>4225</v>
      </c>
      <c r="D269" s="138"/>
      <c r="E269" s="138">
        <f t="shared" si="2"/>
        <v>2112.5</v>
      </c>
      <c r="F269" s="138"/>
      <c r="G269" s="138">
        <f t="shared" si="3"/>
        <v>1690</v>
      </c>
      <c r="H269" s="138"/>
      <c r="I269" s="140" t="s">
        <v>409</v>
      </c>
      <c r="J269" s="38">
        <v>72.0</v>
      </c>
      <c r="K269" s="38">
        <v>36.0</v>
      </c>
      <c r="L269" s="141">
        <v>28.8</v>
      </c>
      <c r="M269" s="38"/>
      <c r="N269" s="38"/>
      <c r="O269" s="38"/>
      <c r="P269" s="38"/>
      <c r="Q269" s="38"/>
      <c r="R269" s="38"/>
      <c r="T269" s="140" t="s">
        <v>409</v>
      </c>
      <c r="U269" s="38">
        <v>72.0</v>
      </c>
      <c r="V269" s="38">
        <v>36.0</v>
      </c>
      <c r="W269" s="141">
        <v>28.8</v>
      </c>
      <c r="X269" s="38" t="str">
        <f t="shared" si="4"/>
        <v>per hour</v>
      </c>
      <c r="Y269" s="44" t="str">
        <f t="shared" si="5"/>
        <v>per </v>
      </c>
    </row>
    <row r="270" ht="12.75" customHeight="1">
      <c r="C270" s="138">
        <f t="shared" si="1"/>
        <v>2816.666667</v>
      </c>
      <c r="D270" s="138"/>
      <c r="E270" s="138">
        <f t="shared" si="2"/>
        <v>1408.333333</v>
      </c>
      <c r="F270" s="138"/>
      <c r="G270" s="138">
        <f t="shared" si="3"/>
        <v>1126.666667</v>
      </c>
      <c r="H270" s="138"/>
      <c r="I270" s="140" t="s">
        <v>409</v>
      </c>
      <c r="J270" s="38">
        <v>48.0</v>
      </c>
      <c r="K270" s="38">
        <v>24.0</v>
      </c>
      <c r="L270" s="141">
        <v>19.2</v>
      </c>
      <c r="M270" s="38"/>
      <c r="N270" s="38"/>
      <c r="O270" s="38"/>
      <c r="P270" s="38"/>
      <c r="Q270" s="38"/>
      <c r="R270" s="38"/>
      <c r="T270" s="140" t="s">
        <v>409</v>
      </c>
      <c r="U270" s="38">
        <v>48.0</v>
      </c>
      <c r="V270" s="38">
        <v>24.0</v>
      </c>
      <c r="W270" s="141">
        <v>19.2</v>
      </c>
      <c r="X270" s="38" t="str">
        <f t="shared" si="4"/>
        <v>per hour</v>
      </c>
      <c r="Y270" s="44" t="str">
        <f t="shared" si="5"/>
        <v>per </v>
      </c>
    </row>
    <row r="271" ht="12.75" customHeight="1">
      <c r="C271" s="138">
        <f t="shared" si="1"/>
        <v>1643.055556</v>
      </c>
      <c r="D271" s="138"/>
      <c r="E271" s="138">
        <f t="shared" si="2"/>
        <v>821.5277778</v>
      </c>
      <c r="F271" s="138"/>
      <c r="G271" s="138">
        <f t="shared" si="3"/>
        <v>657.2222222</v>
      </c>
      <c r="H271" s="138"/>
      <c r="I271" s="140" t="s">
        <v>409</v>
      </c>
      <c r="J271" s="38">
        <v>28.0</v>
      </c>
      <c r="K271" s="38">
        <v>14.0</v>
      </c>
      <c r="L271" s="141">
        <v>11.2</v>
      </c>
      <c r="M271" s="38"/>
      <c r="N271" s="38"/>
      <c r="O271" s="38"/>
      <c r="P271" s="38"/>
      <c r="Q271" s="38"/>
      <c r="R271" s="38"/>
      <c r="T271" s="140" t="s">
        <v>409</v>
      </c>
      <c r="U271" s="38">
        <v>28.0</v>
      </c>
      <c r="V271" s="38">
        <v>14.0</v>
      </c>
      <c r="W271" s="141">
        <v>11.2</v>
      </c>
      <c r="X271" s="38" t="str">
        <f t="shared" si="4"/>
        <v>per hour</v>
      </c>
      <c r="Y271" s="44" t="str">
        <f t="shared" si="5"/>
        <v>per </v>
      </c>
    </row>
    <row r="272" ht="12.75" customHeight="1">
      <c r="C272" s="138">
        <f t="shared" si="1"/>
        <v>1643.055556</v>
      </c>
      <c r="D272" s="138"/>
      <c r="E272" s="138">
        <f t="shared" si="2"/>
        <v>821.5277778</v>
      </c>
      <c r="F272" s="138"/>
      <c r="G272" s="138">
        <f t="shared" si="3"/>
        <v>657.2222222</v>
      </c>
      <c r="H272" s="138"/>
      <c r="I272" s="140" t="s">
        <v>409</v>
      </c>
      <c r="J272" s="38">
        <v>28.0</v>
      </c>
      <c r="K272" s="38">
        <v>14.0</v>
      </c>
      <c r="L272" s="141">
        <v>11.2</v>
      </c>
      <c r="M272" s="38"/>
      <c r="N272" s="38"/>
      <c r="O272" s="38"/>
      <c r="P272" s="38"/>
      <c r="Q272" s="38"/>
      <c r="R272" s="38"/>
      <c r="T272" s="140" t="s">
        <v>409</v>
      </c>
      <c r="U272" s="38">
        <v>28.0</v>
      </c>
      <c r="V272" s="38">
        <v>14.0</v>
      </c>
      <c r="W272" s="141">
        <v>11.2</v>
      </c>
      <c r="X272" s="38" t="str">
        <f t="shared" si="4"/>
        <v>per hour</v>
      </c>
      <c r="Y272" s="44" t="str">
        <f t="shared" si="5"/>
        <v>per </v>
      </c>
    </row>
    <row r="273" ht="12.75" customHeight="1">
      <c r="C273" s="138">
        <f t="shared" si="1"/>
        <v>3051.388889</v>
      </c>
      <c r="D273" s="138"/>
      <c r="E273" s="138">
        <f t="shared" si="2"/>
        <v>1525.694444</v>
      </c>
      <c r="F273" s="138"/>
      <c r="G273" s="138">
        <f t="shared" si="3"/>
        <v>1220.555556</v>
      </c>
      <c r="H273" s="138"/>
      <c r="I273" s="140" t="s">
        <v>409</v>
      </c>
      <c r="J273" s="38">
        <v>52.0</v>
      </c>
      <c r="K273" s="38">
        <v>26.0</v>
      </c>
      <c r="L273" s="141">
        <v>20.8</v>
      </c>
      <c r="M273" s="38"/>
      <c r="N273" s="38"/>
      <c r="O273" s="38"/>
      <c r="P273" s="38"/>
      <c r="Q273" s="38"/>
      <c r="R273" s="38"/>
      <c r="T273" s="140" t="s">
        <v>409</v>
      </c>
      <c r="U273" s="38">
        <v>52.0</v>
      </c>
      <c r="V273" s="38">
        <v>26.0</v>
      </c>
      <c r="W273" s="141">
        <v>20.8</v>
      </c>
      <c r="X273" s="38" t="str">
        <f t="shared" si="4"/>
        <v>per hour</v>
      </c>
      <c r="Y273" s="44" t="str">
        <f t="shared" si="5"/>
        <v>per </v>
      </c>
    </row>
    <row r="274" ht="12.75" customHeight="1">
      <c r="C274" s="138">
        <f t="shared" si="1"/>
        <v>1525.694444</v>
      </c>
      <c r="D274" s="138"/>
      <c r="E274" s="138">
        <f t="shared" si="2"/>
        <v>762.8472222</v>
      </c>
      <c r="F274" s="138"/>
      <c r="G274" s="138">
        <f t="shared" si="3"/>
        <v>610.2777778</v>
      </c>
      <c r="H274" s="138"/>
      <c r="I274" s="140" t="s">
        <v>409</v>
      </c>
      <c r="J274" s="38">
        <v>26.0</v>
      </c>
      <c r="K274" s="38">
        <v>13.0</v>
      </c>
      <c r="L274" s="141">
        <v>10.4</v>
      </c>
      <c r="M274" s="38"/>
      <c r="N274" s="38"/>
      <c r="O274" s="38"/>
      <c r="P274" s="38"/>
      <c r="Q274" s="38"/>
      <c r="R274" s="38"/>
      <c r="T274" s="140" t="s">
        <v>409</v>
      </c>
      <c r="U274" s="38">
        <v>26.0</v>
      </c>
      <c r="V274" s="38">
        <v>13.0</v>
      </c>
      <c r="W274" s="141">
        <v>10.4</v>
      </c>
      <c r="X274" s="38" t="str">
        <f t="shared" si="4"/>
        <v>per hour</v>
      </c>
      <c r="Y274" s="44" t="str">
        <f t="shared" si="5"/>
        <v>per </v>
      </c>
    </row>
    <row r="275" ht="12.75" customHeight="1">
      <c r="C275" s="138">
        <f t="shared" si="1"/>
        <v>938.8888889</v>
      </c>
      <c r="D275" s="138"/>
      <c r="E275" s="138">
        <f t="shared" si="2"/>
        <v>528.125</v>
      </c>
      <c r="F275" s="138"/>
      <c r="G275" s="138">
        <f t="shared" si="3"/>
        <v>375.5555556</v>
      </c>
      <c r="H275" s="138"/>
      <c r="I275" s="140" t="s">
        <v>409</v>
      </c>
      <c r="J275" s="38">
        <v>16.0</v>
      </c>
      <c r="K275" s="38">
        <v>9.0</v>
      </c>
      <c r="L275" s="141">
        <v>6.4</v>
      </c>
      <c r="M275" s="38"/>
      <c r="N275" s="38"/>
      <c r="O275" s="38"/>
      <c r="P275" s="38"/>
      <c r="Q275" s="38"/>
      <c r="R275" s="38"/>
      <c r="T275" s="140" t="s">
        <v>409</v>
      </c>
      <c r="U275" s="38">
        <v>16.0</v>
      </c>
      <c r="V275" s="38">
        <v>9.0</v>
      </c>
      <c r="W275" s="141">
        <v>6.4</v>
      </c>
      <c r="X275" s="38" t="str">
        <f t="shared" si="4"/>
        <v>per hour</v>
      </c>
      <c r="Y275" s="44" t="str">
        <f t="shared" si="5"/>
        <v>per </v>
      </c>
    </row>
    <row r="276" ht="12.75" customHeight="1">
      <c r="C276" s="138">
        <f t="shared" si="1"/>
        <v>234.7222222</v>
      </c>
      <c r="D276" s="138"/>
      <c r="E276" s="138">
        <f t="shared" si="2"/>
        <v>117.3611111</v>
      </c>
      <c r="F276" s="138"/>
      <c r="G276" s="138">
        <f t="shared" si="3"/>
        <v>93.88888889</v>
      </c>
      <c r="H276" s="138"/>
      <c r="I276" s="140" t="s">
        <v>409</v>
      </c>
      <c r="J276" s="38">
        <v>4.0</v>
      </c>
      <c r="K276" s="38">
        <v>2.0</v>
      </c>
      <c r="L276" s="141">
        <v>1.6</v>
      </c>
      <c r="M276" s="38"/>
      <c r="N276" s="38"/>
      <c r="O276" s="38"/>
      <c r="P276" s="38"/>
      <c r="Q276" s="38"/>
      <c r="R276" s="38"/>
      <c r="T276" s="140" t="s">
        <v>409</v>
      </c>
      <c r="U276" s="38">
        <v>4.0</v>
      </c>
      <c r="V276" s="38">
        <v>2.0</v>
      </c>
      <c r="W276" s="141">
        <v>1.6</v>
      </c>
      <c r="X276" s="38" t="str">
        <f t="shared" si="4"/>
        <v>per hour</v>
      </c>
      <c r="Y276" s="44" t="str">
        <f t="shared" si="5"/>
        <v>per </v>
      </c>
    </row>
    <row r="277" ht="12.75" customHeight="1">
      <c r="C277" s="138">
        <f t="shared" si="1"/>
        <v>938.8888889</v>
      </c>
      <c r="D277" s="138"/>
      <c r="E277" s="138">
        <f t="shared" si="2"/>
        <v>469.4444444</v>
      </c>
      <c r="F277" s="138"/>
      <c r="G277" s="138">
        <f t="shared" si="3"/>
        <v>375.5555556</v>
      </c>
      <c r="H277" s="138"/>
      <c r="I277" s="140" t="s">
        <v>409</v>
      </c>
      <c r="J277" s="38">
        <v>16.0</v>
      </c>
      <c r="K277" s="38">
        <v>8.0</v>
      </c>
      <c r="L277" s="141">
        <v>6.4</v>
      </c>
      <c r="M277" s="38"/>
      <c r="N277" s="38"/>
      <c r="O277" s="38"/>
      <c r="P277" s="38"/>
      <c r="Q277" s="38"/>
      <c r="R277" s="38"/>
      <c r="T277" s="140" t="s">
        <v>409</v>
      </c>
      <c r="U277" s="38">
        <v>16.0</v>
      </c>
      <c r="V277" s="38">
        <v>8.0</v>
      </c>
      <c r="W277" s="141">
        <v>6.4</v>
      </c>
      <c r="X277" s="38" t="str">
        <f t="shared" si="4"/>
        <v>per hour</v>
      </c>
      <c r="Y277" s="44" t="str">
        <f t="shared" si="5"/>
        <v>per </v>
      </c>
    </row>
    <row r="278" ht="12.75" customHeight="1">
      <c r="C278" s="138">
        <f t="shared" si="1"/>
        <v>469.4444444</v>
      </c>
      <c r="D278" s="138"/>
      <c r="E278" s="138">
        <f t="shared" si="2"/>
        <v>234.7222222</v>
      </c>
      <c r="F278" s="138"/>
      <c r="G278" s="138">
        <f t="shared" si="3"/>
        <v>187.7777778</v>
      </c>
      <c r="H278" s="138"/>
      <c r="I278" s="140" t="s">
        <v>415</v>
      </c>
      <c r="J278" s="38">
        <v>8.0</v>
      </c>
      <c r="K278" s="38">
        <v>4.0</v>
      </c>
      <c r="L278" s="141">
        <v>3.2</v>
      </c>
      <c r="M278" s="38"/>
      <c r="N278" s="38"/>
      <c r="O278" s="38"/>
      <c r="P278" s="38"/>
      <c r="Q278" s="38"/>
      <c r="R278" s="38"/>
      <c r="T278" s="140" t="s">
        <v>415</v>
      </c>
      <c r="U278" s="38">
        <v>8.0</v>
      </c>
      <c r="V278" s="38">
        <v>4.0</v>
      </c>
      <c r="W278" s="141">
        <v>3.2</v>
      </c>
      <c r="X278" s="38" t="str">
        <f t="shared" si="4"/>
        <v>per hour</v>
      </c>
      <c r="Y278" s="44" t="str">
        <f t="shared" si="5"/>
        <v>per </v>
      </c>
    </row>
    <row r="279" ht="12.75" customHeight="1">
      <c r="C279" s="138">
        <f t="shared" si="1"/>
        <v>751.1111111</v>
      </c>
      <c r="D279" s="138"/>
      <c r="E279" s="138">
        <f t="shared" si="2"/>
        <v>375.5555556</v>
      </c>
      <c r="F279" s="138"/>
      <c r="G279" s="138">
        <f t="shared" si="3"/>
        <v>300.4444444</v>
      </c>
      <c r="H279" s="138"/>
      <c r="I279" s="140" t="s">
        <v>415</v>
      </c>
      <c r="J279" s="38">
        <v>12.8</v>
      </c>
      <c r="K279" s="38">
        <v>6.4</v>
      </c>
      <c r="L279" s="141">
        <v>5.12</v>
      </c>
      <c r="M279" s="38"/>
      <c r="N279" s="38"/>
      <c r="O279" s="38"/>
      <c r="P279" s="38"/>
      <c r="Q279" s="38"/>
      <c r="R279" s="38"/>
      <c r="T279" s="140" t="s">
        <v>415</v>
      </c>
      <c r="U279" s="38">
        <v>12.8</v>
      </c>
      <c r="V279" s="38">
        <v>6.4</v>
      </c>
      <c r="W279" s="141">
        <v>5.12</v>
      </c>
      <c r="X279" s="38" t="str">
        <f t="shared" si="4"/>
        <v>per hour</v>
      </c>
      <c r="Y279" s="44" t="str">
        <f t="shared" si="5"/>
        <v>per </v>
      </c>
    </row>
    <row r="280" ht="12.75" customHeight="1">
      <c r="C280" s="138">
        <f t="shared" si="1"/>
        <v>1251.069444</v>
      </c>
      <c r="D280" s="138"/>
      <c r="E280" s="138">
        <f t="shared" si="2"/>
        <v>625.5347222</v>
      </c>
      <c r="F280" s="138"/>
      <c r="G280" s="138">
        <f t="shared" si="3"/>
        <v>500.5451389</v>
      </c>
      <c r="H280" s="138"/>
      <c r="I280" s="140" t="s">
        <v>415</v>
      </c>
      <c r="J280" s="38">
        <v>21.32</v>
      </c>
      <c r="K280" s="38">
        <v>10.66</v>
      </c>
      <c r="L280" s="141">
        <v>8.53</v>
      </c>
      <c r="M280" s="38"/>
      <c r="N280" s="38"/>
      <c r="O280" s="38"/>
      <c r="P280" s="38"/>
      <c r="Q280" s="38"/>
      <c r="R280" s="38"/>
      <c r="T280" s="140" t="s">
        <v>415</v>
      </c>
      <c r="U280" s="38">
        <v>21.32</v>
      </c>
      <c r="V280" s="38">
        <v>10.66</v>
      </c>
      <c r="W280" s="141">
        <v>8.53</v>
      </c>
      <c r="X280" s="38" t="str">
        <f t="shared" si="4"/>
        <v>per hour</v>
      </c>
      <c r="Y280" s="44" t="str">
        <f t="shared" si="5"/>
        <v>per </v>
      </c>
    </row>
    <row r="281" ht="12.75" customHeight="1">
      <c r="C281" s="138">
        <f t="shared" si="1"/>
        <v>0</v>
      </c>
      <c r="D281" s="138"/>
      <c r="E281" s="138">
        <f t="shared" si="2"/>
        <v>0</v>
      </c>
      <c r="F281" s="138"/>
      <c r="G281" s="138">
        <f t="shared" si="3"/>
        <v>0</v>
      </c>
      <c r="H281" s="138"/>
      <c r="L281" s="141"/>
      <c r="M281" s="38"/>
      <c r="N281" s="38"/>
      <c r="O281" s="38"/>
      <c r="P281" s="38"/>
      <c r="Q281" s="38"/>
      <c r="R281" s="38"/>
      <c r="W281" s="141"/>
      <c r="X281" s="38" t="str">
        <f t="shared" si="4"/>
        <v/>
      </c>
      <c r="Y281" s="44" t="str">
        <f t="shared" si="5"/>
        <v/>
      </c>
    </row>
    <row r="282" ht="12.75" customHeight="1">
      <c r="C282" s="138">
        <f t="shared" si="1"/>
        <v>0</v>
      </c>
      <c r="D282" s="138"/>
      <c r="E282" s="138">
        <f t="shared" si="2"/>
        <v>0</v>
      </c>
      <c r="F282" s="138"/>
      <c r="G282" s="138">
        <f t="shared" si="3"/>
        <v>0</v>
      </c>
      <c r="H282" s="138"/>
      <c r="L282" s="141"/>
      <c r="M282" s="38"/>
      <c r="N282" s="38"/>
      <c r="O282" s="38"/>
      <c r="P282" s="38"/>
      <c r="Q282" s="38"/>
      <c r="R282" s="38"/>
      <c r="W282" s="141"/>
      <c r="X282" s="38" t="str">
        <f t="shared" si="4"/>
        <v/>
      </c>
      <c r="Y282" s="44" t="str">
        <f t="shared" si="5"/>
        <v/>
      </c>
    </row>
    <row r="283" ht="12.75" customHeight="1">
      <c r="C283" s="138">
        <f t="shared" si="1"/>
        <v>0</v>
      </c>
      <c r="D283" s="138"/>
      <c r="E283" s="138">
        <f t="shared" si="2"/>
        <v>0</v>
      </c>
      <c r="F283" s="138"/>
      <c r="G283" s="138">
        <f t="shared" si="3"/>
        <v>0</v>
      </c>
      <c r="H283" s="138"/>
      <c r="L283" s="141"/>
      <c r="M283" s="38"/>
      <c r="N283" s="38"/>
      <c r="O283" s="38"/>
      <c r="P283" s="38"/>
      <c r="Q283" s="38"/>
      <c r="R283" s="38"/>
      <c r="W283" s="141"/>
      <c r="X283" s="38" t="str">
        <f t="shared" si="4"/>
        <v/>
      </c>
      <c r="Y283" s="44" t="str">
        <f t="shared" si="5"/>
        <v/>
      </c>
    </row>
    <row r="284" ht="12.75" customHeight="1">
      <c r="C284" s="138">
        <f t="shared" si="1"/>
        <v>0</v>
      </c>
      <c r="D284" s="138"/>
      <c r="E284" s="138">
        <f t="shared" si="2"/>
        <v>0</v>
      </c>
      <c r="F284" s="138"/>
      <c r="G284" s="138">
        <f t="shared" si="3"/>
        <v>0</v>
      </c>
      <c r="H284" s="138"/>
      <c r="L284" s="141"/>
      <c r="M284" s="38"/>
      <c r="N284" s="38"/>
      <c r="O284" s="38"/>
      <c r="P284" s="38"/>
      <c r="Q284" s="38"/>
      <c r="R284" s="38"/>
      <c r="W284" s="141"/>
      <c r="X284" s="38" t="str">
        <f t="shared" si="4"/>
        <v/>
      </c>
      <c r="Y284" s="44" t="str">
        <f t="shared" si="5"/>
        <v/>
      </c>
    </row>
    <row r="285" ht="12.75" customHeight="1">
      <c r="C285" s="138">
        <f t="shared" si="1"/>
        <v>293.4027778</v>
      </c>
      <c r="D285" s="138"/>
      <c r="E285" s="138">
        <f t="shared" si="2"/>
        <v>146.7013889</v>
      </c>
      <c r="F285" s="138"/>
      <c r="G285" s="138">
        <f t="shared" si="3"/>
        <v>117.3611111</v>
      </c>
      <c r="H285" s="138"/>
      <c r="I285" s="140" t="s">
        <v>416</v>
      </c>
      <c r="J285" s="38">
        <v>5.0</v>
      </c>
      <c r="K285" s="38">
        <v>2.5</v>
      </c>
      <c r="L285" s="141">
        <v>2.0</v>
      </c>
      <c r="M285" s="38"/>
      <c r="N285" s="38"/>
      <c r="O285" s="38"/>
      <c r="P285" s="38"/>
      <c r="Q285" s="38"/>
      <c r="R285" s="38"/>
      <c r="T285" s="140" t="s">
        <v>416</v>
      </c>
      <c r="U285" s="38">
        <v>5.0</v>
      </c>
      <c r="V285" s="38">
        <v>2.5</v>
      </c>
      <c r="W285" s="141">
        <v>2.0</v>
      </c>
      <c r="X285" s="38" t="str">
        <f t="shared" si="4"/>
        <v>per hour</v>
      </c>
      <c r="Y285" s="44" t="str">
        <f t="shared" si="5"/>
        <v>per </v>
      </c>
    </row>
    <row r="286" ht="12.75" customHeight="1">
      <c r="C286" s="138">
        <f t="shared" si="1"/>
        <v>1408.333333</v>
      </c>
      <c r="D286" s="138"/>
      <c r="E286" s="138">
        <f t="shared" si="2"/>
        <v>704.1666667</v>
      </c>
      <c r="F286" s="138"/>
      <c r="G286" s="138">
        <f t="shared" si="3"/>
        <v>563.3333333</v>
      </c>
      <c r="H286" s="138"/>
      <c r="I286" s="140" t="s">
        <v>416</v>
      </c>
      <c r="J286" s="38">
        <v>24.0</v>
      </c>
      <c r="K286" s="38">
        <v>12.0</v>
      </c>
      <c r="L286" s="141">
        <v>9.6</v>
      </c>
      <c r="M286" s="38"/>
      <c r="N286" s="38"/>
      <c r="O286" s="38"/>
      <c r="P286" s="38"/>
      <c r="Q286" s="38"/>
      <c r="R286" s="38"/>
      <c r="T286" s="140" t="s">
        <v>416</v>
      </c>
      <c r="U286" s="38">
        <v>24.0</v>
      </c>
      <c r="V286" s="38">
        <v>12.0</v>
      </c>
      <c r="W286" s="141">
        <v>9.6</v>
      </c>
      <c r="X286" s="38" t="str">
        <f t="shared" si="4"/>
        <v>per hour</v>
      </c>
      <c r="Y286" s="44" t="str">
        <f t="shared" si="5"/>
        <v>per </v>
      </c>
    </row>
    <row r="287" ht="12.75" customHeight="1">
      <c r="C287" s="138">
        <f t="shared" si="1"/>
        <v>586.8055556</v>
      </c>
      <c r="D287" s="138"/>
      <c r="E287" s="138">
        <f t="shared" si="2"/>
        <v>293.4027778</v>
      </c>
      <c r="F287" s="138"/>
      <c r="G287" s="138">
        <f t="shared" si="3"/>
        <v>234.7222222</v>
      </c>
      <c r="H287" s="138"/>
      <c r="I287" s="140" t="s">
        <v>416</v>
      </c>
      <c r="J287" s="38">
        <v>10.0</v>
      </c>
      <c r="K287" s="38">
        <v>5.0</v>
      </c>
      <c r="L287" s="141">
        <v>4.0</v>
      </c>
      <c r="M287" s="38"/>
      <c r="N287" s="38"/>
      <c r="O287" s="38"/>
      <c r="P287" s="38"/>
      <c r="Q287" s="38"/>
      <c r="R287" s="38"/>
      <c r="T287" s="140" t="s">
        <v>416</v>
      </c>
      <c r="U287" s="38">
        <v>10.0</v>
      </c>
      <c r="V287" s="38">
        <v>5.0</v>
      </c>
      <c r="W287" s="141">
        <v>4.0</v>
      </c>
      <c r="X287" s="38" t="str">
        <f t="shared" si="4"/>
        <v>per hour</v>
      </c>
      <c r="Y287" s="44" t="str">
        <f t="shared" si="5"/>
        <v>per </v>
      </c>
    </row>
    <row r="288" ht="12.75" customHeight="1">
      <c r="C288" s="138">
        <f t="shared" si="1"/>
        <v>586.8055556</v>
      </c>
      <c r="D288" s="138"/>
      <c r="E288" s="138">
        <f t="shared" si="2"/>
        <v>293.4027778</v>
      </c>
      <c r="F288" s="138"/>
      <c r="G288" s="138">
        <f t="shared" si="3"/>
        <v>234.7222222</v>
      </c>
      <c r="H288" s="138"/>
      <c r="I288" s="140" t="s">
        <v>416</v>
      </c>
      <c r="J288" s="38">
        <v>10.0</v>
      </c>
      <c r="K288" s="38">
        <v>5.0</v>
      </c>
      <c r="L288" s="141">
        <v>4.0</v>
      </c>
      <c r="M288" s="38"/>
      <c r="N288" s="38"/>
      <c r="O288" s="38"/>
      <c r="P288" s="38"/>
      <c r="Q288" s="38"/>
      <c r="R288" s="38"/>
      <c r="T288" s="140" t="s">
        <v>416</v>
      </c>
      <c r="U288" s="38">
        <v>10.0</v>
      </c>
      <c r="V288" s="38">
        <v>5.0</v>
      </c>
      <c r="W288" s="141">
        <v>4.0</v>
      </c>
      <c r="X288" s="38" t="str">
        <f t="shared" si="4"/>
        <v>per hour</v>
      </c>
      <c r="Y288" s="44" t="str">
        <f t="shared" si="5"/>
        <v>per </v>
      </c>
    </row>
    <row r="289" ht="12.75" customHeight="1">
      <c r="C289" s="138">
        <f t="shared" si="1"/>
        <v>0</v>
      </c>
      <c r="D289" s="138"/>
      <c r="E289" s="138">
        <f t="shared" si="2"/>
        <v>0</v>
      </c>
      <c r="F289" s="138"/>
      <c r="G289" s="138">
        <f t="shared" si="3"/>
        <v>0</v>
      </c>
      <c r="H289" s="138"/>
      <c r="I289" s="140"/>
      <c r="J289" s="38"/>
      <c r="K289" s="38"/>
      <c r="L289" s="141"/>
      <c r="M289" s="38"/>
      <c r="N289" s="38"/>
      <c r="O289" s="38"/>
      <c r="P289" s="38"/>
      <c r="Q289" s="38"/>
      <c r="R289" s="38"/>
      <c r="T289" s="140"/>
      <c r="U289" s="38"/>
      <c r="V289" s="38"/>
      <c r="W289" s="141"/>
      <c r="X289" s="38" t="str">
        <f t="shared" si="4"/>
        <v/>
      </c>
      <c r="Y289" s="44" t="str">
        <f t="shared" si="5"/>
        <v/>
      </c>
    </row>
    <row r="290" ht="12.75" customHeight="1">
      <c r="C290" s="138">
        <f t="shared" si="1"/>
        <v>1995.138889</v>
      </c>
      <c r="D290" s="138"/>
      <c r="E290" s="138">
        <f t="shared" si="2"/>
        <v>997.5694444</v>
      </c>
      <c r="F290" s="138"/>
      <c r="G290" s="138">
        <f t="shared" si="3"/>
        <v>798.0555556</v>
      </c>
      <c r="H290" s="138"/>
      <c r="I290" s="140" t="s">
        <v>416</v>
      </c>
      <c r="J290" s="38">
        <v>34.0</v>
      </c>
      <c r="K290" s="38">
        <v>17.0</v>
      </c>
      <c r="L290" s="141">
        <v>13.6</v>
      </c>
      <c r="M290" s="38"/>
      <c r="N290" s="38"/>
      <c r="O290" s="38"/>
      <c r="P290" s="38"/>
      <c r="Q290" s="38"/>
      <c r="R290" s="38"/>
      <c r="T290" s="140" t="s">
        <v>416</v>
      </c>
      <c r="U290" s="38">
        <v>34.0</v>
      </c>
      <c r="V290" s="38">
        <v>17.0</v>
      </c>
      <c r="W290" s="141">
        <v>13.6</v>
      </c>
      <c r="X290" s="38" t="str">
        <f t="shared" si="4"/>
        <v>per hour</v>
      </c>
      <c r="Y290" s="44" t="str">
        <f t="shared" si="5"/>
        <v>per </v>
      </c>
    </row>
    <row r="291" ht="12.75" customHeight="1">
      <c r="C291" s="138">
        <f t="shared" si="1"/>
        <v>3520.833333</v>
      </c>
      <c r="D291" s="138"/>
      <c r="E291" s="138">
        <f t="shared" si="2"/>
        <v>1760.416667</v>
      </c>
      <c r="F291" s="138"/>
      <c r="G291" s="138">
        <f t="shared" si="3"/>
        <v>1408.333333</v>
      </c>
      <c r="H291" s="138"/>
      <c r="I291" s="140" t="s">
        <v>416</v>
      </c>
      <c r="J291" s="38">
        <v>60.0</v>
      </c>
      <c r="K291" s="38">
        <v>30.0</v>
      </c>
      <c r="L291" s="141">
        <v>24.0</v>
      </c>
      <c r="M291" s="38"/>
      <c r="N291" s="38"/>
      <c r="O291" s="38"/>
      <c r="P291" s="38"/>
      <c r="Q291" s="38"/>
      <c r="R291" s="38"/>
      <c r="T291" s="140" t="s">
        <v>416</v>
      </c>
      <c r="U291" s="38">
        <v>60.0</v>
      </c>
      <c r="V291" s="38">
        <v>30.0</v>
      </c>
      <c r="W291" s="141">
        <v>24.0</v>
      </c>
      <c r="X291" s="38" t="str">
        <f t="shared" si="4"/>
        <v>per hour</v>
      </c>
      <c r="Y291" s="44" t="str">
        <f t="shared" si="5"/>
        <v>per </v>
      </c>
    </row>
    <row r="292" ht="12.75" customHeight="1">
      <c r="C292" s="138">
        <f t="shared" si="1"/>
        <v>0</v>
      </c>
      <c r="D292" s="138"/>
      <c r="E292" s="138">
        <f t="shared" si="2"/>
        <v>0</v>
      </c>
      <c r="F292" s="138"/>
      <c r="G292" s="138">
        <f t="shared" si="3"/>
        <v>0</v>
      </c>
      <c r="H292" s="138"/>
      <c r="I292" s="140"/>
      <c r="J292" s="38"/>
      <c r="K292" s="38"/>
      <c r="L292" s="141"/>
      <c r="M292" s="38"/>
      <c r="N292" s="38"/>
      <c r="O292" s="38"/>
      <c r="P292" s="38"/>
      <c r="Q292" s="38"/>
      <c r="R292" s="38"/>
      <c r="T292" s="140"/>
      <c r="U292" s="38"/>
      <c r="V292" s="38"/>
      <c r="W292" s="141"/>
      <c r="X292" s="38" t="str">
        <f t="shared" si="4"/>
        <v/>
      </c>
      <c r="Y292" s="44" t="str">
        <f t="shared" si="5"/>
        <v/>
      </c>
    </row>
    <row r="293" ht="12.75" customHeight="1">
      <c r="C293" s="138">
        <f t="shared" si="1"/>
        <v>469.4444444</v>
      </c>
      <c r="D293" s="138"/>
      <c r="E293" s="138">
        <f t="shared" si="2"/>
        <v>234.7222222</v>
      </c>
      <c r="F293" s="138"/>
      <c r="G293" s="138">
        <f t="shared" si="3"/>
        <v>187.7777778</v>
      </c>
      <c r="H293" s="138"/>
      <c r="I293" s="140" t="s">
        <v>417</v>
      </c>
      <c r="J293" s="38">
        <v>8.0</v>
      </c>
      <c r="K293" s="38">
        <v>4.0</v>
      </c>
      <c r="L293" s="141">
        <v>3.2</v>
      </c>
      <c r="M293" s="38"/>
      <c r="N293" s="38"/>
      <c r="O293" s="38"/>
      <c r="P293" s="38"/>
      <c r="Q293" s="38"/>
      <c r="R293" s="38"/>
      <c r="T293" s="140" t="s">
        <v>417</v>
      </c>
      <c r="U293" s="38">
        <v>8.0</v>
      </c>
      <c r="V293" s="38">
        <v>4.0</v>
      </c>
      <c r="W293" s="141">
        <v>3.2</v>
      </c>
      <c r="X293" s="38" t="str">
        <f t="shared" si="4"/>
        <v>per hour</v>
      </c>
      <c r="Y293" s="44" t="str">
        <f t="shared" si="5"/>
        <v>per </v>
      </c>
    </row>
    <row r="294" ht="12.75" customHeight="1">
      <c r="C294" s="138">
        <f t="shared" si="1"/>
        <v>93.88888889</v>
      </c>
      <c r="D294" s="138"/>
      <c r="E294" s="138">
        <f t="shared" si="2"/>
        <v>46.94444444</v>
      </c>
      <c r="F294" s="138"/>
      <c r="G294" s="138">
        <f t="shared" si="3"/>
        <v>37.55555556</v>
      </c>
      <c r="H294" s="138"/>
      <c r="I294" s="140" t="s">
        <v>416</v>
      </c>
      <c r="J294" s="38">
        <v>1.6</v>
      </c>
      <c r="K294" s="38">
        <v>0.8</v>
      </c>
      <c r="L294" s="141">
        <v>0.64</v>
      </c>
      <c r="M294" s="38"/>
      <c r="N294" s="38"/>
      <c r="O294" s="38"/>
      <c r="P294" s="38"/>
      <c r="Q294" s="38"/>
      <c r="R294" s="38"/>
      <c r="T294" s="140" t="s">
        <v>416</v>
      </c>
      <c r="U294" s="38">
        <v>1.6</v>
      </c>
      <c r="V294" s="38">
        <v>0.8</v>
      </c>
      <c r="W294" s="141">
        <v>0.64</v>
      </c>
      <c r="X294" s="38" t="str">
        <f t="shared" si="4"/>
        <v>per hour</v>
      </c>
      <c r="Y294" s="44" t="str">
        <f t="shared" si="5"/>
        <v>per </v>
      </c>
    </row>
    <row r="295" ht="12.75" customHeight="1">
      <c r="C295" s="138">
        <f t="shared" si="1"/>
        <v>316.875</v>
      </c>
      <c r="D295" s="138"/>
      <c r="E295" s="138">
        <f t="shared" si="2"/>
        <v>158.4375</v>
      </c>
      <c r="F295" s="138"/>
      <c r="G295" s="138">
        <f t="shared" si="3"/>
        <v>126.75</v>
      </c>
      <c r="H295" s="138"/>
      <c r="I295" s="140" t="s">
        <v>412</v>
      </c>
      <c r="J295" s="38">
        <v>5.4</v>
      </c>
      <c r="K295" s="38">
        <v>2.7</v>
      </c>
      <c r="L295" s="141">
        <v>2.16</v>
      </c>
      <c r="M295" s="38"/>
      <c r="N295" s="38"/>
      <c r="O295" s="38"/>
      <c r="P295" s="38"/>
      <c r="Q295" s="38"/>
      <c r="R295" s="38"/>
      <c r="T295" s="140" t="s">
        <v>412</v>
      </c>
      <c r="U295" s="38">
        <v>5.4</v>
      </c>
      <c r="V295" s="38">
        <v>2.7</v>
      </c>
      <c r="W295" s="141">
        <v>2.16</v>
      </c>
      <c r="X295" s="38" t="str">
        <f t="shared" si="4"/>
        <v>per hour</v>
      </c>
      <c r="Y295" s="44" t="str">
        <f t="shared" si="5"/>
        <v>per </v>
      </c>
    </row>
    <row r="296" ht="12.75" customHeight="1">
      <c r="C296" s="138">
        <f t="shared" si="1"/>
        <v>176.0416667</v>
      </c>
      <c r="D296" s="138"/>
      <c r="E296" s="138">
        <f t="shared" si="2"/>
        <v>88.02083333</v>
      </c>
      <c r="F296" s="138"/>
      <c r="G296" s="138">
        <f t="shared" si="3"/>
        <v>70.41666667</v>
      </c>
      <c r="H296" s="138"/>
      <c r="I296" s="140" t="s">
        <v>409</v>
      </c>
      <c r="J296" s="38">
        <v>3.0</v>
      </c>
      <c r="K296" s="38">
        <v>1.5</v>
      </c>
      <c r="L296" s="141">
        <v>1.2</v>
      </c>
      <c r="M296" s="38"/>
      <c r="N296" s="38"/>
      <c r="O296" s="38"/>
      <c r="P296" s="38"/>
      <c r="Q296" s="38"/>
      <c r="R296" s="38"/>
      <c r="T296" s="140" t="s">
        <v>409</v>
      </c>
      <c r="U296" s="38">
        <v>3.0</v>
      </c>
      <c r="V296" s="38">
        <v>1.5</v>
      </c>
      <c r="W296" s="141">
        <v>1.2</v>
      </c>
      <c r="X296" s="38" t="str">
        <f t="shared" si="4"/>
        <v>per hour</v>
      </c>
      <c r="Y296" s="44" t="str">
        <f t="shared" si="5"/>
        <v>per </v>
      </c>
    </row>
    <row r="297" ht="12.75" customHeight="1">
      <c r="C297" s="138">
        <f t="shared" si="1"/>
        <v>938.8888889</v>
      </c>
      <c r="D297" s="138"/>
      <c r="E297" s="138">
        <f t="shared" si="2"/>
        <v>469.4444444</v>
      </c>
      <c r="F297" s="138"/>
      <c r="G297" s="138">
        <f t="shared" si="3"/>
        <v>375.5555556</v>
      </c>
      <c r="H297" s="138"/>
      <c r="I297" s="140" t="s">
        <v>409</v>
      </c>
      <c r="J297" s="38">
        <v>16.0</v>
      </c>
      <c r="K297" s="38">
        <v>8.0</v>
      </c>
      <c r="L297" s="141">
        <v>6.4</v>
      </c>
      <c r="M297" s="38"/>
      <c r="N297" s="38"/>
      <c r="O297" s="38"/>
      <c r="P297" s="38"/>
      <c r="Q297" s="38"/>
      <c r="R297" s="38"/>
      <c r="T297" s="140" t="s">
        <v>409</v>
      </c>
      <c r="U297" s="38">
        <v>16.0</v>
      </c>
      <c r="V297" s="38">
        <v>8.0</v>
      </c>
      <c r="W297" s="141">
        <v>6.4</v>
      </c>
      <c r="X297" s="38" t="str">
        <f t="shared" si="4"/>
        <v>per hour</v>
      </c>
      <c r="Y297" s="44" t="str">
        <f t="shared" si="5"/>
        <v>per </v>
      </c>
    </row>
    <row r="298" ht="12.75" customHeight="1">
      <c r="C298" s="138">
        <f t="shared" si="1"/>
        <v>704.1666667</v>
      </c>
      <c r="D298" s="138"/>
      <c r="E298" s="138">
        <f t="shared" si="2"/>
        <v>352.0833333</v>
      </c>
      <c r="F298" s="138"/>
      <c r="G298" s="138">
        <f t="shared" si="3"/>
        <v>281.6666667</v>
      </c>
      <c r="H298" s="138"/>
      <c r="I298" s="140" t="s">
        <v>409</v>
      </c>
      <c r="J298" s="38">
        <v>12.0</v>
      </c>
      <c r="K298" s="38">
        <v>6.0</v>
      </c>
      <c r="L298" s="141">
        <v>4.8</v>
      </c>
      <c r="M298" s="38"/>
      <c r="N298" s="38"/>
      <c r="O298" s="38"/>
      <c r="P298" s="38"/>
      <c r="Q298" s="38"/>
      <c r="R298" s="38"/>
      <c r="T298" s="140" t="s">
        <v>409</v>
      </c>
      <c r="U298" s="38">
        <v>12.0</v>
      </c>
      <c r="V298" s="38">
        <v>6.0</v>
      </c>
      <c r="W298" s="141">
        <v>4.8</v>
      </c>
      <c r="X298" s="38" t="str">
        <f t="shared" si="4"/>
        <v>per hour</v>
      </c>
      <c r="Y298" s="44" t="str">
        <f t="shared" si="5"/>
        <v>per </v>
      </c>
    </row>
    <row r="299" ht="12.75" customHeight="1">
      <c r="C299" s="138">
        <f t="shared" si="1"/>
        <v>469.4444444</v>
      </c>
      <c r="D299" s="138"/>
      <c r="E299" s="138">
        <f t="shared" si="2"/>
        <v>234.7222222</v>
      </c>
      <c r="F299" s="138"/>
      <c r="G299" s="138">
        <f t="shared" si="3"/>
        <v>187.7777778</v>
      </c>
      <c r="H299" s="138"/>
      <c r="I299" s="140" t="s">
        <v>409</v>
      </c>
      <c r="J299" s="38">
        <v>8.0</v>
      </c>
      <c r="K299" s="38">
        <v>4.0</v>
      </c>
      <c r="L299" s="141">
        <v>3.2</v>
      </c>
      <c r="M299" s="38"/>
      <c r="N299" s="38"/>
      <c r="O299" s="38"/>
      <c r="P299" s="38"/>
      <c r="Q299" s="38"/>
      <c r="R299" s="38"/>
      <c r="T299" s="140" t="s">
        <v>409</v>
      </c>
      <c r="U299" s="38">
        <v>8.0</v>
      </c>
      <c r="V299" s="38">
        <v>4.0</v>
      </c>
      <c r="W299" s="141">
        <v>3.2</v>
      </c>
      <c r="X299" s="38" t="str">
        <f t="shared" si="4"/>
        <v>per hour</v>
      </c>
      <c r="Y299" s="44" t="str">
        <f t="shared" si="5"/>
        <v>per </v>
      </c>
    </row>
    <row r="300" ht="12.75" customHeight="1">
      <c r="C300" s="138">
        <f t="shared" si="1"/>
        <v>434.2361111</v>
      </c>
      <c r="D300" s="138"/>
      <c r="E300" s="138">
        <f t="shared" si="2"/>
        <v>217.1180556</v>
      </c>
      <c r="F300" s="138"/>
      <c r="G300" s="138">
        <f t="shared" si="3"/>
        <v>173.6944444</v>
      </c>
      <c r="H300" s="138"/>
      <c r="I300" s="140" t="s">
        <v>412</v>
      </c>
      <c r="J300" s="38">
        <v>7.4</v>
      </c>
      <c r="K300" s="38">
        <v>3.7</v>
      </c>
      <c r="L300" s="141">
        <v>2.96</v>
      </c>
      <c r="M300" s="38"/>
      <c r="N300" s="38"/>
      <c r="O300" s="38"/>
      <c r="P300" s="38"/>
      <c r="Q300" s="38"/>
      <c r="R300" s="38"/>
      <c r="T300" s="140" t="s">
        <v>412</v>
      </c>
      <c r="U300" s="38">
        <v>7.4</v>
      </c>
      <c r="V300" s="38">
        <v>3.7</v>
      </c>
      <c r="W300" s="141">
        <v>2.96</v>
      </c>
      <c r="X300" s="38" t="str">
        <f t="shared" si="4"/>
        <v>per hour</v>
      </c>
      <c r="Y300" s="44" t="str">
        <f t="shared" si="5"/>
        <v>per </v>
      </c>
    </row>
    <row r="301" ht="12.75" customHeight="1">
      <c r="C301" s="138">
        <f t="shared" si="1"/>
        <v>176.0416667</v>
      </c>
      <c r="D301" s="138"/>
      <c r="E301" s="138">
        <f t="shared" si="2"/>
        <v>88.02083333</v>
      </c>
      <c r="F301" s="138"/>
      <c r="G301" s="138">
        <f t="shared" si="3"/>
        <v>70.41666667</v>
      </c>
      <c r="H301" s="138"/>
      <c r="I301" s="140" t="s">
        <v>412</v>
      </c>
      <c r="J301" s="38">
        <v>3.0</v>
      </c>
      <c r="K301" s="38">
        <v>1.5</v>
      </c>
      <c r="L301" s="141">
        <v>1.2</v>
      </c>
      <c r="M301" s="38"/>
      <c r="N301" s="38"/>
      <c r="O301" s="38"/>
      <c r="P301" s="38"/>
      <c r="Q301" s="38"/>
      <c r="R301" s="38"/>
      <c r="T301" s="140" t="s">
        <v>412</v>
      </c>
      <c r="U301" s="38">
        <v>3.0</v>
      </c>
      <c r="V301" s="38">
        <v>1.5</v>
      </c>
      <c r="W301" s="141">
        <v>1.2</v>
      </c>
      <c r="X301" s="38" t="str">
        <f t="shared" si="4"/>
        <v>per hour</v>
      </c>
      <c r="Y301" s="44" t="str">
        <f t="shared" si="5"/>
        <v>per </v>
      </c>
    </row>
    <row r="302" ht="12.75" customHeight="1">
      <c r="C302" s="138">
        <f t="shared" si="1"/>
        <v>0</v>
      </c>
      <c r="D302" s="138"/>
      <c r="E302" s="138">
        <f t="shared" si="2"/>
        <v>0</v>
      </c>
      <c r="F302" s="138"/>
      <c r="G302" s="138">
        <f t="shared" si="3"/>
        <v>0</v>
      </c>
      <c r="H302" s="138"/>
      <c r="J302" s="38"/>
      <c r="K302" s="38"/>
      <c r="L302" s="141"/>
      <c r="M302" s="38"/>
      <c r="N302" s="38"/>
      <c r="O302" s="38"/>
      <c r="P302" s="38"/>
      <c r="Q302" s="38"/>
      <c r="R302" s="38"/>
      <c r="U302" s="38"/>
      <c r="V302" s="38"/>
      <c r="W302" s="141"/>
      <c r="X302" s="38" t="str">
        <f t="shared" si="4"/>
        <v/>
      </c>
      <c r="Y302" s="44" t="str">
        <f t="shared" si="5"/>
        <v/>
      </c>
    </row>
    <row r="303" ht="12.75" customHeight="1">
      <c r="C303" s="138">
        <f t="shared" si="1"/>
        <v>0</v>
      </c>
      <c r="D303" s="138"/>
      <c r="E303" s="138">
        <f t="shared" si="2"/>
        <v>0</v>
      </c>
      <c r="F303" s="138"/>
      <c r="G303" s="138">
        <f t="shared" si="3"/>
        <v>0</v>
      </c>
      <c r="H303" s="138"/>
      <c r="J303" s="38"/>
      <c r="K303" s="38"/>
      <c r="L303" s="141"/>
      <c r="M303" s="38"/>
      <c r="N303" s="38"/>
      <c r="O303" s="38"/>
      <c r="P303" s="38"/>
      <c r="Q303" s="38"/>
      <c r="R303" s="38"/>
      <c r="U303" s="38"/>
      <c r="V303" s="38"/>
      <c r="W303" s="141"/>
      <c r="X303" s="38" t="str">
        <f t="shared" si="4"/>
        <v/>
      </c>
      <c r="Y303" s="44" t="str">
        <f t="shared" si="5"/>
        <v/>
      </c>
    </row>
    <row r="304" ht="12.75" customHeight="1">
      <c r="C304" s="138">
        <f t="shared" si="1"/>
        <v>58.68055556</v>
      </c>
      <c r="D304" s="138"/>
      <c r="E304" s="138">
        <f t="shared" si="2"/>
        <v>29.34027778</v>
      </c>
      <c r="F304" s="138"/>
      <c r="G304" s="138">
        <f t="shared" si="3"/>
        <v>23.47222222</v>
      </c>
      <c r="H304" s="138"/>
      <c r="I304" s="140" t="s">
        <v>409</v>
      </c>
      <c r="J304" s="38">
        <v>1.0</v>
      </c>
      <c r="K304" s="38">
        <v>0.5</v>
      </c>
      <c r="L304" s="141">
        <v>0.4</v>
      </c>
      <c r="M304" s="38"/>
      <c r="N304" s="38"/>
      <c r="O304" s="38"/>
      <c r="P304" s="38"/>
      <c r="Q304" s="38"/>
      <c r="R304" s="38"/>
      <c r="T304" s="140" t="s">
        <v>409</v>
      </c>
      <c r="U304" s="38">
        <v>1.0</v>
      </c>
      <c r="V304" s="38">
        <v>0.5</v>
      </c>
      <c r="W304" s="141">
        <v>0.4</v>
      </c>
      <c r="X304" s="38" t="str">
        <f t="shared" si="4"/>
        <v>per hour</v>
      </c>
      <c r="Y304" s="44" t="str">
        <f t="shared" si="5"/>
        <v>per </v>
      </c>
    </row>
    <row r="305" ht="12.75" customHeight="1">
      <c r="C305" s="138">
        <f t="shared" si="1"/>
        <v>140.8333333</v>
      </c>
      <c r="D305" s="138"/>
      <c r="E305" s="138">
        <f t="shared" si="2"/>
        <v>70.41666667</v>
      </c>
      <c r="F305" s="138"/>
      <c r="G305" s="138">
        <f t="shared" si="3"/>
        <v>56.33333333</v>
      </c>
      <c r="H305" s="138"/>
      <c r="I305" s="140" t="s">
        <v>416</v>
      </c>
      <c r="J305" s="38">
        <v>2.4</v>
      </c>
      <c r="K305" s="38">
        <v>1.2</v>
      </c>
      <c r="L305" s="141">
        <v>0.96</v>
      </c>
      <c r="M305" s="38"/>
      <c r="N305" s="38"/>
      <c r="O305" s="38"/>
      <c r="P305" s="38"/>
      <c r="Q305" s="38"/>
      <c r="R305" s="38"/>
      <c r="T305" s="140" t="s">
        <v>416</v>
      </c>
      <c r="U305" s="38">
        <v>2.4</v>
      </c>
      <c r="V305" s="38">
        <v>1.2</v>
      </c>
      <c r="W305" s="141">
        <v>0.96</v>
      </c>
      <c r="X305" s="38" t="str">
        <f t="shared" si="4"/>
        <v>per hour</v>
      </c>
      <c r="Y305" s="44" t="str">
        <f t="shared" si="5"/>
        <v>per </v>
      </c>
    </row>
    <row r="306" ht="12.75" customHeight="1">
      <c r="C306" s="138">
        <f t="shared" si="1"/>
        <v>0</v>
      </c>
      <c r="D306" s="138"/>
      <c r="E306" s="138">
        <f t="shared" si="2"/>
        <v>0</v>
      </c>
      <c r="F306" s="138"/>
      <c r="G306" s="138">
        <f t="shared" si="3"/>
        <v>0</v>
      </c>
      <c r="H306" s="138"/>
      <c r="J306" s="38"/>
      <c r="K306" s="38"/>
      <c r="L306" s="141"/>
      <c r="M306" s="38"/>
      <c r="N306" s="38"/>
      <c r="O306" s="38"/>
      <c r="P306" s="38"/>
      <c r="Q306" s="38"/>
      <c r="R306" s="38"/>
      <c r="U306" s="38"/>
      <c r="V306" s="38"/>
      <c r="W306" s="141"/>
      <c r="X306" s="38" t="str">
        <f t="shared" si="4"/>
        <v/>
      </c>
      <c r="Y306" s="44" t="str">
        <f t="shared" si="5"/>
        <v/>
      </c>
    </row>
    <row r="307" ht="12.75" customHeight="1">
      <c r="C307" s="138">
        <f t="shared" si="1"/>
        <v>1643.055556</v>
      </c>
      <c r="D307" s="138"/>
      <c r="E307" s="138">
        <f t="shared" si="2"/>
        <v>821.5277778</v>
      </c>
      <c r="F307" s="138"/>
      <c r="G307" s="138">
        <f t="shared" si="3"/>
        <v>657.2222222</v>
      </c>
      <c r="H307" s="138"/>
      <c r="I307" s="140" t="s">
        <v>416</v>
      </c>
      <c r="J307" s="38">
        <v>28.0</v>
      </c>
      <c r="K307" s="38">
        <v>14.0</v>
      </c>
      <c r="L307" s="141">
        <v>11.2</v>
      </c>
      <c r="M307" s="38"/>
      <c r="N307" s="38"/>
      <c r="O307" s="38"/>
      <c r="P307" s="38"/>
      <c r="Q307" s="38"/>
      <c r="R307" s="38"/>
      <c r="T307" s="140" t="s">
        <v>416</v>
      </c>
      <c r="U307" s="38">
        <v>28.0</v>
      </c>
      <c r="V307" s="38">
        <v>14.0</v>
      </c>
      <c r="W307" s="141">
        <v>11.2</v>
      </c>
      <c r="X307" s="38" t="str">
        <f t="shared" si="4"/>
        <v>per hour</v>
      </c>
      <c r="Y307" s="44" t="str">
        <f t="shared" si="5"/>
        <v>per </v>
      </c>
    </row>
    <row r="308" ht="12.75" customHeight="1">
      <c r="C308" s="138">
        <f t="shared" si="1"/>
        <v>704.1666667</v>
      </c>
      <c r="D308" s="138"/>
      <c r="E308" s="138">
        <f t="shared" si="2"/>
        <v>352.0833333</v>
      </c>
      <c r="F308" s="138"/>
      <c r="G308" s="138">
        <f t="shared" si="3"/>
        <v>281.6666667</v>
      </c>
      <c r="H308" s="138"/>
      <c r="I308" s="140" t="s">
        <v>416</v>
      </c>
      <c r="J308" s="38">
        <v>12.0</v>
      </c>
      <c r="K308" s="38">
        <v>6.0</v>
      </c>
      <c r="L308" s="141">
        <v>4.8</v>
      </c>
      <c r="M308" s="38"/>
      <c r="N308" s="38"/>
      <c r="O308" s="38"/>
      <c r="P308" s="38"/>
      <c r="Q308" s="38"/>
      <c r="R308" s="38"/>
      <c r="T308" s="140" t="s">
        <v>416</v>
      </c>
      <c r="U308" s="38">
        <v>12.0</v>
      </c>
      <c r="V308" s="38">
        <v>6.0</v>
      </c>
      <c r="W308" s="141">
        <v>4.8</v>
      </c>
      <c r="X308" s="38" t="str">
        <f t="shared" si="4"/>
        <v>per hour</v>
      </c>
      <c r="Y308" s="44" t="str">
        <f t="shared" si="5"/>
        <v>per </v>
      </c>
    </row>
    <row r="309" ht="12.75" customHeight="1">
      <c r="C309" s="138">
        <f t="shared" si="1"/>
        <v>8215.277778</v>
      </c>
      <c r="D309" s="138"/>
      <c r="E309" s="138">
        <f t="shared" si="2"/>
        <v>4107.638889</v>
      </c>
      <c r="F309" s="138"/>
      <c r="G309" s="138">
        <f t="shared" si="3"/>
        <v>3286.111111</v>
      </c>
      <c r="H309" s="138"/>
      <c r="I309" s="140" t="s">
        <v>416</v>
      </c>
      <c r="J309" s="38">
        <v>140.0</v>
      </c>
      <c r="K309" s="38">
        <v>70.0</v>
      </c>
      <c r="L309" s="141">
        <v>56.0</v>
      </c>
      <c r="M309" s="38"/>
      <c r="N309" s="38"/>
      <c r="O309" s="38"/>
      <c r="P309" s="38"/>
      <c r="Q309" s="38"/>
      <c r="R309" s="38"/>
      <c r="T309" s="140" t="s">
        <v>416</v>
      </c>
      <c r="U309" s="38">
        <v>140.0</v>
      </c>
      <c r="V309" s="38">
        <v>70.0</v>
      </c>
      <c r="W309" s="141">
        <v>56.0</v>
      </c>
      <c r="X309" s="38" t="str">
        <f t="shared" si="4"/>
        <v>per hour</v>
      </c>
      <c r="Y309" s="44" t="str">
        <f t="shared" si="5"/>
        <v>per </v>
      </c>
    </row>
    <row r="310" ht="12.75" customHeight="1">
      <c r="C310" s="138">
        <f t="shared" si="1"/>
        <v>70.41666667</v>
      </c>
      <c r="D310" s="138"/>
      <c r="E310" s="138">
        <f t="shared" si="2"/>
        <v>35.20833333</v>
      </c>
      <c r="F310" s="138"/>
      <c r="G310" s="138">
        <f t="shared" si="3"/>
        <v>28.16666667</v>
      </c>
      <c r="H310" s="138"/>
      <c r="I310" s="140" t="s">
        <v>416</v>
      </c>
      <c r="J310" s="38">
        <v>1.2</v>
      </c>
      <c r="K310" s="38">
        <v>0.6</v>
      </c>
      <c r="L310" s="141">
        <v>0.48</v>
      </c>
      <c r="M310" s="38"/>
      <c r="N310" s="38"/>
      <c r="O310" s="38"/>
      <c r="P310" s="38"/>
      <c r="Q310" s="38"/>
      <c r="R310" s="38"/>
      <c r="T310" s="140" t="s">
        <v>416</v>
      </c>
      <c r="U310" s="38">
        <v>1.2</v>
      </c>
      <c r="V310" s="38">
        <v>0.6</v>
      </c>
      <c r="W310" s="141">
        <v>0.48</v>
      </c>
      <c r="X310" s="38" t="str">
        <f t="shared" si="4"/>
        <v>per hour</v>
      </c>
      <c r="Y310" s="44" t="str">
        <f t="shared" si="5"/>
        <v>per </v>
      </c>
    </row>
    <row r="311" ht="12.75" customHeight="1">
      <c r="C311" s="138">
        <f t="shared" si="1"/>
        <v>82.15277778</v>
      </c>
      <c r="D311" s="138"/>
      <c r="E311" s="138">
        <f t="shared" si="2"/>
        <v>41.07638889</v>
      </c>
      <c r="F311" s="138"/>
      <c r="G311" s="138">
        <f t="shared" si="3"/>
        <v>32.86111111</v>
      </c>
      <c r="H311" s="138"/>
      <c r="I311" s="140" t="s">
        <v>416</v>
      </c>
      <c r="J311" s="38">
        <v>1.4</v>
      </c>
      <c r="K311" s="38">
        <v>0.7</v>
      </c>
      <c r="L311" s="141">
        <v>0.56</v>
      </c>
      <c r="M311" s="38"/>
      <c r="N311" s="38"/>
      <c r="O311" s="38"/>
      <c r="P311" s="38"/>
      <c r="Q311" s="38"/>
      <c r="R311" s="38"/>
      <c r="T311" s="140" t="s">
        <v>416</v>
      </c>
      <c r="U311" s="38">
        <v>1.4</v>
      </c>
      <c r="V311" s="38">
        <v>0.7</v>
      </c>
      <c r="W311" s="141">
        <v>0.56</v>
      </c>
      <c r="X311" s="38" t="str">
        <f t="shared" si="4"/>
        <v>per hour</v>
      </c>
      <c r="Y311" s="44" t="str">
        <f t="shared" si="5"/>
        <v>per </v>
      </c>
    </row>
    <row r="312" ht="12.75" customHeight="1">
      <c r="C312" s="138">
        <f t="shared" si="1"/>
        <v>316.875</v>
      </c>
      <c r="D312" s="138"/>
      <c r="E312" s="138">
        <f t="shared" si="2"/>
        <v>158.4375</v>
      </c>
      <c r="F312" s="138"/>
      <c r="G312" s="138">
        <f t="shared" si="3"/>
        <v>126.75</v>
      </c>
      <c r="H312" s="138"/>
      <c r="I312" s="140" t="s">
        <v>416</v>
      </c>
      <c r="J312" s="38">
        <v>5.4</v>
      </c>
      <c r="K312" s="38">
        <v>2.7</v>
      </c>
      <c r="L312" s="141">
        <v>2.16</v>
      </c>
      <c r="M312" s="38"/>
      <c r="N312" s="38"/>
      <c r="O312" s="38"/>
      <c r="P312" s="38"/>
      <c r="Q312" s="38"/>
      <c r="R312" s="38"/>
      <c r="T312" s="140" t="s">
        <v>416</v>
      </c>
      <c r="U312" s="38">
        <v>5.4</v>
      </c>
      <c r="V312" s="38">
        <v>2.7</v>
      </c>
      <c r="W312" s="141">
        <v>2.16</v>
      </c>
      <c r="X312" s="38" t="str">
        <f t="shared" si="4"/>
        <v>per hour</v>
      </c>
      <c r="Y312" s="44" t="str">
        <f t="shared" si="5"/>
        <v>per </v>
      </c>
    </row>
    <row r="313" ht="12.75" customHeight="1">
      <c r="C313" s="138">
        <f t="shared" si="1"/>
        <v>0</v>
      </c>
      <c r="D313" s="138"/>
      <c r="E313" s="138">
        <f t="shared" si="2"/>
        <v>0</v>
      </c>
      <c r="F313" s="138"/>
      <c r="G313" s="138">
        <f t="shared" si="3"/>
        <v>0</v>
      </c>
      <c r="H313" s="138"/>
      <c r="I313" s="140"/>
      <c r="J313" s="38"/>
      <c r="K313" s="38"/>
      <c r="L313" s="141"/>
      <c r="M313" s="38"/>
      <c r="N313" s="38"/>
      <c r="O313" s="38"/>
      <c r="P313" s="38"/>
      <c r="Q313" s="38"/>
      <c r="R313" s="38"/>
      <c r="T313" s="140"/>
      <c r="U313" s="38"/>
      <c r="V313" s="38"/>
      <c r="W313" s="141"/>
      <c r="X313" s="38" t="str">
        <f t="shared" si="4"/>
        <v/>
      </c>
      <c r="Y313" s="44" t="str">
        <f t="shared" si="5"/>
        <v/>
      </c>
    </row>
    <row r="314" ht="12.75" customHeight="1">
      <c r="C314" s="138">
        <f t="shared" si="1"/>
        <v>140.8333333</v>
      </c>
      <c r="D314" s="138"/>
      <c r="E314" s="138">
        <f t="shared" si="2"/>
        <v>70.41666667</v>
      </c>
      <c r="F314" s="138"/>
      <c r="G314" s="138">
        <f t="shared" si="3"/>
        <v>56.33333333</v>
      </c>
      <c r="H314" s="138"/>
      <c r="I314" s="140" t="s">
        <v>416</v>
      </c>
      <c r="J314" s="38">
        <v>2.4</v>
      </c>
      <c r="K314" s="38">
        <v>1.2</v>
      </c>
      <c r="L314" s="141">
        <v>0.96</v>
      </c>
      <c r="M314" s="38"/>
      <c r="N314" s="38"/>
      <c r="O314" s="38"/>
      <c r="P314" s="38"/>
      <c r="Q314" s="38"/>
      <c r="R314" s="38"/>
      <c r="T314" s="140" t="s">
        <v>416</v>
      </c>
      <c r="U314" s="38">
        <v>2.4</v>
      </c>
      <c r="V314" s="38">
        <v>1.2</v>
      </c>
      <c r="W314" s="141">
        <v>0.96</v>
      </c>
      <c r="X314" s="38" t="str">
        <f t="shared" si="4"/>
        <v>per hour</v>
      </c>
      <c r="Y314" s="44" t="str">
        <f t="shared" si="5"/>
        <v>per </v>
      </c>
    </row>
    <row r="315" ht="12.75" customHeight="1">
      <c r="C315" s="138">
        <f t="shared" si="1"/>
        <v>93.88888889</v>
      </c>
      <c r="D315" s="138"/>
      <c r="E315" s="138">
        <f t="shared" si="2"/>
        <v>46.94444444</v>
      </c>
      <c r="F315" s="138"/>
      <c r="G315" s="138">
        <f t="shared" si="3"/>
        <v>37.55555556</v>
      </c>
      <c r="H315" s="138"/>
      <c r="I315" s="140" t="s">
        <v>408</v>
      </c>
      <c r="J315" s="38">
        <v>1.6</v>
      </c>
      <c r="K315" s="38">
        <v>0.8</v>
      </c>
      <c r="L315" s="141">
        <v>0.64</v>
      </c>
      <c r="M315" s="38"/>
      <c r="N315" s="38"/>
      <c r="O315" s="38"/>
      <c r="P315" s="38"/>
      <c r="Q315" s="38"/>
      <c r="R315" s="38"/>
      <c r="T315" s="140" t="s">
        <v>408</v>
      </c>
      <c r="U315" s="38">
        <v>1.6</v>
      </c>
      <c r="V315" s="38">
        <v>0.8</v>
      </c>
      <c r="W315" s="141">
        <v>0.64</v>
      </c>
      <c r="X315" s="38" t="str">
        <f t="shared" si="4"/>
        <v>per hour</v>
      </c>
      <c r="Y315" s="44" t="str">
        <f t="shared" si="5"/>
        <v>per </v>
      </c>
    </row>
    <row r="316" ht="12.75" customHeight="1">
      <c r="C316" s="138">
        <f t="shared" si="1"/>
        <v>293.4027778</v>
      </c>
      <c r="D316" s="138"/>
      <c r="E316" s="138">
        <f t="shared" si="2"/>
        <v>146.7013889</v>
      </c>
      <c r="F316" s="138"/>
      <c r="G316" s="138">
        <f t="shared" si="3"/>
        <v>117.3611111</v>
      </c>
      <c r="H316" s="138"/>
      <c r="I316" s="140" t="s">
        <v>416</v>
      </c>
      <c r="J316" s="38">
        <v>5.0</v>
      </c>
      <c r="K316" s="38">
        <v>2.5</v>
      </c>
      <c r="L316" s="141">
        <v>2.0</v>
      </c>
      <c r="M316" s="38"/>
      <c r="N316" s="38"/>
      <c r="O316" s="38"/>
      <c r="P316" s="38"/>
      <c r="Q316" s="38"/>
      <c r="R316" s="38"/>
      <c r="T316" s="140" t="s">
        <v>416</v>
      </c>
      <c r="U316" s="38">
        <v>5.0</v>
      </c>
      <c r="V316" s="38">
        <v>2.5</v>
      </c>
      <c r="W316" s="141">
        <v>2.0</v>
      </c>
      <c r="X316" s="38" t="str">
        <f t="shared" si="4"/>
        <v>per hour</v>
      </c>
      <c r="Y316" s="44" t="str">
        <f t="shared" si="5"/>
        <v>per </v>
      </c>
    </row>
    <row r="317" ht="12.75" customHeight="1">
      <c r="C317" s="138">
        <f t="shared" si="1"/>
        <v>352.0833333</v>
      </c>
      <c r="D317" s="138"/>
      <c r="E317" s="138">
        <f t="shared" si="2"/>
        <v>176.0416667</v>
      </c>
      <c r="F317" s="138"/>
      <c r="G317" s="138">
        <f t="shared" si="3"/>
        <v>140.8333333</v>
      </c>
      <c r="H317" s="138"/>
      <c r="I317" s="140" t="s">
        <v>416</v>
      </c>
      <c r="J317" s="38">
        <v>6.0</v>
      </c>
      <c r="K317" s="38">
        <v>3.0</v>
      </c>
      <c r="L317" s="141">
        <v>2.4</v>
      </c>
      <c r="M317" s="38"/>
      <c r="N317" s="38"/>
      <c r="O317" s="38"/>
      <c r="P317" s="38"/>
      <c r="Q317" s="38"/>
      <c r="R317" s="38"/>
      <c r="T317" s="140" t="s">
        <v>416</v>
      </c>
      <c r="U317" s="38">
        <v>6.0</v>
      </c>
      <c r="V317" s="38">
        <v>3.0</v>
      </c>
      <c r="W317" s="141">
        <v>2.4</v>
      </c>
      <c r="X317" s="38" t="str">
        <f t="shared" si="4"/>
        <v>per hour</v>
      </c>
      <c r="Y317" s="44" t="str">
        <f t="shared" si="5"/>
        <v>per </v>
      </c>
    </row>
    <row r="318" ht="12.75" customHeight="1">
      <c r="C318" s="138">
        <f t="shared" si="1"/>
        <v>0</v>
      </c>
      <c r="D318" s="138"/>
      <c r="E318" s="138">
        <f t="shared" si="2"/>
        <v>0</v>
      </c>
      <c r="F318" s="138"/>
      <c r="G318" s="138">
        <f t="shared" si="3"/>
        <v>0</v>
      </c>
      <c r="H318" s="138"/>
      <c r="J318" s="38"/>
      <c r="K318" s="38"/>
      <c r="L318" s="141"/>
      <c r="M318" s="38"/>
      <c r="N318" s="38"/>
      <c r="O318" s="38"/>
      <c r="P318" s="38"/>
      <c r="Q318" s="38"/>
      <c r="R318" s="38"/>
      <c r="U318" s="38"/>
      <c r="V318" s="38"/>
      <c r="W318" s="141"/>
      <c r="X318" s="38" t="str">
        <f t="shared" si="4"/>
        <v/>
      </c>
      <c r="Y318" s="44" t="str">
        <f t="shared" si="5"/>
        <v/>
      </c>
    </row>
    <row r="319" ht="12.75" customHeight="1">
      <c r="C319" s="138">
        <f t="shared" si="1"/>
        <v>0</v>
      </c>
      <c r="D319" s="138"/>
      <c r="E319" s="138">
        <f t="shared" si="2"/>
        <v>0</v>
      </c>
      <c r="F319" s="138"/>
      <c r="G319" s="138">
        <f t="shared" si="3"/>
        <v>0</v>
      </c>
      <c r="H319" s="138"/>
      <c r="J319" s="38"/>
      <c r="K319" s="38"/>
      <c r="L319" s="141"/>
      <c r="M319" s="38"/>
      <c r="N319" s="38"/>
      <c r="O319" s="38"/>
      <c r="P319" s="38"/>
      <c r="Q319" s="38"/>
      <c r="R319" s="38"/>
      <c r="U319" s="38"/>
      <c r="V319" s="38"/>
      <c r="W319" s="141"/>
      <c r="X319" s="38" t="str">
        <f t="shared" si="4"/>
        <v/>
      </c>
      <c r="Y319" s="44" t="str">
        <f t="shared" si="5"/>
        <v/>
      </c>
    </row>
    <row r="320" ht="12.75" customHeight="1">
      <c r="C320" s="138">
        <f t="shared" si="1"/>
        <v>586.8055556</v>
      </c>
      <c r="D320" s="138"/>
      <c r="E320" s="138">
        <f t="shared" si="2"/>
        <v>293.4027778</v>
      </c>
      <c r="F320" s="138"/>
      <c r="G320" s="138">
        <f t="shared" si="3"/>
        <v>234.7222222</v>
      </c>
      <c r="H320" s="138"/>
      <c r="I320" s="140" t="s">
        <v>409</v>
      </c>
      <c r="J320" s="38">
        <v>10.0</v>
      </c>
      <c r="K320" s="38">
        <v>5.0</v>
      </c>
      <c r="L320" s="141">
        <v>4.0</v>
      </c>
      <c r="M320" s="38"/>
      <c r="N320" s="38"/>
      <c r="O320" s="38"/>
      <c r="P320" s="38"/>
      <c r="Q320" s="38"/>
      <c r="R320" s="38"/>
      <c r="T320" s="140" t="s">
        <v>409</v>
      </c>
      <c r="U320" s="38">
        <v>10.0</v>
      </c>
      <c r="V320" s="38">
        <v>5.0</v>
      </c>
      <c r="W320" s="141">
        <v>4.0</v>
      </c>
      <c r="X320" s="38" t="str">
        <f t="shared" si="4"/>
        <v>per hour</v>
      </c>
      <c r="Y320" s="44" t="str">
        <f t="shared" si="5"/>
        <v>per </v>
      </c>
    </row>
    <row r="321" ht="12.75" customHeight="1">
      <c r="C321" s="138">
        <f t="shared" si="1"/>
        <v>1760.416667</v>
      </c>
      <c r="D321" s="138"/>
      <c r="E321" s="138">
        <f t="shared" si="2"/>
        <v>880.2083333</v>
      </c>
      <c r="F321" s="138"/>
      <c r="G321" s="138">
        <f t="shared" si="3"/>
        <v>704.1666667</v>
      </c>
      <c r="H321" s="138"/>
      <c r="I321" s="140" t="s">
        <v>409</v>
      </c>
      <c r="J321" s="38">
        <v>30.0</v>
      </c>
      <c r="K321" s="38">
        <v>15.0</v>
      </c>
      <c r="L321" s="141">
        <v>12.0</v>
      </c>
      <c r="M321" s="38"/>
      <c r="N321" s="38"/>
      <c r="O321" s="38"/>
      <c r="P321" s="38"/>
      <c r="Q321" s="38"/>
      <c r="R321" s="38"/>
      <c r="T321" s="140" t="s">
        <v>409</v>
      </c>
      <c r="U321" s="38">
        <v>30.0</v>
      </c>
      <c r="V321" s="38">
        <v>15.0</v>
      </c>
      <c r="W321" s="141">
        <v>12.0</v>
      </c>
      <c r="X321" s="38" t="str">
        <f t="shared" si="4"/>
        <v>per hour</v>
      </c>
      <c r="Y321" s="44" t="str">
        <f t="shared" si="5"/>
        <v>per </v>
      </c>
    </row>
    <row r="322" ht="12.75" customHeight="1">
      <c r="C322" s="138">
        <f t="shared" si="1"/>
        <v>586.8055556</v>
      </c>
      <c r="D322" s="138"/>
      <c r="E322" s="138">
        <f t="shared" si="2"/>
        <v>293.4027778</v>
      </c>
      <c r="F322" s="138"/>
      <c r="G322" s="138">
        <f t="shared" si="3"/>
        <v>234.7222222</v>
      </c>
      <c r="H322" s="138"/>
      <c r="I322" s="140" t="s">
        <v>409</v>
      </c>
      <c r="J322" s="38">
        <v>10.0</v>
      </c>
      <c r="K322" s="38">
        <v>5.0</v>
      </c>
      <c r="L322" s="141">
        <v>4.0</v>
      </c>
      <c r="M322" s="38"/>
      <c r="N322" s="38"/>
      <c r="O322" s="38"/>
      <c r="P322" s="38"/>
      <c r="Q322" s="38"/>
      <c r="R322" s="38"/>
      <c r="T322" s="140" t="s">
        <v>409</v>
      </c>
      <c r="U322" s="38">
        <v>10.0</v>
      </c>
      <c r="V322" s="38">
        <v>5.0</v>
      </c>
      <c r="W322" s="141">
        <v>4.0</v>
      </c>
      <c r="X322" s="38" t="str">
        <f t="shared" si="4"/>
        <v>per hour</v>
      </c>
      <c r="Y322" s="44" t="str">
        <f t="shared" si="5"/>
        <v>per </v>
      </c>
    </row>
    <row r="323" ht="12.75" customHeight="1">
      <c r="C323" s="138">
        <f t="shared" si="1"/>
        <v>0</v>
      </c>
      <c r="D323" s="138"/>
      <c r="E323" s="138">
        <f t="shared" si="2"/>
        <v>0</v>
      </c>
      <c r="F323" s="138"/>
      <c r="G323" s="138">
        <f t="shared" si="3"/>
        <v>0</v>
      </c>
      <c r="H323" s="138"/>
      <c r="J323" s="38"/>
      <c r="K323" s="38"/>
      <c r="L323" s="141"/>
      <c r="M323" s="38"/>
      <c r="N323" s="38"/>
      <c r="O323" s="38"/>
      <c r="P323" s="38"/>
      <c r="Q323" s="38"/>
      <c r="R323" s="38"/>
      <c r="U323" s="38"/>
      <c r="V323" s="38"/>
      <c r="W323" s="141"/>
      <c r="X323" s="38" t="str">
        <f t="shared" si="4"/>
        <v/>
      </c>
      <c r="Y323" s="44" t="str">
        <f t="shared" si="5"/>
        <v/>
      </c>
    </row>
    <row r="324" ht="12.75" customHeight="1">
      <c r="C324" s="138">
        <f t="shared" si="1"/>
        <v>1173.611111</v>
      </c>
      <c r="D324" s="138"/>
      <c r="E324" s="138">
        <f t="shared" si="2"/>
        <v>586.8055556</v>
      </c>
      <c r="F324" s="138"/>
      <c r="G324" s="138">
        <f t="shared" si="3"/>
        <v>469.4444444</v>
      </c>
      <c r="H324" s="138"/>
      <c r="I324" s="140" t="s">
        <v>409</v>
      </c>
      <c r="J324" s="38">
        <v>20.0</v>
      </c>
      <c r="K324" s="38">
        <v>10.0</v>
      </c>
      <c r="L324" s="141">
        <v>8.0</v>
      </c>
      <c r="M324" s="38"/>
      <c r="N324" s="38"/>
      <c r="O324" s="38"/>
      <c r="P324" s="38"/>
      <c r="Q324" s="38"/>
      <c r="R324" s="38"/>
      <c r="T324" s="140" t="s">
        <v>409</v>
      </c>
      <c r="U324" s="38">
        <v>20.0</v>
      </c>
      <c r="V324" s="38">
        <v>10.0</v>
      </c>
      <c r="W324" s="141">
        <v>8.0</v>
      </c>
      <c r="X324" s="38" t="str">
        <f t="shared" si="4"/>
        <v>per hour</v>
      </c>
      <c r="Y324" s="44" t="str">
        <f t="shared" si="5"/>
        <v>per </v>
      </c>
    </row>
    <row r="325" ht="12.75" customHeight="1">
      <c r="C325" s="138">
        <f t="shared" si="1"/>
        <v>1173.611111</v>
      </c>
      <c r="D325" s="138"/>
      <c r="E325" s="138">
        <f t="shared" si="2"/>
        <v>586.8055556</v>
      </c>
      <c r="F325" s="138"/>
      <c r="G325" s="138">
        <f t="shared" si="3"/>
        <v>469.4444444</v>
      </c>
      <c r="H325" s="138"/>
      <c r="I325" s="140" t="s">
        <v>409</v>
      </c>
      <c r="J325" s="38">
        <v>20.0</v>
      </c>
      <c r="K325" s="38">
        <v>10.0</v>
      </c>
      <c r="L325" s="141">
        <v>8.0</v>
      </c>
      <c r="M325" s="38"/>
      <c r="N325" s="38"/>
      <c r="O325" s="38"/>
      <c r="P325" s="38"/>
      <c r="Q325" s="38"/>
      <c r="R325" s="38"/>
      <c r="T325" s="140" t="s">
        <v>409</v>
      </c>
      <c r="U325" s="38">
        <v>20.0</v>
      </c>
      <c r="V325" s="38">
        <v>10.0</v>
      </c>
      <c r="W325" s="141">
        <v>8.0</v>
      </c>
      <c r="X325" s="38" t="str">
        <f t="shared" si="4"/>
        <v>per hour</v>
      </c>
      <c r="Y325" s="44" t="str">
        <f t="shared" si="5"/>
        <v>per </v>
      </c>
    </row>
    <row r="326" ht="12.75" customHeight="1">
      <c r="C326" s="138">
        <f t="shared" si="1"/>
        <v>586.8055556</v>
      </c>
      <c r="D326" s="138"/>
      <c r="E326" s="138">
        <f t="shared" si="2"/>
        <v>293.4027778</v>
      </c>
      <c r="F326" s="138"/>
      <c r="G326" s="138">
        <f t="shared" si="3"/>
        <v>234.7222222</v>
      </c>
      <c r="H326" s="138"/>
      <c r="I326" s="140" t="s">
        <v>409</v>
      </c>
      <c r="J326" s="38">
        <v>10.0</v>
      </c>
      <c r="K326" s="38">
        <v>5.0</v>
      </c>
      <c r="L326" s="141">
        <v>4.0</v>
      </c>
      <c r="M326" s="38"/>
      <c r="N326" s="38"/>
      <c r="O326" s="38"/>
      <c r="P326" s="38"/>
      <c r="Q326" s="38"/>
      <c r="R326" s="38"/>
      <c r="T326" s="140" t="s">
        <v>409</v>
      </c>
      <c r="U326" s="38">
        <v>10.0</v>
      </c>
      <c r="V326" s="38">
        <v>5.0</v>
      </c>
      <c r="W326" s="141">
        <v>4.0</v>
      </c>
      <c r="X326" s="38" t="str">
        <f t="shared" si="4"/>
        <v>per hour</v>
      </c>
      <c r="Y326" s="44" t="str">
        <f t="shared" si="5"/>
        <v>per </v>
      </c>
    </row>
    <row r="327" ht="12.75" customHeight="1">
      <c r="C327" s="138">
        <f t="shared" si="1"/>
        <v>0</v>
      </c>
      <c r="D327" s="138"/>
      <c r="E327" s="138">
        <f t="shared" si="2"/>
        <v>0</v>
      </c>
      <c r="F327" s="138"/>
      <c r="G327" s="138">
        <f t="shared" si="3"/>
        <v>0</v>
      </c>
      <c r="H327" s="138"/>
      <c r="J327" s="38"/>
      <c r="K327" s="38"/>
      <c r="L327" s="141"/>
      <c r="M327" s="38"/>
      <c r="N327" s="38"/>
      <c r="O327" s="38"/>
      <c r="P327" s="38"/>
      <c r="Q327" s="38"/>
      <c r="R327" s="38"/>
      <c r="U327" s="38"/>
      <c r="V327" s="38"/>
      <c r="W327" s="141"/>
      <c r="X327" s="38" t="str">
        <f t="shared" si="4"/>
        <v/>
      </c>
      <c r="Y327" s="44" t="str">
        <f t="shared" si="5"/>
        <v/>
      </c>
    </row>
    <row r="328" ht="12.75" customHeight="1">
      <c r="C328" s="138">
        <f t="shared" si="1"/>
        <v>117.3611111</v>
      </c>
      <c r="D328" s="138"/>
      <c r="E328" s="138">
        <f t="shared" si="2"/>
        <v>58.68055556</v>
      </c>
      <c r="F328" s="138"/>
      <c r="G328" s="138">
        <f t="shared" si="3"/>
        <v>4694.444444</v>
      </c>
      <c r="H328" s="138"/>
      <c r="I328" s="140" t="s">
        <v>409</v>
      </c>
      <c r="J328" s="38">
        <v>2.0</v>
      </c>
      <c r="K328" s="38">
        <v>1.0</v>
      </c>
      <c r="L328" s="141">
        <v>80.0</v>
      </c>
      <c r="M328" s="38"/>
      <c r="N328" s="38"/>
      <c r="O328" s="38"/>
      <c r="P328" s="38"/>
      <c r="Q328" s="38"/>
      <c r="R328" s="38"/>
      <c r="T328" s="140" t="s">
        <v>409</v>
      </c>
      <c r="U328" s="38">
        <v>2.0</v>
      </c>
      <c r="V328" s="38">
        <v>1.0</v>
      </c>
      <c r="W328" s="141">
        <v>80.0</v>
      </c>
      <c r="X328" s="38" t="str">
        <f t="shared" si="4"/>
        <v>per hour</v>
      </c>
      <c r="Y328" s="44" t="str">
        <f t="shared" si="5"/>
        <v>per </v>
      </c>
    </row>
    <row r="329" ht="12.75" customHeight="1">
      <c r="C329" s="138">
        <f t="shared" si="1"/>
        <v>586.8055556</v>
      </c>
      <c r="D329" s="138"/>
      <c r="E329" s="138">
        <f t="shared" si="2"/>
        <v>293.4027778</v>
      </c>
      <c r="F329" s="138"/>
      <c r="G329" s="138">
        <f t="shared" si="3"/>
        <v>234.7222222</v>
      </c>
      <c r="H329" s="138"/>
      <c r="I329" s="140" t="s">
        <v>409</v>
      </c>
      <c r="J329" s="38">
        <v>10.0</v>
      </c>
      <c r="K329" s="38">
        <v>5.0</v>
      </c>
      <c r="L329" s="141">
        <v>4.0</v>
      </c>
      <c r="M329" s="38"/>
      <c r="N329" s="38"/>
      <c r="O329" s="38"/>
      <c r="P329" s="38"/>
      <c r="Q329" s="38"/>
      <c r="R329" s="38"/>
      <c r="T329" s="140" t="s">
        <v>409</v>
      </c>
      <c r="U329" s="38">
        <v>10.0</v>
      </c>
      <c r="V329" s="38">
        <v>5.0</v>
      </c>
      <c r="W329" s="141">
        <v>4.0</v>
      </c>
      <c r="X329" s="38" t="str">
        <f t="shared" si="4"/>
        <v>per hour</v>
      </c>
      <c r="Y329" s="44" t="str">
        <f t="shared" si="5"/>
        <v>per </v>
      </c>
    </row>
    <row r="330" ht="12.75" customHeight="1">
      <c r="C330" s="138">
        <f t="shared" si="1"/>
        <v>0</v>
      </c>
      <c r="D330" s="138"/>
      <c r="E330" s="138">
        <f t="shared" si="2"/>
        <v>0</v>
      </c>
      <c r="F330" s="138"/>
      <c r="G330" s="138">
        <f t="shared" si="3"/>
        <v>0</v>
      </c>
      <c r="H330" s="138"/>
      <c r="J330" s="38"/>
      <c r="K330" s="38"/>
      <c r="L330" s="141"/>
      <c r="M330" s="38"/>
      <c r="N330" s="38"/>
      <c r="O330" s="38"/>
      <c r="P330" s="38"/>
      <c r="Q330" s="38"/>
      <c r="R330" s="38"/>
      <c r="U330" s="38"/>
      <c r="V330" s="38"/>
      <c r="W330" s="141"/>
      <c r="X330" s="38" t="str">
        <f t="shared" si="4"/>
        <v/>
      </c>
      <c r="Y330" s="44" t="str">
        <f t="shared" si="5"/>
        <v/>
      </c>
    </row>
    <row r="331" ht="12.75" customHeight="1">
      <c r="C331" s="138">
        <f t="shared" si="1"/>
        <v>0</v>
      </c>
      <c r="D331" s="138"/>
      <c r="E331" s="138">
        <f t="shared" si="2"/>
        <v>0</v>
      </c>
      <c r="F331" s="138"/>
      <c r="G331" s="138">
        <f t="shared" si="3"/>
        <v>0</v>
      </c>
      <c r="H331" s="138"/>
      <c r="J331" s="38"/>
      <c r="K331" s="38"/>
      <c r="L331" s="141"/>
      <c r="M331" s="38"/>
      <c r="N331" s="38"/>
      <c r="O331" s="38"/>
      <c r="P331" s="38"/>
      <c r="Q331" s="38"/>
      <c r="R331" s="38"/>
      <c r="U331" s="38"/>
      <c r="V331" s="38"/>
      <c r="W331" s="141"/>
      <c r="X331" s="38" t="str">
        <f t="shared" si="4"/>
        <v/>
      </c>
      <c r="Y331" s="44" t="str">
        <f t="shared" si="5"/>
        <v/>
      </c>
    </row>
    <row r="332" ht="12.75" customHeight="1">
      <c r="C332" s="138">
        <f t="shared" si="1"/>
        <v>140.8333333</v>
      </c>
      <c r="D332" s="138"/>
      <c r="E332" s="138">
        <f t="shared" si="2"/>
        <v>70.41666667</v>
      </c>
      <c r="F332" s="138"/>
      <c r="G332" s="138">
        <f t="shared" si="3"/>
        <v>56.33333333</v>
      </c>
      <c r="H332" s="138"/>
      <c r="I332" s="140" t="s">
        <v>412</v>
      </c>
      <c r="J332" s="38">
        <v>2.4</v>
      </c>
      <c r="K332" s="38">
        <v>1.2</v>
      </c>
      <c r="L332" s="141">
        <v>0.96</v>
      </c>
      <c r="M332" s="38"/>
      <c r="N332" s="38"/>
      <c r="O332" s="38"/>
      <c r="P332" s="38"/>
      <c r="Q332" s="38"/>
      <c r="R332" s="38"/>
      <c r="T332" s="140" t="s">
        <v>412</v>
      </c>
      <c r="U332" s="38">
        <v>2.4</v>
      </c>
      <c r="V332" s="38">
        <v>1.2</v>
      </c>
      <c r="W332" s="141">
        <v>0.96</v>
      </c>
      <c r="X332" s="38" t="str">
        <f t="shared" si="4"/>
        <v>per hour</v>
      </c>
      <c r="Y332" s="44" t="str">
        <f t="shared" si="5"/>
        <v>per </v>
      </c>
    </row>
    <row r="333" ht="12.75" customHeight="1">
      <c r="C333" s="138">
        <f t="shared" si="1"/>
        <v>352.0833333</v>
      </c>
      <c r="D333" s="138"/>
      <c r="E333" s="138">
        <f t="shared" si="2"/>
        <v>176.0416667</v>
      </c>
      <c r="F333" s="138"/>
      <c r="G333" s="138">
        <f t="shared" si="3"/>
        <v>140.8333333</v>
      </c>
      <c r="H333" s="138"/>
      <c r="I333" s="140" t="s">
        <v>412</v>
      </c>
      <c r="J333" s="38">
        <v>6.0</v>
      </c>
      <c r="K333" s="38">
        <v>3.0</v>
      </c>
      <c r="L333" s="141">
        <v>2.4</v>
      </c>
      <c r="M333" s="38"/>
      <c r="N333" s="38"/>
      <c r="O333" s="38"/>
      <c r="P333" s="38"/>
      <c r="Q333" s="38"/>
      <c r="R333" s="38"/>
      <c r="T333" s="140" t="s">
        <v>412</v>
      </c>
      <c r="U333" s="38">
        <v>6.0</v>
      </c>
      <c r="V333" s="38">
        <v>3.0</v>
      </c>
      <c r="W333" s="141">
        <v>2.4</v>
      </c>
      <c r="X333" s="38" t="str">
        <f t="shared" si="4"/>
        <v>per hour</v>
      </c>
      <c r="Y333" s="44" t="str">
        <f t="shared" si="5"/>
        <v>per </v>
      </c>
    </row>
    <row r="334" ht="12.75" customHeight="1">
      <c r="C334" s="138">
        <f t="shared" si="1"/>
        <v>35.20833333</v>
      </c>
      <c r="D334" s="138"/>
      <c r="E334" s="138">
        <f t="shared" si="2"/>
        <v>17.60416667</v>
      </c>
      <c r="F334" s="138"/>
      <c r="G334" s="138">
        <f t="shared" si="3"/>
        <v>14.08333333</v>
      </c>
      <c r="H334" s="138"/>
      <c r="I334" s="140" t="s">
        <v>412</v>
      </c>
      <c r="J334" s="38">
        <v>0.6</v>
      </c>
      <c r="K334" s="38">
        <v>0.3</v>
      </c>
      <c r="L334" s="141">
        <v>0.24</v>
      </c>
      <c r="M334" s="38"/>
      <c r="N334" s="38"/>
      <c r="O334" s="38"/>
      <c r="P334" s="38"/>
      <c r="Q334" s="38"/>
      <c r="R334" s="38"/>
      <c r="T334" s="140" t="s">
        <v>412</v>
      </c>
      <c r="U334" s="38">
        <v>0.6</v>
      </c>
      <c r="V334" s="38">
        <v>0.3</v>
      </c>
      <c r="W334" s="141">
        <v>0.24</v>
      </c>
      <c r="X334" s="38" t="str">
        <f t="shared" si="4"/>
        <v>per hour</v>
      </c>
      <c r="Y334" s="44" t="str">
        <f t="shared" si="5"/>
        <v>per </v>
      </c>
    </row>
    <row r="335" ht="12.75" customHeight="1">
      <c r="C335" s="138">
        <f t="shared" si="1"/>
        <v>35.20833333</v>
      </c>
      <c r="D335" s="138"/>
      <c r="E335" s="138">
        <f t="shared" si="2"/>
        <v>17.60416667</v>
      </c>
      <c r="F335" s="138"/>
      <c r="G335" s="138">
        <f t="shared" si="3"/>
        <v>14.08333333</v>
      </c>
      <c r="H335" s="138"/>
      <c r="I335" s="140" t="s">
        <v>412</v>
      </c>
      <c r="J335" s="38">
        <v>0.6</v>
      </c>
      <c r="K335" s="38">
        <v>0.3</v>
      </c>
      <c r="L335" s="141">
        <v>0.24</v>
      </c>
      <c r="M335" s="38"/>
      <c r="N335" s="38"/>
      <c r="O335" s="38"/>
      <c r="P335" s="38"/>
      <c r="Q335" s="38"/>
      <c r="R335" s="38"/>
      <c r="T335" s="140" t="s">
        <v>412</v>
      </c>
      <c r="U335" s="38">
        <v>0.6</v>
      </c>
      <c r="V335" s="38">
        <v>0.3</v>
      </c>
      <c r="W335" s="141">
        <v>0.24</v>
      </c>
      <c r="X335" s="38" t="str">
        <f t="shared" si="4"/>
        <v>per hour</v>
      </c>
      <c r="Y335" s="44" t="str">
        <f t="shared" si="5"/>
        <v>per </v>
      </c>
    </row>
    <row r="336" ht="12.75" customHeight="1">
      <c r="C336" s="138">
        <f t="shared" si="1"/>
        <v>0</v>
      </c>
      <c r="D336" s="138"/>
      <c r="E336" s="138">
        <f t="shared" si="2"/>
        <v>0</v>
      </c>
      <c r="F336" s="138"/>
      <c r="G336" s="138">
        <f t="shared" si="3"/>
        <v>0</v>
      </c>
      <c r="H336" s="138"/>
      <c r="J336" s="38"/>
      <c r="K336" s="38"/>
      <c r="L336" s="141"/>
      <c r="M336" s="38"/>
      <c r="N336" s="38"/>
      <c r="O336" s="38"/>
      <c r="P336" s="38"/>
      <c r="Q336" s="38"/>
      <c r="R336" s="38"/>
      <c r="U336" s="38"/>
      <c r="V336" s="38"/>
      <c r="W336" s="141"/>
      <c r="X336" s="38" t="str">
        <f t="shared" si="4"/>
        <v/>
      </c>
      <c r="Y336" s="44" t="str">
        <f t="shared" si="5"/>
        <v/>
      </c>
    </row>
    <row r="337" ht="12.75" customHeight="1">
      <c r="C337" s="138">
        <f t="shared" si="1"/>
        <v>0</v>
      </c>
      <c r="D337" s="138"/>
      <c r="E337" s="138">
        <f t="shared" si="2"/>
        <v>0</v>
      </c>
      <c r="F337" s="138"/>
      <c r="G337" s="138">
        <f t="shared" si="3"/>
        <v>0</v>
      </c>
      <c r="H337" s="138"/>
      <c r="J337" s="38"/>
      <c r="K337" s="38"/>
      <c r="L337" s="141"/>
      <c r="M337" s="38"/>
      <c r="N337" s="38"/>
      <c r="O337" s="38"/>
      <c r="P337" s="38"/>
      <c r="Q337" s="38"/>
      <c r="R337" s="38"/>
      <c r="U337" s="38"/>
      <c r="V337" s="38"/>
      <c r="W337" s="141"/>
      <c r="X337" s="38" t="str">
        <f t="shared" si="4"/>
        <v/>
      </c>
      <c r="Y337" s="44" t="str">
        <f t="shared" si="5"/>
        <v/>
      </c>
    </row>
    <row r="338" ht="12.75" customHeight="1">
      <c r="C338" s="138">
        <f t="shared" si="1"/>
        <v>1173.611111</v>
      </c>
      <c r="D338" s="138"/>
      <c r="E338" s="138">
        <f t="shared" si="2"/>
        <v>58.68055556</v>
      </c>
      <c r="F338" s="138"/>
      <c r="G338" s="138">
        <f t="shared" si="3"/>
        <v>528.125</v>
      </c>
      <c r="H338" s="138"/>
      <c r="I338" s="140" t="s">
        <v>418</v>
      </c>
      <c r="J338" s="38">
        <v>20.0</v>
      </c>
      <c r="K338" s="38">
        <v>1.0</v>
      </c>
      <c r="L338" s="141">
        <v>9.0</v>
      </c>
      <c r="M338" s="38"/>
      <c r="N338" s="38"/>
      <c r="O338" s="38"/>
      <c r="P338" s="38"/>
      <c r="Q338" s="38"/>
      <c r="R338" s="38"/>
      <c r="T338" s="140" t="s">
        <v>418</v>
      </c>
      <c r="U338" s="38">
        <v>20.0</v>
      </c>
      <c r="V338" s="38">
        <v>1.0</v>
      </c>
      <c r="W338" s="141">
        <v>9.0</v>
      </c>
      <c r="X338" s="38" t="str">
        <f t="shared" si="4"/>
        <v>per hour</v>
      </c>
      <c r="Y338" s="44" t="str">
        <f t="shared" si="5"/>
        <v>per </v>
      </c>
    </row>
    <row r="339" ht="12.75" customHeight="1">
      <c r="C339" s="138">
        <f t="shared" si="1"/>
        <v>64.54861111</v>
      </c>
      <c r="D339" s="138"/>
      <c r="E339" s="138">
        <f t="shared" si="2"/>
        <v>32.27430556</v>
      </c>
      <c r="F339" s="138"/>
      <c r="G339" s="138">
        <f t="shared" si="3"/>
        <v>2581.944444</v>
      </c>
      <c r="H339" s="138"/>
      <c r="I339" s="140" t="s">
        <v>416</v>
      </c>
      <c r="J339" s="38">
        <v>1.1</v>
      </c>
      <c r="K339" s="38">
        <v>0.55</v>
      </c>
      <c r="L339" s="141">
        <v>44.0</v>
      </c>
      <c r="M339" s="38"/>
      <c r="N339" s="38"/>
      <c r="O339" s="38"/>
      <c r="P339" s="38"/>
      <c r="Q339" s="38"/>
      <c r="R339" s="38"/>
      <c r="T339" s="140" t="s">
        <v>416</v>
      </c>
      <c r="U339" s="38">
        <v>1.1</v>
      </c>
      <c r="V339" s="38">
        <v>0.55</v>
      </c>
      <c r="W339" s="141">
        <v>44.0</v>
      </c>
      <c r="X339" s="38" t="str">
        <f t="shared" si="4"/>
        <v>per hour</v>
      </c>
      <c r="Y339" s="44" t="str">
        <f t="shared" si="5"/>
        <v>per </v>
      </c>
    </row>
    <row r="340" ht="12.75" customHeight="1">
      <c r="C340" s="138">
        <f t="shared" si="1"/>
        <v>37.55555556</v>
      </c>
      <c r="D340" s="138"/>
      <c r="E340" s="138">
        <f t="shared" si="2"/>
        <v>18.77777778</v>
      </c>
      <c r="F340" s="138"/>
      <c r="G340" s="138">
        <f t="shared" si="3"/>
        <v>1525.694444</v>
      </c>
      <c r="H340" s="138"/>
      <c r="I340" s="140" t="s">
        <v>416</v>
      </c>
      <c r="J340" s="38">
        <v>0.64</v>
      </c>
      <c r="K340" s="38">
        <v>0.32</v>
      </c>
      <c r="L340" s="141">
        <v>26.0</v>
      </c>
      <c r="M340" s="38"/>
      <c r="N340" s="38"/>
      <c r="O340" s="38"/>
      <c r="P340" s="38"/>
      <c r="Q340" s="38"/>
      <c r="R340" s="38"/>
      <c r="T340" s="140" t="s">
        <v>416</v>
      </c>
      <c r="U340" s="38">
        <v>0.64</v>
      </c>
      <c r="V340" s="38">
        <v>0.32</v>
      </c>
      <c r="W340" s="141">
        <v>26.0</v>
      </c>
      <c r="X340" s="38" t="str">
        <f t="shared" si="4"/>
        <v>per hour</v>
      </c>
      <c r="Y340" s="44" t="str">
        <f t="shared" si="5"/>
        <v>per </v>
      </c>
    </row>
    <row r="341" ht="12.75" customHeight="1">
      <c r="C341" s="138">
        <f t="shared" si="1"/>
        <v>0</v>
      </c>
      <c r="D341" s="138"/>
      <c r="E341" s="138">
        <f t="shared" si="2"/>
        <v>0</v>
      </c>
      <c r="F341" s="138"/>
      <c r="G341" s="138">
        <f t="shared" si="3"/>
        <v>0</v>
      </c>
      <c r="H341" s="138"/>
      <c r="J341" s="38"/>
      <c r="K341" s="38"/>
      <c r="L341" s="141"/>
      <c r="M341" s="38"/>
      <c r="N341" s="38"/>
      <c r="O341" s="38"/>
      <c r="P341" s="38"/>
      <c r="Q341" s="38"/>
      <c r="R341" s="38"/>
      <c r="U341" s="38"/>
      <c r="V341" s="38"/>
      <c r="W341" s="141"/>
      <c r="X341" s="38" t="str">
        <f t="shared" si="4"/>
        <v/>
      </c>
      <c r="Y341" s="44" t="str">
        <f t="shared" si="5"/>
        <v/>
      </c>
    </row>
    <row r="342" ht="12.75" customHeight="1">
      <c r="C342" s="138">
        <f t="shared" si="1"/>
        <v>938.8888889</v>
      </c>
      <c r="D342" s="138"/>
      <c r="E342" s="138">
        <f t="shared" si="2"/>
        <v>469.4444444</v>
      </c>
      <c r="F342" s="138"/>
      <c r="G342" s="138">
        <f t="shared" si="3"/>
        <v>375.5555556</v>
      </c>
      <c r="H342" s="138"/>
      <c r="I342" s="140" t="s">
        <v>418</v>
      </c>
      <c r="J342" s="38">
        <v>16.0</v>
      </c>
      <c r="K342" s="38">
        <v>8.0</v>
      </c>
      <c r="L342" s="141">
        <v>6.4</v>
      </c>
      <c r="M342" s="38"/>
      <c r="N342" s="38"/>
      <c r="O342" s="38"/>
      <c r="P342" s="38"/>
      <c r="Q342" s="38"/>
      <c r="R342" s="38"/>
      <c r="T342" s="140" t="s">
        <v>418</v>
      </c>
      <c r="U342" s="38">
        <v>16.0</v>
      </c>
      <c r="V342" s="38">
        <v>8.0</v>
      </c>
      <c r="W342" s="141">
        <v>6.4</v>
      </c>
      <c r="X342" s="38" t="str">
        <f t="shared" si="4"/>
        <v>per hour</v>
      </c>
      <c r="Y342" s="44" t="str">
        <f t="shared" si="5"/>
        <v>per </v>
      </c>
    </row>
    <row r="343" ht="12.75" customHeight="1">
      <c r="C343" s="138">
        <f t="shared" si="1"/>
        <v>50.46527778</v>
      </c>
      <c r="D343" s="138"/>
      <c r="E343" s="138">
        <f t="shared" si="2"/>
        <v>1760.416667</v>
      </c>
      <c r="F343" s="138"/>
      <c r="G343" s="138">
        <f t="shared" si="3"/>
        <v>19.95138889</v>
      </c>
      <c r="H343" s="138"/>
      <c r="I343" s="140" t="s">
        <v>416</v>
      </c>
      <c r="J343" s="38">
        <v>0.86</v>
      </c>
      <c r="K343" s="38">
        <v>30.0</v>
      </c>
      <c r="L343" s="141">
        <v>0.34</v>
      </c>
      <c r="M343" s="38"/>
      <c r="N343" s="38"/>
      <c r="O343" s="38"/>
      <c r="P343" s="38"/>
      <c r="Q343" s="38"/>
      <c r="R343" s="38"/>
      <c r="T343" s="140" t="s">
        <v>416</v>
      </c>
      <c r="U343" s="38">
        <v>0.86</v>
      </c>
      <c r="V343" s="38">
        <v>30.0</v>
      </c>
      <c r="W343" s="141">
        <v>0.34</v>
      </c>
      <c r="X343" s="38" t="str">
        <f t="shared" si="4"/>
        <v>per hour</v>
      </c>
      <c r="Y343" s="44" t="str">
        <f t="shared" si="5"/>
        <v>per </v>
      </c>
    </row>
    <row r="344" ht="12.75" customHeight="1">
      <c r="C344" s="138">
        <f t="shared" si="1"/>
        <v>3520.833333</v>
      </c>
      <c r="D344" s="138"/>
      <c r="E344" s="138">
        <f t="shared" si="2"/>
        <v>0</v>
      </c>
      <c r="F344" s="138"/>
      <c r="G344" s="138">
        <f t="shared" si="3"/>
        <v>1408.333333</v>
      </c>
      <c r="H344" s="138"/>
      <c r="I344" s="140" t="s">
        <v>418</v>
      </c>
      <c r="J344" s="38">
        <v>60.0</v>
      </c>
      <c r="K344" s="38"/>
      <c r="L344" s="141">
        <v>24.0</v>
      </c>
      <c r="M344" s="38"/>
      <c r="N344" s="38"/>
      <c r="O344" s="38"/>
      <c r="P344" s="38"/>
      <c r="Q344" s="38"/>
      <c r="R344" s="38"/>
      <c r="T344" s="140" t="s">
        <v>418</v>
      </c>
      <c r="U344" s="38">
        <v>60.0</v>
      </c>
      <c r="V344" s="38"/>
      <c r="W344" s="141">
        <v>24.0</v>
      </c>
      <c r="X344" s="38" t="str">
        <f t="shared" si="4"/>
        <v>per hour</v>
      </c>
      <c r="Y344" s="44" t="str">
        <f t="shared" si="5"/>
        <v>per </v>
      </c>
    </row>
    <row r="345" ht="12.75" customHeight="1">
      <c r="C345" s="138">
        <f t="shared" si="1"/>
        <v>0</v>
      </c>
      <c r="D345" s="138"/>
      <c r="E345" s="138">
        <f t="shared" si="2"/>
        <v>0</v>
      </c>
      <c r="F345" s="138"/>
      <c r="G345" s="138">
        <f t="shared" si="3"/>
        <v>0</v>
      </c>
      <c r="H345" s="138"/>
      <c r="J345" s="38"/>
      <c r="K345" s="38"/>
      <c r="L345" s="141"/>
      <c r="M345" s="38"/>
      <c r="N345" s="38"/>
      <c r="O345" s="38"/>
      <c r="P345" s="38"/>
      <c r="Q345" s="38"/>
      <c r="R345" s="38"/>
      <c r="U345" s="38"/>
      <c r="V345" s="38"/>
      <c r="W345" s="141"/>
      <c r="X345" s="38" t="str">
        <f t="shared" si="4"/>
        <v/>
      </c>
      <c r="Y345" s="44" t="str">
        <f t="shared" si="5"/>
        <v/>
      </c>
    </row>
    <row r="346" ht="12.75" customHeight="1">
      <c r="C346" s="138">
        <f t="shared" si="1"/>
        <v>0</v>
      </c>
      <c r="D346" s="138"/>
      <c r="E346" s="138">
        <f t="shared" si="2"/>
        <v>0</v>
      </c>
      <c r="F346" s="138"/>
      <c r="G346" s="138">
        <f t="shared" si="3"/>
        <v>0</v>
      </c>
      <c r="H346" s="138"/>
      <c r="J346" s="38"/>
      <c r="K346" s="38"/>
      <c r="L346" s="141"/>
      <c r="M346" s="38"/>
      <c r="N346" s="38"/>
      <c r="O346" s="38"/>
      <c r="P346" s="38"/>
      <c r="Q346" s="38"/>
      <c r="R346" s="38"/>
      <c r="U346" s="38"/>
      <c r="V346" s="38"/>
      <c r="W346" s="141"/>
      <c r="X346" s="38" t="str">
        <f t="shared" si="4"/>
        <v/>
      </c>
      <c r="Y346" s="44" t="str">
        <f t="shared" si="5"/>
        <v/>
      </c>
    </row>
    <row r="347" ht="12.75" customHeight="1">
      <c r="C347" s="138">
        <f t="shared" si="1"/>
        <v>410.7638889</v>
      </c>
      <c r="D347" s="138"/>
      <c r="E347" s="138">
        <f t="shared" si="2"/>
        <v>205.3819444</v>
      </c>
      <c r="F347" s="138"/>
      <c r="G347" s="138">
        <f t="shared" si="3"/>
        <v>164.3055556</v>
      </c>
      <c r="H347" s="138"/>
      <c r="I347" s="140" t="s">
        <v>412</v>
      </c>
      <c r="J347" s="38">
        <v>7.0</v>
      </c>
      <c r="K347" s="38">
        <v>3.5</v>
      </c>
      <c r="L347" s="141">
        <v>2.8</v>
      </c>
      <c r="M347" s="38"/>
      <c r="N347" s="38"/>
      <c r="O347" s="38"/>
      <c r="P347" s="38"/>
      <c r="Q347" s="38"/>
      <c r="R347" s="38"/>
      <c r="T347" s="140" t="s">
        <v>412</v>
      </c>
      <c r="U347" s="38">
        <v>7.0</v>
      </c>
      <c r="V347" s="38">
        <v>3.5</v>
      </c>
      <c r="W347" s="141">
        <v>2.8</v>
      </c>
      <c r="X347" s="38" t="str">
        <f t="shared" si="4"/>
        <v>per hour</v>
      </c>
      <c r="Y347" s="44" t="str">
        <f t="shared" si="5"/>
        <v>per </v>
      </c>
    </row>
    <row r="348" ht="12.75" customHeight="1">
      <c r="C348" s="138">
        <f t="shared" si="1"/>
        <v>704.1666667</v>
      </c>
      <c r="D348" s="138"/>
      <c r="E348" s="138">
        <f t="shared" si="2"/>
        <v>352.0833333</v>
      </c>
      <c r="F348" s="138"/>
      <c r="G348" s="138">
        <f t="shared" si="3"/>
        <v>281.6666667</v>
      </c>
      <c r="H348" s="138"/>
      <c r="I348" s="140" t="s">
        <v>416</v>
      </c>
      <c r="J348" s="38">
        <v>12.0</v>
      </c>
      <c r="K348" s="38">
        <v>6.0</v>
      </c>
      <c r="L348" s="141">
        <v>4.8</v>
      </c>
      <c r="M348" s="38"/>
      <c r="N348" s="38"/>
      <c r="O348" s="38"/>
      <c r="P348" s="38"/>
      <c r="Q348" s="38"/>
      <c r="R348" s="38"/>
      <c r="T348" s="140" t="s">
        <v>416</v>
      </c>
      <c r="U348" s="38">
        <v>12.0</v>
      </c>
      <c r="V348" s="38">
        <v>6.0</v>
      </c>
      <c r="W348" s="141">
        <v>4.8</v>
      </c>
      <c r="X348" s="38" t="str">
        <f t="shared" si="4"/>
        <v>per hour</v>
      </c>
      <c r="Y348" s="44" t="str">
        <f t="shared" si="5"/>
        <v>per </v>
      </c>
    </row>
    <row r="349" ht="12.75" customHeight="1">
      <c r="C349" s="138">
        <f t="shared" si="1"/>
        <v>2112.5</v>
      </c>
      <c r="D349" s="138"/>
      <c r="E349" s="138">
        <f t="shared" si="2"/>
        <v>1056.25</v>
      </c>
      <c r="F349" s="138"/>
      <c r="G349" s="138">
        <f t="shared" si="3"/>
        <v>845</v>
      </c>
      <c r="H349" s="138"/>
      <c r="I349" s="140" t="s">
        <v>416</v>
      </c>
      <c r="J349" s="38">
        <v>36.0</v>
      </c>
      <c r="K349" s="38">
        <v>18.0</v>
      </c>
      <c r="L349" s="141">
        <v>14.4</v>
      </c>
      <c r="M349" s="38"/>
      <c r="N349" s="38"/>
      <c r="O349" s="38"/>
      <c r="P349" s="38"/>
      <c r="Q349" s="38"/>
      <c r="R349" s="38"/>
      <c r="T349" s="140" t="s">
        <v>416</v>
      </c>
      <c r="U349" s="38">
        <v>36.0</v>
      </c>
      <c r="V349" s="38">
        <v>18.0</v>
      </c>
      <c r="W349" s="141">
        <v>14.4</v>
      </c>
      <c r="X349" s="38" t="str">
        <f t="shared" si="4"/>
        <v>per hour</v>
      </c>
      <c r="Y349" s="44" t="str">
        <f t="shared" si="5"/>
        <v>per </v>
      </c>
    </row>
    <row r="350" ht="12.75" customHeight="1">
      <c r="C350" s="138">
        <f t="shared" si="1"/>
        <v>2816.666667</v>
      </c>
      <c r="D350" s="138"/>
      <c r="E350" s="138">
        <f t="shared" si="2"/>
        <v>1408.333333</v>
      </c>
      <c r="F350" s="138"/>
      <c r="G350" s="138">
        <f t="shared" si="3"/>
        <v>1126.666667</v>
      </c>
      <c r="H350" s="138"/>
      <c r="I350" s="140" t="s">
        <v>409</v>
      </c>
      <c r="J350" s="38">
        <v>48.0</v>
      </c>
      <c r="K350" s="38">
        <v>24.0</v>
      </c>
      <c r="L350" s="141">
        <v>19.2</v>
      </c>
      <c r="M350" s="38"/>
      <c r="N350" s="38"/>
      <c r="O350" s="38"/>
      <c r="P350" s="38"/>
      <c r="Q350" s="38"/>
      <c r="R350" s="38"/>
      <c r="T350" s="140" t="s">
        <v>409</v>
      </c>
      <c r="U350" s="38">
        <v>48.0</v>
      </c>
      <c r="V350" s="38">
        <v>24.0</v>
      </c>
      <c r="W350" s="141">
        <v>19.2</v>
      </c>
      <c r="X350" s="38" t="str">
        <f t="shared" si="4"/>
        <v>per hour</v>
      </c>
      <c r="Y350" s="44" t="str">
        <f t="shared" si="5"/>
        <v>per </v>
      </c>
    </row>
    <row r="351" ht="12.75" customHeight="1">
      <c r="C351" s="138">
        <f t="shared" si="1"/>
        <v>1408.333333</v>
      </c>
      <c r="D351" s="138"/>
      <c r="E351" s="138">
        <f t="shared" si="2"/>
        <v>704.1666667</v>
      </c>
      <c r="F351" s="138"/>
      <c r="G351" s="138">
        <f t="shared" si="3"/>
        <v>563.3333333</v>
      </c>
      <c r="H351" s="138"/>
      <c r="I351" s="140" t="s">
        <v>409</v>
      </c>
      <c r="J351" s="38">
        <v>24.0</v>
      </c>
      <c r="K351" s="38">
        <v>12.0</v>
      </c>
      <c r="L351" s="141">
        <v>9.6</v>
      </c>
      <c r="M351" s="38"/>
      <c r="N351" s="38"/>
      <c r="O351" s="38"/>
      <c r="P351" s="38"/>
      <c r="Q351" s="38"/>
      <c r="R351" s="38"/>
      <c r="T351" s="140" t="s">
        <v>409</v>
      </c>
      <c r="U351" s="38">
        <v>24.0</v>
      </c>
      <c r="V351" s="38">
        <v>12.0</v>
      </c>
      <c r="W351" s="141">
        <v>9.6</v>
      </c>
      <c r="X351" s="38" t="str">
        <f t="shared" si="4"/>
        <v>per hour</v>
      </c>
      <c r="Y351" s="44" t="str">
        <f t="shared" si="5"/>
        <v>per </v>
      </c>
    </row>
    <row r="352" ht="12.75" customHeight="1">
      <c r="C352" s="138">
        <f t="shared" si="1"/>
        <v>586.8055556</v>
      </c>
      <c r="D352" s="138"/>
      <c r="E352" s="138">
        <f t="shared" si="2"/>
        <v>293.4027778</v>
      </c>
      <c r="F352" s="138"/>
      <c r="G352" s="138">
        <f t="shared" si="3"/>
        <v>234.7222222</v>
      </c>
      <c r="H352" s="138"/>
      <c r="I352" s="140" t="s">
        <v>409</v>
      </c>
      <c r="J352" s="38">
        <v>10.0</v>
      </c>
      <c r="K352" s="38">
        <v>5.0</v>
      </c>
      <c r="L352" s="141">
        <v>4.0</v>
      </c>
      <c r="M352" s="38"/>
      <c r="N352" s="38"/>
      <c r="O352" s="38"/>
      <c r="P352" s="38"/>
      <c r="Q352" s="38"/>
      <c r="R352" s="38"/>
      <c r="T352" s="140" t="s">
        <v>409</v>
      </c>
      <c r="U352" s="38">
        <v>10.0</v>
      </c>
      <c r="V352" s="38">
        <v>5.0</v>
      </c>
      <c r="W352" s="141">
        <v>4.0</v>
      </c>
      <c r="X352" s="38" t="str">
        <f t="shared" si="4"/>
        <v>per hour</v>
      </c>
      <c r="Y352" s="44" t="str">
        <f t="shared" si="5"/>
        <v>per </v>
      </c>
    </row>
    <row r="353" ht="12.75" customHeight="1">
      <c r="C353" s="138">
        <f t="shared" si="1"/>
        <v>938.8888889</v>
      </c>
      <c r="D353" s="138"/>
      <c r="E353" s="138">
        <f t="shared" si="2"/>
        <v>469.4444444</v>
      </c>
      <c r="F353" s="138"/>
      <c r="G353" s="138">
        <f t="shared" si="3"/>
        <v>375.5555556</v>
      </c>
      <c r="H353" s="138"/>
      <c r="I353" s="140" t="s">
        <v>409</v>
      </c>
      <c r="J353" s="38">
        <v>16.0</v>
      </c>
      <c r="K353" s="38">
        <v>8.0</v>
      </c>
      <c r="L353" s="141">
        <v>6.4</v>
      </c>
      <c r="M353" s="38"/>
      <c r="N353" s="38"/>
      <c r="O353" s="38"/>
      <c r="P353" s="38"/>
      <c r="Q353" s="38"/>
      <c r="R353" s="38"/>
      <c r="T353" s="140" t="s">
        <v>409</v>
      </c>
      <c r="U353" s="38">
        <v>16.0</v>
      </c>
      <c r="V353" s="38">
        <v>8.0</v>
      </c>
      <c r="W353" s="141">
        <v>6.4</v>
      </c>
      <c r="X353" s="38" t="str">
        <f t="shared" si="4"/>
        <v>per hour</v>
      </c>
      <c r="Y353" s="44" t="str">
        <f t="shared" si="5"/>
        <v>per </v>
      </c>
    </row>
    <row r="354" ht="12.75" customHeight="1">
      <c r="C354" s="138">
        <f t="shared" si="1"/>
        <v>821.5277778</v>
      </c>
      <c r="D354" s="138"/>
      <c r="E354" s="138">
        <f t="shared" si="2"/>
        <v>428.3680556</v>
      </c>
      <c r="F354" s="138"/>
      <c r="G354" s="138">
        <f t="shared" si="3"/>
        <v>342.6944444</v>
      </c>
      <c r="H354" s="138"/>
      <c r="I354" s="140" t="s">
        <v>412</v>
      </c>
      <c r="J354" s="38">
        <v>14.0</v>
      </c>
      <c r="K354" s="38">
        <v>7.3</v>
      </c>
      <c r="L354" s="141">
        <v>5.84</v>
      </c>
      <c r="M354" s="38"/>
      <c r="N354" s="38"/>
      <c r="O354" s="38"/>
      <c r="P354" s="38"/>
      <c r="Q354" s="38"/>
      <c r="R354" s="38"/>
      <c r="T354" s="140" t="s">
        <v>412</v>
      </c>
      <c r="U354" s="38">
        <v>14.0</v>
      </c>
      <c r="V354" s="38">
        <v>7.3</v>
      </c>
      <c r="W354" s="141">
        <v>5.84</v>
      </c>
      <c r="X354" s="38" t="str">
        <f t="shared" si="4"/>
        <v>per hour</v>
      </c>
      <c r="Y354" s="44" t="str">
        <f t="shared" si="5"/>
        <v>per </v>
      </c>
    </row>
    <row r="355" ht="12.75" customHeight="1">
      <c r="C355" s="138">
        <f t="shared" si="1"/>
        <v>2816.666667</v>
      </c>
      <c r="D355" s="138"/>
      <c r="E355" s="138">
        <f t="shared" si="2"/>
        <v>1408.333333</v>
      </c>
      <c r="F355" s="138"/>
      <c r="G355" s="138">
        <f t="shared" si="3"/>
        <v>1126.666667</v>
      </c>
      <c r="H355" s="138"/>
      <c r="I355" s="140" t="s">
        <v>409</v>
      </c>
      <c r="J355" s="38">
        <v>48.0</v>
      </c>
      <c r="K355" s="38">
        <v>24.0</v>
      </c>
      <c r="L355" s="141">
        <v>19.2</v>
      </c>
      <c r="M355" s="38"/>
      <c r="N355" s="38"/>
      <c r="O355" s="38"/>
      <c r="P355" s="38"/>
      <c r="Q355" s="38"/>
      <c r="R355" s="38"/>
      <c r="T355" s="140" t="s">
        <v>409</v>
      </c>
      <c r="U355" s="38">
        <v>48.0</v>
      </c>
      <c r="V355" s="38">
        <v>24.0</v>
      </c>
      <c r="W355" s="141">
        <v>19.2</v>
      </c>
      <c r="X355" s="38" t="str">
        <f t="shared" si="4"/>
        <v>per hour</v>
      </c>
      <c r="Y355" s="44" t="str">
        <f t="shared" si="5"/>
        <v>per </v>
      </c>
    </row>
    <row r="356" ht="12.75" customHeight="1">
      <c r="C356" s="138">
        <f t="shared" si="1"/>
        <v>938.8888889</v>
      </c>
      <c r="D356" s="138"/>
      <c r="E356" s="138">
        <f t="shared" si="2"/>
        <v>469.4444444</v>
      </c>
      <c r="F356" s="138"/>
      <c r="G356" s="138">
        <f t="shared" si="3"/>
        <v>375.5555556</v>
      </c>
      <c r="H356" s="138"/>
      <c r="I356" s="140" t="s">
        <v>409</v>
      </c>
      <c r="J356" s="38">
        <v>16.0</v>
      </c>
      <c r="K356" s="38">
        <v>8.0</v>
      </c>
      <c r="L356" s="141">
        <v>6.4</v>
      </c>
      <c r="M356" s="38"/>
      <c r="N356" s="38"/>
      <c r="O356" s="38"/>
      <c r="P356" s="38"/>
      <c r="Q356" s="38"/>
      <c r="R356" s="38"/>
      <c r="T356" s="140" t="s">
        <v>409</v>
      </c>
      <c r="U356" s="38">
        <v>16.0</v>
      </c>
      <c r="V356" s="38">
        <v>8.0</v>
      </c>
      <c r="W356" s="141">
        <v>6.4</v>
      </c>
      <c r="X356" s="38" t="str">
        <f t="shared" si="4"/>
        <v>per hour</v>
      </c>
      <c r="Y356" s="44" t="str">
        <f t="shared" si="5"/>
        <v>per </v>
      </c>
    </row>
    <row r="357" ht="12.75" customHeight="1">
      <c r="C357" s="138">
        <f t="shared" si="1"/>
        <v>410.7638889</v>
      </c>
      <c r="D357" s="138"/>
      <c r="E357" s="138">
        <f t="shared" si="2"/>
        <v>205.3819444</v>
      </c>
      <c r="F357" s="138"/>
      <c r="G357" s="138">
        <f t="shared" si="3"/>
        <v>164.3055556</v>
      </c>
      <c r="H357" s="138"/>
      <c r="I357" s="140" t="s">
        <v>412</v>
      </c>
      <c r="J357" s="38">
        <v>7.0</v>
      </c>
      <c r="K357" s="38">
        <v>3.5</v>
      </c>
      <c r="L357" s="141">
        <v>2.8</v>
      </c>
      <c r="M357" s="38"/>
      <c r="N357" s="38"/>
      <c r="O357" s="38"/>
      <c r="P357" s="38"/>
      <c r="Q357" s="38"/>
      <c r="R357" s="38"/>
      <c r="T357" s="140" t="s">
        <v>412</v>
      </c>
      <c r="U357" s="38">
        <v>7.0</v>
      </c>
      <c r="V357" s="38">
        <v>3.5</v>
      </c>
      <c r="W357" s="141">
        <v>2.8</v>
      </c>
      <c r="X357" s="38" t="str">
        <f t="shared" si="4"/>
        <v>per hour</v>
      </c>
      <c r="Y357" s="44" t="str">
        <f t="shared" si="5"/>
        <v>per </v>
      </c>
    </row>
    <row r="358" ht="12.75" customHeight="1">
      <c r="C358" s="138">
        <f t="shared" si="1"/>
        <v>0</v>
      </c>
      <c r="D358" s="138"/>
      <c r="E358" s="138">
        <f t="shared" si="2"/>
        <v>0</v>
      </c>
      <c r="F358" s="138"/>
      <c r="G358" s="138">
        <f t="shared" si="3"/>
        <v>0</v>
      </c>
      <c r="H358" s="138"/>
      <c r="J358" s="38"/>
      <c r="K358" s="38"/>
      <c r="L358" s="141"/>
      <c r="M358" s="38"/>
      <c r="N358" s="38"/>
      <c r="O358" s="38"/>
      <c r="P358" s="38"/>
      <c r="Q358" s="38"/>
      <c r="R358" s="38"/>
      <c r="U358" s="38"/>
      <c r="V358" s="38"/>
      <c r="W358" s="141"/>
      <c r="X358" s="38" t="str">
        <f t="shared" si="4"/>
        <v/>
      </c>
      <c r="Y358" s="44" t="str">
        <f t="shared" si="5"/>
        <v/>
      </c>
    </row>
    <row r="359" ht="12.75" customHeight="1">
      <c r="C359" s="138">
        <f t="shared" si="1"/>
        <v>0</v>
      </c>
      <c r="D359" s="138"/>
      <c r="E359" s="138">
        <f t="shared" si="2"/>
        <v>0</v>
      </c>
      <c r="F359" s="138"/>
      <c r="G359" s="138">
        <f t="shared" si="3"/>
        <v>0</v>
      </c>
      <c r="H359" s="138"/>
      <c r="J359" s="38"/>
      <c r="K359" s="38"/>
      <c r="L359" s="141"/>
      <c r="M359" s="38"/>
      <c r="N359" s="38"/>
      <c r="O359" s="38"/>
      <c r="P359" s="38"/>
      <c r="Q359" s="38"/>
      <c r="R359" s="38"/>
      <c r="U359" s="38"/>
      <c r="V359" s="38"/>
      <c r="W359" s="141"/>
      <c r="X359" s="38" t="str">
        <f t="shared" si="4"/>
        <v/>
      </c>
      <c r="Y359" s="44" t="str">
        <f t="shared" si="5"/>
        <v/>
      </c>
    </row>
    <row r="360" ht="12.75" customHeight="1">
      <c r="C360" s="138">
        <f t="shared" si="1"/>
        <v>78.63194444</v>
      </c>
      <c r="D360" s="138"/>
      <c r="E360" s="138">
        <f t="shared" si="2"/>
        <v>39.31597222</v>
      </c>
      <c r="F360" s="138"/>
      <c r="G360" s="138">
        <f t="shared" si="3"/>
        <v>31.6875</v>
      </c>
      <c r="H360" s="138"/>
      <c r="I360" s="140" t="s">
        <v>412</v>
      </c>
      <c r="J360" s="38">
        <v>1.34</v>
      </c>
      <c r="K360" s="38">
        <v>0.67</v>
      </c>
      <c r="L360" s="141">
        <v>0.54</v>
      </c>
      <c r="M360" s="38"/>
      <c r="N360" s="38"/>
      <c r="O360" s="38"/>
      <c r="P360" s="38"/>
      <c r="Q360" s="38"/>
      <c r="R360" s="38"/>
      <c r="T360" s="140" t="s">
        <v>412</v>
      </c>
      <c r="U360" s="38">
        <v>1.34</v>
      </c>
      <c r="V360" s="38">
        <v>0.67</v>
      </c>
      <c r="W360" s="141">
        <v>0.54</v>
      </c>
      <c r="X360" s="38" t="str">
        <f t="shared" si="4"/>
        <v>per hour</v>
      </c>
      <c r="Y360" s="44" t="str">
        <f t="shared" si="5"/>
        <v>per </v>
      </c>
    </row>
    <row r="361" ht="12.75" customHeight="1">
      <c r="C361" s="138">
        <f t="shared" si="1"/>
        <v>23.47222222</v>
      </c>
      <c r="D361" s="138"/>
      <c r="E361" s="138">
        <f t="shared" si="2"/>
        <v>11.73611111</v>
      </c>
      <c r="F361" s="138"/>
      <c r="G361" s="138">
        <f t="shared" si="3"/>
        <v>9.388888889</v>
      </c>
      <c r="H361" s="138"/>
      <c r="I361" s="140" t="s">
        <v>412</v>
      </c>
      <c r="J361" s="38">
        <v>0.4</v>
      </c>
      <c r="K361" s="38">
        <v>0.2</v>
      </c>
      <c r="L361" s="141">
        <v>0.16</v>
      </c>
      <c r="M361" s="38"/>
      <c r="N361" s="38"/>
      <c r="O361" s="38"/>
      <c r="P361" s="38"/>
      <c r="Q361" s="38"/>
      <c r="R361" s="38"/>
      <c r="T361" s="140" t="s">
        <v>412</v>
      </c>
      <c r="U361" s="38">
        <v>0.4</v>
      </c>
      <c r="V361" s="38">
        <v>0.2</v>
      </c>
      <c r="W361" s="141">
        <v>0.16</v>
      </c>
      <c r="X361" s="38" t="str">
        <f t="shared" si="4"/>
        <v>per hour</v>
      </c>
      <c r="Y361" s="44" t="str">
        <f t="shared" si="5"/>
        <v>per </v>
      </c>
    </row>
    <row r="362" ht="12.75" customHeight="1">
      <c r="C362" s="138">
        <f t="shared" si="1"/>
        <v>93.88888889</v>
      </c>
      <c r="D362" s="138"/>
      <c r="E362" s="138">
        <f t="shared" si="2"/>
        <v>46.94444444</v>
      </c>
      <c r="F362" s="138"/>
      <c r="G362" s="138">
        <f t="shared" si="3"/>
        <v>37.55555556</v>
      </c>
      <c r="H362" s="138"/>
      <c r="I362" s="140" t="s">
        <v>416</v>
      </c>
      <c r="J362" s="38">
        <v>1.6</v>
      </c>
      <c r="K362" s="38">
        <v>0.8</v>
      </c>
      <c r="L362" s="141">
        <v>0.64</v>
      </c>
      <c r="M362" s="38"/>
      <c r="N362" s="38"/>
      <c r="O362" s="38"/>
      <c r="P362" s="38"/>
      <c r="Q362" s="38"/>
      <c r="R362" s="38"/>
      <c r="T362" s="140" t="s">
        <v>416</v>
      </c>
      <c r="U362" s="38">
        <v>1.6</v>
      </c>
      <c r="V362" s="38">
        <v>0.8</v>
      </c>
      <c r="W362" s="141">
        <v>0.64</v>
      </c>
      <c r="X362" s="38" t="str">
        <f t="shared" si="4"/>
        <v>per hour</v>
      </c>
      <c r="Y362" s="44" t="str">
        <f t="shared" si="5"/>
        <v>per </v>
      </c>
    </row>
    <row r="363" ht="12.75" customHeight="1">
      <c r="C363" s="138">
        <f t="shared" si="1"/>
        <v>195.9930556</v>
      </c>
      <c r="D363" s="138"/>
      <c r="E363" s="138">
        <f t="shared" si="2"/>
        <v>97.99652778</v>
      </c>
      <c r="F363" s="138"/>
      <c r="G363" s="138">
        <f t="shared" si="3"/>
        <v>49.29166667</v>
      </c>
      <c r="H363" s="138"/>
      <c r="I363" s="140" t="s">
        <v>416</v>
      </c>
      <c r="J363" s="38">
        <v>3.34</v>
      </c>
      <c r="K363" s="38">
        <v>1.67</v>
      </c>
      <c r="L363" s="141">
        <v>0.84</v>
      </c>
      <c r="M363" s="38"/>
      <c r="N363" s="38"/>
      <c r="O363" s="38"/>
      <c r="P363" s="38"/>
      <c r="Q363" s="38"/>
      <c r="R363" s="38"/>
      <c r="T363" s="140" t="s">
        <v>416</v>
      </c>
      <c r="U363" s="38">
        <v>3.34</v>
      </c>
      <c r="V363" s="38">
        <v>1.67</v>
      </c>
      <c r="W363" s="141">
        <v>0.84</v>
      </c>
      <c r="X363" s="38" t="str">
        <f t="shared" si="4"/>
        <v>per hour</v>
      </c>
      <c r="Y363" s="44" t="str">
        <f t="shared" si="5"/>
        <v>per </v>
      </c>
    </row>
    <row r="364" ht="12.75" customHeight="1">
      <c r="C364" s="138">
        <f t="shared" si="1"/>
        <v>64.54861111</v>
      </c>
      <c r="D364" s="138"/>
      <c r="E364" s="138">
        <f t="shared" si="2"/>
        <v>32.27430556</v>
      </c>
      <c r="F364" s="138"/>
      <c r="G364" s="138">
        <f t="shared" si="3"/>
        <v>16.43055556</v>
      </c>
      <c r="H364" s="138"/>
      <c r="I364" s="140" t="s">
        <v>416</v>
      </c>
      <c r="J364" s="38">
        <v>1.1</v>
      </c>
      <c r="K364" s="38">
        <v>0.55</v>
      </c>
      <c r="L364" s="141">
        <v>0.28</v>
      </c>
      <c r="M364" s="38"/>
      <c r="N364" s="38"/>
      <c r="O364" s="38"/>
      <c r="P364" s="38"/>
      <c r="Q364" s="38"/>
      <c r="R364" s="38"/>
      <c r="T364" s="140" t="s">
        <v>416</v>
      </c>
      <c r="U364" s="38">
        <v>1.1</v>
      </c>
      <c r="V364" s="38">
        <v>0.55</v>
      </c>
      <c r="W364" s="141">
        <v>0.28</v>
      </c>
      <c r="X364" s="38" t="str">
        <f t="shared" si="4"/>
        <v>per hour</v>
      </c>
      <c r="Y364" s="44" t="str">
        <f t="shared" si="5"/>
        <v>per </v>
      </c>
    </row>
    <row r="365" ht="12.75" customHeight="1">
      <c r="C365" s="138">
        <f t="shared" si="1"/>
        <v>58.68055556</v>
      </c>
      <c r="D365" s="138"/>
      <c r="E365" s="138">
        <f t="shared" si="2"/>
        <v>29.34027778</v>
      </c>
      <c r="F365" s="138"/>
      <c r="G365" s="138">
        <f t="shared" si="3"/>
        <v>14.67013889</v>
      </c>
      <c r="H365" s="138"/>
      <c r="I365" s="140" t="s">
        <v>412</v>
      </c>
      <c r="J365" s="38">
        <v>1.0</v>
      </c>
      <c r="K365" s="38">
        <v>0.5</v>
      </c>
      <c r="L365" s="141">
        <v>0.25</v>
      </c>
      <c r="M365" s="38"/>
      <c r="N365" s="38"/>
      <c r="O365" s="38"/>
      <c r="P365" s="38"/>
      <c r="Q365" s="38"/>
      <c r="R365" s="38"/>
      <c r="T365" s="140" t="s">
        <v>412</v>
      </c>
      <c r="U365" s="38">
        <v>1.0</v>
      </c>
      <c r="V365" s="38">
        <v>0.5</v>
      </c>
      <c r="W365" s="141">
        <v>0.25</v>
      </c>
      <c r="X365" s="38" t="str">
        <f t="shared" si="4"/>
        <v>per hour</v>
      </c>
      <c r="Y365" s="44" t="str">
        <f t="shared" si="5"/>
        <v>per </v>
      </c>
    </row>
    <row r="366" ht="12.75" customHeight="1">
      <c r="C366" s="138">
        <f t="shared" si="1"/>
        <v>31.6875</v>
      </c>
      <c r="D366" s="138"/>
      <c r="E366" s="138">
        <f t="shared" si="2"/>
        <v>15.84375</v>
      </c>
      <c r="F366" s="138"/>
      <c r="G366" s="138">
        <f t="shared" si="3"/>
        <v>8.215277778</v>
      </c>
      <c r="H366" s="138"/>
      <c r="I366" s="140" t="s">
        <v>416</v>
      </c>
      <c r="J366" s="38">
        <v>0.54</v>
      </c>
      <c r="K366" s="38">
        <v>0.27</v>
      </c>
      <c r="L366" s="141">
        <v>0.14</v>
      </c>
      <c r="M366" s="38"/>
      <c r="N366" s="38"/>
      <c r="O366" s="38"/>
      <c r="P366" s="38"/>
      <c r="Q366" s="38"/>
      <c r="R366" s="38"/>
      <c r="T366" s="140" t="s">
        <v>416</v>
      </c>
      <c r="U366" s="38">
        <v>0.54</v>
      </c>
      <c r="V366" s="38">
        <v>0.27</v>
      </c>
      <c r="W366" s="141">
        <v>0.14</v>
      </c>
      <c r="X366" s="38" t="str">
        <f t="shared" si="4"/>
        <v>per hour</v>
      </c>
      <c r="Y366" s="44" t="str">
        <f t="shared" si="5"/>
        <v>per </v>
      </c>
    </row>
    <row r="367" ht="12.75" customHeight="1">
      <c r="C367" s="138">
        <f t="shared" si="1"/>
        <v>187.7777778</v>
      </c>
      <c r="D367" s="138"/>
      <c r="E367" s="138">
        <f t="shared" si="2"/>
        <v>93.88888889</v>
      </c>
      <c r="F367" s="138"/>
      <c r="G367" s="138">
        <f t="shared" si="3"/>
        <v>46.94444444</v>
      </c>
      <c r="H367" s="138"/>
      <c r="I367" s="140" t="s">
        <v>413</v>
      </c>
      <c r="J367" s="38">
        <v>3.2</v>
      </c>
      <c r="K367" s="38">
        <v>1.6</v>
      </c>
      <c r="L367" s="141">
        <v>0.8</v>
      </c>
      <c r="M367" s="38"/>
      <c r="N367" s="38"/>
      <c r="O367" s="38"/>
      <c r="P367" s="38"/>
      <c r="Q367" s="38"/>
      <c r="R367" s="38"/>
      <c r="T367" s="140" t="s">
        <v>413</v>
      </c>
      <c r="U367" s="38">
        <v>3.2</v>
      </c>
      <c r="V367" s="38">
        <v>1.6</v>
      </c>
      <c r="W367" s="141">
        <v>0.8</v>
      </c>
      <c r="X367" s="38" t="str">
        <f t="shared" si="4"/>
        <v>per hour</v>
      </c>
      <c r="Y367" s="44" t="str">
        <f t="shared" si="5"/>
        <v>per </v>
      </c>
    </row>
    <row r="368" ht="12.75" customHeight="1">
      <c r="C368" s="138">
        <f t="shared" si="1"/>
        <v>39.90277778</v>
      </c>
      <c r="D368" s="138"/>
      <c r="E368" s="138">
        <f t="shared" si="2"/>
        <v>19.95138889</v>
      </c>
      <c r="F368" s="138"/>
      <c r="G368" s="138">
        <f t="shared" si="3"/>
        <v>9.975694444</v>
      </c>
      <c r="H368" s="138"/>
      <c r="I368" s="140" t="s">
        <v>416</v>
      </c>
      <c r="J368" s="38">
        <v>0.68</v>
      </c>
      <c r="K368" s="38">
        <v>0.34</v>
      </c>
      <c r="L368" s="141">
        <v>0.17</v>
      </c>
      <c r="M368" s="38"/>
      <c r="N368" s="38"/>
      <c r="O368" s="38"/>
      <c r="P368" s="38"/>
      <c r="Q368" s="38"/>
      <c r="R368" s="38"/>
      <c r="T368" s="140" t="s">
        <v>416</v>
      </c>
      <c r="U368" s="38">
        <v>0.68</v>
      </c>
      <c r="V368" s="38">
        <v>0.34</v>
      </c>
      <c r="W368" s="141">
        <v>0.17</v>
      </c>
      <c r="X368" s="38" t="str">
        <f t="shared" si="4"/>
        <v>per hour</v>
      </c>
      <c r="Y368" s="44" t="str">
        <f t="shared" si="5"/>
        <v>per </v>
      </c>
    </row>
    <row r="369" ht="12.75" customHeight="1">
      <c r="C369" s="138">
        <f t="shared" si="1"/>
        <v>645.4861111</v>
      </c>
      <c r="D369" s="138"/>
      <c r="E369" s="138">
        <f t="shared" si="2"/>
        <v>352.0833333</v>
      </c>
      <c r="F369" s="138"/>
      <c r="G369" s="138">
        <f t="shared" si="3"/>
        <v>1.760416667</v>
      </c>
      <c r="H369" s="138"/>
      <c r="I369" s="140" t="s">
        <v>412</v>
      </c>
      <c r="J369" s="38">
        <v>11.0</v>
      </c>
      <c r="K369" s="38">
        <v>6.0</v>
      </c>
      <c r="L369" s="141">
        <v>0.03</v>
      </c>
      <c r="M369" s="38"/>
      <c r="N369" s="38"/>
      <c r="O369" s="38"/>
      <c r="P369" s="38"/>
      <c r="Q369" s="38"/>
      <c r="R369" s="38"/>
      <c r="T369" s="140" t="s">
        <v>412</v>
      </c>
      <c r="U369" s="38">
        <v>11.0</v>
      </c>
      <c r="V369" s="38">
        <v>6.0</v>
      </c>
      <c r="W369" s="141">
        <v>0.03</v>
      </c>
      <c r="X369" s="38" t="str">
        <f t="shared" si="4"/>
        <v>per hour</v>
      </c>
      <c r="Y369" s="44" t="str">
        <f t="shared" si="5"/>
        <v>per </v>
      </c>
    </row>
    <row r="370" ht="12.75" customHeight="1">
      <c r="C370" s="138">
        <f t="shared" si="1"/>
        <v>1290.972222</v>
      </c>
      <c r="D370" s="138"/>
      <c r="E370" s="138">
        <f t="shared" si="2"/>
        <v>645.4861111</v>
      </c>
      <c r="F370" s="138"/>
      <c r="G370" s="138">
        <f t="shared" si="3"/>
        <v>3.520833333</v>
      </c>
      <c r="H370" s="138"/>
      <c r="I370" s="140" t="s">
        <v>412</v>
      </c>
      <c r="J370" s="38">
        <v>22.0</v>
      </c>
      <c r="K370" s="38">
        <v>11.0</v>
      </c>
      <c r="L370" s="141">
        <v>0.06</v>
      </c>
      <c r="M370" s="38"/>
      <c r="N370" s="38"/>
      <c r="O370" s="38"/>
      <c r="P370" s="38"/>
      <c r="Q370" s="38"/>
      <c r="R370" s="38"/>
      <c r="T370" s="140" t="s">
        <v>412</v>
      </c>
      <c r="U370" s="38">
        <v>22.0</v>
      </c>
      <c r="V370" s="38">
        <v>11.0</v>
      </c>
      <c r="W370" s="141">
        <v>0.06</v>
      </c>
      <c r="X370" s="38" t="str">
        <f t="shared" si="4"/>
        <v>per hour</v>
      </c>
      <c r="Y370" s="44" t="str">
        <f t="shared" si="5"/>
        <v>per </v>
      </c>
    </row>
    <row r="371" ht="12.75" customHeight="1">
      <c r="C371" s="138">
        <f t="shared" si="1"/>
        <v>5692.013889</v>
      </c>
      <c r="D371" s="138"/>
      <c r="E371" s="138">
        <f t="shared" si="2"/>
        <v>2875.347222</v>
      </c>
      <c r="F371" s="138"/>
      <c r="G371" s="138">
        <f t="shared" si="3"/>
        <v>14.08333333</v>
      </c>
      <c r="H371" s="138"/>
      <c r="I371" s="140" t="s">
        <v>419</v>
      </c>
      <c r="J371" s="38">
        <v>97.0</v>
      </c>
      <c r="K371" s="38">
        <v>49.0</v>
      </c>
      <c r="L371" s="141">
        <v>0.24</v>
      </c>
      <c r="M371" s="38"/>
      <c r="N371" s="38"/>
      <c r="O371" s="38"/>
      <c r="P371" s="38"/>
      <c r="Q371" s="38"/>
      <c r="R371" s="38"/>
      <c r="T371" s="140" t="s">
        <v>419</v>
      </c>
      <c r="U371" s="38">
        <v>97.0</v>
      </c>
      <c r="V371" s="38">
        <v>49.0</v>
      </c>
      <c r="W371" s="141">
        <v>0.24</v>
      </c>
      <c r="X371" s="38" t="str">
        <f t="shared" si="4"/>
        <v>per hour</v>
      </c>
      <c r="Y371" s="44" t="str">
        <f t="shared" si="5"/>
        <v>per </v>
      </c>
    </row>
    <row r="372" ht="12.75" customHeight="1">
      <c r="C372" s="138">
        <f t="shared" si="1"/>
        <v>213.5972222</v>
      </c>
      <c r="D372" s="138"/>
      <c r="E372" s="138">
        <f t="shared" si="2"/>
        <v>106.7986111</v>
      </c>
      <c r="F372" s="138"/>
      <c r="G372" s="138">
        <f t="shared" si="3"/>
        <v>53.39930556</v>
      </c>
      <c r="H372" s="138"/>
      <c r="I372" s="140" t="s">
        <v>413</v>
      </c>
      <c r="J372" s="38">
        <v>3.64</v>
      </c>
      <c r="K372" s="38">
        <v>1.82</v>
      </c>
      <c r="L372" s="141">
        <v>0.91</v>
      </c>
      <c r="M372" s="38"/>
      <c r="N372" s="38"/>
      <c r="O372" s="38"/>
      <c r="P372" s="38"/>
      <c r="Q372" s="38"/>
      <c r="R372" s="38"/>
      <c r="T372" s="140" t="s">
        <v>413</v>
      </c>
      <c r="U372" s="38">
        <v>3.64</v>
      </c>
      <c r="V372" s="38">
        <v>1.82</v>
      </c>
      <c r="W372" s="141">
        <v>0.91</v>
      </c>
      <c r="X372" s="38" t="str">
        <f t="shared" si="4"/>
        <v>per hour</v>
      </c>
      <c r="Y372" s="44" t="str">
        <f t="shared" si="5"/>
        <v>per </v>
      </c>
    </row>
    <row r="373" ht="12.75" customHeight="1">
      <c r="C373" s="138"/>
      <c r="D373" s="138"/>
      <c r="E373" s="138"/>
      <c r="F373" s="138"/>
      <c r="G373" s="138"/>
      <c r="H373" s="138"/>
      <c r="J373" s="38"/>
      <c r="K373" s="38"/>
      <c r="L373" s="141"/>
      <c r="M373" s="38"/>
      <c r="N373" s="38"/>
      <c r="O373" s="38"/>
      <c r="P373" s="38"/>
      <c r="Q373" s="38"/>
      <c r="R373" s="38"/>
      <c r="U373" s="38"/>
      <c r="V373" s="38"/>
      <c r="W373" s="141"/>
      <c r="X373" s="38"/>
    </row>
    <row r="374" ht="12.75" customHeight="1">
      <c r="C374" s="138"/>
      <c r="D374" s="138"/>
      <c r="E374" s="138"/>
      <c r="F374" s="138"/>
      <c r="G374" s="138"/>
      <c r="H374" s="138"/>
      <c r="J374" s="38"/>
      <c r="K374" s="38"/>
      <c r="L374" s="141"/>
      <c r="M374" s="38"/>
      <c r="N374" s="38"/>
      <c r="O374" s="38"/>
      <c r="P374" s="38"/>
      <c r="Q374" s="38"/>
      <c r="R374" s="38"/>
      <c r="U374" s="38"/>
      <c r="V374" s="38"/>
      <c r="W374" s="141"/>
      <c r="X374" s="38"/>
    </row>
    <row r="375" ht="12.75" customHeight="1">
      <c r="C375" s="138"/>
      <c r="D375" s="138"/>
      <c r="E375" s="138"/>
      <c r="F375" s="138"/>
      <c r="G375" s="138"/>
      <c r="H375" s="138"/>
      <c r="J375" s="38"/>
      <c r="K375" s="38"/>
      <c r="L375" s="141"/>
      <c r="M375" s="38"/>
      <c r="N375" s="38"/>
      <c r="O375" s="38"/>
      <c r="P375" s="38"/>
      <c r="Q375" s="38"/>
      <c r="R375" s="38"/>
      <c r="U375" s="38"/>
      <c r="V375" s="38"/>
      <c r="W375" s="141"/>
      <c r="X375" s="38"/>
    </row>
    <row r="376" ht="12.75" customHeight="1">
      <c r="C376" s="138"/>
      <c r="D376" s="138"/>
      <c r="E376" s="138"/>
      <c r="F376" s="138"/>
      <c r="G376" s="138"/>
      <c r="H376" s="138"/>
      <c r="J376" s="38"/>
      <c r="K376" s="38"/>
      <c r="L376" s="141"/>
      <c r="M376" s="38"/>
      <c r="N376" s="38"/>
      <c r="O376" s="38"/>
      <c r="P376" s="38"/>
      <c r="Q376" s="38"/>
      <c r="R376" s="38"/>
      <c r="U376" s="38"/>
      <c r="V376" s="38"/>
      <c r="W376" s="141"/>
      <c r="X376" s="38"/>
    </row>
    <row r="377" ht="12.75" customHeight="1">
      <c r="C377" s="138"/>
      <c r="D377" s="138"/>
      <c r="E377" s="138"/>
      <c r="F377" s="138"/>
      <c r="G377" s="138"/>
      <c r="H377" s="138"/>
      <c r="L377" s="139"/>
      <c r="M377" s="38"/>
      <c r="N377" s="38"/>
      <c r="O377" s="38"/>
      <c r="P377" s="38"/>
      <c r="Q377" s="38"/>
      <c r="R377" s="38"/>
      <c r="W377" s="139"/>
      <c r="X377" s="38"/>
    </row>
    <row r="378" ht="12.75" customHeight="1">
      <c r="C378" s="138"/>
      <c r="D378" s="138"/>
      <c r="E378" s="138"/>
      <c r="F378" s="138"/>
      <c r="G378" s="138"/>
      <c r="H378" s="138"/>
      <c r="L378" s="139"/>
      <c r="M378" s="38"/>
      <c r="N378" s="38"/>
      <c r="O378" s="38"/>
      <c r="P378" s="38"/>
      <c r="Q378" s="38"/>
      <c r="R378" s="38"/>
      <c r="W378" s="139"/>
      <c r="X378" s="38"/>
    </row>
    <row r="379" ht="12.75" customHeight="1">
      <c r="C379" s="138"/>
      <c r="D379" s="138"/>
      <c r="E379" s="138"/>
      <c r="F379" s="138"/>
      <c r="G379" s="138"/>
      <c r="H379" s="138"/>
      <c r="L379" s="139"/>
      <c r="M379" s="38"/>
      <c r="N379" s="38"/>
      <c r="O379" s="38"/>
      <c r="P379" s="38"/>
      <c r="Q379" s="38"/>
      <c r="R379" s="38"/>
      <c r="W379" s="139"/>
      <c r="X379" s="38"/>
    </row>
    <row r="380" ht="12.75" customHeight="1">
      <c r="C380" s="138"/>
      <c r="D380" s="138"/>
      <c r="E380" s="138"/>
      <c r="F380" s="138"/>
      <c r="G380" s="138"/>
      <c r="H380" s="138"/>
      <c r="L380" s="139"/>
      <c r="M380" s="38"/>
      <c r="N380" s="38"/>
      <c r="O380" s="38"/>
      <c r="P380" s="38"/>
      <c r="Q380" s="38"/>
      <c r="R380" s="38"/>
      <c r="W380" s="139"/>
      <c r="X380" s="38"/>
    </row>
    <row r="381" ht="12.75" customHeight="1">
      <c r="C381" s="138"/>
      <c r="D381" s="138"/>
      <c r="E381" s="138"/>
      <c r="F381" s="138"/>
      <c r="G381" s="138"/>
      <c r="H381" s="138"/>
      <c r="L381" s="139"/>
      <c r="M381" s="38"/>
      <c r="N381" s="38"/>
      <c r="O381" s="38"/>
      <c r="P381" s="38"/>
      <c r="Q381" s="38"/>
      <c r="R381" s="38"/>
      <c r="W381" s="139"/>
      <c r="X381" s="38"/>
    </row>
    <row r="382" ht="12.75" customHeight="1">
      <c r="C382" s="138"/>
      <c r="D382" s="138"/>
      <c r="E382" s="138"/>
      <c r="F382" s="138"/>
      <c r="G382" s="138"/>
      <c r="H382" s="138"/>
      <c r="L382" s="139"/>
      <c r="M382" s="38"/>
      <c r="N382" s="38"/>
      <c r="O382" s="38"/>
      <c r="P382" s="38"/>
      <c r="Q382" s="38"/>
      <c r="R382" s="38"/>
      <c r="W382" s="139"/>
      <c r="X382" s="38"/>
    </row>
    <row r="383" ht="12.75" customHeight="1">
      <c r="C383" s="138"/>
      <c r="D383" s="138"/>
      <c r="E383" s="138"/>
      <c r="F383" s="138"/>
      <c r="G383" s="138"/>
      <c r="H383" s="138"/>
      <c r="L383" s="139"/>
      <c r="M383" s="38"/>
      <c r="N383" s="38"/>
      <c r="O383" s="38"/>
      <c r="P383" s="38"/>
      <c r="Q383" s="38"/>
      <c r="R383" s="38"/>
      <c r="W383" s="139"/>
      <c r="X383" s="38"/>
    </row>
    <row r="384" ht="12.75" customHeight="1">
      <c r="C384" s="138"/>
      <c r="D384" s="138"/>
      <c r="E384" s="138"/>
      <c r="F384" s="138"/>
      <c r="G384" s="138"/>
      <c r="H384" s="138"/>
      <c r="L384" s="139"/>
      <c r="M384" s="38"/>
      <c r="N384" s="38"/>
      <c r="O384" s="38"/>
      <c r="P384" s="38"/>
      <c r="Q384" s="38"/>
      <c r="R384" s="38"/>
      <c r="W384" s="139"/>
      <c r="X384" s="38"/>
    </row>
    <row r="385" ht="12.75" customHeight="1">
      <c r="C385" s="138"/>
      <c r="D385" s="138"/>
      <c r="E385" s="138"/>
      <c r="F385" s="138"/>
      <c r="G385" s="138"/>
      <c r="H385" s="138"/>
      <c r="L385" s="139"/>
      <c r="M385" s="38"/>
      <c r="N385" s="38"/>
      <c r="O385" s="38"/>
      <c r="P385" s="38"/>
      <c r="Q385" s="38"/>
      <c r="R385" s="38"/>
      <c r="W385" s="139"/>
      <c r="X385" s="38"/>
    </row>
    <row r="386" ht="12.75" customHeight="1">
      <c r="C386" s="138"/>
      <c r="D386" s="138"/>
      <c r="E386" s="138"/>
      <c r="F386" s="138"/>
      <c r="G386" s="138"/>
      <c r="H386" s="138"/>
      <c r="L386" s="139"/>
      <c r="M386" s="38"/>
      <c r="N386" s="38"/>
      <c r="O386" s="38"/>
      <c r="P386" s="38"/>
      <c r="Q386" s="38"/>
      <c r="R386" s="38"/>
      <c r="W386" s="139"/>
      <c r="X386" s="38"/>
    </row>
    <row r="387" ht="12.75" customHeight="1">
      <c r="C387" s="138"/>
      <c r="D387" s="138"/>
      <c r="E387" s="138"/>
      <c r="F387" s="138"/>
      <c r="G387" s="138"/>
      <c r="H387" s="138"/>
      <c r="L387" s="139"/>
      <c r="M387" s="38"/>
      <c r="N387" s="38"/>
      <c r="O387" s="38"/>
      <c r="P387" s="38"/>
      <c r="Q387" s="38"/>
      <c r="R387" s="38"/>
      <c r="W387" s="139"/>
      <c r="X387" s="38"/>
    </row>
    <row r="388" ht="12.75" customHeight="1">
      <c r="C388" s="138"/>
      <c r="D388" s="138"/>
      <c r="E388" s="138"/>
      <c r="F388" s="138"/>
      <c r="G388" s="138"/>
      <c r="H388" s="138"/>
      <c r="L388" s="139"/>
      <c r="M388" s="38"/>
      <c r="N388" s="38"/>
      <c r="O388" s="38"/>
      <c r="P388" s="38"/>
      <c r="Q388" s="38"/>
      <c r="R388" s="38"/>
      <c r="W388" s="139"/>
      <c r="X388" s="38"/>
    </row>
    <row r="389" ht="12.75" customHeight="1">
      <c r="C389" s="138"/>
      <c r="D389" s="138"/>
      <c r="E389" s="138"/>
      <c r="F389" s="138"/>
      <c r="G389" s="138"/>
      <c r="H389" s="138"/>
      <c r="L389" s="139"/>
      <c r="M389" s="38"/>
      <c r="N389" s="38"/>
      <c r="O389" s="38"/>
      <c r="P389" s="38"/>
      <c r="Q389" s="38"/>
      <c r="R389" s="38"/>
      <c r="W389" s="139"/>
      <c r="X389" s="38"/>
    </row>
    <row r="390" ht="12.75" customHeight="1">
      <c r="C390" s="138"/>
      <c r="D390" s="138"/>
      <c r="E390" s="138"/>
      <c r="F390" s="138"/>
      <c r="G390" s="138"/>
      <c r="H390" s="138"/>
      <c r="L390" s="139"/>
      <c r="M390" s="38"/>
      <c r="N390" s="38"/>
      <c r="O390" s="38"/>
      <c r="P390" s="38"/>
      <c r="Q390" s="38"/>
      <c r="R390" s="38"/>
      <c r="W390" s="139"/>
      <c r="X390" s="38"/>
    </row>
    <row r="391" ht="12.75" customHeight="1">
      <c r="C391" s="138"/>
      <c r="D391" s="138"/>
      <c r="E391" s="138"/>
      <c r="F391" s="138"/>
      <c r="G391" s="138"/>
      <c r="H391" s="138"/>
      <c r="L391" s="139"/>
      <c r="M391" s="38"/>
      <c r="N391" s="38"/>
      <c r="O391" s="38"/>
      <c r="P391" s="38"/>
      <c r="Q391" s="38"/>
      <c r="R391" s="38"/>
      <c r="W391" s="139"/>
      <c r="X391" s="38"/>
    </row>
    <row r="392" ht="12.75" customHeight="1">
      <c r="C392" s="138"/>
      <c r="D392" s="138"/>
      <c r="E392" s="138"/>
      <c r="F392" s="138"/>
      <c r="G392" s="138"/>
      <c r="H392" s="138"/>
      <c r="L392" s="139"/>
      <c r="M392" s="38"/>
      <c r="N392" s="38"/>
      <c r="O392" s="38"/>
      <c r="P392" s="38"/>
      <c r="Q392" s="38"/>
      <c r="R392" s="38"/>
      <c r="W392" s="139"/>
      <c r="X392" s="38"/>
    </row>
    <row r="393" ht="12.75" customHeight="1">
      <c r="C393" s="138"/>
      <c r="D393" s="138"/>
      <c r="E393" s="138"/>
      <c r="F393" s="138"/>
      <c r="G393" s="138"/>
      <c r="H393" s="138"/>
      <c r="L393" s="139"/>
      <c r="M393" s="38"/>
      <c r="N393" s="38"/>
      <c r="O393" s="38"/>
      <c r="P393" s="38"/>
      <c r="Q393" s="38"/>
      <c r="R393" s="38"/>
      <c r="W393" s="139"/>
      <c r="X393" s="38"/>
    </row>
    <row r="394" ht="12.75" customHeight="1">
      <c r="C394" s="138"/>
      <c r="D394" s="138"/>
      <c r="E394" s="138"/>
      <c r="F394" s="138"/>
      <c r="G394" s="138"/>
      <c r="H394" s="138"/>
      <c r="L394" s="139"/>
      <c r="M394" s="38"/>
      <c r="N394" s="38"/>
      <c r="O394" s="38"/>
      <c r="P394" s="38"/>
      <c r="Q394" s="38"/>
      <c r="R394" s="38"/>
      <c r="W394" s="139"/>
      <c r="X394" s="38"/>
    </row>
    <row r="395" ht="12.75" customHeight="1">
      <c r="C395" s="138"/>
      <c r="D395" s="138"/>
      <c r="E395" s="138"/>
      <c r="F395" s="138"/>
      <c r="G395" s="138"/>
      <c r="H395" s="138"/>
      <c r="L395" s="139"/>
      <c r="M395" s="38"/>
      <c r="N395" s="38"/>
      <c r="O395" s="38"/>
      <c r="P395" s="38"/>
      <c r="Q395" s="38"/>
      <c r="R395" s="38"/>
      <c r="W395" s="139"/>
      <c r="X395" s="38"/>
    </row>
    <row r="396" ht="12.75" customHeight="1">
      <c r="C396" s="138"/>
      <c r="D396" s="138"/>
      <c r="E396" s="138"/>
      <c r="F396" s="138"/>
      <c r="G396" s="138"/>
      <c r="H396" s="138"/>
      <c r="L396" s="139"/>
      <c r="M396" s="38"/>
      <c r="N396" s="38"/>
      <c r="O396" s="38"/>
      <c r="P396" s="38"/>
      <c r="Q396" s="38"/>
      <c r="R396" s="38"/>
      <c r="W396" s="139"/>
      <c r="X396" s="38"/>
    </row>
    <row r="397" ht="12.75" customHeight="1">
      <c r="C397" s="138"/>
      <c r="D397" s="138"/>
      <c r="E397" s="138"/>
      <c r="F397" s="138"/>
      <c r="G397" s="138"/>
      <c r="H397" s="138"/>
      <c r="L397" s="139"/>
      <c r="M397" s="38"/>
      <c r="N397" s="38"/>
      <c r="O397" s="38"/>
      <c r="P397" s="38"/>
      <c r="Q397" s="38"/>
      <c r="R397" s="38"/>
      <c r="W397" s="139"/>
      <c r="X397" s="38"/>
    </row>
    <row r="398" ht="12.75" customHeight="1">
      <c r="C398" s="138"/>
      <c r="D398" s="138"/>
      <c r="E398" s="138"/>
      <c r="F398" s="138"/>
      <c r="G398" s="138"/>
      <c r="H398" s="138"/>
      <c r="L398" s="139"/>
      <c r="M398" s="38"/>
      <c r="N398" s="38"/>
      <c r="O398" s="38"/>
      <c r="P398" s="38"/>
      <c r="Q398" s="38"/>
      <c r="R398" s="38"/>
      <c r="W398" s="139"/>
      <c r="X398" s="38"/>
    </row>
    <row r="399" ht="12.75" customHeight="1">
      <c r="C399" s="138"/>
      <c r="D399" s="138"/>
      <c r="E399" s="138"/>
      <c r="F399" s="138"/>
      <c r="G399" s="138"/>
      <c r="H399" s="138"/>
      <c r="L399" s="139"/>
      <c r="M399" s="38"/>
      <c r="N399" s="38"/>
      <c r="O399" s="38"/>
      <c r="P399" s="38"/>
      <c r="Q399" s="38"/>
      <c r="R399" s="38"/>
      <c r="W399" s="139"/>
      <c r="X399" s="38"/>
    </row>
    <row r="400" ht="12.75" customHeight="1">
      <c r="C400" s="138"/>
      <c r="D400" s="138"/>
      <c r="E400" s="138"/>
      <c r="F400" s="138"/>
      <c r="G400" s="138"/>
      <c r="H400" s="138"/>
      <c r="L400" s="139"/>
      <c r="M400" s="38"/>
      <c r="N400" s="38"/>
      <c r="O400" s="38"/>
      <c r="P400" s="38"/>
      <c r="Q400" s="38"/>
      <c r="R400" s="38"/>
      <c r="W400" s="139"/>
      <c r="X400" s="38"/>
    </row>
    <row r="401" ht="12.75" customHeight="1">
      <c r="C401" s="138"/>
      <c r="D401" s="138"/>
      <c r="E401" s="138"/>
      <c r="F401" s="138"/>
      <c r="G401" s="138"/>
      <c r="H401" s="138"/>
      <c r="L401" s="139"/>
      <c r="M401" s="38"/>
      <c r="N401" s="38"/>
      <c r="O401" s="38"/>
      <c r="P401" s="38"/>
      <c r="Q401" s="38"/>
      <c r="R401" s="38"/>
      <c r="W401" s="139"/>
      <c r="X401" s="38"/>
    </row>
    <row r="402" ht="12.75" customHeight="1">
      <c r="C402" s="138"/>
      <c r="D402" s="138"/>
      <c r="E402" s="138"/>
      <c r="F402" s="138"/>
      <c r="G402" s="138"/>
      <c r="H402" s="138"/>
      <c r="L402" s="139"/>
      <c r="M402" s="38"/>
      <c r="N402" s="38"/>
      <c r="O402" s="38"/>
      <c r="P402" s="38"/>
      <c r="Q402" s="38"/>
      <c r="R402" s="38"/>
      <c r="W402" s="139"/>
      <c r="X402" s="38"/>
    </row>
    <row r="403" ht="12.75" customHeight="1">
      <c r="C403" s="138"/>
      <c r="D403" s="138"/>
      <c r="E403" s="138"/>
      <c r="F403" s="138"/>
      <c r="G403" s="138"/>
      <c r="H403" s="138"/>
      <c r="L403" s="139"/>
      <c r="M403" s="38"/>
      <c r="N403" s="38"/>
      <c r="O403" s="38"/>
      <c r="P403" s="38"/>
      <c r="Q403" s="38"/>
      <c r="R403" s="38"/>
      <c r="W403" s="139"/>
      <c r="X403" s="38"/>
    </row>
    <row r="404" ht="12.75" customHeight="1">
      <c r="C404" s="138"/>
      <c r="D404" s="138"/>
      <c r="E404" s="138"/>
      <c r="F404" s="138"/>
      <c r="G404" s="138"/>
      <c r="H404" s="138"/>
      <c r="L404" s="139"/>
      <c r="M404" s="38"/>
      <c r="N404" s="38"/>
      <c r="O404" s="38"/>
      <c r="P404" s="38"/>
      <c r="Q404" s="38"/>
      <c r="R404" s="38"/>
      <c r="W404" s="139"/>
      <c r="X404" s="38"/>
    </row>
    <row r="405" ht="12.75" customHeight="1">
      <c r="C405" s="138"/>
      <c r="D405" s="138"/>
      <c r="E405" s="138"/>
      <c r="F405" s="138"/>
      <c r="G405" s="138"/>
      <c r="H405" s="138"/>
      <c r="L405" s="139"/>
      <c r="M405" s="38"/>
      <c r="N405" s="38"/>
      <c r="O405" s="38"/>
      <c r="P405" s="38"/>
      <c r="Q405" s="38"/>
      <c r="R405" s="38"/>
      <c r="W405" s="139"/>
      <c r="X405" s="38"/>
    </row>
    <row r="406" ht="12.75" customHeight="1">
      <c r="C406" s="138"/>
      <c r="D406" s="138"/>
      <c r="E406" s="138"/>
      <c r="F406" s="138"/>
      <c r="G406" s="138"/>
      <c r="H406" s="138"/>
      <c r="L406" s="139"/>
      <c r="M406" s="38"/>
      <c r="N406" s="38"/>
      <c r="O406" s="38"/>
      <c r="P406" s="38"/>
      <c r="Q406" s="38"/>
      <c r="R406" s="38"/>
      <c r="W406" s="139"/>
      <c r="X406" s="38"/>
    </row>
    <row r="407" ht="12.75" customHeight="1">
      <c r="C407" s="138"/>
      <c r="D407" s="138"/>
      <c r="E407" s="138"/>
      <c r="F407" s="138"/>
      <c r="G407" s="138"/>
      <c r="H407" s="138"/>
      <c r="L407" s="139"/>
      <c r="M407" s="38"/>
      <c r="N407" s="38"/>
      <c r="O407" s="38"/>
      <c r="P407" s="38"/>
      <c r="Q407" s="38"/>
      <c r="R407" s="38"/>
      <c r="W407" s="139"/>
      <c r="X407" s="38"/>
    </row>
    <row r="408" ht="12.75" customHeight="1">
      <c r="C408" s="138"/>
      <c r="D408" s="138"/>
      <c r="E408" s="138"/>
      <c r="F408" s="138"/>
      <c r="G408" s="138"/>
      <c r="H408" s="138"/>
      <c r="L408" s="139"/>
      <c r="M408" s="38"/>
      <c r="N408" s="38"/>
      <c r="O408" s="38"/>
      <c r="P408" s="38"/>
      <c r="Q408" s="38"/>
      <c r="R408" s="38"/>
      <c r="W408" s="139"/>
      <c r="X408" s="38"/>
    </row>
    <row r="409" ht="12.75" customHeight="1">
      <c r="C409" s="138"/>
      <c r="D409" s="138"/>
      <c r="E409" s="138"/>
      <c r="F409" s="138"/>
      <c r="G409" s="138"/>
      <c r="H409" s="138"/>
      <c r="L409" s="139"/>
      <c r="M409" s="38"/>
      <c r="N409" s="38"/>
      <c r="O409" s="38"/>
      <c r="P409" s="38"/>
      <c r="Q409" s="38"/>
      <c r="R409" s="38"/>
      <c r="W409" s="139"/>
      <c r="X409" s="38"/>
    </row>
    <row r="410" ht="12.75" customHeight="1">
      <c r="C410" s="138"/>
      <c r="D410" s="138"/>
      <c r="E410" s="138"/>
      <c r="F410" s="138"/>
      <c r="G410" s="138"/>
      <c r="H410" s="138"/>
      <c r="L410" s="139"/>
      <c r="M410" s="38"/>
      <c r="N410" s="38"/>
      <c r="O410" s="38"/>
      <c r="P410" s="38"/>
      <c r="Q410" s="38"/>
      <c r="R410" s="38"/>
      <c r="W410" s="139"/>
      <c r="X410" s="38"/>
    </row>
    <row r="411" ht="12.75" customHeight="1">
      <c r="C411" s="138"/>
      <c r="D411" s="138"/>
      <c r="E411" s="138"/>
      <c r="F411" s="138"/>
      <c r="G411" s="138"/>
      <c r="H411" s="138"/>
      <c r="L411" s="139"/>
      <c r="M411" s="38"/>
      <c r="N411" s="38"/>
      <c r="O411" s="38"/>
      <c r="P411" s="38"/>
      <c r="Q411" s="38"/>
      <c r="R411" s="38"/>
      <c r="W411" s="139"/>
      <c r="X411" s="38"/>
    </row>
    <row r="412" ht="12.75" customHeight="1">
      <c r="C412" s="138"/>
      <c r="D412" s="138"/>
      <c r="E412" s="138"/>
      <c r="F412" s="138"/>
      <c r="G412" s="138"/>
      <c r="H412" s="138"/>
      <c r="L412" s="139"/>
      <c r="M412" s="38"/>
      <c r="N412" s="38"/>
      <c r="O412" s="38"/>
      <c r="P412" s="38"/>
      <c r="Q412" s="38"/>
      <c r="R412" s="38"/>
      <c r="W412" s="139"/>
      <c r="X412" s="38"/>
    </row>
    <row r="413" ht="12.75" customHeight="1">
      <c r="C413" s="138"/>
      <c r="D413" s="138"/>
      <c r="E413" s="138"/>
      <c r="F413" s="138"/>
      <c r="G413" s="138"/>
      <c r="H413" s="138"/>
      <c r="L413" s="139"/>
      <c r="M413" s="38"/>
      <c r="N413" s="38"/>
      <c r="O413" s="38"/>
      <c r="P413" s="38"/>
      <c r="Q413" s="38"/>
      <c r="R413" s="38"/>
      <c r="W413" s="139"/>
      <c r="X413" s="38"/>
    </row>
    <row r="414" ht="12.75" customHeight="1">
      <c r="C414" s="138"/>
      <c r="D414" s="138"/>
      <c r="E414" s="138"/>
      <c r="F414" s="138"/>
      <c r="G414" s="138"/>
      <c r="H414" s="138"/>
      <c r="L414" s="139"/>
      <c r="M414" s="38"/>
      <c r="N414" s="38"/>
      <c r="O414" s="38"/>
      <c r="P414" s="38"/>
      <c r="Q414" s="38"/>
      <c r="R414" s="38"/>
      <c r="W414" s="139"/>
      <c r="X414" s="38"/>
    </row>
    <row r="415" ht="12.75" customHeight="1">
      <c r="C415" s="138"/>
      <c r="D415" s="138"/>
      <c r="E415" s="138"/>
      <c r="F415" s="138"/>
      <c r="G415" s="138"/>
      <c r="H415" s="138"/>
      <c r="L415" s="139"/>
      <c r="M415" s="38"/>
      <c r="N415" s="38"/>
      <c r="O415" s="38"/>
      <c r="P415" s="38"/>
      <c r="Q415" s="38"/>
      <c r="R415" s="38"/>
      <c r="W415" s="139"/>
      <c r="X415" s="38"/>
    </row>
    <row r="416" ht="12.75" customHeight="1">
      <c r="C416" s="138"/>
      <c r="D416" s="138"/>
      <c r="E416" s="138"/>
      <c r="F416" s="138"/>
      <c r="G416" s="138"/>
      <c r="H416" s="138"/>
      <c r="L416" s="139"/>
      <c r="M416" s="38"/>
      <c r="N416" s="38"/>
      <c r="O416" s="38"/>
      <c r="P416" s="38"/>
      <c r="Q416" s="38"/>
      <c r="R416" s="38"/>
      <c r="W416" s="139"/>
      <c r="X416" s="38"/>
    </row>
    <row r="417" ht="12.75" customHeight="1">
      <c r="C417" s="138"/>
      <c r="D417" s="138"/>
      <c r="E417" s="138"/>
      <c r="F417" s="138"/>
      <c r="G417" s="138"/>
      <c r="H417" s="138"/>
      <c r="L417" s="139"/>
      <c r="M417" s="38"/>
      <c r="N417" s="38"/>
      <c r="O417" s="38"/>
      <c r="P417" s="38"/>
      <c r="Q417" s="38"/>
      <c r="R417" s="38"/>
      <c r="W417" s="139"/>
      <c r="X417" s="38"/>
    </row>
    <row r="418" ht="12.75" customHeight="1">
      <c r="C418" s="138"/>
      <c r="D418" s="138"/>
      <c r="E418" s="138"/>
      <c r="F418" s="138"/>
      <c r="G418" s="138"/>
      <c r="H418" s="138"/>
      <c r="L418" s="139"/>
      <c r="M418" s="38"/>
      <c r="N418" s="38"/>
      <c r="O418" s="38"/>
      <c r="P418" s="38"/>
      <c r="Q418" s="38"/>
      <c r="R418" s="38"/>
      <c r="W418" s="139"/>
      <c r="X418" s="38"/>
    </row>
    <row r="419" ht="12.75" customHeight="1">
      <c r="C419" s="138"/>
      <c r="D419" s="138"/>
      <c r="E419" s="138"/>
      <c r="F419" s="138"/>
      <c r="G419" s="138"/>
      <c r="H419" s="138"/>
      <c r="L419" s="139"/>
      <c r="M419" s="38"/>
      <c r="N419" s="38"/>
      <c r="O419" s="38"/>
      <c r="P419" s="38"/>
      <c r="Q419" s="38"/>
      <c r="R419" s="38"/>
      <c r="W419" s="139"/>
      <c r="X419" s="38"/>
    </row>
    <row r="420" ht="12.75" customHeight="1">
      <c r="C420" s="138"/>
      <c r="D420" s="138"/>
      <c r="E420" s="138"/>
      <c r="F420" s="138"/>
      <c r="G420" s="138"/>
      <c r="H420" s="138"/>
      <c r="L420" s="139"/>
      <c r="M420" s="38"/>
      <c r="N420" s="38"/>
      <c r="O420" s="38"/>
      <c r="P420" s="38"/>
      <c r="Q420" s="38"/>
      <c r="R420" s="38"/>
      <c r="W420" s="139"/>
      <c r="X420" s="38"/>
    </row>
    <row r="421" ht="12.75" customHeight="1">
      <c r="C421" s="138"/>
      <c r="D421" s="138"/>
      <c r="E421" s="138"/>
      <c r="F421" s="138"/>
      <c r="G421" s="138"/>
      <c r="H421" s="138"/>
      <c r="L421" s="139"/>
      <c r="M421" s="38"/>
      <c r="N421" s="38"/>
      <c r="O421" s="38"/>
      <c r="P421" s="38"/>
      <c r="Q421" s="38"/>
      <c r="R421" s="38"/>
      <c r="W421" s="139"/>
      <c r="X421" s="38"/>
    </row>
    <row r="422" ht="12.75" customHeight="1">
      <c r="C422" s="138"/>
      <c r="D422" s="138"/>
      <c r="E422" s="138"/>
      <c r="F422" s="138"/>
      <c r="G422" s="138"/>
      <c r="H422" s="138"/>
      <c r="L422" s="139"/>
      <c r="M422" s="38"/>
      <c r="N422" s="38"/>
      <c r="O422" s="38"/>
      <c r="P422" s="38"/>
      <c r="Q422" s="38"/>
      <c r="R422" s="38"/>
      <c r="W422" s="139"/>
      <c r="X422" s="38"/>
    </row>
    <row r="423" ht="12.75" customHeight="1">
      <c r="C423" s="138"/>
      <c r="D423" s="138"/>
      <c r="E423" s="138"/>
      <c r="F423" s="138"/>
      <c r="G423" s="138"/>
      <c r="H423" s="138"/>
      <c r="L423" s="139"/>
      <c r="M423" s="38"/>
      <c r="N423" s="38"/>
      <c r="O423" s="38"/>
      <c r="P423" s="38"/>
      <c r="Q423" s="38"/>
      <c r="R423" s="38"/>
      <c r="W423" s="139"/>
      <c r="X423" s="38"/>
    </row>
    <row r="424" ht="12.75" customHeight="1">
      <c r="C424" s="138"/>
      <c r="D424" s="138"/>
      <c r="E424" s="138"/>
      <c r="F424" s="138"/>
      <c r="G424" s="138"/>
      <c r="H424" s="138"/>
      <c r="L424" s="139"/>
      <c r="M424" s="38"/>
      <c r="N424" s="38"/>
      <c r="O424" s="38"/>
      <c r="P424" s="38"/>
      <c r="Q424" s="38"/>
      <c r="R424" s="38"/>
      <c r="W424" s="139"/>
      <c r="X424" s="38"/>
    </row>
    <row r="425" ht="12.75" customHeight="1">
      <c r="C425" s="138"/>
      <c r="D425" s="138"/>
      <c r="E425" s="138"/>
      <c r="F425" s="138"/>
      <c r="G425" s="138"/>
      <c r="H425" s="138"/>
      <c r="L425" s="139"/>
      <c r="M425" s="38"/>
      <c r="N425" s="38"/>
      <c r="O425" s="38"/>
      <c r="P425" s="38"/>
      <c r="Q425" s="38"/>
      <c r="R425" s="38"/>
      <c r="W425" s="139"/>
      <c r="X425" s="38"/>
    </row>
    <row r="426" ht="12.75" customHeight="1">
      <c r="C426" s="138"/>
      <c r="D426" s="138"/>
      <c r="E426" s="138"/>
      <c r="F426" s="138"/>
      <c r="G426" s="138"/>
      <c r="H426" s="138"/>
      <c r="L426" s="139"/>
      <c r="M426" s="38"/>
      <c r="N426" s="38"/>
      <c r="O426" s="38"/>
      <c r="P426" s="38"/>
      <c r="Q426" s="38"/>
      <c r="R426" s="38"/>
      <c r="W426" s="139"/>
      <c r="X426" s="38"/>
    </row>
    <row r="427" ht="12.75" customHeight="1">
      <c r="C427" s="138"/>
      <c r="D427" s="138"/>
      <c r="E427" s="138"/>
      <c r="F427" s="138"/>
      <c r="G427" s="138"/>
      <c r="H427" s="138"/>
      <c r="L427" s="139"/>
      <c r="M427" s="38"/>
      <c r="N427" s="38"/>
      <c r="O427" s="38"/>
      <c r="P427" s="38"/>
      <c r="Q427" s="38"/>
      <c r="R427" s="38"/>
      <c r="W427" s="139"/>
      <c r="X427" s="38"/>
    </row>
    <row r="428" ht="12.75" customHeight="1">
      <c r="C428" s="138"/>
      <c r="D428" s="138"/>
      <c r="E428" s="138"/>
      <c r="F428" s="138"/>
      <c r="G428" s="138"/>
      <c r="H428" s="138"/>
      <c r="L428" s="139"/>
      <c r="M428" s="38"/>
      <c r="N428" s="38"/>
      <c r="O428" s="38"/>
      <c r="P428" s="38"/>
      <c r="Q428" s="38"/>
      <c r="R428" s="38"/>
      <c r="W428" s="139"/>
      <c r="X428" s="38"/>
    </row>
    <row r="429" ht="12.75" customHeight="1">
      <c r="C429" s="138"/>
      <c r="D429" s="138"/>
      <c r="E429" s="138"/>
      <c r="F429" s="138"/>
      <c r="G429" s="138"/>
      <c r="H429" s="138"/>
      <c r="L429" s="139"/>
      <c r="M429" s="38"/>
      <c r="N429" s="38"/>
      <c r="O429" s="38"/>
      <c r="P429" s="38"/>
      <c r="Q429" s="38"/>
      <c r="R429" s="38"/>
      <c r="W429" s="139"/>
      <c r="X429" s="38"/>
    </row>
    <row r="430" ht="12.75" customHeight="1">
      <c r="C430" s="138"/>
      <c r="D430" s="138"/>
      <c r="E430" s="138"/>
      <c r="F430" s="138"/>
      <c r="G430" s="138"/>
      <c r="H430" s="138"/>
      <c r="L430" s="139"/>
      <c r="M430" s="38"/>
      <c r="N430" s="38"/>
      <c r="O430" s="38"/>
      <c r="P430" s="38"/>
      <c r="Q430" s="38"/>
      <c r="R430" s="38"/>
      <c r="W430" s="139"/>
      <c r="X430" s="38"/>
    </row>
    <row r="431" ht="12.75" customHeight="1">
      <c r="C431" s="138"/>
      <c r="D431" s="138"/>
      <c r="E431" s="138"/>
      <c r="F431" s="138"/>
      <c r="G431" s="138"/>
      <c r="H431" s="138"/>
      <c r="L431" s="139"/>
      <c r="M431" s="38"/>
      <c r="N431" s="38"/>
      <c r="O431" s="38"/>
      <c r="P431" s="38"/>
      <c r="Q431" s="38"/>
      <c r="R431" s="38"/>
      <c r="W431" s="139"/>
      <c r="X431" s="38"/>
    </row>
    <row r="432" ht="12.75" customHeight="1">
      <c r="C432" s="138"/>
      <c r="D432" s="138"/>
      <c r="E432" s="138"/>
      <c r="F432" s="138"/>
      <c r="G432" s="138"/>
      <c r="H432" s="138"/>
      <c r="L432" s="139"/>
      <c r="M432" s="38"/>
      <c r="N432" s="38"/>
      <c r="O432" s="38"/>
      <c r="P432" s="38"/>
      <c r="Q432" s="38"/>
      <c r="R432" s="38"/>
      <c r="W432" s="139"/>
      <c r="X432" s="38"/>
    </row>
    <row r="433" ht="12.75" customHeight="1">
      <c r="C433" s="138"/>
      <c r="D433" s="138"/>
      <c r="E433" s="138"/>
      <c r="F433" s="138"/>
      <c r="G433" s="138"/>
      <c r="H433" s="138"/>
      <c r="L433" s="139"/>
      <c r="M433" s="38"/>
      <c r="N433" s="38"/>
      <c r="O433" s="38"/>
      <c r="P433" s="38"/>
      <c r="Q433" s="38"/>
      <c r="R433" s="38"/>
      <c r="W433" s="139"/>
      <c r="X433" s="38"/>
    </row>
    <row r="434" ht="12.75" customHeight="1">
      <c r="C434" s="138"/>
      <c r="D434" s="138"/>
      <c r="E434" s="138"/>
      <c r="F434" s="138"/>
      <c r="G434" s="138"/>
      <c r="H434" s="138"/>
      <c r="L434" s="139"/>
      <c r="M434" s="38"/>
      <c r="N434" s="38"/>
      <c r="O434" s="38"/>
      <c r="P434" s="38"/>
      <c r="Q434" s="38"/>
      <c r="R434" s="38"/>
      <c r="W434" s="139"/>
      <c r="X434" s="38"/>
    </row>
    <row r="435" ht="12.75" customHeight="1">
      <c r="C435" s="138"/>
      <c r="D435" s="138"/>
      <c r="E435" s="138"/>
      <c r="F435" s="138"/>
      <c r="G435" s="138"/>
      <c r="H435" s="138"/>
      <c r="L435" s="139"/>
      <c r="M435" s="38"/>
      <c r="N435" s="38"/>
      <c r="O435" s="38"/>
      <c r="P435" s="38"/>
      <c r="Q435" s="38"/>
      <c r="R435" s="38"/>
      <c r="W435" s="139"/>
      <c r="X435" s="38"/>
    </row>
    <row r="436" ht="12.75" customHeight="1">
      <c r="C436" s="138"/>
      <c r="D436" s="138"/>
      <c r="E436" s="138"/>
      <c r="F436" s="138"/>
      <c r="G436" s="138"/>
      <c r="H436" s="138"/>
      <c r="L436" s="139"/>
      <c r="M436" s="38"/>
      <c r="N436" s="38"/>
      <c r="O436" s="38"/>
      <c r="P436" s="38"/>
      <c r="Q436" s="38"/>
      <c r="R436" s="38"/>
      <c r="W436" s="139"/>
      <c r="X436" s="38"/>
    </row>
    <row r="437" ht="12.75" customHeight="1">
      <c r="C437" s="138"/>
      <c r="D437" s="138"/>
      <c r="E437" s="138"/>
      <c r="F437" s="138"/>
      <c r="G437" s="138"/>
      <c r="H437" s="138"/>
      <c r="L437" s="139"/>
      <c r="M437" s="38"/>
      <c r="N437" s="38"/>
      <c r="O437" s="38"/>
      <c r="P437" s="38"/>
      <c r="Q437" s="38"/>
      <c r="R437" s="38"/>
      <c r="W437" s="139"/>
      <c r="X437" s="38"/>
    </row>
    <row r="438" ht="12.75" customHeight="1">
      <c r="C438" s="138"/>
      <c r="D438" s="138"/>
      <c r="E438" s="138"/>
      <c r="F438" s="138"/>
      <c r="G438" s="138"/>
      <c r="H438" s="138"/>
      <c r="L438" s="139"/>
      <c r="M438" s="38"/>
      <c r="N438" s="38"/>
      <c r="O438" s="38"/>
      <c r="P438" s="38"/>
      <c r="Q438" s="38"/>
      <c r="R438" s="38"/>
      <c r="W438" s="139"/>
      <c r="X438" s="38"/>
    </row>
    <row r="439" ht="12.75" customHeight="1">
      <c r="C439" s="138"/>
      <c r="D439" s="138"/>
      <c r="E439" s="138"/>
      <c r="F439" s="138"/>
      <c r="G439" s="138"/>
      <c r="H439" s="138"/>
      <c r="L439" s="139"/>
      <c r="M439" s="38"/>
      <c r="N439" s="38"/>
      <c r="O439" s="38"/>
      <c r="P439" s="38"/>
      <c r="Q439" s="38"/>
      <c r="R439" s="38"/>
      <c r="W439" s="139"/>
      <c r="X439" s="38"/>
    </row>
    <row r="440" ht="12.75" customHeight="1">
      <c r="C440" s="138"/>
      <c r="D440" s="138"/>
      <c r="E440" s="138"/>
      <c r="F440" s="138"/>
      <c r="G440" s="138"/>
      <c r="H440" s="138"/>
      <c r="L440" s="139"/>
      <c r="M440" s="38"/>
      <c r="N440" s="38"/>
      <c r="O440" s="38"/>
      <c r="P440" s="38"/>
      <c r="Q440" s="38"/>
      <c r="R440" s="38"/>
      <c r="W440" s="139"/>
      <c r="X440" s="38"/>
    </row>
    <row r="441" ht="12.75" customHeight="1">
      <c r="C441" s="138"/>
      <c r="D441" s="138"/>
      <c r="E441" s="138"/>
      <c r="F441" s="138"/>
      <c r="G441" s="138"/>
      <c r="H441" s="138"/>
      <c r="L441" s="139"/>
      <c r="M441" s="38"/>
      <c r="N441" s="38"/>
      <c r="O441" s="38"/>
      <c r="P441" s="38"/>
      <c r="Q441" s="38"/>
      <c r="R441" s="38"/>
      <c r="W441" s="139"/>
      <c r="X441" s="38"/>
    </row>
    <row r="442" ht="12.75" customHeight="1">
      <c r="C442" s="138"/>
      <c r="D442" s="138"/>
      <c r="E442" s="138"/>
      <c r="F442" s="138"/>
      <c r="G442" s="138"/>
      <c r="H442" s="138"/>
      <c r="L442" s="139"/>
      <c r="M442" s="38"/>
      <c r="N442" s="38"/>
      <c r="O442" s="38"/>
      <c r="P442" s="38"/>
      <c r="Q442" s="38"/>
      <c r="R442" s="38"/>
      <c r="W442" s="139"/>
      <c r="X442" s="38"/>
    </row>
    <row r="443" ht="12.75" customHeight="1">
      <c r="C443" s="138"/>
      <c r="D443" s="138"/>
      <c r="E443" s="138"/>
      <c r="F443" s="138"/>
      <c r="G443" s="138"/>
      <c r="H443" s="138"/>
      <c r="L443" s="139"/>
      <c r="M443" s="38"/>
      <c r="N443" s="38"/>
      <c r="O443" s="38"/>
      <c r="P443" s="38"/>
      <c r="Q443" s="38"/>
      <c r="R443" s="38"/>
      <c r="W443" s="139"/>
      <c r="X443" s="38"/>
    </row>
    <row r="444" ht="12.75" customHeight="1">
      <c r="C444" s="138"/>
      <c r="D444" s="138"/>
      <c r="E444" s="138"/>
      <c r="F444" s="138"/>
      <c r="G444" s="138"/>
      <c r="H444" s="138"/>
      <c r="L444" s="139"/>
      <c r="M444" s="38"/>
      <c r="N444" s="38"/>
      <c r="O444" s="38"/>
      <c r="P444" s="38"/>
      <c r="Q444" s="38"/>
      <c r="R444" s="38"/>
      <c r="W444" s="139"/>
      <c r="X444" s="38"/>
    </row>
    <row r="445" ht="12.75" customHeight="1">
      <c r="C445" s="138"/>
      <c r="D445" s="138"/>
      <c r="E445" s="138"/>
      <c r="F445" s="138"/>
      <c r="G445" s="138"/>
      <c r="H445" s="138"/>
      <c r="L445" s="139"/>
      <c r="M445" s="38"/>
      <c r="N445" s="38"/>
      <c r="O445" s="38"/>
      <c r="P445" s="38"/>
      <c r="Q445" s="38"/>
      <c r="R445" s="38"/>
      <c r="W445" s="139"/>
      <c r="X445" s="38"/>
    </row>
    <row r="446" ht="12.75" customHeight="1">
      <c r="C446" s="138"/>
      <c r="D446" s="138"/>
      <c r="E446" s="138"/>
      <c r="F446" s="138"/>
      <c r="G446" s="138"/>
      <c r="H446" s="138"/>
      <c r="L446" s="139"/>
      <c r="M446" s="38"/>
      <c r="N446" s="38"/>
      <c r="O446" s="38"/>
      <c r="P446" s="38"/>
      <c r="Q446" s="38"/>
      <c r="R446" s="38"/>
      <c r="W446" s="139"/>
      <c r="X446" s="38"/>
    </row>
    <row r="447" ht="12.75" customHeight="1">
      <c r="C447" s="138"/>
      <c r="D447" s="138"/>
      <c r="E447" s="138"/>
      <c r="F447" s="138"/>
      <c r="G447" s="138"/>
      <c r="H447" s="138"/>
      <c r="L447" s="139"/>
      <c r="M447" s="38"/>
      <c r="N447" s="38"/>
      <c r="O447" s="38"/>
      <c r="P447" s="38"/>
      <c r="Q447" s="38"/>
      <c r="R447" s="38"/>
      <c r="W447" s="139"/>
      <c r="X447" s="38"/>
    </row>
    <row r="448" ht="12.75" customHeight="1">
      <c r="C448" s="138"/>
      <c r="D448" s="138"/>
      <c r="E448" s="138"/>
      <c r="F448" s="138"/>
      <c r="G448" s="138"/>
      <c r="H448" s="138"/>
      <c r="L448" s="139"/>
      <c r="M448" s="38"/>
      <c r="N448" s="38"/>
      <c r="O448" s="38"/>
      <c r="P448" s="38"/>
      <c r="Q448" s="38"/>
      <c r="R448" s="38"/>
      <c r="W448" s="139"/>
      <c r="X448" s="38"/>
    </row>
    <row r="449" ht="12.75" customHeight="1">
      <c r="C449" s="138"/>
      <c r="D449" s="138"/>
      <c r="E449" s="138"/>
      <c r="F449" s="138"/>
      <c r="G449" s="138"/>
      <c r="H449" s="138"/>
      <c r="L449" s="139"/>
      <c r="M449" s="38"/>
      <c r="N449" s="38"/>
      <c r="O449" s="38"/>
      <c r="P449" s="38"/>
      <c r="Q449" s="38"/>
      <c r="R449" s="38"/>
      <c r="W449" s="139"/>
      <c r="X449" s="38"/>
    </row>
    <row r="450" ht="12.75" customHeight="1">
      <c r="C450" s="138"/>
      <c r="D450" s="138"/>
      <c r="E450" s="138"/>
      <c r="F450" s="138"/>
      <c r="G450" s="138"/>
      <c r="H450" s="138"/>
      <c r="L450" s="139"/>
      <c r="M450" s="38"/>
      <c r="N450" s="38"/>
      <c r="O450" s="38"/>
      <c r="P450" s="38"/>
      <c r="Q450" s="38"/>
      <c r="R450" s="38"/>
      <c r="W450" s="139"/>
      <c r="X450" s="38"/>
    </row>
    <row r="451" ht="12.75" customHeight="1">
      <c r="C451" s="138"/>
      <c r="D451" s="138"/>
      <c r="E451" s="138"/>
      <c r="F451" s="138"/>
      <c r="G451" s="138"/>
      <c r="H451" s="138"/>
      <c r="L451" s="139"/>
      <c r="M451" s="38"/>
      <c r="N451" s="38"/>
      <c r="O451" s="38"/>
      <c r="P451" s="38"/>
      <c r="Q451" s="38"/>
      <c r="R451" s="38"/>
      <c r="W451" s="139"/>
      <c r="X451" s="38"/>
    </row>
    <row r="452" ht="12.75" customHeight="1">
      <c r="C452" s="138"/>
      <c r="D452" s="138"/>
      <c r="E452" s="138"/>
      <c r="F452" s="138"/>
      <c r="G452" s="138"/>
      <c r="H452" s="138"/>
      <c r="L452" s="139"/>
      <c r="M452" s="38"/>
      <c r="N452" s="38"/>
      <c r="O452" s="38"/>
      <c r="P452" s="38"/>
      <c r="Q452" s="38"/>
      <c r="R452" s="38"/>
      <c r="W452" s="139"/>
      <c r="X452" s="38"/>
    </row>
    <row r="453" ht="12.75" customHeight="1">
      <c r="C453" s="138"/>
      <c r="D453" s="138"/>
      <c r="E453" s="138"/>
      <c r="F453" s="138"/>
      <c r="G453" s="138"/>
      <c r="H453" s="138"/>
      <c r="L453" s="139"/>
      <c r="M453" s="38"/>
      <c r="N453" s="38"/>
      <c r="O453" s="38"/>
      <c r="P453" s="38"/>
      <c r="Q453" s="38"/>
      <c r="R453" s="38"/>
      <c r="W453" s="139"/>
      <c r="X453" s="38"/>
    </row>
    <row r="454" ht="12.75" customHeight="1">
      <c r="C454" s="138"/>
      <c r="D454" s="138"/>
      <c r="E454" s="138"/>
      <c r="F454" s="138"/>
      <c r="G454" s="138"/>
      <c r="H454" s="138"/>
      <c r="L454" s="139"/>
      <c r="M454" s="38"/>
      <c r="N454" s="38"/>
      <c r="O454" s="38"/>
      <c r="P454" s="38"/>
      <c r="Q454" s="38"/>
      <c r="R454" s="38"/>
      <c r="W454" s="139"/>
      <c r="X454" s="38"/>
    </row>
    <row r="455" ht="12.75" customHeight="1">
      <c r="C455" s="138"/>
      <c r="D455" s="138"/>
      <c r="E455" s="138"/>
      <c r="F455" s="138"/>
      <c r="G455" s="138"/>
      <c r="H455" s="138"/>
      <c r="L455" s="139"/>
      <c r="M455" s="38"/>
      <c r="N455" s="38"/>
      <c r="O455" s="38"/>
      <c r="P455" s="38"/>
      <c r="Q455" s="38"/>
      <c r="R455" s="38"/>
      <c r="W455" s="139"/>
      <c r="X455" s="38"/>
    </row>
    <row r="456" ht="12.75" customHeight="1">
      <c r="C456" s="138"/>
      <c r="D456" s="138"/>
      <c r="E456" s="138"/>
      <c r="F456" s="138"/>
      <c r="G456" s="138"/>
      <c r="H456" s="138"/>
      <c r="L456" s="139"/>
      <c r="M456" s="38"/>
      <c r="N456" s="38"/>
      <c r="O456" s="38"/>
      <c r="P456" s="38"/>
      <c r="Q456" s="38"/>
      <c r="R456" s="38"/>
      <c r="W456" s="139"/>
      <c r="X456" s="38"/>
    </row>
    <row r="457" ht="12.75" customHeight="1">
      <c r="C457" s="138"/>
      <c r="D457" s="138"/>
      <c r="E457" s="138"/>
      <c r="F457" s="138"/>
      <c r="G457" s="138"/>
      <c r="H457" s="138"/>
      <c r="L457" s="139"/>
      <c r="M457" s="38"/>
      <c r="N457" s="38"/>
      <c r="O457" s="38"/>
      <c r="P457" s="38"/>
      <c r="Q457" s="38"/>
      <c r="R457" s="38"/>
      <c r="W457" s="139"/>
      <c r="X457" s="38"/>
    </row>
    <row r="458" ht="12.75" customHeight="1">
      <c r="C458" s="138"/>
      <c r="D458" s="138"/>
      <c r="E458" s="138"/>
      <c r="F458" s="138"/>
      <c r="G458" s="138"/>
      <c r="H458" s="138"/>
      <c r="L458" s="139"/>
      <c r="M458" s="38"/>
      <c r="N458" s="38"/>
      <c r="O458" s="38"/>
      <c r="P458" s="38"/>
      <c r="Q458" s="38"/>
      <c r="R458" s="38"/>
      <c r="W458" s="139"/>
      <c r="X458" s="38"/>
    </row>
    <row r="459" ht="12.75" customHeight="1">
      <c r="C459" s="138"/>
      <c r="D459" s="138"/>
      <c r="E459" s="138"/>
      <c r="F459" s="138"/>
      <c r="G459" s="138"/>
      <c r="H459" s="138"/>
      <c r="L459" s="139"/>
      <c r="M459" s="38"/>
      <c r="N459" s="38"/>
      <c r="O459" s="38"/>
      <c r="P459" s="38"/>
      <c r="Q459" s="38"/>
      <c r="R459" s="38"/>
      <c r="W459" s="139"/>
      <c r="X459" s="38"/>
    </row>
    <row r="460" ht="12.75" customHeight="1">
      <c r="C460" s="138"/>
      <c r="D460" s="138"/>
      <c r="E460" s="138"/>
      <c r="F460" s="138"/>
      <c r="G460" s="138"/>
      <c r="H460" s="138"/>
      <c r="L460" s="139"/>
      <c r="M460" s="38"/>
      <c r="N460" s="38"/>
      <c r="O460" s="38"/>
      <c r="P460" s="38"/>
      <c r="Q460" s="38"/>
      <c r="R460" s="38"/>
      <c r="W460" s="139"/>
      <c r="X460" s="38"/>
    </row>
    <row r="461" ht="12.75" customHeight="1">
      <c r="C461" s="138"/>
      <c r="D461" s="138"/>
      <c r="E461" s="138"/>
      <c r="F461" s="138"/>
      <c r="G461" s="138"/>
      <c r="H461" s="138"/>
      <c r="L461" s="139"/>
      <c r="M461" s="38"/>
      <c r="N461" s="38"/>
      <c r="O461" s="38"/>
      <c r="P461" s="38"/>
      <c r="Q461" s="38"/>
      <c r="R461" s="38"/>
      <c r="W461" s="139"/>
      <c r="X461" s="38"/>
    </row>
    <row r="462" ht="12.75" customHeight="1">
      <c r="C462" s="138"/>
      <c r="D462" s="138"/>
      <c r="E462" s="138"/>
      <c r="F462" s="138"/>
      <c r="G462" s="138"/>
      <c r="H462" s="138"/>
      <c r="L462" s="139"/>
      <c r="M462" s="38"/>
      <c r="N462" s="38"/>
      <c r="O462" s="38"/>
      <c r="P462" s="38"/>
      <c r="Q462" s="38"/>
      <c r="R462" s="38"/>
      <c r="W462" s="139"/>
      <c r="X462" s="38"/>
    </row>
    <row r="463" ht="12.75" customHeight="1">
      <c r="C463" s="138"/>
      <c r="D463" s="138"/>
      <c r="E463" s="138"/>
      <c r="F463" s="138"/>
      <c r="G463" s="138"/>
      <c r="H463" s="138"/>
      <c r="L463" s="139"/>
      <c r="M463" s="38"/>
      <c r="N463" s="38"/>
      <c r="O463" s="38"/>
      <c r="P463" s="38"/>
      <c r="Q463" s="38"/>
      <c r="R463" s="38"/>
      <c r="W463" s="139"/>
      <c r="X463" s="38"/>
    </row>
    <row r="464" ht="12.75" customHeight="1">
      <c r="C464" s="138"/>
      <c r="D464" s="138"/>
      <c r="E464" s="138"/>
      <c r="F464" s="138"/>
      <c r="G464" s="138"/>
      <c r="H464" s="138"/>
      <c r="L464" s="139"/>
      <c r="M464" s="38"/>
      <c r="N464" s="38"/>
      <c r="O464" s="38"/>
      <c r="P464" s="38"/>
      <c r="Q464" s="38"/>
      <c r="R464" s="38"/>
      <c r="W464" s="139"/>
      <c r="X464" s="38"/>
    </row>
    <row r="465" ht="12.75" customHeight="1">
      <c r="C465" s="138"/>
      <c r="D465" s="138"/>
      <c r="E465" s="138"/>
      <c r="F465" s="138"/>
      <c r="G465" s="138"/>
      <c r="H465" s="138"/>
      <c r="L465" s="139"/>
      <c r="M465" s="38"/>
      <c r="N465" s="38"/>
      <c r="O465" s="38"/>
      <c r="P465" s="38"/>
      <c r="Q465" s="38"/>
      <c r="R465" s="38"/>
      <c r="W465" s="139"/>
      <c r="X465" s="38"/>
    </row>
    <row r="466" ht="12.75" customHeight="1">
      <c r="C466" s="138"/>
      <c r="D466" s="138"/>
      <c r="E466" s="138"/>
      <c r="F466" s="138"/>
      <c r="G466" s="138"/>
      <c r="H466" s="138"/>
      <c r="L466" s="139"/>
      <c r="M466" s="38"/>
      <c r="N466" s="38"/>
      <c r="O466" s="38"/>
      <c r="P466" s="38"/>
      <c r="Q466" s="38"/>
      <c r="R466" s="38"/>
      <c r="W466" s="139"/>
      <c r="X466" s="38"/>
    </row>
    <row r="467" ht="12.75" customHeight="1">
      <c r="C467" s="138"/>
      <c r="D467" s="138"/>
      <c r="E467" s="138"/>
      <c r="F467" s="138"/>
      <c r="G467" s="138"/>
      <c r="H467" s="138"/>
      <c r="L467" s="139"/>
      <c r="M467" s="38"/>
      <c r="N467" s="38"/>
      <c r="O467" s="38"/>
      <c r="P467" s="38"/>
      <c r="Q467" s="38"/>
      <c r="R467" s="38"/>
      <c r="W467" s="139"/>
      <c r="X467" s="38"/>
    </row>
    <row r="468" ht="12.75" customHeight="1">
      <c r="C468" s="138"/>
      <c r="D468" s="138"/>
      <c r="E468" s="138"/>
      <c r="F468" s="138"/>
      <c r="G468" s="138"/>
      <c r="H468" s="138"/>
      <c r="L468" s="139"/>
      <c r="M468" s="38"/>
      <c r="N468" s="38"/>
      <c r="O468" s="38"/>
      <c r="P468" s="38"/>
      <c r="Q468" s="38"/>
      <c r="R468" s="38"/>
      <c r="W468" s="139"/>
      <c r="X468" s="38"/>
    </row>
    <row r="469" ht="12.75" customHeight="1">
      <c r="C469" s="138"/>
      <c r="D469" s="138"/>
      <c r="E469" s="138"/>
      <c r="F469" s="138"/>
      <c r="G469" s="138"/>
      <c r="H469" s="138"/>
      <c r="L469" s="139"/>
      <c r="M469" s="38"/>
      <c r="N469" s="38"/>
      <c r="O469" s="38"/>
      <c r="P469" s="38"/>
      <c r="Q469" s="38"/>
      <c r="R469" s="38"/>
      <c r="W469" s="139"/>
      <c r="X469" s="38"/>
    </row>
    <row r="470" ht="12.75" customHeight="1">
      <c r="C470" s="138"/>
      <c r="D470" s="138"/>
      <c r="E470" s="138"/>
      <c r="F470" s="138"/>
      <c r="G470" s="138"/>
      <c r="H470" s="138"/>
      <c r="L470" s="139"/>
      <c r="M470" s="38"/>
      <c r="N470" s="38"/>
      <c r="O470" s="38"/>
      <c r="P470" s="38"/>
      <c r="Q470" s="38"/>
      <c r="R470" s="38"/>
      <c r="W470" s="139"/>
      <c r="X470" s="38"/>
    </row>
    <row r="471" ht="12.75" customHeight="1">
      <c r="C471" s="138"/>
      <c r="D471" s="138"/>
      <c r="E471" s="138"/>
      <c r="F471" s="138"/>
      <c r="G471" s="138"/>
      <c r="H471" s="138"/>
      <c r="L471" s="139"/>
      <c r="M471" s="38"/>
      <c r="N471" s="38"/>
      <c r="O471" s="38"/>
      <c r="P471" s="38"/>
      <c r="Q471" s="38"/>
      <c r="R471" s="38"/>
      <c r="W471" s="139"/>
      <c r="X471" s="38"/>
    </row>
    <row r="472" ht="12.75" customHeight="1">
      <c r="C472" s="138"/>
      <c r="D472" s="138"/>
      <c r="E472" s="138"/>
      <c r="F472" s="138"/>
      <c r="G472" s="138"/>
      <c r="H472" s="138"/>
      <c r="L472" s="139"/>
      <c r="M472" s="38"/>
      <c r="N472" s="38"/>
      <c r="O472" s="38"/>
      <c r="P472" s="38"/>
      <c r="Q472" s="38"/>
      <c r="R472" s="38"/>
      <c r="W472" s="139"/>
      <c r="X472" s="38"/>
    </row>
    <row r="473" ht="12.75" customHeight="1">
      <c r="C473" s="138"/>
      <c r="D473" s="138"/>
      <c r="E473" s="138"/>
      <c r="F473" s="138"/>
      <c r="G473" s="138"/>
      <c r="H473" s="138"/>
      <c r="L473" s="139"/>
      <c r="M473" s="38"/>
      <c r="N473" s="38"/>
      <c r="O473" s="38"/>
      <c r="P473" s="38"/>
      <c r="Q473" s="38"/>
      <c r="R473" s="38"/>
      <c r="W473" s="139"/>
      <c r="X473" s="38"/>
    </row>
    <row r="474" ht="12.75" customHeight="1">
      <c r="C474" s="138"/>
      <c r="D474" s="138"/>
      <c r="E474" s="138"/>
      <c r="F474" s="138"/>
      <c r="G474" s="138"/>
      <c r="H474" s="138"/>
      <c r="L474" s="139"/>
      <c r="M474" s="38"/>
      <c r="N474" s="38"/>
      <c r="O474" s="38"/>
      <c r="P474" s="38"/>
      <c r="Q474" s="38"/>
      <c r="R474" s="38"/>
      <c r="W474" s="139"/>
      <c r="X474" s="38"/>
    </row>
    <row r="475" ht="12.75" customHeight="1">
      <c r="C475" s="138"/>
      <c r="D475" s="138"/>
      <c r="E475" s="138"/>
      <c r="F475" s="138"/>
      <c r="G475" s="138"/>
      <c r="H475" s="138"/>
      <c r="L475" s="139"/>
      <c r="M475" s="38"/>
      <c r="N475" s="38"/>
      <c r="O475" s="38"/>
      <c r="P475" s="38"/>
      <c r="Q475" s="38"/>
      <c r="R475" s="38"/>
      <c r="W475" s="139"/>
      <c r="X475" s="38"/>
    </row>
    <row r="476" ht="12.75" customHeight="1">
      <c r="C476" s="138"/>
      <c r="D476" s="138"/>
      <c r="E476" s="138"/>
      <c r="F476" s="138"/>
      <c r="G476" s="138"/>
      <c r="H476" s="138"/>
      <c r="L476" s="139"/>
      <c r="M476" s="38"/>
      <c r="N476" s="38"/>
      <c r="O476" s="38"/>
      <c r="P476" s="38"/>
      <c r="Q476" s="38"/>
      <c r="R476" s="38"/>
      <c r="W476" s="139"/>
      <c r="X476" s="38"/>
    </row>
    <row r="477" ht="12.75" customHeight="1">
      <c r="C477" s="138"/>
      <c r="D477" s="138"/>
      <c r="E477" s="138"/>
      <c r="F477" s="138"/>
      <c r="G477" s="138"/>
      <c r="H477" s="138"/>
      <c r="L477" s="139"/>
      <c r="M477" s="38"/>
      <c r="N477" s="38"/>
      <c r="O477" s="38"/>
      <c r="P477" s="38"/>
      <c r="Q477" s="38"/>
      <c r="R477" s="38"/>
      <c r="W477" s="139"/>
      <c r="X477" s="38"/>
    </row>
    <row r="478" ht="12.75" customHeight="1">
      <c r="C478" s="138"/>
      <c r="D478" s="138"/>
      <c r="E478" s="138"/>
      <c r="F478" s="138"/>
      <c r="G478" s="138"/>
      <c r="H478" s="138"/>
      <c r="L478" s="139"/>
      <c r="M478" s="38"/>
      <c r="N478" s="38"/>
      <c r="O478" s="38"/>
      <c r="P478" s="38"/>
      <c r="Q478" s="38"/>
      <c r="R478" s="38"/>
      <c r="W478" s="139"/>
      <c r="X478" s="38"/>
    </row>
    <row r="479" ht="12.75" customHeight="1">
      <c r="C479" s="138"/>
      <c r="D479" s="138"/>
      <c r="E479" s="138"/>
      <c r="F479" s="138"/>
      <c r="G479" s="138"/>
      <c r="H479" s="138"/>
      <c r="L479" s="139"/>
      <c r="M479" s="38"/>
      <c r="N479" s="38"/>
      <c r="O479" s="38"/>
      <c r="P479" s="38"/>
      <c r="Q479" s="38"/>
      <c r="R479" s="38"/>
      <c r="W479" s="139"/>
      <c r="X479" s="38"/>
    </row>
    <row r="480" ht="12.75" customHeight="1">
      <c r="C480" s="138"/>
      <c r="D480" s="138"/>
      <c r="E480" s="138"/>
      <c r="F480" s="138"/>
      <c r="G480" s="138"/>
      <c r="H480" s="138"/>
      <c r="L480" s="139"/>
      <c r="M480" s="38"/>
      <c r="N480" s="38"/>
      <c r="O480" s="38"/>
      <c r="P480" s="38"/>
      <c r="Q480" s="38"/>
      <c r="R480" s="38"/>
      <c r="W480" s="139"/>
      <c r="X480" s="38"/>
    </row>
    <row r="481" ht="12.75" customHeight="1">
      <c r="C481" s="138"/>
      <c r="D481" s="138"/>
      <c r="E481" s="138"/>
      <c r="F481" s="138"/>
      <c r="G481" s="138"/>
      <c r="H481" s="138"/>
      <c r="L481" s="139"/>
      <c r="M481" s="38"/>
      <c r="N481" s="38"/>
      <c r="O481" s="38"/>
      <c r="P481" s="38"/>
      <c r="Q481" s="38"/>
      <c r="R481" s="38"/>
      <c r="W481" s="139"/>
      <c r="X481" s="38"/>
    </row>
    <row r="482" ht="12.75" customHeight="1">
      <c r="C482" s="138"/>
      <c r="D482" s="138"/>
      <c r="E482" s="138"/>
      <c r="F482" s="138"/>
      <c r="G482" s="138"/>
      <c r="H482" s="138"/>
      <c r="L482" s="139"/>
      <c r="M482" s="38"/>
      <c r="N482" s="38"/>
      <c r="O482" s="38"/>
      <c r="P482" s="38"/>
      <c r="Q482" s="38"/>
      <c r="R482" s="38"/>
      <c r="W482" s="139"/>
      <c r="X482" s="38"/>
    </row>
    <row r="483" ht="12.75" customHeight="1">
      <c r="C483" s="138"/>
      <c r="D483" s="138"/>
      <c r="E483" s="138"/>
      <c r="F483" s="138"/>
      <c r="G483" s="138"/>
      <c r="H483" s="138"/>
      <c r="L483" s="139"/>
      <c r="M483" s="38"/>
      <c r="N483" s="38"/>
      <c r="O483" s="38"/>
      <c r="P483" s="38"/>
      <c r="Q483" s="38"/>
      <c r="R483" s="38"/>
      <c r="W483" s="139"/>
      <c r="X483" s="38"/>
    </row>
    <row r="484" ht="12.75" customHeight="1">
      <c r="C484" s="138"/>
      <c r="D484" s="138"/>
      <c r="E484" s="138"/>
      <c r="F484" s="138"/>
      <c r="G484" s="138"/>
      <c r="H484" s="138"/>
      <c r="L484" s="139"/>
      <c r="M484" s="38"/>
      <c r="N484" s="38"/>
      <c r="O484" s="38"/>
      <c r="P484" s="38"/>
      <c r="Q484" s="38"/>
      <c r="R484" s="38"/>
      <c r="W484" s="139"/>
      <c r="X484" s="38"/>
    </row>
    <row r="485" ht="12.75" customHeight="1">
      <c r="C485" s="138"/>
      <c r="D485" s="138"/>
      <c r="E485" s="138"/>
      <c r="F485" s="138"/>
      <c r="G485" s="138"/>
      <c r="H485" s="138"/>
      <c r="L485" s="139"/>
      <c r="M485" s="38"/>
      <c r="N485" s="38"/>
      <c r="O485" s="38"/>
      <c r="P485" s="38"/>
      <c r="Q485" s="38"/>
      <c r="R485" s="38"/>
      <c r="W485" s="139"/>
      <c r="X485" s="38"/>
    </row>
    <row r="486" ht="12.75" customHeight="1">
      <c r="C486" s="138"/>
      <c r="D486" s="138"/>
      <c r="E486" s="138"/>
      <c r="F486" s="138"/>
      <c r="G486" s="138"/>
      <c r="H486" s="138"/>
      <c r="L486" s="139"/>
      <c r="M486" s="38"/>
      <c r="N486" s="38"/>
      <c r="O486" s="38"/>
      <c r="P486" s="38"/>
      <c r="Q486" s="38"/>
      <c r="R486" s="38"/>
      <c r="W486" s="139"/>
      <c r="X486" s="38"/>
    </row>
    <row r="487" ht="12.75" customHeight="1">
      <c r="C487" s="138"/>
      <c r="D487" s="138"/>
      <c r="E487" s="138"/>
      <c r="F487" s="138"/>
      <c r="G487" s="138"/>
      <c r="H487" s="138"/>
      <c r="L487" s="139"/>
      <c r="M487" s="38"/>
      <c r="N487" s="38"/>
      <c r="O487" s="38"/>
      <c r="P487" s="38"/>
      <c r="Q487" s="38"/>
      <c r="R487" s="38"/>
      <c r="W487" s="139"/>
      <c r="X487" s="38"/>
    </row>
    <row r="488" ht="12.75" customHeight="1">
      <c r="C488" s="138"/>
      <c r="D488" s="138"/>
      <c r="E488" s="138"/>
      <c r="F488" s="138"/>
      <c r="G488" s="138"/>
      <c r="H488" s="138"/>
      <c r="L488" s="139"/>
      <c r="M488" s="38"/>
      <c r="N488" s="38"/>
      <c r="O488" s="38"/>
      <c r="P488" s="38"/>
      <c r="Q488" s="38"/>
      <c r="R488" s="38"/>
      <c r="W488" s="139"/>
      <c r="X488" s="38"/>
    </row>
    <row r="489" ht="12.75" customHeight="1">
      <c r="C489" s="138"/>
      <c r="D489" s="138"/>
      <c r="E489" s="138"/>
      <c r="F489" s="138"/>
      <c r="G489" s="138"/>
      <c r="H489" s="138"/>
      <c r="L489" s="139"/>
      <c r="M489" s="38"/>
      <c r="N489" s="38"/>
      <c r="O489" s="38"/>
      <c r="P489" s="38"/>
      <c r="Q489" s="38"/>
      <c r="R489" s="38"/>
      <c r="W489" s="139"/>
      <c r="X489" s="38"/>
    </row>
    <row r="490" ht="12.75" customHeight="1">
      <c r="C490" s="138"/>
      <c r="D490" s="138"/>
      <c r="E490" s="138"/>
      <c r="F490" s="138"/>
      <c r="G490" s="138"/>
      <c r="H490" s="138"/>
      <c r="L490" s="139"/>
      <c r="M490" s="38"/>
      <c r="N490" s="38"/>
      <c r="O490" s="38"/>
      <c r="P490" s="38"/>
      <c r="Q490" s="38"/>
      <c r="R490" s="38"/>
      <c r="W490" s="139"/>
      <c r="X490" s="38"/>
    </row>
    <row r="491" ht="12.75" customHeight="1">
      <c r="C491" s="138"/>
      <c r="D491" s="138"/>
      <c r="E491" s="138"/>
      <c r="F491" s="138"/>
      <c r="G491" s="138"/>
      <c r="H491" s="138"/>
      <c r="L491" s="139"/>
      <c r="M491" s="38"/>
      <c r="N491" s="38"/>
      <c r="O491" s="38"/>
      <c r="P491" s="38"/>
      <c r="Q491" s="38"/>
      <c r="R491" s="38"/>
      <c r="W491" s="139"/>
      <c r="X491" s="38"/>
    </row>
    <row r="492" ht="12.75" customHeight="1">
      <c r="C492" s="138"/>
      <c r="D492" s="138"/>
      <c r="E492" s="138"/>
      <c r="F492" s="138"/>
      <c r="G492" s="138"/>
      <c r="H492" s="138"/>
      <c r="L492" s="139"/>
      <c r="M492" s="38"/>
      <c r="N492" s="38"/>
      <c r="O492" s="38"/>
      <c r="P492" s="38"/>
      <c r="Q492" s="38"/>
      <c r="R492" s="38"/>
      <c r="W492" s="139"/>
      <c r="X492" s="38"/>
    </row>
    <row r="493" ht="12.75" customHeight="1">
      <c r="C493" s="138"/>
      <c r="D493" s="138"/>
      <c r="E493" s="138"/>
      <c r="F493" s="138"/>
      <c r="G493" s="138"/>
      <c r="H493" s="138"/>
      <c r="L493" s="139"/>
      <c r="M493" s="38"/>
      <c r="N493" s="38"/>
      <c r="O493" s="38"/>
      <c r="P493" s="38"/>
      <c r="Q493" s="38"/>
      <c r="R493" s="38"/>
      <c r="W493" s="139"/>
      <c r="X493" s="38"/>
    </row>
    <row r="494" ht="12.75" customHeight="1">
      <c r="C494" s="138"/>
      <c r="D494" s="138"/>
      <c r="E494" s="138"/>
      <c r="F494" s="138"/>
      <c r="G494" s="138"/>
      <c r="H494" s="138"/>
      <c r="L494" s="139"/>
      <c r="M494" s="38"/>
      <c r="N494" s="38"/>
      <c r="O494" s="38"/>
      <c r="P494" s="38"/>
      <c r="Q494" s="38"/>
      <c r="R494" s="38"/>
      <c r="W494" s="139"/>
      <c r="X494" s="38"/>
    </row>
    <row r="495" ht="12.75" customHeight="1">
      <c r="C495" s="138"/>
      <c r="D495" s="138"/>
      <c r="E495" s="138"/>
      <c r="F495" s="138"/>
      <c r="G495" s="138"/>
      <c r="H495" s="138"/>
      <c r="L495" s="139"/>
      <c r="M495" s="38"/>
      <c r="N495" s="38"/>
      <c r="O495" s="38"/>
      <c r="P495" s="38"/>
      <c r="Q495" s="38"/>
      <c r="R495" s="38"/>
      <c r="W495" s="139"/>
      <c r="X495" s="38"/>
    </row>
    <row r="496" ht="12.75" customHeight="1">
      <c r="C496" s="138"/>
      <c r="D496" s="138"/>
      <c r="E496" s="138"/>
      <c r="F496" s="138"/>
      <c r="G496" s="138"/>
      <c r="H496" s="138"/>
      <c r="L496" s="139"/>
      <c r="M496" s="38"/>
      <c r="N496" s="38"/>
      <c r="O496" s="38"/>
      <c r="P496" s="38"/>
      <c r="Q496" s="38"/>
      <c r="R496" s="38"/>
      <c r="W496" s="139"/>
      <c r="X496" s="38"/>
    </row>
    <row r="497" ht="12.75" customHeight="1">
      <c r="C497" s="138"/>
      <c r="D497" s="138"/>
      <c r="E497" s="138"/>
      <c r="F497" s="138"/>
      <c r="G497" s="138"/>
      <c r="H497" s="138"/>
      <c r="L497" s="139"/>
      <c r="M497" s="38"/>
      <c r="N497" s="38"/>
      <c r="O497" s="38"/>
      <c r="P497" s="38"/>
      <c r="Q497" s="38"/>
      <c r="R497" s="38"/>
      <c r="W497" s="139"/>
      <c r="X497" s="38"/>
    </row>
    <row r="498" ht="12.75" customHeight="1">
      <c r="C498" s="138"/>
      <c r="D498" s="138"/>
      <c r="E498" s="138"/>
      <c r="F498" s="138"/>
      <c r="G498" s="138"/>
      <c r="H498" s="138"/>
      <c r="L498" s="139"/>
      <c r="M498" s="38"/>
      <c r="N498" s="38"/>
      <c r="O498" s="38"/>
      <c r="P498" s="38"/>
      <c r="Q498" s="38"/>
      <c r="R498" s="38"/>
      <c r="W498" s="139"/>
      <c r="X498" s="38"/>
    </row>
    <row r="499" ht="12.75" customHeight="1">
      <c r="C499" s="138"/>
      <c r="D499" s="138"/>
      <c r="E499" s="138"/>
      <c r="F499" s="138"/>
      <c r="G499" s="138"/>
      <c r="H499" s="138"/>
      <c r="L499" s="139"/>
      <c r="M499" s="38"/>
      <c r="N499" s="38"/>
      <c r="O499" s="38"/>
      <c r="P499" s="38"/>
      <c r="Q499" s="38"/>
      <c r="R499" s="38"/>
      <c r="W499" s="139"/>
      <c r="X499" s="38"/>
    </row>
    <row r="500" ht="12.75" customHeight="1">
      <c r="C500" s="138"/>
      <c r="D500" s="138"/>
      <c r="E500" s="138"/>
      <c r="F500" s="138"/>
      <c r="G500" s="138"/>
      <c r="H500" s="138"/>
      <c r="L500" s="139"/>
      <c r="M500" s="38"/>
      <c r="N500" s="38"/>
      <c r="O500" s="38"/>
      <c r="P500" s="38"/>
      <c r="Q500" s="38"/>
      <c r="R500" s="38"/>
      <c r="W500" s="139"/>
      <c r="X500" s="38"/>
    </row>
    <row r="501" ht="12.75" customHeight="1">
      <c r="C501" s="138"/>
      <c r="D501" s="138"/>
      <c r="E501" s="138"/>
      <c r="F501" s="138"/>
      <c r="G501" s="138"/>
      <c r="H501" s="138"/>
      <c r="L501" s="139"/>
      <c r="M501" s="38"/>
      <c r="N501" s="38"/>
      <c r="O501" s="38"/>
      <c r="P501" s="38"/>
      <c r="Q501" s="38"/>
      <c r="R501" s="38"/>
      <c r="W501" s="139"/>
      <c r="X501" s="38"/>
    </row>
    <row r="502" ht="12.75" customHeight="1">
      <c r="C502" s="138"/>
      <c r="D502" s="138"/>
      <c r="E502" s="138"/>
      <c r="F502" s="138"/>
      <c r="G502" s="138"/>
      <c r="H502" s="138"/>
      <c r="L502" s="139"/>
      <c r="M502" s="38"/>
      <c r="N502" s="38"/>
      <c r="O502" s="38"/>
      <c r="P502" s="38"/>
      <c r="Q502" s="38"/>
      <c r="R502" s="38"/>
      <c r="W502" s="139"/>
      <c r="X502" s="38"/>
    </row>
    <row r="503" ht="12.75" customHeight="1">
      <c r="C503" s="138"/>
      <c r="D503" s="138"/>
      <c r="E503" s="138"/>
      <c r="F503" s="138"/>
      <c r="G503" s="138"/>
      <c r="H503" s="138"/>
      <c r="L503" s="139"/>
      <c r="M503" s="38"/>
      <c r="N503" s="38"/>
      <c r="O503" s="38"/>
      <c r="P503" s="38"/>
      <c r="Q503" s="38"/>
      <c r="R503" s="38"/>
      <c r="W503" s="139"/>
      <c r="X503" s="38"/>
    </row>
    <row r="504" ht="12.75" customHeight="1">
      <c r="C504" s="138"/>
      <c r="D504" s="138"/>
      <c r="E504" s="138"/>
      <c r="F504" s="138"/>
      <c r="G504" s="138"/>
      <c r="H504" s="138"/>
      <c r="L504" s="139"/>
      <c r="M504" s="38"/>
      <c r="N504" s="38"/>
      <c r="O504" s="38"/>
      <c r="P504" s="38"/>
      <c r="Q504" s="38"/>
      <c r="R504" s="38"/>
      <c r="W504" s="139"/>
      <c r="X504" s="38"/>
    </row>
    <row r="505" ht="12.75" customHeight="1">
      <c r="C505" s="138"/>
      <c r="D505" s="138"/>
      <c r="E505" s="138"/>
      <c r="F505" s="138"/>
      <c r="G505" s="138"/>
      <c r="H505" s="138"/>
      <c r="L505" s="139"/>
      <c r="M505" s="38"/>
      <c r="N505" s="38"/>
      <c r="O505" s="38"/>
      <c r="P505" s="38"/>
      <c r="Q505" s="38"/>
      <c r="R505" s="38"/>
      <c r="W505" s="139"/>
      <c r="X505" s="38"/>
    </row>
    <row r="506" ht="12.75" customHeight="1">
      <c r="C506" s="138"/>
      <c r="D506" s="138"/>
      <c r="E506" s="138"/>
      <c r="F506" s="138"/>
      <c r="G506" s="138"/>
      <c r="H506" s="138"/>
      <c r="L506" s="139"/>
      <c r="M506" s="38"/>
      <c r="N506" s="38"/>
      <c r="O506" s="38"/>
      <c r="P506" s="38"/>
      <c r="Q506" s="38"/>
      <c r="R506" s="38"/>
      <c r="W506" s="139"/>
      <c r="X506" s="38"/>
    </row>
    <row r="507" ht="12.75" customHeight="1">
      <c r="C507" s="138"/>
      <c r="D507" s="138"/>
      <c r="E507" s="138"/>
      <c r="F507" s="138"/>
      <c r="G507" s="138"/>
      <c r="H507" s="138"/>
      <c r="L507" s="139"/>
      <c r="M507" s="38"/>
      <c r="N507" s="38"/>
      <c r="O507" s="38"/>
      <c r="P507" s="38"/>
      <c r="Q507" s="38"/>
      <c r="R507" s="38"/>
      <c r="W507" s="139"/>
      <c r="X507" s="38"/>
    </row>
    <row r="508" ht="12.75" customHeight="1">
      <c r="C508" s="138"/>
      <c r="D508" s="138"/>
      <c r="E508" s="138"/>
      <c r="F508" s="138"/>
      <c r="G508" s="138"/>
      <c r="H508" s="138"/>
      <c r="L508" s="139"/>
      <c r="M508" s="38"/>
      <c r="N508" s="38"/>
      <c r="O508" s="38"/>
      <c r="P508" s="38"/>
      <c r="Q508" s="38"/>
      <c r="R508" s="38"/>
      <c r="W508" s="139"/>
      <c r="X508" s="38"/>
    </row>
    <row r="509" ht="12.75" customHeight="1">
      <c r="C509" s="138"/>
      <c r="D509" s="138"/>
      <c r="E509" s="138"/>
      <c r="F509" s="138"/>
      <c r="G509" s="138"/>
      <c r="H509" s="138"/>
      <c r="L509" s="139"/>
      <c r="M509" s="38"/>
      <c r="N509" s="38"/>
      <c r="O509" s="38"/>
      <c r="P509" s="38"/>
      <c r="Q509" s="38"/>
      <c r="R509" s="38"/>
      <c r="W509" s="139"/>
      <c r="X509" s="38"/>
    </row>
    <row r="510" ht="12.75" customHeight="1">
      <c r="C510" s="138"/>
      <c r="D510" s="138"/>
      <c r="E510" s="138"/>
      <c r="F510" s="138"/>
      <c r="G510" s="138"/>
      <c r="H510" s="138"/>
      <c r="L510" s="139"/>
      <c r="M510" s="38"/>
      <c r="N510" s="38"/>
      <c r="O510" s="38"/>
      <c r="P510" s="38"/>
      <c r="Q510" s="38"/>
      <c r="R510" s="38"/>
      <c r="W510" s="139"/>
      <c r="X510" s="38"/>
    </row>
    <row r="511" ht="12.75" customHeight="1">
      <c r="C511" s="138"/>
      <c r="D511" s="138"/>
      <c r="E511" s="138"/>
      <c r="F511" s="138"/>
      <c r="G511" s="138"/>
      <c r="H511" s="138"/>
      <c r="L511" s="139"/>
      <c r="M511" s="38"/>
      <c r="N511" s="38"/>
      <c r="O511" s="38"/>
      <c r="P511" s="38"/>
      <c r="Q511" s="38"/>
      <c r="R511" s="38"/>
      <c r="W511" s="139"/>
      <c r="X511" s="38"/>
    </row>
    <row r="512" ht="12.75" customHeight="1">
      <c r="C512" s="138"/>
      <c r="D512" s="138"/>
      <c r="E512" s="138"/>
      <c r="F512" s="138"/>
      <c r="G512" s="138"/>
      <c r="H512" s="138"/>
      <c r="L512" s="139"/>
      <c r="M512" s="38"/>
      <c r="N512" s="38"/>
      <c r="O512" s="38"/>
      <c r="P512" s="38"/>
      <c r="Q512" s="38"/>
      <c r="R512" s="38"/>
      <c r="W512" s="139"/>
      <c r="X512" s="38"/>
    </row>
    <row r="513" ht="12.75" customHeight="1">
      <c r="C513" s="138"/>
      <c r="D513" s="138"/>
      <c r="E513" s="138"/>
      <c r="F513" s="138"/>
      <c r="G513" s="138"/>
      <c r="H513" s="138"/>
      <c r="L513" s="139"/>
      <c r="M513" s="38"/>
      <c r="N513" s="38"/>
      <c r="O513" s="38"/>
      <c r="P513" s="38"/>
      <c r="Q513" s="38"/>
      <c r="R513" s="38"/>
      <c r="W513" s="139"/>
      <c r="X513" s="38"/>
    </row>
    <row r="514" ht="12.75" customHeight="1">
      <c r="C514" s="138"/>
      <c r="D514" s="138"/>
      <c r="E514" s="138"/>
      <c r="F514" s="138"/>
      <c r="G514" s="138"/>
      <c r="H514" s="138"/>
      <c r="L514" s="139"/>
      <c r="M514" s="38"/>
      <c r="N514" s="38"/>
      <c r="O514" s="38"/>
      <c r="P514" s="38"/>
      <c r="Q514" s="38"/>
      <c r="R514" s="38"/>
      <c r="W514" s="139"/>
      <c r="X514" s="38"/>
    </row>
    <row r="515" ht="12.75" customHeight="1">
      <c r="C515" s="138"/>
      <c r="D515" s="138"/>
      <c r="E515" s="138"/>
      <c r="F515" s="138"/>
      <c r="G515" s="138"/>
      <c r="H515" s="138"/>
      <c r="L515" s="139"/>
      <c r="M515" s="38"/>
      <c r="N515" s="38"/>
      <c r="O515" s="38"/>
      <c r="P515" s="38"/>
      <c r="Q515" s="38"/>
      <c r="R515" s="38"/>
      <c r="W515" s="139"/>
      <c r="X515" s="38"/>
    </row>
    <row r="516" ht="12.75" customHeight="1">
      <c r="C516" s="138"/>
      <c r="D516" s="138"/>
      <c r="E516" s="138"/>
      <c r="F516" s="138"/>
      <c r="G516" s="138"/>
      <c r="H516" s="138"/>
      <c r="L516" s="139"/>
      <c r="M516" s="38"/>
      <c r="N516" s="38"/>
      <c r="O516" s="38"/>
      <c r="P516" s="38"/>
      <c r="Q516" s="38"/>
      <c r="R516" s="38"/>
      <c r="W516" s="139"/>
      <c r="X516" s="38"/>
    </row>
    <row r="517" ht="12.75" customHeight="1">
      <c r="C517" s="138"/>
      <c r="D517" s="138"/>
      <c r="E517" s="138"/>
      <c r="F517" s="138"/>
      <c r="G517" s="138"/>
      <c r="H517" s="138"/>
      <c r="L517" s="139"/>
      <c r="M517" s="38"/>
      <c r="N517" s="38"/>
      <c r="O517" s="38"/>
      <c r="P517" s="38"/>
      <c r="Q517" s="38"/>
      <c r="R517" s="38"/>
      <c r="W517" s="139"/>
      <c r="X517" s="38"/>
    </row>
    <row r="518" ht="12.75" customHeight="1">
      <c r="C518" s="138"/>
      <c r="D518" s="138"/>
      <c r="E518" s="138"/>
      <c r="F518" s="138"/>
      <c r="G518" s="138"/>
      <c r="H518" s="138"/>
      <c r="L518" s="139"/>
      <c r="M518" s="38"/>
      <c r="N518" s="38"/>
      <c r="O518" s="38"/>
      <c r="P518" s="38"/>
      <c r="Q518" s="38"/>
      <c r="R518" s="38"/>
      <c r="W518" s="139"/>
      <c r="X518" s="38"/>
    </row>
    <row r="519" ht="12.75" customHeight="1">
      <c r="C519" s="138"/>
      <c r="D519" s="138"/>
      <c r="E519" s="138"/>
      <c r="F519" s="138"/>
      <c r="G519" s="138"/>
      <c r="H519" s="138"/>
      <c r="L519" s="139"/>
      <c r="M519" s="38"/>
      <c r="N519" s="38"/>
      <c r="O519" s="38"/>
      <c r="P519" s="38"/>
      <c r="Q519" s="38"/>
      <c r="R519" s="38"/>
      <c r="W519" s="139"/>
      <c r="X519" s="38"/>
    </row>
    <row r="520" ht="12.75" customHeight="1">
      <c r="C520" s="138"/>
      <c r="D520" s="138"/>
      <c r="E520" s="138"/>
      <c r="F520" s="138"/>
      <c r="G520" s="138"/>
      <c r="H520" s="138"/>
      <c r="L520" s="139"/>
      <c r="M520" s="38"/>
      <c r="N520" s="38"/>
      <c r="O520" s="38"/>
      <c r="P520" s="38"/>
      <c r="Q520" s="38"/>
      <c r="R520" s="38"/>
      <c r="W520" s="139"/>
      <c r="X520" s="38"/>
    </row>
    <row r="521" ht="12.75" customHeight="1">
      <c r="C521" s="138"/>
      <c r="D521" s="138"/>
      <c r="E521" s="138"/>
      <c r="F521" s="138"/>
      <c r="G521" s="138"/>
      <c r="H521" s="138"/>
      <c r="L521" s="139"/>
      <c r="M521" s="38"/>
      <c r="N521" s="38"/>
      <c r="O521" s="38"/>
      <c r="P521" s="38"/>
      <c r="Q521" s="38"/>
      <c r="R521" s="38"/>
      <c r="W521" s="139"/>
      <c r="X521" s="38"/>
    </row>
    <row r="522" ht="12.75" customHeight="1">
      <c r="C522" s="138"/>
      <c r="D522" s="138"/>
      <c r="E522" s="138"/>
      <c r="F522" s="138"/>
      <c r="G522" s="138"/>
      <c r="H522" s="138"/>
      <c r="L522" s="139"/>
      <c r="M522" s="38"/>
      <c r="N522" s="38"/>
      <c r="O522" s="38"/>
      <c r="P522" s="38"/>
      <c r="Q522" s="38"/>
      <c r="R522" s="38"/>
      <c r="W522" s="139"/>
      <c r="X522" s="38"/>
    </row>
    <row r="523" ht="12.75" customHeight="1">
      <c r="C523" s="138"/>
      <c r="D523" s="138"/>
      <c r="E523" s="138"/>
      <c r="F523" s="138"/>
      <c r="G523" s="138"/>
      <c r="H523" s="138"/>
      <c r="L523" s="139"/>
      <c r="M523" s="38"/>
      <c r="N523" s="38"/>
      <c r="O523" s="38"/>
      <c r="P523" s="38"/>
      <c r="Q523" s="38"/>
      <c r="R523" s="38"/>
      <c r="W523" s="139"/>
      <c r="X523" s="38"/>
    </row>
    <row r="524" ht="12.75" customHeight="1">
      <c r="C524" s="138"/>
      <c r="D524" s="138"/>
      <c r="E524" s="138"/>
      <c r="F524" s="138"/>
      <c r="G524" s="138"/>
      <c r="H524" s="138"/>
      <c r="L524" s="139"/>
      <c r="M524" s="38"/>
      <c r="N524" s="38"/>
      <c r="O524" s="38"/>
      <c r="P524" s="38"/>
      <c r="Q524" s="38"/>
      <c r="R524" s="38"/>
      <c r="W524" s="139"/>
      <c r="X524" s="38"/>
    </row>
    <row r="525" ht="12.75" customHeight="1">
      <c r="C525" s="138"/>
      <c r="D525" s="138"/>
      <c r="E525" s="138"/>
      <c r="F525" s="138"/>
      <c r="G525" s="138"/>
      <c r="H525" s="138"/>
      <c r="L525" s="139"/>
      <c r="M525" s="38"/>
      <c r="N525" s="38"/>
      <c r="O525" s="38"/>
      <c r="P525" s="38"/>
      <c r="Q525" s="38"/>
      <c r="R525" s="38"/>
      <c r="W525" s="139"/>
      <c r="X525" s="38"/>
    </row>
    <row r="526" ht="12.75" customHeight="1">
      <c r="C526" s="138"/>
      <c r="D526" s="138"/>
      <c r="E526" s="138"/>
      <c r="F526" s="138"/>
      <c r="G526" s="138"/>
      <c r="H526" s="138"/>
      <c r="L526" s="139"/>
      <c r="M526" s="38"/>
      <c r="N526" s="38"/>
      <c r="O526" s="38"/>
      <c r="P526" s="38"/>
      <c r="Q526" s="38"/>
      <c r="R526" s="38"/>
      <c r="W526" s="139"/>
      <c r="X526" s="38"/>
    </row>
    <row r="527" ht="12.75" customHeight="1">
      <c r="C527" s="138"/>
      <c r="D527" s="138"/>
      <c r="E527" s="138"/>
      <c r="F527" s="138"/>
      <c r="G527" s="138"/>
      <c r="H527" s="138"/>
      <c r="L527" s="139"/>
      <c r="M527" s="38"/>
      <c r="N527" s="38"/>
      <c r="O527" s="38"/>
      <c r="P527" s="38"/>
      <c r="Q527" s="38"/>
      <c r="R527" s="38"/>
      <c r="W527" s="139"/>
      <c r="X527" s="38"/>
    </row>
    <row r="528" ht="12.75" customHeight="1">
      <c r="C528" s="138"/>
      <c r="D528" s="138"/>
      <c r="E528" s="138"/>
      <c r="F528" s="138"/>
      <c r="G528" s="138"/>
      <c r="H528" s="138"/>
      <c r="L528" s="139"/>
      <c r="M528" s="38"/>
      <c r="N528" s="38"/>
      <c r="O528" s="38"/>
      <c r="P528" s="38"/>
      <c r="Q528" s="38"/>
      <c r="R528" s="38"/>
      <c r="W528" s="139"/>
      <c r="X528" s="38"/>
    </row>
    <row r="529" ht="12.75" customHeight="1">
      <c r="C529" s="138"/>
      <c r="D529" s="138"/>
      <c r="E529" s="138"/>
      <c r="F529" s="138"/>
      <c r="G529" s="138"/>
      <c r="H529" s="138"/>
      <c r="L529" s="139"/>
      <c r="M529" s="38"/>
      <c r="N529" s="38"/>
      <c r="O529" s="38"/>
      <c r="P529" s="38"/>
      <c r="Q529" s="38"/>
      <c r="R529" s="38"/>
      <c r="W529" s="139"/>
      <c r="X529" s="38"/>
    </row>
    <row r="530" ht="12.75" customHeight="1">
      <c r="C530" s="138"/>
      <c r="D530" s="138"/>
      <c r="E530" s="138"/>
      <c r="F530" s="138"/>
      <c r="G530" s="138"/>
      <c r="H530" s="138"/>
      <c r="L530" s="139"/>
      <c r="M530" s="38"/>
      <c r="N530" s="38"/>
      <c r="O530" s="38"/>
      <c r="P530" s="38"/>
      <c r="Q530" s="38"/>
      <c r="R530" s="38"/>
      <c r="W530" s="139"/>
      <c r="X530" s="38"/>
    </row>
    <row r="531" ht="12.75" customHeight="1">
      <c r="C531" s="138"/>
      <c r="D531" s="138"/>
      <c r="E531" s="138"/>
      <c r="F531" s="138"/>
      <c r="G531" s="138"/>
      <c r="H531" s="138"/>
      <c r="L531" s="139"/>
      <c r="M531" s="38"/>
      <c r="N531" s="38"/>
      <c r="O531" s="38"/>
      <c r="P531" s="38"/>
      <c r="Q531" s="38"/>
      <c r="R531" s="38"/>
      <c r="W531" s="139"/>
      <c r="X531" s="38"/>
    </row>
    <row r="532" ht="12.75" customHeight="1">
      <c r="C532" s="138"/>
      <c r="D532" s="138"/>
      <c r="E532" s="138"/>
      <c r="F532" s="138"/>
      <c r="G532" s="138"/>
      <c r="H532" s="138"/>
      <c r="L532" s="139"/>
      <c r="M532" s="38"/>
      <c r="N532" s="38"/>
      <c r="O532" s="38"/>
      <c r="P532" s="38"/>
      <c r="Q532" s="38"/>
      <c r="R532" s="38"/>
      <c r="W532" s="139"/>
      <c r="X532" s="38"/>
    </row>
    <row r="533" ht="12.75" customHeight="1">
      <c r="C533" s="138"/>
      <c r="D533" s="138"/>
      <c r="E533" s="138"/>
      <c r="F533" s="138"/>
      <c r="G533" s="138"/>
      <c r="H533" s="138"/>
      <c r="L533" s="139"/>
      <c r="M533" s="38"/>
      <c r="N533" s="38"/>
      <c r="O533" s="38"/>
      <c r="P533" s="38"/>
      <c r="Q533" s="38"/>
      <c r="R533" s="38"/>
      <c r="W533" s="139"/>
      <c r="X533" s="38"/>
    </row>
    <row r="534" ht="12.75" customHeight="1">
      <c r="C534" s="138"/>
      <c r="D534" s="138"/>
      <c r="E534" s="138"/>
      <c r="F534" s="138"/>
      <c r="G534" s="138"/>
      <c r="H534" s="138"/>
      <c r="L534" s="139"/>
      <c r="M534" s="38"/>
      <c r="N534" s="38"/>
      <c r="O534" s="38"/>
      <c r="P534" s="38"/>
      <c r="Q534" s="38"/>
      <c r="R534" s="38"/>
      <c r="W534" s="139"/>
      <c r="X534" s="38"/>
    </row>
    <row r="535" ht="12.75" customHeight="1">
      <c r="C535" s="138"/>
      <c r="D535" s="138"/>
      <c r="E535" s="138"/>
      <c r="F535" s="138"/>
      <c r="G535" s="138"/>
      <c r="H535" s="138"/>
      <c r="L535" s="139"/>
      <c r="M535" s="38"/>
      <c r="N535" s="38"/>
      <c r="O535" s="38"/>
      <c r="P535" s="38"/>
      <c r="Q535" s="38"/>
      <c r="R535" s="38"/>
      <c r="W535" s="139"/>
      <c r="X535" s="38"/>
    </row>
    <row r="536" ht="12.75" customHeight="1">
      <c r="C536" s="138"/>
      <c r="D536" s="138"/>
      <c r="E536" s="138"/>
      <c r="F536" s="138"/>
      <c r="G536" s="138"/>
      <c r="H536" s="138"/>
      <c r="L536" s="139"/>
      <c r="M536" s="38"/>
      <c r="N536" s="38"/>
      <c r="O536" s="38"/>
      <c r="P536" s="38"/>
      <c r="Q536" s="38"/>
      <c r="R536" s="38"/>
      <c r="W536" s="139"/>
      <c r="X536" s="38"/>
    </row>
    <row r="537" ht="12.75" customHeight="1">
      <c r="C537" s="138"/>
      <c r="D537" s="138"/>
      <c r="E537" s="138"/>
      <c r="F537" s="138"/>
      <c r="G537" s="138"/>
      <c r="H537" s="138"/>
      <c r="L537" s="139"/>
      <c r="M537" s="38"/>
      <c r="N537" s="38"/>
      <c r="O537" s="38"/>
      <c r="P537" s="38"/>
      <c r="Q537" s="38"/>
      <c r="R537" s="38"/>
      <c r="W537" s="139"/>
      <c r="X537" s="38"/>
    </row>
    <row r="538" ht="12.75" customHeight="1">
      <c r="C538" s="138"/>
      <c r="D538" s="138"/>
      <c r="E538" s="138"/>
      <c r="F538" s="138"/>
      <c r="G538" s="138"/>
      <c r="H538" s="138"/>
      <c r="L538" s="139"/>
      <c r="M538" s="38"/>
      <c r="N538" s="38"/>
      <c r="O538" s="38"/>
      <c r="P538" s="38"/>
      <c r="Q538" s="38"/>
      <c r="R538" s="38"/>
      <c r="W538" s="139"/>
      <c r="X538" s="38"/>
    </row>
    <row r="539" ht="12.75" customHeight="1">
      <c r="C539" s="138"/>
      <c r="D539" s="138"/>
      <c r="E539" s="138"/>
      <c r="F539" s="138"/>
      <c r="G539" s="138"/>
      <c r="H539" s="138"/>
      <c r="L539" s="139"/>
      <c r="M539" s="38"/>
      <c r="N539" s="38"/>
      <c r="O539" s="38"/>
      <c r="P539" s="38"/>
      <c r="Q539" s="38"/>
      <c r="R539" s="38"/>
      <c r="W539" s="139"/>
      <c r="X539" s="38"/>
    </row>
    <row r="540" ht="12.75" customHeight="1">
      <c r="C540" s="138"/>
      <c r="D540" s="138"/>
      <c r="E540" s="138"/>
      <c r="F540" s="138"/>
      <c r="G540" s="138"/>
      <c r="H540" s="138"/>
      <c r="L540" s="139"/>
      <c r="M540" s="38"/>
      <c r="N540" s="38"/>
      <c r="O540" s="38"/>
      <c r="P540" s="38"/>
      <c r="Q540" s="38"/>
      <c r="R540" s="38"/>
      <c r="W540" s="139"/>
      <c r="X540" s="38"/>
    </row>
    <row r="541" ht="12.75" customHeight="1">
      <c r="C541" s="138"/>
      <c r="D541" s="138"/>
      <c r="E541" s="138"/>
      <c r="F541" s="138"/>
      <c r="G541" s="138"/>
      <c r="H541" s="138"/>
      <c r="L541" s="139"/>
      <c r="M541" s="38"/>
      <c r="N541" s="38"/>
      <c r="O541" s="38"/>
      <c r="P541" s="38"/>
      <c r="Q541" s="38"/>
      <c r="R541" s="38"/>
      <c r="W541" s="139"/>
      <c r="X541" s="38"/>
    </row>
    <row r="542" ht="12.75" customHeight="1">
      <c r="C542" s="138"/>
      <c r="D542" s="138"/>
      <c r="E542" s="138"/>
      <c r="F542" s="138"/>
      <c r="G542" s="138"/>
      <c r="H542" s="138"/>
      <c r="L542" s="139"/>
      <c r="M542" s="38"/>
      <c r="N542" s="38"/>
      <c r="O542" s="38"/>
      <c r="P542" s="38"/>
      <c r="Q542" s="38"/>
      <c r="R542" s="38"/>
      <c r="W542" s="139"/>
      <c r="X542" s="38"/>
    </row>
    <row r="543" ht="12.75" customHeight="1">
      <c r="C543" s="138"/>
      <c r="D543" s="138"/>
      <c r="E543" s="138"/>
      <c r="F543" s="138"/>
      <c r="G543" s="138"/>
      <c r="H543" s="138"/>
      <c r="L543" s="139"/>
      <c r="M543" s="38"/>
      <c r="N543" s="38"/>
      <c r="O543" s="38"/>
      <c r="P543" s="38"/>
      <c r="Q543" s="38"/>
      <c r="R543" s="38"/>
      <c r="W543" s="139"/>
      <c r="X543" s="38"/>
    </row>
    <row r="544" ht="12.75" customHeight="1">
      <c r="C544" s="138"/>
      <c r="D544" s="138"/>
      <c r="E544" s="138"/>
      <c r="F544" s="138"/>
      <c r="G544" s="138"/>
      <c r="H544" s="138"/>
      <c r="L544" s="139"/>
      <c r="M544" s="38"/>
      <c r="N544" s="38"/>
      <c r="O544" s="38"/>
      <c r="P544" s="38"/>
      <c r="Q544" s="38"/>
      <c r="R544" s="38"/>
      <c r="W544" s="139"/>
      <c r="X544" s="38"/>
    </row>
    <row r="545" ht="12.75" customHeight="1">
      <c r="C545" s="138"/>
      <c r="D545" s="138"/>
      <c r="E545" s="138"/>
      <c r="F545" s="138"/>
      <c r="G545" s="138"/>
      <c r="H545" s="138"/>
      <c r="L545" s="139"/>
      <c r="M545" s="38"/>
      <c r="N545" s="38"/>
      <c r="O545" s="38"/>
      <c r="P545" s="38"/>
      <c r="Q545" s="38"/>
      <c r="R545" s="38"/>
      <c r="W545" s="139"/>
      <c r="X545" s="38"/>
    </row>
    <row r="546" ht="12.75" customHeight="1">
      <c r="C546" s="138"/>
      <c r="D546" s="138"/>
      <c r="E546" s="138"/>
      <c r="F546" s="138"/>
      <c r="G546" s="138"/>
      <c r="H546" s="138"/>
      <c r="L546" s="139"/>
      <c r="M546" s="38"/>
      <c r="N546" s="38"/>
      <c r="O546" s="38"/>
      <c r="P546" s="38"/>
      <c r="Q546" s="38"/>
      <c r="R546" s="38"/>
      <c r="W546" s="139"/>
      <c r="X546" s="38"/>
    </row>
    <row r="547" ht="12.75" customHeight="1">
      <c r="C547" s="138"/>
      <c r="D547" s="138"/>
      <c r="E547" s="138"/>
      <c r="F547" s="138"/>
      <c r="G547" s="138"/>
      <c r="H547" s="138"/>
      <c r="L547" s="139"/>
      <c r="M547" s="38"/>
      <c r="N547" s="38"/>
      <c r="O547" s="38"/>
      <c r="P547" s="38"/>
      <c r="Q547" s="38"/>
      <c r="R547" s="38"/>
      <c r="W547" s="139"/>
      <c r="X547" s="38"/>
    </row>
    <row r="548" ht="12.75" customHeight="1">
      <c r="C548" s="138"/>
      <c r="D548" s="138"/>
      <c r="E548" s="138"/>
      <c r="F548" s="138"/>
      <c r="G548" s="138"/>
      <c r="H548" s="138"/>
      <c r="L548" s="139"/>
      <c r="M548" s="38"/>
      <c r="N548" s="38"/>
      <c r="O548" s="38"/>
      <c r="P548" s="38"/>
      <c r="Q548" s="38"/>
      <c r="R548" s="38"/>
      <c r="W548" s="139"/>
      <c r="X548" s="38"/>
    </row>
    <row r="549" ht="12.75" customHeight="1">
      <c r="C549" s="138"/>
      <c r="D549" s="138"/>
      <c r="E549" s="138"/>
      <c r="F549" s="138"/>
      <c r="G549" s="138"/>
      <c r="H549" s="138"/>
      <c r="L549" s="139"/>
      <c r="M549" s="38"/>
      <c r="N549" s="38"/>
      <c r="O549" s="38"/>
      <c r="P549" s="38"/>
      <c r="Q549" s="38"/>
      <c r="R549" s="38"/>
      <c r="W549" s="139"/>
      <c r="X549" s="38"/>
    </row>
    <row r="550" ht="12.75" customHeight="1">
      <c r="C550" s="138"/>
      <c r="D550" s="138"/>
      <c r="E550" s="138"/>
      <c r="F550" s="138"/>
      <c r="G550" s="138"/>
      <c r="H550" s="138"/>
      <c r="L550" s="139"/>
      <c r="M550" s="38"/>
      <c r="N550" s="38"/>
      <c r="O550" s="38"/>
      <c r="P550" s="38"/>
      <c r="Q550" s="38"/>
      <c r="R550" s="38"/>
      <c r="W550" s="139"/>
      <c r="X550" s="38"/>
    </row>
    <row r="551" ht="12.75" customHeight="1">
      <c r="C551" s="138"/>
      <c r="D551" s="138"/>
      <c r="E551" s="138"/>
      <c r="F551" s="138"/>
      <c r="G551" s="138"/>
      <c r="H551" s="138"/>
      <c r="L551" s="139"/>
      <c r="M551" s="38"/>
      <c r="N551" s="38"/>
      <c r="O551" s="38"/>
      <c r="P551" s="38"/>
      <c r="Q551" s="38"/>
      <c r="R551" s="38"/>
      <c r="W551" s="139"/>
      <c r="X551" s="38"/>
    </row>
    <row r="552" ht="12.75" customHeight="1">
      <c r="C552" s="138"/>
      <c r="D552" s="138"/>
      <c r="E552" s="138"/>
      <c r="F552" s="138"/>
      <c r="G552" s="138"/>
      <c r="H552" s="138"/>
      <c r="L552" s="139"/>
      <c r="M552" s="38"/>
      <c r="N552" s="38"/>
      <c r="O552" s="38"/>
      <c r="P552" s="38"/>
      <c r="Q552" s="38"/>
      <c r="R552" s="38"/>
      <c r="W552" s="139"/>
      <c r="X552" s="38"/>
    </row>
    <row r="553" ht="12.75" customHeight="1">
      <c r="C553" s="138"/>
      <c r="D553" s="138"/>
      <c r="E553" s="138"/>
      <c r="F553" s="138"/>
      <c r="G553" s="138"/>
      <c r="H553" s="138"/>
      <c r="L553" s="139"/>
      <c r="M553" s="38"/>
      <c r="N553" s="38"/>
      <c r="O553" s="38"/>
      <c r="P553" s="38"/>
      <c r="Q553" s="38"/>
      <c r="R553" s="38"/>
      <c r="W553" s="139"/>
      <c r="X553" s="38"/>
    </row>
    <row r="554" ht="12.75" customHeight="1">
      <c r="C554" s="138"/>
      <c r="D554" s="138"/>
      <c r="E554" s="138"/>
      <c r="F554" s="138"/>
      <c r="G554" s="138"/>
      <c r="H554" s="138"/>
      <c r="L554" s="139"/>
      <c r="M554" s="38"/>
      <c r="N554" s="38"/>
      <c r="O554" s="38"/>
      <c r="P554" s="38"/>
      <c r="Q554" s="38"/>
      <c r="R554" s="38"/>
      <c r="W554" s="139"/>
      <c r="X554" s="38"/>
    </row>
    <row r="555" ht="12.75" customHeight="1">
      <c r="C555" s="138"/>
      <c r="D555" s="138"/>
      <c r="E555" s="138"/>
      <c r="F555" s="138"/>
      <c r="G555" s="138"/>
      <c r="H555" s="138"/>
      <c r="L555" s="139"/>
      <c r="M555" s="38"/>
      <c r="N555" s="38"/>
      <c r="O555" s="38"/>
      <c r="P555" s="38"/>
      <c r="Q555" s="38"/>
      <c r="R555" s="38"/>
      <c r="W555" s="139"/>
      <c r="X555" s="38"/>
    </row>
    <row r="556" ht="12.75" customHeight="1">
      <c r="C556" s="138"/>
      <c r="D556" s="138"/>
      <c r="E556" s="138"/>
      <c r="F556" s="138"/>
      <c r="G556" s="138"/>
      <c r="H556" s="138"/>
      <c r="L556" s="139"/>
      <c r="M556" s="38"/>
      <c r="N556" s="38"/>
      <c r="O556" s="38"/>
      <c r="P556" s="38"/>
      <c r="Q556" s="38"/>
      <c r="R556" s="38"/>
      <c r="W556" s="139"/>
      <c r="X556" s="38"/>
    </row>
    <row r="557" ht="12.75" customHeight="1">
      <c r="C557" s="138"/>
      <c r="D557" s="138"/>
      <c r="E557" s="138"/>
      <c r="F557" s="138"/>
      <c r="G557" s="138"/>
      <c r="H557" s="138"/>
      <c r="L557" s="139"/>
      <c r="M557" s="38"/>
      <c r="N557" s="38"/>
      <c r="O557" s="38"/>
      <c r="P557" s="38"/>
      <c r="Q557" s="38"/>
      <c r="R557" s="38"/>
      <c r="W557" s="139"/>
      <c r="X557" s="38"/>
    </row>
    <row r="558" ht="12.75" customHeight="1">
      <c r="C558" s="138"/>
      <c r="D558" s="138"/>
      <c r="E558" s="138"/>
      <c r="F558" s="138"/>
      <c r="G558" s="138"/>
      <c r="H558" s="138"/>
      <c r="L558" s="139"/>
      <c r="M558" s="38"/>
      <c r="N558" s="38"/>
      <c r="O558" s="38"/>
      <c r="P558" s="38"/>
      <c r="Q558" s="38"/>
      <c r="R558" s="38"/>
      <c r="W558" s="139"/>
      <c r="X558" s="38"/>
    </row>
    <row r="559" ht="12.75" customHeight="1">
      <c r="C559" s="138"/>
      <c r="D559" s="138"/>
      <c r="E559" s="138"/>
      <c r="F559" s="138"/>
      <c r="G559" s="138"/>
      <c r="H559" s="138"/>
      <c r="L559" s="139"/>
      <c r="M559" s="38"/>
      <c r="N559" s="38"/>
      <c r="O559" s="38"/>
      <c r="P559" s="38"/>
      <c r="Q559" s="38"/>
      <c r="R559" s="38"/>
      <c r="W559" s="139"/>
      <c r="X559" s="38"/>
    </row>
    <row r="560" ht="12.75" customHeight="1">
      <c r="C560" s="138"/>
      <c r="D560" s="138"/>
      <c r="E560" s="138"/>
      <c r="F560" s="138"/>
      <c r="G560" s="138"/>
      <c r="H560" s="138"/>
      <c r="L560" s="139"/>
      <c r="M560" s="38"/>
      <c r="N560" s="38"/>
      <c r="O560" s="38"/>
      <c r="P560" s="38"/>
      <c r="Q560" s="38"/>
      <c r="R560" s="38"/>
      <c r="W560" s="139"/>
      <c r="X560" s="38"/>
    </row>
    <row r="561" ht="12.75" customHeight="1">
      <c r="C561" s="138"/>
      <c r="D561" s="138"/>
      <c r="E561" s="138"/>
      <c r="F561" s="138"/>
      <c r="G561" s="138"/>
      <c r="H561" s="138"/>
      <c r="L561" s="139"/>
      <c r="M561" s="38"/>
      <c r="N561" s="38"/>
      <c r="O561" s="38"/>
      <c r="P561" s="38"/>
      <c r="Q561" s="38"/>
      <c r="R561" s="38"/>
      <c r="W561" s="139"/>
      <c r="X561" s="38"/>
    </row>
    <row r="562" ht="12.75" customHeight="1">
      <c r="C562" s="138"/>
      <c r="D562" s="138"/>
      <c r="E562" s="138"/>
      <c r="F562" s="138"/>
      <c r="G562" s="138"/>
      <c r="H562" s="138"/>
      <c r="L562" s="139"/>
      <c r="M562" s="38"/>
      <c r="N562" s="38"/>
      <c r="O562" s="38"/>
      <c r="P562" s="38"/>
      <c r="Q562" s="38"/>
      <c r="R562" s="38"/>
      <c r="W562" s="139"/>
      <c r="X562" s="38"/>
    </row>
    <row r="563" ht="12.75" customHeight="1">
      <c r="C563" s="138"/>
      <c r="D563" s="138"/>
      <c r="E563" s="138"/>
      <c r="F563" s="138"/>
      <c r="G563" s="138"/>
      <c r="H563" s="138"/>
      <c r="L563" s="139"/>
      <c r="M563" s="38"/>
      <c r="N563" s="38"/>
      <c r="O563" s="38"/>
      <c r="P563" s="38"/>
      <c r="Q563" s="38"/>
      <c r="R563" s="38"/>
      <c r="W563" s="139"/>
      <c r="X563" s="38"/>
    </row>
    <row r="564" ht="12.75" customHeight="1">
      <c r="C564" s="138"/>
      <c r="D564" s="138"/>
      <c r="E564" s="138"/>
      <c r="F564" s="138"/>
      <c r="G564" s="138"/>
      <c r="H564" s="138"/>
      <c r="L564" s="139"/>
      <c r="M564" s="38"/>
      <c r="N564" s="38"/>
      <c r="O564" s="38"/>
      <c r="P564" s="38"/>
      <c r="Q564" s="38"/>
      <c r="R564" s="38"/>
      <c r="W564" s="139"/>
      <c r="X564" s="38"/>
    </row>
    <row r="565" ht="12.75" customHeight="1">
      <c r="C565" s="138"/>
      <c r="D565" s="138"/>
      <c r="E565" s="138"/>
      <c r="F565" s="138"/>
      <c r="G565" s="138"/>
      <c r="H565" s="138"/>
      <c r="L565" s="139"/>
      <c r="M565" s="38"/>
      <c r="N565" s="38"/>
      <c r="O565" s="38"/>
      <c r="P565" s="38"/>
      <c r="Q565" s="38"/>
      <c r="R565" s="38"/>
      <c r="W565" s="139"/>
      <c r="X565" s="38"/>
    </row>
    <row r="566" ht="12.75" customHeight="1">
      <c r="C566" s="138"/>
      <c r="D566" s="138"/>
      <c r="E566" s="138"/>
      <c r="F566" s="138"/>
      <c r="G566" s="138"/>
      <c r="H566" s="138"/>
      <c r="L566" s="139"/>
      <c r="M566" s="38"/>
      <c r="N566" s="38"/>
      <c r="O566" s="38"/>
      <c r="P566" s="38"/>
      <c r="Q566" s="38"/>
      <c r="R566" s="38"/>
      <c r="W566" s="139"/>
      <c r="X566" s="38"/>
    </row>
    <row r="567" ht="12.75" customHeight="1">
      <c r="C567" s="138"/>
      <c r="D567" s="138"/>
      <c r="E567" s="138"/>
      <c r="F567" s="138"/>
      <c r="G567" s="138"/>
      <c r="H567" s="138"/>
      <c r="L567" s="139"/>
      <c r="M567" s="38"/>
      <c r="N567" s="38"/>
      <c r="O567" s="38"/>
      <c r="P567" s="38"/>
      <c r="Q567" s="38"/>
      <c r="R567" s="38"/>
      <c r="W567" s="139"/>
      <c r="X567" s="38"/>
    </row>
    <row r="568" ht="12.75" customHeight="1">
      <c r="C568" s="138"/>
      <c r="D568" s="138"/>
      <c r="E568" s="138"/>
      <c r="F568" s="138"/>
      <c r="G568" s="138"/>
      <c r="H568" s="138"/>
      <c r="L568" s="139"/>
      <c r="M568" s="38"/>
      <c r="N568" s="38"/>
      <c r="O568" s="38"/>
      <c r="P568" s="38"/>
      <c r="Q568" s="38"/>
      <c r="R568" s="38"/>
      <c r="W568" s="139"/>
      <c r="X568" s="38"/>
    </row>
    <row r="569" ht="12.75" customHeight="1">
      <c r="C569" s="138"/>
      <c r="D569" s="138"/>
      <c r="E569" s="138"/>
      <c r="F569" s="138"/>
      <c r="G569" s="138"/>
      <c r="H569" s="138"/>
      <c r="L569" s="139"/>
      <c r="M569" s="38"/>
      <c r="N569" s="38"/>
      <c r="O569" s="38"/>
      <c r="P569" s="38"/>
      <c r="Q569" s="38"/>
      <c r="R569" s="38"/>
      <c r="W569" s="139"/>
      <c r="X569" s="38"/>
    </row>
    <row r="570" ht="12.75" customHeight="1">
      <c r="C570" s="138"/>
      <c r="D570" s="138"/>
      <c r="E570" s="138"/>
      <c r="F570" s="138"/>
      <c r="G570" s="138"/>
      <c r="H570" s="138"/>
      <c r="L570" s="139"/>
      <c r="M570" s="38"/>
      <c r="N570" s="38"/>
      <c r="O570" s="38"/>
      <c r="P570" s="38"/>
      <c r="Q570" s="38"/>
      <c r="R570" s="38"/>
      <c r="W570" s="139"/>
      <c r="X570" s="38"/>
    </row>
    <row r="571" ht="12.75" customHeight="1">
      <c r="C571" s="138"/>
      <c r="D571" s="138"/>
      <c r="E571" s="138"/>
      <c r="F571" s="138"/>
      <c r="G571" s="138"/>
      <c r="H571" s="138"/>
      <c r="L571" s="139"/>
      <c r="M571" s="38"/>
      <c r="N571" s="38"/>
      <c r="O571" s="38"/>
      <c r="P571" s="38"/>
      <c r="Q571" s="38"/>
      <c r="R571" s="38"/>
      <c r="W571" s="139"/>
      <c r="X571" s="38"/>
    </row>
    <row r="572" ht="12.75" customHeight="1">
      <c r="C572" s="138"/>
      <c r="D572" s="138"/>
      <c r="E572" s="138"/>
      <c r="F572" s="138"/>
      <c r="G572" s="138"/>
      <c r="H572" s="138"/>
      <c r="L572" s="139"/>
      <c r="M572" s="38"/>
      <c r="N572" s="38"/>
      <c r="O572" s="38"/>
      <c r="P572" s="38"/>
      <c r="Q572" s="38"/>
      <c r="R572" s="38"/>
      <c r="W572" s="139"/>
      <c r="X572" s="38"/>
    </row>
    <row r="573" ht="12.75" customHeight="1">
      <c r="C573" s="138"/>
      <c r="D573" s="138"/>
      <c r="E573" s="138"/>
      <c r="F573" s="138"/>
      <c r="G573" s="138"/>
      <c r="H573" s="138"/>
      <c r="L573" s="139"/>
      <c r="M573" s="38"/>
      <c r="N573" s="38"/>
      <c r="O573" s="38"/>
      <c r="P573" s="38"/>
      <c r="Q573" s="38"/>
      <c r="R573" s="38"/>
      <c r="W573" s="139"/>
      <c r="X573" s="38"/>
    </row>
    <row r="574" ht="12.75" customHeight="1">
      <c r="C574" s="138"/>
      <c r="D574" s="138"/>
      <c r="E574" s="138"/>
      <c r="F574" s="138"/>
      <c r="G574" s="138"/>
      <c r="H574" s="138"/>
      <c r="L574" s="139"/>
      <c r="M574" s="38"/>
      <c r="N574" s="38"/>
      <c r="O574" s="38"/>
      <c r="P574" s="38"/>
      <c r="Q574" s="38"/>
      <c r="R574" s="38"/>
      <c r="W574" s="139"/>
      <c r="X574" s="38"/>
    </row>
    <row r="575" ht="12.75" customHeight="1">
      <c r="C575" s="138"/>
      <c r="D575" s="138"/>
      <c r="E575" s="138"/>
      <c r="F575" s="138"/>
      <c r="G575" s="138"/>
      <c r="H575" s="138"/>
      <c r="L575" s="139"/>
      <c r="M575" s="38"/>
      <c r="N575" s="38"/>
      <c r="O575" s="38"/>
      <c r="P575" s="38"/>
      <c r="Q575" s="38"/>
      <c r="R575" s="38"/>
      <c r="W575" s="139"/>
      <c r="X575" s="38"/>
    </row>
    <row r="576" ht="12.75" customHeight="1">
      <c r="C576" s="138"/>
      <c r="D576" s="138"/>
      <c r="E576" s="138"/>
      <c r="F576" s="138"/>
      <c r="G576" s="138"/>
      <c r="H576" s="138"/>
      <c r="L576" s="139"/>
      <c r="M576" s="38"/>
      <c r="N576" s="38"/>
      <c r="O576" s="38"/>
      <c r="P576" s="38"/>
      <c r="Q576" s="38"/>
      <c r="R576" s="38"/>
      <c r="W576" s="139"/>
      <c r="X576" s="38"/>
    </row>
    <row r="577" ht="12.75" customHeight="1">
      <c r="C577" s="138"/>
      <c r="D577" s="138"/>
      <c r="E577" s="138"/>
      <c r="F577" s="138"/>
      <c r="G577" s="138"/>
      <c r="H577" s="138"/>
      <c r="L577" s="139"/>
      <c r="M577" s="38"/>
      <c r="N577" s="38"/>
      <c r="O577" s="38"/>
      <c r="P577" s="38"/>
      <c r="Q577" s="38"/>
      <c r="R577" s="38"/>
      <c r="W577" s="139"/>
      <c r="X577" s="38"/>
    </row>
    <row r="578" ht="12.75" customHeight="1">
      <c r="C578" s="138"/>
      <c r="D578" s="138"/>
      <c r="E578" s="138"/>
      <c r="F578" s="138"/>
      <c r="G578" s="138"/>
      <c r="H578" s="138"/>
      <c r="L578" s="139"/>
      <c r="M578" s="38"/>
      <c r="N578" s="38"/>
      <c r="O578" s="38"/>
      <c r="P578" s="38"/>
      <c r="Q578" s="38"/>
      <c r="R578" s="38"/>
      <c r="W578" s="139"/>
      <c r="X578" s="38"/>
    </row>
    <row r="579" ht="12.75" customHeight="1">
      <c r="C579" s="138"/>
      <c r="D579" s="138"/>
      <c r="E579" s="138"/>
      <c r="F579" s="138"/>
      <c r="G579" s="138"/>
      <c r="H579" s="138"/>
      <c r="L579" s="139"/>
      <c r="M579" s="38"/>
      <c r="N579" s="38"/>
      <c r="O579" s="38"/>
      <c r="P579" s="38"/>
      <c r="Q579" s="38"/>
      <c r="R579" s="38"/>
      <c r="W579" s="139"/>
      <c r="X579" s="38"/>
    </row>
    <row r="580" ht="12.75" customHeight="1">
      <c r="C580" s="138"/>
      <c r="D580" s="138"/>
      <c r="E580" s="138"/>
      <c r="F580" s="138"/>
      <c r="G580" s="138"/>
      <c r="H580" s="138"/>
      <c r="L580" s="139"/>
      <c r="M580" s="38"/>
      <c r="N580" s="38"/>
      <c r="O580" s="38"/>
      <c r="P580" s="38"/>
      <c r="Q580" s="38"/>
      <c r="R580" s="38"/>
      <c r="W580" s="139"/>
      <c r="X580" s="38"/>
    </row>
    <row r="581" ht="12.75" customHeight="1">
      <c r="C581" s="138"/>
      <c r="D581" s="138"/>
      <c r="E581" s="138"/>
      <c r="F581" s="138"/>
      <c r="G581" s="138"/>
      <c r="H581" s="138"/>
      <c r="L581" s="139"/>
      <c r="M581" s="38"/>
      <c r="N581" s="38"/>
      <c r="O581" s="38"/>
      <c r="P581" s="38"/>
      <c r="Q581" s="38"/>
      <c r="R581" s="38"/>
      <c r="W581" s="139"/>
      <c r="X581" s="38"/>
    </row>
    <row r="582" ht="12.75" customHeight="1">
      <c r="C582" s="138"/>
      <c r="D582" s="138"/>
      <c r="E582" s="138"/>
      <c r="F582" s="138"/>
      <c r="G582" s="138"/>
      <c r="H582" s="138"/>
      <c r="L582" s="139"/>
      <c r="M582" s="38"/>
      <c r="N582" s="38"/>
      <c r="O582" s="38"/>
      <c r="P582" s="38"/>
      <c r="Q582" s="38"/>
      <c r="R582" s="38"/>
      <c r="W582" s="139"/>
      <c r="X582" s="38"/>
    </row>
    <row r="583" ht="12.75" customHeight="1">
      <c r="C583" s="138"/>
      <c r="D583" s="138"/>
      <c r="E583" s="138"/>
      <c r="F583" s="138"/>
      <c r="G583" s="138"/>
      <c r="H583" s="138"/>
      <c r="L583" s="139"/>
      <c r="M583" s="38"/>
      <c r="N583" s="38"/>
      <c r="O583" s="38"/>
      <c r="P583" s="38"/>
      <c r="Q583" s="38"/>
      <c r="R583" s="38"/>
      <c r="W583" s="139"/>
      <c r="X583" s="38"/>
    </row>
    <row r="584" ht="12.75" customHeight="1">
      <c r="C584" s="138"/>
      <c r="D584" s="138"/>
      <c r="E584" s="138"/>
      <c r="F584" s="138"/>
      <c r="G584" s="138"/>
      <c r="H584" s="138"/>
      <c r="L584" s="139"/>
      <c r="M584" s="38"/>
      <c r="N584" s="38"/>
      <c r="O584" s="38"/>
      <c r="P584" s="38"/>
      <c r="Q584" s="38"/>
      <c r="R584" s="38"/>
      <c r="W584" s="139"/>
      <c r="X584" s="38"/>
    </row>
    <row r="585" ht="12.75" customHeight="1">
      <c r="C585" s="138"/>
      <c r="D585" s="138"/>
      <c r="E585" s="138"/>
      <c r="F585" s="138"/>
      <c r="G585" s="138"/>
      <c r="H585" s="138"/>
      <c r="L585" s="139"/>
      <c r="M585" s="38"/>
      <c r="N585" s="38"/>
      <c r="O585" s="38"/>
      <c r="P585" s="38"/>
      <c r="Q585" s="38"/>
      <c r="R585" s="38"/>
      <c r="W585" s="139"/>
      <c r="X585" s="38"/>
    </row>
    <row r="586" ht="12.75" customHeight="1">
      <c r="C586" s="138"/>
      <c r="D586" s="138"/>
      <c r="E586" s="138"/>
      <c r="F586" s="138"/>
      <c r="G586" s="138"/>
      <c r="H586" s="138"/>
      <c r="L586" s="139"/>
      <c r="M586" s="38"/>
      <c r="N586" s="38"/>
      <c r="O586" s="38"/>
      <c r="P586" s="38"/>
      <c r="Q586" s="38"/>
      <c r="R586" s="38"/>
      <c r="W586" s="139"/>
      <c r="X586" s="38"/>
    </row>
    <row r="587" ht="12.75" customHeight="1">
      <c r="C587" s="138"/>
      <c r="D587" s="138"/>
      <c r="E587" s="138"/>
      <c r="F587" s="138"/>
      <c r="G587" s="138"/>
      <c r="H587" s="138"/>
      <c r="L587" s="139"/>
      <c r="M587" s="38"/>
      <c r="N587" s="38"/>
      <c r="O587" s="38"/>
      <c r="P587" s="38"/>
      <c r="Q587" s="38"/>
      <c r="R587" s="38"/>
      <c r="W587" s="139"/>
      <c r="X587" s="38"/>
    </row>
    <row r="588" ht="12.75" customHeight="1">
      <c r="C588" s="138"/>
      <c r="D588" s="138"/>
      <c r="E588" s="138"/>
      <c r="F588" s="138"/>
      <c r="G588" s="138"/>
      <c r="H588" s="138"/>
      <c r="L588" s="139"/>
      <c r="M588" s="38"/>
      <c r="N588" s="38"/>
      <c r="O588" s="38"/>
      <c r="P588" s="38"/>
      <c r="Q588" s="38"/>
      <c r="R588" s="38"/>
      <c r="W588" s="139"/>
      <c r="X588" s="38"/>
    </row>
    <row r="589" ht="12.75" customHeight="1">
      <c r="C589" s="138"/>
      <c r="D589" s="138"/>
      <c r="E589" s="138"/>
      <c r="F589" s="138"/>
      <c r="G589" s="138"/>
      <c r="H589" s="138"/>
      <c r="L589" s="139"/>
      <c r="M589" s="38"/>
      <c r="N589" s="38"/>
      <c r="O589" s="38"/>
      <c r="P589" s="38"/>
      <c r="Q589" s="38"/>
      <c r="R589" s="38"/>
      <c r="W589" s="139"/>
      <c r="X589" s="38"/>
    </row>
    <row r="590" ht="12.75" customHeight="1">
      <c r="C590" s="138"/>
      <c r="D590" s="138"/>
      <c r="E590" s="138"/>
      <c r="F590" s="138"/>
      <c r="G590" s="138"/>
      <c r="H590" s="138"/>
      <c r="L590" s="139"/>
      <c r="M590" s="38"/>
      <c r="N590" s="38"/>
      <c r="O590" s="38"/>
      <c r="P590" s="38"/>
      <c r="Q590" s="38"/>
      <c r="R590" s="38"/>
      <c r="W590" s="139"/>
      <c r="X590" s="38"/>
    </row>
    <row r="591" ht="12.75" customHeight="1">
      <c r="C591" s="138"/>
      <c r="D591" s="138"/>
      <c r="E591" s="138"/>
      <c r="F591" s="138"/>
      <c r="G591" s="138"/>
      <c r="H591" s="138"/>
      <c r="L591" s="139"/>
      <c r="M591" s="38"/>
      <c r="N591" s="38"/>
      <c r="O591" s="38"/>
      <c r="P591" s="38"/>
      <c r="Q591" s="38"/>
      <c r="R591" s="38"/>
      <c r="W591" s="139"/>
      <c r="X591" s="38"/>
    </row>
    <row r="592" ht="12.75" customHeight="1">
      <c r="C592" s="138"/>
      <c r="D592" s="138"/>
      <c r="E592" s="138"/>
      <c r="F592" s="138"/>
      <c r="G592" s="138"/>
      <c r="H592" s="138"/>
      <c r="L592" s="139"/>
      <c r="M592" s="38"/>
      <c r="N592" s="38"/>
      <c r="O592" s="38"/>
      <c r="P592" s="38"/>
      <c r="Q592" s="38"/>
      <c r="R592" s="38"/>
      <c r="W592" s="139"/>
      <c r="X592" s="38"/>
    </row>
    <row r="593" ht="12.75" customHeight="1">
      <c r="C593" s="138"/>
      <c r="D593" s="138"/>
      <c r="E593" s="138"/>
      <c r="F593" s="138"/>
      <c r="G593" s="138"/>
      <c r="H593" s="138"/>
      <c r="L593" s="139"/>
      <c r="M593" s="38"/>
      <c r="N593" s="38"/>
      <c r="O593" s="38"/>
      <c r="P593" s="38"/>
      <c r="Q593" s="38"/>
      <c r="R593" s="38"/>
      <c r="W593" s="139"/>
      <c r="X593" s="38"/>
    </row>
    <row r="594" ht="12.75" customHeight="1">
      <c r="C594" s="138"/>
      <c r="D594" s="138"/>
      <c r="E594" s="138"/>
      <c r="F594" s="138"/>
      <c r="G594" s="138"/>
      <c r="H594" s="138"/>
      <c r="L594" s="139"/>
      <c r="M594" s="38"/>
      <c r="N594" s="38"/>
      <c r="O594" s="38"/>
      <c r="P594" s="38"/>
      <c r="Q594" s="38"/>
      <c r="R594" s="38"/>
      <c r="W594" s="139"/>
      <c r="X594" s="38"/>
    </row>
    <row r="595" ht="12.75" customHeight="1">
      <c r="C595" s="138"/>
      <c r="D595" s="138"/>
      <c r="E595" s="138"/>
      <c r="F595" s="138"/>
      <c r="G595" s="138"/>
      <c r="H595" s="138"/>
      <c r="L595" s="139"/>
      <c r="M595" s="38"/>
      <c r="N595" s="38"/>
      <c r="O595" s="38"/>
      <c r="P595" s="38"/>
      <c r="Q595" s="38"/>
      <c r="R595" s="38"/>
      <c r="W595" s="139"/>
      <c r="X595" s="38"/>
    </row>
    <row r="596" ht="12.75" customHeight="1">
      <c r="C596" s="138"/>
      <c r="D596" s="138"/>
      <c r="E596" s="138"/>
      <c r="F596" s="138"/>
      <c r="G596" s="138"/>
      <c r="H596" s="138"/>
      <c r="L596" s="139"/>
      <c r="M596" s="38"/>
      <c r="N596" s="38"/>
      <c r="O596" s="38"/>
      <c r="P596" s="38"/>
      <c r="Q596" s="38"/>
      <c r="R596" s="38"/>
      <c r="W596" s="139"/>
      <c r="X596" s="38"/>
    </row>
    <row r="597" ht="12.75" customHeight="1">
      <c r="C597" s="138"/>
      <c r="D597" s="138"/>
      <c r="E597" s="138"/>
      <c r="F597" s="138"/>
      <c r="G597" s="138"/>
      <c r="H597" s="138"/>
      <c r="L597" s="139"/>
      <c r="M597" s="38"/>
      <c r="N597" s="38"/>
      <c r="O597" s="38"/>
      <c r="P597" s="38"/>
      <c r="Q597" s="38"/>
      <c r="R597" s="38"/>
      <c r="W597" s="139"/>
      <c r="X597" s="38"/>
    </row>
    <row r="598" ht="12.75" customHeight="1">
      <c r="C598" s="138"/>
      <c r="D598" s="138"/>
      <c r="E598" s="138"/>
      <c r="F598" s="138"/>
      <c r="G598" s="138"/>
      <c r="H598" s="138"/>
      <c r="L598" s="139"/>
      <c r="M598" s="38"/>
      <c r="N598" s="38"/>
      <c r="O598" s="38"/>
      <c r="P598" s="38"/>
      <c r="Q598" s="38"/>
      <c r="R598" s="38"/>
      <c r="W598" s="139"/>
      <c r="X598" s="38"/>
    </row>
    <row r="599" ht="12.75" customHeight="1">
      <c r="C599" s="138"/>
      <c r="D599" s="138"/>
      <c r="E599" s="138"/>
      <c r="F599" s="138"/>
      <c r="G599" s="138"/>
      <c r="H599" s="138"/>
      <c r="L599" s="139"/>
      <c r="M599" s="38"/>
      <c r="N599" s="38"/>
      <c r="O599" s="38"/>
      <c r="P599" s="38"/>
      <c r="Q599" s="38"/>
      <c r="R599" s="38"/>
      <c r="W599" s="139"/>
      <c r="X599" s="38"/>
    </row>
    <row r="600" ht="12.75" customHeight="1">
      <c r="C600" s="138"/>
      <c r="D600" s="138"/>
      <c r="E600" s="138"/>
      <c r="F600" s="138"/>
      <c r="G600" s="138"/>
      <c r="H600" s="138"/>
      <c r="L600" s="139"/>
      <c r="M600" s="38"/>
      <c r="N600" s="38"/>
      <c r="O600" s="38"/>
      <c r="P600" s="38"/>
      <c r="Q600" s="38"/>
      <c r="R600" s="38"/>
      <c r="W600" s="139"/>
      <c r="X600" s="38"/>
    </row>
    <row r="601" ht="12.75" customHeight="1">
      <c r="C601" s="138"/>
      <c r="D601" s="138"/>
      <c r="E601" s="138"/>
      <c r="F601" s="138"/>
      <c r="G601" s="138"/>
      <c r="H601" s="138"/>
      <c r="L601" s="139"/>
      <c r="M601" s="38"/>
      <c r="N601" s="38"/>
      <c r="O601" s="38"/>
      <c r="P601" s="38"/>
      <c r="Q601" s="38"/>
      <c r="R601" s="38"/>
      <c r="W601" s="139"/>
      <c r="X601" s="38"/>
    </row>
    <row r="602" ht="12.75" customHeight="1">
      <c r="C602" s="138"/>
      <c r="D602" s="138"/>
      <c r="E602" s="138"/>
      <c r="F602" s="138"/>
      <c r="G602" s="138"/>
      <c r="H602" s="138"/>
      <c r="L602" s="139"/>
      <c r="M602" s="38"/>
      <c r="N602" s="38"/>
      <c r="O602" s="38"/>
      <c r="P602" s="38"/>
      <c r="Q602" s="38"/>
      <c r="R602" s="38"/>
      <c r="W602" s="139"/>
      <c r="X602" s="38"/>
    </row>
    <row r="603" ht="12.75" customHeight="1">
      <c r="C603" s="138"/>
      <c r="D603" s="138"/>
      <c r="E603" s="138"/>
      <c r="F603" s="138"/>
      <c r="G603" s="138"/>
      <c r="H603" s="138"/>
      <c r="L603" s="139"/>
      <c r="M603" s="38"/>
      <c r="N603" s="38"/>
      <c r="O603" s="38"/>
      <c r="P603" s="38"/>
      <c r="Q603" s="38"/>
      <c r="R603" s="38"/>
      <c r="W603" s="139"/>
      <c r="X603" s="38"/>
    </row>
    <row r="604" ht="12.75" customHeight="1">
      <c r="C604" s="138"/>
      <c r="D604" s="138"/>
      <c r="E604" s="138"/>
      <c r="F604" s="138"/>
      <c r="G604" s="138"/>
      <c r="H604" s="138"/>
      <c r="L604" s="139"/>
      <c r="M604" s="38"/>
      <c r="N604" s="38"/>
      <c r="O604" s="38"/>
      <c r="P604" s="38"/>
      <c r="Q604" s="38"/>
      <c r="R604" s="38"/>
      <c r="W604" s="139"/>
      <c r="X604" s="38"/>
    </row>
    <row r="605" ht="12.75" customHeight="1">
      <c r="C605" s="138"/>
      <c r="D605" s="138"/>
      <c r="E605" s="138"/>
      <c r="F605" s="138"/>
      <c r="G605" s="138"/>
      <c r="H605" s="138"/>
      <c r="L605" s="139"/>
      <c r="M605" s="38"/>
      <c r="N605" s="38"/>
      <c r="O605" s="38"/>
      <c r="P605" s="38"/>
      <c r="Q605" s="38"/>
      <c r="R605" s="38"/>
      <c r="W605" s="139"/>
      <c r="X605" s="38"/>
    </row>
    <row r="606" ht="12.75" customHeight="1">
      <c r="C606" s="138"/>
      <c r="D606" s="138"/>
      <c r="E606" s="138"/>
      <c r="F606" s="138"/>
      <c r="G606" s="138"/>
      <c r="H606" s="138"/>
      <c r="L606" s="139"/>
      <c r="M606" s="38"/>
      <c r="N606" s="38"/>
      <c r="O606" s="38"/>
      <c r="P606" s="38"/>
      <c r="Q606" s="38"/>
      <c r="R606" s="38"/>
      <c r="W606" s="139"/>
      <c r="X606" s="38"/>
    </row>
    <row r="607" ht="12.75" customHeight="1">
      <c r="C607" s="138"/>
      <c r="D607" s="138"/>
      <c r="E607" s="138"/>
      <c r="F607" s="138"/>
      <c r="G607" s="138"/>
      <c r="H607" s="138"/>
      <c r="L607" s="139"/>
      <c r="M607" s="38"/>
      <c r="N607" s="38"/>
      <c r="O607" s="38"/>
      <c r="P607" s="38"/>
      <c r="Q607" s="38"/>
      <c r="R607" s="38"/>
      <c r="W607" s="139"/>
      <c r="X607" s="38"/>
    </row>
    <row r="608" ht="12.75" customHeight="1">
      <c r="C608" s="138"/>
      <c r="D608" s="138"/>
      <c r="E608" s="138"/>
      <c r="F608" s="138"/>
      <c r="G608" s="138"/>
      <c r="H608" s="138"/>
      <c r="L608" s="139"/>
      <c r="M608" s="38"/>
      <c r="N608" s="38"/>
      <c r="O608" s="38"/>
      <c r="P608" s="38"/>
      <c r="Q608" s="38"/>
      <c r="R608" s="38"/>
      <c r="W608" s="139"/>
      <c r="X608" s="38"/>
    </row>
    <row r="609" ht="12.75" customHeight="1">
      <c r="C609" s="138"/>
      <c r="D609" s="138"/>
      <c r="E609" s="138"/>
      <c r="F609" s="138"/>
      <c r="G609" s="138"/>
      <c r="H609" s="138"/>
      <c r="L609" s="139"/>
      <c r="M609" s="38"/>
      <c r="N609" s="38"/>
      <c r="O609" s="38"/>
      <c r="P609" s="38"/>
      <c r="Q609" s="38"/>
      <c r="R609" s="38"/>
      <c r="W609" s="139"/>
      <c r="X609" s="38"/>
    </row>
    <row r="610" ht="12.75" customHeight="1">
      <c r="C610" s="138"/>
      <c r="D610" s="138"/>
      <c r="E610" s="138"/>
      <c r="F610" s="138"/>
      <c r="G610" s="138"/>
      <c r="H610" s="138"/>
      <c r="L610" s="139"/>
      <c r="M610" s="38"/>
      <c r="N610" s="38"/>
      <c r="O610" s="38"/>
      <c r="P610" s="38"/>
      <c r="Q610" s="38"/>
      <c r="R610" s="38"/>
      <c r="W610" s="139"/>
      <c r="X610" s="38"/>
    </row>
    <row r="611" ht="12.75" customHeight="1">
      <c r="C611" s="138"/>
      <c r="D611" s="138"/>
      <c r="E611" s="138"/>
      <c r="F611" s="138"/>
      <c r="G611" s="138"/>
      <c r="H611" s="138"/>
      <c r="L611" s="139"/>
      <c r="M611" s="38"/>
      <c r="N611" s="38"/>
      <c r="O611" s="38"/>
      <c r="P611" s="38"/>
      <c r="Q611" s="38"/>
      <c r="R611" s="38"/>
      <c r="W611" s="139"/>
      <c r="X611" s="38"/>
    </row>
    <row r="612" ht="12.75" customHeight="1">
      <c r="C612" s="138"/>
      <c r="D612" s="138"/>
      <c r="E612" s="138"/>
      <c r="F612" s="138"/>
      <c r="G612" s="138"/>
      <c r="H612" s="138"/>
      <c r="L612" s="139"/>
      <c r="M612" s="38"/>
      <c r="N612" s="38"/>
      <c r="O612" s="38"/>
      <c r="P612" s="38"/>
      <c r="Q612" s="38"/>
      <c r="R612" s="38"/>
      <c r="W612" s="139"/>
      <c r="X612" s="38"/>
    </row>
    <row r="613" ht="12.75" customHeight="1">
      <c r="C613" s="138"/>
      <c r="D613" s="138"/>
      <c r="E613" s="138"/>
      <c r="F613" s="138"/>
      <c r="G613" s="138"/>
      <c r="H613" s="138"/>
      <c r="L613" s="139"/>
      <c r="M613" s="38"/>
      <c r="N613" s="38"/>
      <c r="O613" s="38"/>
      <c r="P613" s="38"/>
      <c r="Q613" s="38"/>
      <c r="R613" s="38"/>
      <c r="W613" s="139"/>
      <c r="X613" s="38"/>
    </row>
    <row r="614" ht="12.75" customHeight="1">
      <c r="C614" s="138"/>
      <c r="D614" s="138"/>
      <c r="E614" s="138"/>
      <c r="F614" s="138"/>
      <c r="G614" s="138"/>
      <c r="H614" s="138"/>
      <c r="L614" s="139"/>
      <c r="M614" s="38"/>
      <c r="N614" s="38"/>
      <c r="O614" s="38"/>
      <c r="P614" s="38"/>
      <c r="Q614" s="38"/>
      <c r="R614" s="38"/>
      <c r="W614" s="139"/>
      <c r="X614" s="38"/>
    </row>
    <row r="615" ht="12.75" customHeight="1">
      <c r="C615" s="138"/>
      <c r="D615" s="138"/>
      <c r="E615" s="138"/>
      <c r="F615" s="138"/>
      <c r="G615" s="138"/>
      <c r="H615" s="138"/>
      <c r="L615" s="139"/>
      <c r="M615" s="38"/>
      <c r="N615" s="38"/>
      <c r="O615" s="38"/>
      <c r="P615" s="38"/>
      <c r="Q615" s="38"/>
      <c r="R615" s="38"/>
      <c r="W615" s="139"/>
      <c r="X615" s="38"/>
    </row>
    <row r="616" ht="12.75" customHeight="1">
      <c r="C616" s="138"/>
      <c r="D616" s="138"/>
      <c r="E616" s="138"/>
      <c r="F616" s="138"/>
      <c r="G616" s="138"/>
      <c r="H616" s="138"/>
      <c r="L616" s="139"/>
      <c r="M616" s="38"/>
      <c r="N616" s="38"/>
      <c r="O616" s="38"/>
      <c r="P616" s="38"/>
      <c r="Q616" s="38"/>
      <c r="R616" s="38"/>
      <c r="W616" s="139"/>
      <c r="X616" s="38"/>
    </row>
    <row r="617" ht="12.75" customHeight="1">
      <c r="C617" s="138"/>
      <c r="D617" s="138"/>
      <c r="E617" s="138"/>
      <c r="F617" s="138"/>
      <c r="G617" s="138"/>
      <c r="H617" s="138"/>
      <c r="L617" s="139"/>
      <c r="M617" s="38"/>
      <c r="N617" s="38"/>
      <c r="O617" s="38"/>
      <c r="P617" s="38"/>
      <c r="Q617" s="38"/>
      <c r="R617" s="38"/>
      <c r="W617" s="139"/>
      <c r="X617" s="38"/>
    </row>
    <row r="618" ht="12.75" customHeight="1">
      <c r="C618" s="138"/>
      <c r="D618" s="138"/>
      <c r="E618" s="138"/>
      <c r="F618" s="138"/>
      <c r="G618" s="138"/>
      <c r="H618" s="138"/>
      <c r="L618" s="139"/>
      <c r="M618" s="38"/>
      <c r="N618" s="38"/>
      <c r="O618" s="38"/>
      <c r="P618" s="38"/>
      <c r="Q618" s="38"/>
      <c r="R618" s="38"/>
      <c r="W618" s="139"/>
      <c r="X618" s="38"/>
    </row>
    <row r="619" ht="12.75" customHeight="1">
      <c r="C619" s="138"/>
      <c r="D619" s="138"/>
      <c r="E619" s="138"/>
      <c r="F619" s="138"/>
      <c r="G619" s="138"/>
      <c r="H619" s="138"/>
      <c r="L619" s="139"/>
      <c r="M619" s="38"/>
      <c r="N619" s="38"/>
      <c r="O619" s="38"/>
      <c r="P619" s="38"/>
      <c r="Q619" s="38"/>
      <c r="R619" s="38"/>
      <c r="W619" s="139"/>
      <c r="X619" s="38"/>
    </row>
    <row r="620" ht="12.75" customHeight="1">
      <c r="C620" s="138"/>
      <c r="D620" s="138"/>
      <c r="E620" s="138"/>
      <c r="F620" s="138"/>
      <c r="G620" s="138"/>
      <c r="H620" s="138"/>
      <c r="L620" s="139"/>
      <c r="M620" s="38"/>
      <c r="N620" s="38"/>
      <c r="O620" s="38"/>
      <c r="P620" s="38"/>
      <c r="Q620" s="38"/>
      <c r="R620" s="38"/>
      <c r="W620" s="139"/>
      <c r="X620" s="38"/>
    </row>
    <row r="621" ht="12.75" customHeight="1">
      <c r="C621" s="138"/>
      <c r="D621" s="138"/>
      <c r="E621" s="138"/>
      <c r="F621" s="138"/>
      <c r="G621" s="138"/>
      <c r="H621" s="138"/>
      <c r="L621" s="139"/>
      <c r="M621" s="38"/>
      <c r="N621" s="38"/>
      <c r="O621" s="38"/>
      <c r="P621" s="38"/>
      <c r="Q621" s="38"/>
      <c r="R621" s="38"/>
      <c r="W621" s="139"/>
      <c r="X621" s="38"/>
    </row>
    <row r="622" ht="12.75" customHeight="1">
      <c r="C622" s="138"/>
      <c r="D622" s="138"/>
      <c r="E622" s="138"/>
      <c r="F622" s="138"/>
      <c r="G622" s="138"/>
      <c r="H622" s="138"/>
      <c r="L622" s="139"/>
      <c r="M622" s="38"/>
      <c r="N622" s="38"/>
      <c r="O622" s="38"/>
      <c r="P622" s="38"/>
      <c r="Q622" s="38"/>
      <c r="R622" s="38"/>
      <c r="W622" s="139"/>
      <c r="X622" s="38"/>
    </row>
    <row r="623" ht="12.75" customHeight="1">
      <c r="C623" s="138"/>
      <c r="D623" s="138"/>
      <c r="E623" s="138"/>
      <c r="F623" s="138"/>
      <c r="G623" s="138"/>
      <c r="H623" s="138"/>
      <c r="L623" s="139"/>
      <c r="M623" s="38"/>
      <c r="N623" s="38"/>
      <c r="O623" s="38"/>
      <c r="P623" s="38"/>
      <c r="Q623" s="38"/>
      <c r="R623" s="38"/>
      <c r="W623" s="139"/>
      <c r="X623" s="38"/>
    </row>
    <row r="624" ht="12.75" customHeight="1">
      <c r="C624" s="138"/>
      <c r="D624" s="138"/>
      <c r="E624" s="138"/>
      <c r="F624" s="138"/>
      <c r="G624" s="138"/>
      <c r="H624" s="138"/>
      <c r="L624" s="139"/>
      <c r="M624" s="38"/>
      <c r="N624" s="38"/>
      <c r="O624" s="38"/>
      <c r="P624" s="38"/>
      <c r="Q624" s="38"/>
      <c r="R624" s="38"/>
      <c r="W624" s="139"/>
      <c r="X624" s="38"/>
    </row>
    <row r="625" ht="12.75" customHeight="1">
      <c r="C625" s="138"/>
      <c r="D625" s="138"/>
      <c r="E625" s="138"/>
      <c r="F625" s="138"/>
      <c r="G625" s="138"/>
      <c r="H625" s="138"/>
      <c r="L625" s="139"/>
      <c r="M625" s="38"/>
      <c r="N625" s="38"/>
      <c r="O625" s="38"/>
      <c r="P625" s="38"/>
      <c r="Q625" s="38"/>
      <c r="R625" s="38"/>
      <c r="W625" s="139"/>
      <c r="X625" s="38"/>
    </row>
    <row r="626" ht="12.75" customHeight="1">
      <c r="C626" s="138"/>
      <c r="D626" s="138"/>
      <c r="E626" s="138"/>
      <c r="F626" s="138"/>
      <c r="G626" s="138"/>
      <c r="H626" s="138"/>
      <c r="L626" s="139"/>
      <c r="M626" s="38"/>
      <c r="N626" s="38"/>
      <c r="O626" s="38"/>
      <c r="P626" s="38"/>
      <c r="Q626" s="38"/>
      <c r="R626" s="38"/>
      <c r="W626" s="139"/>
      <c r="X626" s="38"/>
    </row>
    <row r="627" ht="12.75" customHeight="1">
      <c r="C627" s="138"/>
      <c r="D627" s="138"/>
      <c r="E627" s="138"/>
      <c r="F627" s="138"/>
      <c r="G627" s="138"/>
      <c r="H627" s="138"/>
      <c r="L627" s="139"/>
      <c r="M627" s="38"/>
      <c r="N627" s="38"/>
      <c r="O627" s="38"/>
      <c r="P627" s="38"/>
      <c r="Q627" s="38"/>
      <c r="R627" s="38"/>
      <c r="W627" s="139"/>
      <c r="X627" s="38"/>
    </row>
    <row r="628" ht="12.75" customHeight="1">
      <c r="C628" s="138"/>
      <c r="D628" s="138"/>
      <c r="E628" s="138"/>
      <c r="F628" s="138"/>
      <c r="G628" s="138"/>
      <c r="H628" s="138"/>
      <c r="L628" s="139"/>
      <c r="M628" s="38"/>
      <c r="N628" s="38"/>
      <c r="O628" s="38"/>
      <c r="P628" s="38"/>
      <c r="Q628" s="38"/>
      <c r="R628" s="38"/>
      <c r="W628" s="139"/>
      <c r="X628" s="38"/>
    </row>
    <row r="629" ht="12.75" customHeight="1">
      <c r="C629" s="138"/>
      <c r="D629" s="138"/>
      <c r="E629" s="138"/>
      <c r="F629" s="138"/>
      <c r="G629" s="138"/>
      <c r="H629" s="138"/>
      <c r="L629" s="139"/>
      <c r="M629" s="38"/>
      <c r="N629" s="38"/>
      <c r="O629" s="38"/>
      <c r="P629" s="38"/>
      <c r="Q629" s="38"/>
      <c r="R629" s="38"/>
      <c r="W629" s="139"/>
      <c r="X629" s="38"/>
    </row>
    <row r="630" ht="12.75" customHeight="1">
      <c r="C630" s="138"/>
      <c r="D630" s="138"/>
      <c r="E630" s="138"/>
      <c r="F630" s="138"/>
      <c r="G630" s="138"/>
      <c r="H630" s="138"/>
      <c r="L630" s="139"/>
      <c r="M630" s="38"/>
      <c r="N630" s="38"/>
      <c r="O630" s="38"/>
      <c r="P630" s="38"/>
      <c r="Q630" s="38"/>
      <c r="R630" s="38"/>
      <c r="W630" s="139"/>
      <c r="X630" s="38"/>
    </row>
    <row r="631" ht="12.75" customHeight="1">
      <c r="C631" s="138"/>
      <c r="D631" s="138"/>
      <c r="E631" s="138"/>
      <c r="F631" s="138"/>
      <c r="G631" s="138"/>
      <c r="H631" s="138"/>
      <c r="L631" s="139"/>
      <c r="M631" s="38"/>
      <c r="N631" s="38"/>
      <c r="O631" s="38"/>
      <c r="P631" s="38"/>
      <c r="Q631" s="38"/>
      <c r="R631" s="38"/>
      <c r="W631" s="139"/>
      <c r="X631" s="38"/>
    </row>
    <row r="632" ht="12.75" customHeight="1">
      <c r="C632" s="138"/>
      <c r="D632" s="138"/>
      <c r="E632" s="138"/>
      <c r="F632" s="138"/>
      <c r="G632" s="138"/>
      <c r="H632" s="138"/>
      <c r="L632" s="139"/>
      <c r="M632" s="38"/>
      <c r="N632" s="38"/>
      <c r="O632" s="38"/>
      <c r="P632" s="38"/>
      <c r="Q632" s="38"/>
      <c r="R632" s="38"/>
      <c r="W632" s="139"/>
      <c r="X632" s="38"/>
    </row>
    <row r="633" ht="12.75" customHeight="1">
      <c r="C633" s="138"/>
      <c r="D633" s="138"/>
      <c r="E633" s="138"/>
      <c r="F633" s="138"/>
      <c r="G633" s="138"/>
      <c r="H633" s="138"/>
      <c r="L633" s="139"/>
      <c r="M633" s="38"/>
      <c r="N633" s="38"/>
      <c r="O633" s="38"/>
      <c r="P633" s="38"/>
      <c r="Q633" s="38"/>
      <c r="R633" s="38"/>
      <c r="W633" s="139"/>
      <c r="X633" s="38"/>
    </row>
    <row r="634" ht="12.75" customHeight="1">
      <c r="C634" s="138"/>
      <c r="D634" s="138"/>
      <c r="E634" s="138"/>
      <c r="F634" s="138"/>
      <c r="G634" s="138"/>
      <c r="H634" s="138"/>
      <c r="L634" s="139"/>
      <c r="M634" s="38"/>
      <c r="N634" s="38"/>
      <c r="O634" s="38"/>
      <c r="P634" s="38"/>
      <c r="Q634" s="38"/>
      <c r="R634" s="38"/>
      <c r="W634" s="139"/>
      <c r="X634" s="38"/>
    </row>
    <row r="635" ht="12.75" customHeight="1">
      <c r="C635" s="138"/>
      <c r="D635" s="138"/>
      <c r="E635" s="138"/>
      <c r="F635" s="138"/>
      <c r="G635" s="138"/>
      <c r="H635" s="138"/>
      <c r="L635" s="139"/>
      <c r="M635" s="38"/>
      <c r="N635" s="38"/>
      <c r="O635" s="38"/>
      <c r="P635" s="38"/>
      <c r="Q635" s="38"/>
      <c r="R635" s="38"/>
      <c r="W635" s="139"/>
      <c r="X635" s="38"/>
    </row>
    <row r="636" ht="12.75" customHeight="1">
      <c r="C636" s="138"/>
      <c r="D636" s="138"/>
      <c r="E636" s="138"/>
      <c r="F636" s="138"/>
      <c r="G636" s="138"/>
      <c r="H636" s="138"/>
      <c r="L636" s="139"/>
      <c r="M636" s="38"/>
      <c r="N636" s="38"/>
      <c r="O636" s="38"/>
      <c r="P636" s="38"/>
      <c r="Q636" s="38"/>
      <c r="R636" s="38"/>
      <c r="W636" s="139"/>
      <c r="X636" s="38"/>
    </row>
    <row r="637" ht="12.75" customHeight="1">
      <c r="C637" s="138"/>
      <c r="D637" s="138"/>
      <c r="E637" s="138"/>
      <c r="F637" s="138"/>
      <c r="G637" s="138"/>
      <c r="H637" s="138"/>
      <c r="L637" s="139"/>
      <c r="M637" s="38"/>
      <c r="N637" s="38"/>
      <c r="O637" s="38"/>
      <c r="P637" s="38"/>
      <c r="Q637" s="38"/>
      <c r="R637" s="38"/>
      <c r="W637" s="139"/>
      <c r="X637" s="38"/>
    </row>
    <row r="638" ht="12.75" customHeight="1">
      <c r="C638" s="138"/>
      <c r="D638" s="138"/>
      <c r="E638" s="138"/>
      <c r="F638" s="138"/>
      <c r="G638" s="138"/>
      <c r="H638" s="138"/>
      <c r="L638" s="139"/>
      <c r="M638" s="38"/>
      <c r="N638" s="38"/>
      <c r="O638" s="38"/>
      <c r="P638" s="38"/>
      <c r="Q638" s="38"/>
      <c r="R638" s="38"/>
      <c r="W638" s="139"/>
      <c r="X638" s="38"/>
    </row>
    <row r="639" ht="12.75" customHeight="1">
      <c r="C639" s="138"/>
      <c r="D639" s="138"/>
      <c r="E639" s="138"/>
      <c r="F639" s="138"/>
      <c r="G639" s="138"/>
      <c r="H639" s="138"/>
      <c r="L639" s="139"/>
      <c r="M639" s="38"/>
      <c r="N639" s="38"/>
      <c r="O639" s="38"/>
      <c r="P639" s="38"/>
      <c r="Q639" s="38"/>
      <c r="R639" s="38"/>
      <c r="W639" s="139"/>
      <c r="X639" s="38"/>
    </row>
    <row r="640" ht="12.75" customHeight="1">
      <c r="C640" s="138"/>
      <c r="D640" s="138"/>
      <c r="E640" s="138"/>
      <c r="F640" s="138"/>
      <c r="G640" s="138"/>
      <c r="H640" s="138"/>
      <c r="L640" s="139"/>
      <c r="M640" s="38"/>
      <c r="N640" s="38"/>
      <c r="O640" s="38"/>
      <c r="P640" s="38"/>
      <c r="Q640" s="38"/>
      <c r="R640" s="38"/>
      <c r="W640" s="139"/>
      <c r="X640" s="38"/>
    </row>
    <row r="641" ht="12.75" customHeight="1">
      <c r="C641" s="138"/>
      <c r="D641" s="138"/>
      <c r="E641" s="138"/>
      <c r="F641" s="138"/>
      <c r="G641" s="138"/>
      <c r="H641" s="138"/>
      <c r="L641" s="139"/>
      <c r="M641" s="38"/>
      <c r="N641" s="38"/>
      <c r="O641" s="38"/>
      <c r="P641" s="38"/>
      <c r="Q641" s="38"/>
      <c r="R641" s="38"/>
      <c r="W641" s="139"/>
      <c r="X641" s="38"/>
    </row>
    <row r="642" ht="12.75" customHeight="1">
      <c r="C642" s="138"/>
      <c r="D642" s="138"/>
      <c r="E642" s="138"/>
      <c r="F642" s="138"/>
      <c r="G642" s="138"/>
      <c r="H642" s="138"/>
      <c r="L642" s="139"/>
      <c r="M642" s="38"/>
      <c r="N642" s="38"/>
      <c r="O642" s="38"/>
      <c r="P642" s="38"/>
      <c r="Q642" s="38"/>
      <c r="R642" s="38"/>
      <c r="W642" s="139"/>
      <c r="X642" s="38"/>
    </row>
    <row r="643" ht="12.75" customHeight="1">
      <c r="C643" s="138"/>
      <c r="D643" s="138"/>
      <c r="E643" s="138"/>
      <c r="F643" s="138"/>
      <c r="G643" s="138"/>
      <c r="H643" s="138"/>
      <c r="L643" s="139"/>
      <c r="M643" s="38"/>
      <c r="N643" s="38"/>
      <c r="O643" s="38"/>
      <c r="P643" s="38"/>
      <c r="Q643" s="38"/>
      <c r="R643" s="38"/>
      <c r="W643" s="139"/>
      <c r="X643" s="38"/>
    </row>
    <row r="644" ht="12.75" customHeight="1">
      <c r="C644" s="138"/>
      <c r="D644" s="138"/>
      <c r="E644" s="138"/>
      <c r="F644" s="138"/>
      <c r="G644" s="138"/>
      <c r="H644" s="138"/>
      <c r="L644" s="139"/>
      <c r="M644" s="38"/>
      <c r="N644" s="38"/>
      <c r="O644" s="38"/>
      <c r="P644" s="38"/>
      <c r="Q644" s="38"/>
      <c r="R644" s="38"/>
      <c r="W644" s="139"/>
      <c r="X644" s="38"/>
    </row>
    <row r="645" ht="12.75" customHeight="1">
      <c r="C645" s="138"/>
      <c r="D645" s="138"/>
      <c r="E645" s="138"/>
      <c r="F645" s="138"/>
      <c r="G645" s="138"/>
      <c r="H645" s="138"/>
      <c r="L645" s="139"/>
      <c r="M645" s="38"/>
      <c r="N645" s="38"/>
      <c r="O645" s="38"/>
      <c r="P645" s="38"/>
      <c r="Q645" s="38"/>
      <c r="R645" s="38"/>
      <c r="W645" s="139"/>
      <c r="X645" s="38"/>
    </row>
    <row r="646" ht="12.75" customHeight="1">
      <c r="C646" s="138"/>
      <c r="D646" s="138"/>
      <c r="E646" s="138"/>
      <c r="F646" s="138"/>
      <c r="G646" s="138"/>
      <c r="H646" s="138"/>
      <c r="L646" s="139"/>
      <c r="M646" s="38"/>
      <c r="N646" s="38"/>
      <c r="O646" s="38"/>
      <c r="P646" s="38"/>
      <c r="Q646" s="38"/>
      <c r="R646" s="38"/>
      <c r="W646" s="139"/>
      <c r="X646" s="38"/>
    </row>
    <row r="647" ht="12.75" customHeight="1">
      <c r="C647" s="138"/>
      <c r="D647" s="138"/>
      <c r="E647" s="138"/>
      <c r="F647" s="138"/>
      <c r="G647" s="138"/>
      <c r="H647" s="138"/>
      <c r="L647" s="139"/>
      <c r="M647" s="38"/>
      <c r="N647" s="38"/>
      <c r="O647" s="38"/>
      <c r="P647" s="38"/>
      <c r="Q647" s="38"/>
      <c r="R647" s="38"/>
      <c r="W647" s="139"/>
      <c r="X647" s="38"/>
    </row>
    <row r="648" ht="12.75" customHeight="1">
      <c r="C648" s="138"/>
      <c r="D648" s="138"/>
      <c r="E648" s="138"/>
      <c r="F648" s="138"/>
      <c r="G648" s="138"/>
      <c r="H648" s="138"/>
      <c r="L648" s="139"/>
      <c r="M648" s="38"/>
      <c r="N648" s="38"/>
      <c r="O648" s="38"/>
      <c r="P648" s="38"/>
      <c r="Q648" s="38"/>
      <c r="R648" s="38"/>
      <c r="W648" s="139"/>
      <c r="X648" s="38"/>
    </row>
    <row r="649" ht="12.75" customHeight="1">
      <c r="C649" s="138"/>
      <c r="D649" s="138"/>
      <c r="E649" s="138"/>
      <c r="F649" s="138"/>
      <c r="G649" s="138"/>
      <c r="H649" s="138"/>
      <c r="L649" s="139"/>
      <c r="M649" s="38"/>
      <c r="N649" s="38"/>
      <c r="O649" s="38"/>
      <c r="P649" s="38"/>
      <c r="Q649" s="38"/>
      <c r="R649" s="38"/>
      <c r="W649" s="139"/>
      <c r="X649" s="38"/>
    </row>
    <row r="650" ht="12.75" customHeight="1">
      <c r="C650" s="138"/>
      <c r="D650" s="138"/>
      <c r="E650" s="138"/>
      <c r="F650" s="138"/>
      <c r="G650" s="138"/>
      <c r="H650" s="138"/>
      <c r="L650" s="139"/>
      <c r="M650" s="38"/>
      <c r="N650" s="38"/>
      <c r="O650" s="38"/>
      <c r="P650" s="38"/>
      <c r="Q650" s="38"/>
      <c r="R650" s="38"/>
      <c r="W650" s="139"/>
      <c r="X650" s="38"/>
    </row>
    <row r="651" ht="12.75" customHeight="1">
      <c r="C651" s="138"/>
      <c r="D651" s="138"/>
      <c r="E651" s="138"/>
      <c r="F651" s="138"/>
      <c r="G651" s="138"/>
      <c r="H651" s="138"/>
      <c r="L651" s="139"/>
      <c r="M651" s="38"/>
      <c r="N651" s="38"/>
      <c r="O651" s="38"/>
      <c r="P651" s="38"/>
      <c r="Q651" s="38"/>
      <c r="R651" s="38"/>
      <c r="W651" s="139"/>
      <c r="X651" s="38"/>
    </row>
    <row r="652" ht="12.75" customHeight="1">
      <c r="C652" s="138"/>
      <c r="D652" s="138"/>
      <c r="E652" s="138"/>
      <c r="F652" s="138"/>
      <c r="G652" s="138"/>
      <c r="H652" s="138"/>
      <c r="L652" s="139"/>
      <c r="M652" s="38"/>
      <c r="N652" s="38"/>
      <c r="O652" s="38"/>
      <c r="P652" s="38"/>
      <c r="Q652" s="38"/>
      <c r="R652" s="38"/>
      <c r="W652" s="139"/>
      <c r="X652" s="38"/>
    </row>
    <row r="653" ht="12.75" customHeight="1">
      <c r="C653" s="138"/>
      <c r="D653" s="138"/>
      <c r="E653" s="138"/>
      <c r="F653" s="138"/>
      <c r="G653" s="138"/>
      <c r="H653" s="138"/>
      <c r="L653" s="139"/>
      <c r="M653" s="38"/>
      <c r="N653" s="38"/>
      <c r="O653" s="38"/>
      <c r="P653" s="38"/>
      <c r="Q653" s="38"/>
      <c r="R653" s="38"/>
      <c r="W653" s="139"/>
      <c r="X653" s="38"/>
    </row>
    <row r="654" ht="12.75" customHeight="1">
      <c r="C654" s="138"/>
      <c r="D654" s="138"/>
      <c r="E654" s="138"/>
      <c r="F654" s="138"/>
      <c r="G654" s="138"/>
      <c r="H654" s="138"/>
      <c r="L654" s="139"/>
      <c r="M654" s="38"/>
      <c r="N654" s="38"/>
      <c r="O654" s="38"/>
      <c r="P654" s="38"/>
      <c r="Q654" s="38"/>
      <c r="R654" s="38"/>
      <c r="W654" s="139"/>
      <c r="X654" s="38"/>
    </row>
    <row r="655" ht="12.75" customHeight="1">
      <c r="C655" s="138"/>
      <c r="D655" s="138"/>
      <c r="E655" s="138"/>
      <c r="F655" s="138"/>
      <c r="G655" s="138"/>
      <c r="H655" s="138"/>
      <c r="L655" s="139"/>
      <c r="M655" s="38"/>
      <c r="N655" s="38"/>
      <c r="O655" s="38"/>
      <c r="P655" s="38"/>
      <c r="Q655" s="38"/>
      <c r="R655" s="38"/>
      <c r="W655" s="139"/>
      <c r="X655" s="38"/>
    </row>
    <row r="656" ht="12.75" customHeight="1">
      <c r="C656" s="138"/>
      <c r="D656" s="138"/>
      <c r="E656" s="138"/>
      <c r="F656" s="138"/>
      <c r="G656" s="138"/>
      <c r="H656" s="138"/>
      <c r="L656" s="139"/>
      <c r="M656" s="38"/>
      <c r="N656" s="38"/>
      <c r="O656" s="38"/>
      <c r="P656" s="38"/>
      <c r="Q656" s="38"/>
      <c r="R656" s="38"/>
      <c r="W656" s="139"/>
      <c r="X656" s="38"/>
    </row>
    <row r="657" ht="12.75" customHeight="1">
      <c r="C657" s="138"/>
      <c r="D657" s="138"/>
      <c r="E657" s="138"/>
      <c r="F657" s="138"/>
      <c r="G657" s="138"/>
      <c r="H657" s="138"/>
      <c r="L657" s="139"/>
      <c r="M657" s="38"/>
      <c r="N657" s="38"/>
      <c r="O657" s="38"/>
      <c r="P657" s="38"/>
      <c r="Q657" s="38"/>
      <c r="R657" s="38"/>
      <c r="W657" s="139"/>
      <c r="X657" s="38"/>
    </row>
    <row r="658" ht="12.75" customHeight="1">
      <c r="C658" s="138"/>
      <c r="D658" s="138"/>
      <c r="E658" s="138"/>
      <c r="F658" s="138"/>
      <c r="G658" s="138"/>
      <c r="H658" s="138"/>
      <c r="L658" s="139"/>
      <c r="M658" s="38"/>
      <c r="N658" s="38"/>
      <c r="O658" s="38"/>
      <c r="P658" s="38"/>
      <c r="Q658" s="38"/>
      <c r="R658" s="38"/>
      <c r="W658" s="139"/>
      <c r="X658" s="38"/>
    </row>
    <row r="659" ht="12.75" customHeight="1">
      <c r="C659" s="138"/>
      <c r="D659" s="138"/>
      <c r="E659" s="138"/>
      <c r="F659" s="138"/>
      <c r="G659" s="138"/>
      <c r="H659" s="138"/>
      <c r="L659" s="139"/>
      <c r="M659" s="38"/>
      <c r="N659" s="38"/>
      <c r="O659" s="38"/>
      <c r="P659" s="38"/>
      <c r="Q659" s="38"/>
      <c r="R659" s="38"/>
      <c r="W659" s="139"/>
      <c r="X659" s="38"/>
    </row>
    <row r="660" ht="12.75" customHeight="1">
      <c r="C660" s="138"/>
      <c r="D660" s="138"/>
      <c r="E660" s="138"/>
      <c r="F660" s="138"/>
      <c r="G660" s="138"/>
      <c r="H660" s="138"/>
      <c r="L660" s="139"/>
      <c r="M660" s="38"/>
      <c r="N660" s="38"/>
      <c r="O660" s="38"/>
      <c r="P660" s="38"/>
      <c r="Q660" s="38"/>
      <c r="R660" s="38"/>
      <c r="W660" s="139"/>
      <c r="X660" s="38"/>
    </row>
    <row r="661" ht="12.75" customHeight="1">
      <c r="C661" s="138"/>
      <c r="D661" s="138"/>
      <c r="E661" s="138"/>
      <c r="F661" s="138"/>
      <c r="G661" s="138"/>
      <c r="H661" s="138"/>
      <c r="L661" s="139"/>
      <c r="M661" s="38"/>
      <c r="N661" s="38"/>
      <c r="O661" s="38"/>
      <c r="P661" s="38"/>
      <c r="Q661" s="38"/>
      <c r="R661" s="38"/>
      <c r="W661" s="139"/>
      <c r="X661" s="38"/>
    </row>
    <row r="662" ht="12.75" customHeight="1">
      <c r="C662" s="138"/>
      <c r="D662" s="138"/>
      <c r="E662" s="138"/>
      <c r="F662" s="138"/>
      <c r="G662" s="138"/>
      <c r="H662" s="138"/>
      <c r="L662" s="139"/>
      <c r="M662" s="38"/>
      <c r="N662" s="38"/>
      <c r="O662" s="38"/>
      <c r="P662" s="38"/>
      <c r="Q662" s="38"/>
      <c r="R662" s="38"/>
      <c r="W662" s="139"/>
      <c r="X662" s="38"/>
    </row>
    <row r="663" ht="12.75" customHeight="1">
      <c r="C663" s="138"/>
      <c r="D663" s="138"/>
      <c r="E663" s="138"/>
      <c r="F663" s="138"/>
      <c r="G663" s="138"/>
      <c r="H663" s="138"/>
      <c r="L663" s="139"/>
      <c r="M663" s="38"/>
      <c r="N663" s="38"/>
      <c r="O663" s="38"/>
      <c r="P663" s="38"/>
      <c r="Q663" s="38"/>
      <c r="R663" s="38"/>
      <c r="W663" s="139"/>
      <c r="X663" s="38"/>
    </row>
    <row r="664" ht="12.75" customHeight="1">
      <c r="C664" s="138"/>
      <c r="D664" s="138"/>
      <c r="E664" s="138"/>
      <c r="F664" s="138"/>
      <c r="G664" s="138"/>
      <c r="H664" s="138"/>
      <c r="L664" s="139"/>
      <c r="M664" s="38"/>
      <c r="N664" s="38"/>
      <c r="O664" s="38"/>
      <c r="P664" s="38"/>
      <c r="Q664" s="38"/>
      <c r="R664" s="38"/>
      <c r="W664" s="139"/>
      <c r="X664" s="38"/>
    </row>
    <row r="665" ht="12.75" customHeight="1">
      <c r="C665" s="138"/>
      <c r="D665" s="138"/>
      <c r="E665" s="138"/>
      <c r="F665" s="138"/>
      <c r="G665" s="138"/>
      <c r="H665" s="138"/>
      <c r="L665" s="139"/>
      <c r="M665" s="38"/>
      <c r="N665" s="38"/>
      <c r="O665" s="38"/>
      <c r="P665" s="38"/>
      <c r="Q665" s="38"/>
      <c r="R665" s="38"/>
      <c r="W665" s="139"/>
      <c r="X665" s="38"/>
    </row>
    <row r="666" ht="12.75" customHeight="1">
      <c r="C666" s="138"/>
      <c r="D666" s="138"/>
      <c r="E666" s="138"/>
      <c r="F666" s="138"/>
      <c r="G666" s="138"/>
      <c r="H666" s="138"/>
      <c r="L666" s="139"/>
      <c r="M666" s="38"/>
      <c r="N666" s="38"/>
      <c r="O666" s="38"/>
      <c r="P666" s="38"/>
      <c r="Q666" s="38"/>
      <c r="R666" s="38"/>
      <c r="W666" s="139"/>
      <c r="X666" s="38"/>
    </row>
    <row r="667" ht="12.75" customHeight="1">
      <c r="C667" s="138"/>
      <c r="D667" s="138"/>
      <c r="E667" s="138"/>
      <c r="F667" s="138"/>
      <c r="G667" s="138"/>
      <c r="H667" s="138"/>
      <c r="L667" s="139"/>
      <c r="M667" s="38"/>
      <c r="N667" s="38"/>
      <c r="O667" s="38"/>
      <c r="P667" s="38"/>
      <c r="Q667" s="38"/>
      <c r="R667" s="38"/>
      <c r="W667" s="139"/>
      <c r="X667" s="38"/>
    </row>
    <row r="668" ht="12.75" customHeight="1">
      <c r="C668" s="138"/>
      <c r="D668" s="138"/>
      <c r="E668" s="138"/>
      <c r="F668" s="138"/>
      <c r="G668" s="138"/>
      <c r="H668" s="138"/>
      <c r="L668" s="139"/>
      <c r="M668" s="38"/>
      <c r="N668" s="38"/>
      <c r="O668" s="38"/>
      <c r="P668" s="38"/>
      <c r="Q668" s="38"/>
      <c r="R668" s="38"/>
      <c r="W668" s="139"/>
      <c r="X668" s="38"/>
    </row>
    <row r="669" ht="12.75" customHeight="1">
      <c r="C669" s="138"/>
      <c r="D669" s="138"/>
      <c r="E669" s="138"/>
      <c r="F669" s="138"/>
      <c r="G669" s="138"/>
      <c r="H669" s="138"/>
      <c r="L669" s="139"/>
      <c r="M669" s="38"/>
      <c r="N669" s="38"/>
      <c r="O669" s="38"/>
      <c r="P669" s="38"/>
      <c r="Q669" s="38"/>
      <c r="R669" s="38"/>
      <c r="W669" s="139"/>
      <c r="X669" s="38"/>
    </row>
    <row r="670" ht="12.75" customHeight="1">
      <c r="C670" s="138"/>
      <c r="D670" s="138"/>
      <c r="E670" s="138"/>
      <c r="F670" s="138"/>
      <c r="G670" s="138"/>
      <c r="H670" s="138"/>
      <c r="L670" s="139"/>
      <c r="M670" s="38"/>
      <c r="N670" s="38"/>
      <c r="O670" s="38"/>
      <c r="P670" s="38"/>
      <c r="Q670" s="38"/>
      <c r="R670" s="38"/>
      <c r="W670" s="139"/>
      <c r="X670" s="38"/>
    </row>
    <row r="671" ht="12.75" customHeight="1">
      <c r="C671" s="138"/>
      <c r="D671" s="138"/>
      <c r="E671" s="138"/>
      <c r="F671" s="138"/>
      <c r="G671" s="138"/>
      <c r="H671" s="138"/>
      <c r="L671" s="139"/>
      <c r="M671" s="38"/>
      <c r="N671" s="38"/>
      <c r="O671" s="38"/>
      <c r="P671" s="38"/>
      <c r="Q671" s="38"/>
      <c r="R671" s="38"/>
      <c r="W671" s="139"/>
      <c r="X671" s="38"/>
    </row>
    <row r="672" ht="12.75" customHeight="1">
      <c r="C672" s="138"/>
      <c r="D672" s="138"/>
      <c r="E672" s="138"/>
      <c r="F672" s="138"/>
      <c r="G672" s="138"/>
      <c r="H672" s="138"/>
      <c r="L672" s="139"/>
      <c r="M672" s="38"/>
      <c r="N672" s="38"/>
      <c r="O672" s="38"/>
      <c r="P672" s="38"/>
      <c r="Q672" s="38"/>
      <c r="R672" s="38"/>
      <c r="W672" s="139"/>
      <c r="X672" s="38"/>
    </row>
    <row r="673" ht="12.75" customHeight="1">
      <c r="C673" s="138"/>
      <c r="D673" s="138"/>
      <c r="E673" s="138"/>
      <c r="F673" s="138"/>
      <c r="G673" s="138"/>
      <c r="H673" s="138"/>
      <c r="L673" s="139"/>
      <c r="M673" s="38"/>
      <c r="N673" s="38"/>
      <c r="O673" s="38"/>
      <c r="P673" s="38"/>
      <c r="Q673" s="38"/>
      <c r="R673" s="38"/>
      <c r="W673" s="139"/>
      <c r="X673" s="38"/>
    </row>
    <row r="674" ht="12.75" customHeight="1">
      <c r="C674" s="138"/>
      <c r="D674" s="138"/>
      <c r="E674" s="138"/>
      <c r="F674" s="138"/>
      <c r="G674" s="138"/>
      <c r="H674" s="138"/>
      <c r="L674" s="139"/>
      <c r="M674" s="38"/>
      <c r="N674" s="38"/>
      <c r="O674" s="38"/>
      <c r="P674" s="38"/>
      <c r="Q674" s="38"/>
      <c r="R674" s="38"/>
      <c r="W674" s="139"/>
      <c r="X674" s="38"/>
    </row>
    <row r="675" ht="12.75" customHeight="1">
      <c r="C675" s="138"/>
      <c r="D675" s="138"/>
      <c r="E675" s="138"/>
      <c r="F675" s="138"/>
      <c r="G675" s="138"/>
      <c r="H675" s="138"/>
      <c r="L675" s="139"/>
      <c r="M675" s="38"/>
      <c r="N675" s="38"/>
      <c r="O675" s="38"/>
      <c r="P675" s="38"/>
      <c r="Q675" s="38"/>
      <c r="R675" s="38"/>
      <c r="W675" s="139"/>
      <c r="X675" s="38"/>
    </row>
    <row r="676" ht="12.75" customHeight="1">
      <c r="C676" s="138"/>
      <c r="D676" s="138"/>
      <c r="E676" s="138"/>
      <c r="F676" s="138"/>
      <c r="G676" s="138"/>
      <c r="H676" s="138"/>
      <c r="L676" s="139"/>
      <c r="M676" s="38"/>
      <c r="N676" s="38"/>
      <c r="O676" s="38"/>
      <c r="P676" s="38"/>
      <c r="Q676" s="38"/>
      <c r="R676" s="38"/>
      <c r="W676" s="139"/>
      <c r="X676" s="38"/>
    </row>
    <row r="677" ht="12.75" customHeight="1">
      <c r="C677" s="138"/>
      <c r="D677" s="138"/>
      <c r="E677" s="138"/>
      <c r="F677" s="138"/>
      <c r="G677" s="138"/>
      <c r="H677" s="138"/>
      <c r="L677" s="139"/>
      <c r="M677" s="38"/>
      <c r="N677" s="38"/>
      <c r="O677" s="38"/>
      <c r="P677" s="38"/>
      <c r="Q677" s="38"/>
      <c r="R677" s="38"/>
      <c r="W677" s="139"/>
      <c r="X677" s="38"/>
    </row>
    <row r="678" ht="12.75" customHeight="1">
      <c r="C678" s="138"/>
      <c r="D678" s="138"/>
      <c r="E678" s="138"/>
      <c r="F678" s="138"/>
      <c r="G678" s="138"/>
      <c r="H678" s="138"/>
      <c r="L678" s="139"/>
      <c r="M678" s="38"/>
      <c r="N678" s="38"/>
      <c r="O678" s="38"/>
      <c r="P678" s="38"/>
      <c r="Q678" s="38"/>
      <c r="R678" s="38"/>
      <c r="W678" s="139"/>
      <c r="X678" s="38"/>
    </row>
    <row r="679" ht="12.75" customHeight="1">
      <c r="C679" s="138"/>
      <c r="D679" s="138"/>
      <c r="E679" s="138"/>
      <c r="F679" s="138"/>
      <c r="G679" s="138"/>
      <c r="H679" s="138"/>
      <c r="L679" s="139"/>
      <c r="M679" s="38"/>
      <c r="N679" s="38"/>
      <c r="O679" s="38"/>
      <c r="P679" s="38"/>
      <c r="Q679" s="38"/>
      <c r="R679" s="38"/>
      <c r="W679" s="139"/>
      <c r="X679" s="38"/>
    </row>
    <row r="680" ht="12.75" customHeight="1">
      <c r="C680" s="138"/>
      <c r="D680" s="138"/>
      <c r="E680" s="138"/>
      <c r="F680" s="138"/>
      <c r="G680" s="138"/>
      <c r="H680" s="138"/>
      <c r="L680" s="139"/>
      <c r="M680" s="38"/>
      <c r="N680" s="38"/>
      <c r="O680" s="38"/>
      <c r="P680" s="38"/>
      <c r="Q680" s="38"/>
      <c r="R680" s="38"/>
      <c r="W680" s="139"/>
      <c r="X680" s="38"/>
    </row>
    <row r="681" ht="12.75" customHeight="1">
      <c r="C681" s="138"/>
      <c r="D681" s="138"/>
      <c r="E681" s="138"/>
      <c r="F681" s="138"/>
      <c r="G681" s="138"/>
      <c r="H681" s="138"/>
      <c r="L681" s="139"/>
      <c r="M681" s="38"/>
      <c r="N681" s="38"/>
      <c r="O681" s="38"/>
      <c r="P681" s="38"/>
      <c r="Q681" s="38"/>
      <c r="R681" s="38"/>
      <c r="W681" s="139"/>
      <c r="X681" s="38"/>
    </row>
    <row r="682" ht="12.75" customHeight="1">
      <c r="C682" s="138"/>
      <c r="D682" s="138"/>
      <c r="E682" s="138"/>
      <c r="F682" s="138"/>
      <c r="G682" s="138"/>
      <c r="H682" s="138"/>
      <c r="L682" s="139"/>
      <c r="M682" s="38"/>
      <c r="N682" s="38"/>
      <c r="O682" s="38"/>
      <c r="P682" s="38"/>
      <c r="Q682" s="38"/>
      <c r="R682" s="38"/>
      <c r="W682" s="139"/>
      <c r="X682" s="38"/>
    </row>
    <row r="683" ht="12.75" customHeight="1">
      <c r="C683" s="138"/>
      <c r="D683" s="138"/>
      <c r="E683" s="138"/>
      <c r="F683" s="138"/>
      <c r="G683" s="138"/>
      <c r="H683" s="138"/>
      <c r="L683" s="139"/>
      <c r="M683" s="38"/>
      <c r="N683" s="38"/>
      <c r="O683" s="38"/>
      <c r="P683" s="38"/>
      <c r="Q683" s="38"/>
      <c r="R683" s="38"/>
      <c r="W683" s="139"/>
      <c r="X683" s="38"/>
    </row>
    <row r="684" ht="12.75" customHeight="1">
      <c r="C684" s="138"/>
      <c r="D684" s="138"/>
      <c r="E684" s="138"/>
      <c r="F684" s="138"/>
      <c r="G684" s="138"/>
      <c r="H684" s="138"/>
      <c r="L684" s="139"/>
      <c r="M684" s="38"/>
      <c r="N684" s="38"/>
      <c r="O684" s="38"/>
      <c r="P684" s="38"/>
      <c r="Q684" s="38"/>
      <c r="R684" s="38"/>
      <c r="W684" s="139"/>
      <c r="X684" s="38"/>
    </row>
    <row r="685" ht="12.75" customHeight="1">
      <c r="C685" s="138"/>
      <c r="D685" s="138"/>
      <c r="E685" s="138"/>
      <c r="F685" s="138"/>
      <c r="G685" s="138"/>
      <c r="H685" s="138"/>
      <c r="L685" s="139"/>
      <c r="M685" s="38"/>
      <c r="N685" s="38"/>
      <c r="O685" s="38"/>
      <c r="P685" s="38"/>
      <c r="Q685" s="38"/>
      <c r="R685" s="38"/>
      <c r="W685" s="139"/>
      <c r="X685" s="38"/>
    </row>
    <row r="686" ht="12.75" customHeight="1">
      <c r="C686" s="138"/>
      <c r="D686" s="138"/>
      <c r="E686" s="138"/>
      <c r="F686" s="138"/>
      <c r="G686" s="138"/>
      <c r="H686" s="138"/>
      <c r="L686" s="139"/>
      <c r="M686" s="38"/>
      <c r="N686" s="38"/>
      <c r="O686" s="38"/>
      <c r="P686" s="38"/>
      <c r="Q686" s="38"/>
      <c r="R686" s="38"/>
      <c r="W686" s="139"/>
      <c r="X686" s="38"/>
    </row>
    <row r="687" ht="12.75" customHeight="1">
      <c r="C687" s="138"/>
      <c r="D687" s="138"/>
      <c r="E687" s="138"/>
      <c r="F687" s="138"/>
      <c r="G687" s="138"/>
      <c r="H687" s="138"/>
      <c r="L687" s="139"/>
      <c r="M687" s="38"/>
      <c r="N687" s="38"/>
      <c r="O687" s="38"/>
      <c r="P687" s="38"/>
      <c r="Q687" s="38"/>
      <c r="R687" s="38"/>
      <c r="W687" s="139"/>
      <c r="X687" s="38"/>
    </row>
    <row r="688" ht="12.75" customHeight="1">
      <c r="C688" s="138"/>
      <c r="D688" s="138"/>
      <c r="E688" s="138"/>
      <c r="F688" s="138"/>
      <c r="G688" s="138"/>
      <c r="H688" s="138"/>
      <c r="L688" s="139"/>
      <c r="M688" s="38"/>
      <c r="N688" s="38"/>
      <c r="O688" s="38"/>
      <c r="P688" s="38"/>
      <c r="Q688" s="38"/>
      <c r="R688" s="38"/>
      <c r="W688" s="139"/>
      <c r="X688" s="38"/>
    </row>
    <row r="689" ht="12.75" customHeight="1">
      <c r="C689" s="138"/>
      <c r="D689" s="138"/>
      <c r="E689" s="138"/>
      <c r="F689" s="138"/>
      <c r="G689" s="138"/>
      <c r="H689" s="138"/>
      <c r="L689" s="139"/>
      <c r="M689" s="38"/>
      <c r="N689" s="38"/>
      <c r="O689" s="38"/>
      <c r="P689" s="38"/>
      <c r="Q689" s="38"/>
      <c r="R689" s="38"/>
      <c r="W689" s="139"/>
      <c r="X689" s="38"/>
    </row>
    <row r="690" ht="12.75" customHeight="1">
      <c r="C690" s="138"/>
      <c r="D690" s="138"/>
      <c r="E690" s="138"/>
      <c r="F690" s="138"/>
      <c r="G690" s="138"/>
      <c r="H690" s="138"/>
      <c r="L690" s="139"/>
      <c r="M690" s="38"/>
      <c r="N690" s="38"/>
      <c r="O690" s="38"/>
      <c r="P690" s="38"/>
      <c r="Q690" s="38"/>
      <c r="R690" s="38"/>
      <c r="W690" s="139"/>
      <c r="X690" s="38"/>
    </row>
    <row r="691" ht="12.75" customHeight="1">
      <c r="C691" s="138"/>
      <c r="D691" s="138"/>
      <c r="E691" s="138"/>
      <c r="F691" s="138"/>
      <c r="G691" s="138"/>
      <c r="H691" s="138"/>
      <c r="L691" s="139"/>
      <c r="M691" s="38"/>
      <c r="N691" s="38"/>
      <c r="O691" s="38"/>
      <c r="P691" s="38"/>
      <c r="Q691" s="38"/>
      <c r="R691" s="38"/>
      <c r="W691" s="139"/>
      <c r="X691" s="38"/>
    </row>
    <row r="692" ht="12.75" customHeight="1">
      <c r="C692" s="138"/>
      <c r="D692" s="138"/>
      <c r="E692" s="138"/>
      <c r="F692" s="138"/>
      <c r="G692" s="138"/>
      <c r="H692" s="138"/>
      <c r="L692" s="139"/>
      <c r="M692" s="38"/>
      <c r="N692" s="38"/>
      <c r="O692" s="38"/>
      <c r="P692" s="38"/>
      <c r="Q692" s="38"/>
      <c r="R692" s="38"/>
      <c r="W692" s="139"/>
      <c r="X692" s="38"/>
    </row>
    <row r="693" ht="12.75" customHeight="1">
      <c r="C693" s="138"/>
      <c r="D693" s="138"/>
      <c r="E693" s="138"/>
      <c r="F693" s="138"/>
      <c r="G693" s="138"/>
      <c r="H693" s="138"/>
      <c r="L693" s="139"/>
      <c r="M693" s="38"/>
      <c r="N693" s="38"/>
      <c r="O693" s="38"/>
      <c r="P693" s="38"/>
      <c r="Q693" s="38"/>
      <c r="R693" s="38"/>
      <c r="W693" s="139"/>
      <c r="X693" s="38"/>
    </row>
    <row r="694" ht="12.75" customHeight="1">
      <c r="C694" s="138"/>
      <c r="D694" s="138"/>
      <c r="E694" s="138"/>
      <c r="F694" s="138"/>
      <c r="G694" s="138"/>
      <c r="H694" s="138"/>
      <c r="L694" s="139"/>
      <c r="M694" s="38"/>
      <c r="N694" s="38"/>
      <c r="O694" s="38"/>
      <c r="P694" s="38"/>
      <c r="Q694" s="38"/>
      <c r="R694" s="38"/>
      <c r="W694" s="139"/>
      <c r="X694" s="38"/>
    </row>
    <row r="695" ht="12.75" customHeight="1">
      <c r="C695" s="138"/>
      <c r="D695" s="138"/>
      <c r="E695" s="138"/>
      <c r="F695" s="138"/>
      <c r="G695" s="138"/>
      <c r="H695" s="138"/>
      <c r="L695" s="139"/>
      <c r="M695" s="38"/>
      <c r="N695" s="38"/>
      <c r="O695" s="38"/>
      <c r="P695" s="38"/>
      <c r="Q695" s="38"/>
      <c r="R695" s="38"/>
      <c r="W695" s="139"/>
      <c r="X695" s="38"/>
    </row>
    <row r="696" ht="12.75" customHeight="1">
      <c r="C696" s="138"/>
      <c r="D696" s="138"/>
      <c r="E696" s="138"/>
      <c r="F696" s="138"/>
      <c r="G696" s="138"/>
      <c r="H696" s="138"/>
      <c r="L696" s="139"/>
      <c r="M696" s="38"/>
      <c r="N696" s="38"/>
      <c r="O696" s="38"/>
      <c r="P696" s="38"/>
      <c r="Q696" s="38"/>
      <c r="R696" s="38"/>
      <c r="W696" s="139"/>
      <c r="X696" s="38"/>
    </row>
    <row r="697" ht="12.75" customHeight="1">
      <c r="C697" s="138"/>
      <c r="D697" s="138"/>
      <c r="E697" s="138"/>
      <c r="F697" s="138"/>
      <c r="G697" s="138"/>
      <c r="H697" s="138"/>
      <c r="L697" s="139"/>
      <c r="M697" s="38"/>
      <c r="N697" s="38"/>
      <c r="O697" s="38"/>
      <c r="P697" s="38"/>
      <c r="Q697" s="38"/>
      <c r="R697" s="38"/>
      <c r="W697" s="139"/>
      <c r="X697" s="38"/>
    </row>
    <row r="698" ht="12.75" customHeight="1">
      <c r="C698" s="138"/>
      <c r="D698" s="138"/>
      <c r="E698" s="138"/>
      <c r="F698" s="138"/>
      <c r="G698" s="138"/>
      <c r="H698" s="138"/>
      <c r="L698" s="139"/>
      <c r="M698" s="38"/>
      <c r="N698" s="38"/>
      <c r="O698" s="38"/>
      <c r="P698" s="38"/>
      <c r="Q698" s="38"/>
      <c r="R698" s="38"/>
      <c r="W698" s="139"/>
      <c r="X698" s="38"/>
    </row>
    <row r="699" ht="12.75" customHeight="1">
      <c r="C699" s="138"/>
      <c r="D699" s="138"/>
      <c r="E699" s="138"/>
      <c r="F699" s="138"/>
      <c r="G699" s="138"/>
      <c r="H699" s="138"/>
      <c r="L699" s="139"/>
      <c r="M699" s="38"/>
      <c r="N699" s="38"/>
      <c r="O699" s="38"/>
      <c r="P699" s="38"/>
      <c r="Q699" s="38"/>
      <c r="R699" s="38"/>
      <c r="W699" s="139"/>
      <c r="X699" s="38"/>
    </row>
    <row r="700" ht="12.75" customHeight="1">
      <c r="C700" s="138"/>
      <c r="D700" s="138"/>
      <c r="E700" s="138"/>
      <c r="F700" s="138"/>
      <c r="G700" s="138"/>
      <c r="H700" s="138"/>
      <c r="L700" s="139"/>
      <c r="M700" s="38"/>
      <c r="N700" s="38"/>
      <c r="O700" s="38"/>
      <c r="P700" s="38"/>
      <c r="Q700" s="38"/>
      <c r="R700" s="38"/>
      <c r="W700" s="139"/>
      <c r="X700" s="38"/>
    </row>
    <row r="701" ht="12.75" customHeight="1">
      <c r="C701" s="138"/>
      <c r="D701" s="138"/>
      <c r="E701" s="138"/>
      <c r="F701" s="138"/>
      <c r="G701" s="138"/>
      <c r="H701" s="138"/>
      <c r="L701" s="139"/>
      <c r="M701" s="38"/>
      <c r="N701" s="38"/>
      <c r="O701" s="38"/>
      <c r="P701" s="38"/>
      <c r="Q701" s="38"/>
      <c r="R701" s="38"/>
      <c r="W701" s="139"/>
      <c r="X701" s="38"/>
    </row>
    <row r="702" ht="12.75" customHeight="1">
      <c r="C702" s="138"/>
      <c r="D702" s="138"/>
      <c r="E702" s="138"/>
      <c r="F702" s="138"/>
      <c r="G702" s="138"/>
      <c r="H702" s="138"/>
      <c r="L702" s="139"/>
      <c r="M702" s="38"/>
      <c r="N702" s="38"/>
      <c r="O702" s="38"/>
      <c r="P702" s="38"/>
      <c r="Q702" s="38"/>
      <c r="R702" s="38"/>
      <c r="W702" s="139"/>
      <c r="X702" s="38"/>
    </row>
    <row r="703" ht="12.75" customHeight="1">
      <c r="C703" s="138"/>
      <c r="D703" s="138"/>
      <c r="E703" s="138"/>
      <c r="F703" s="138"/>
      <c r="G703" s="138"/>
      <c r="H703" s="138"/>
      <c r="L703" s="139"/>
      <c r="M703" s="38"/>
      <c r="N703" s="38"/>
      <c r="O703" s="38"/>
      <c r="P703" s="38"/>
      <c r="Q703" s="38"/>
      <c r="R703" s="38"/>
      <c r="W703" s="139"/>
      <c r="X703" s="38"/>
    </row>
    <row r="704" ht="12.75" customHeight="1">
      <c r="C704" s="138"/>
      <c r="D704" s="138"/>
      <c r="E704" s="138"/>
      <c r="F704" s="138"/>
      <c r="G704" s="138"/>
      <c r="H704" s="138"/>
      <c r="L704" s="139"/>
      <c r="M704" s="38"/>
      <c r="N704" s="38"/>
      <c r="O704" s="38"/>
      <c r="P704" s="38"/>
      <c r="Q704" s="38"/>
      <c r="R704" s="38"/>
      <c r="W704" s="139"/>
      <c r="X704" s="38"/>
    </row>
    <row r="705" ht="12.75" customHeight="1">
      <c r="C705" s="138"/>
      <c r="D705" s="138"/>
      <c r="E705" s="138"/>
      <c r="F705" s="138"/>
      <c r="G705" s="138"/>
      <c r="H705" s="138"/>
      <c r="L705" s="139"/>
      <c r="M705" s="38"/>
      <c r="N705" s="38"/>
      <c r="O705" s="38"/>
      <c r="P705" s="38"/>
      <c r="Q705" s="38"/>
      <c r="R705" s="38"/>
      <c r="W705" s="139"/>
      <c r="X705" s="38"/>
    </row>
    <row r="706" ht="12.75" customHeight="1">
      <c r="C706" s="138"/>
      <c r="D706" s="138"/>
      <c r="E706" s="138"/>
      <c r="F706" s="138"/>
      <c r="G706" s="138"/>
      <c r="H706" s="138"/>
      <c r="L706" s="139"/>
      <c r="M706" s="38"/>
      <c r="N706" s="38"/>
      <c r="O706" s="38"/>
      <c r="P706" s="38"/>
      <c r="Q706" s="38"/>
      <c r="R706" s="38"/>
      <c r="W706" s="139"/>
      <c r="X706" s="38"/>
    </row>
    <row r="707" ht="12.75" customHeight="1">
      <c r="C707" s="138"/>
      <c r="D707" s="138"/>
      <c r="E707" s="138"/>
      <c r="F707" s="138"/>
      <c r="G707" s="138"/>
      <c r="H707" s="138"/>
      <c r="L707" s="139"/>
      <c r="M707" s="38"/>
      <c r="N707" s="38"/>
      <c r="O707" s="38"/>
      <c r="P707" s="38"/>
      <c r="Q707" s="38"/>
      <c r="R707" s="38"/>
      <c r="W707" s="139"/>
      <c r="X707" s="38"/>
    </row>
    <row r="708" ht="12.75" customHeight="1">
      <c r="C708" s="138"/>
      <c r="D708" s="138"/>
      <c r="E708" s="138"/>
      <c r="F708" s="138"/>
      <c r="G708" s="138"/>
      <c r="H708" s="138"/>
      <c r="L708" s="139"/>
      <c r="M708" s="38"/>
      <c r="N708" s="38"/>
      <c r="O708" s="38"/>
      <c r="P708" s="38"/>
      <c r="Q708" s="38"/>
      <c r="R708" s="38"/>
      <c r="W708" s="139"/>
      <c r="X708" s="38"/>
    </row>
    <row r="709" ht="12.75" customHeight="1">
      <c r="C709" s="138"/>
      <c r="D709" s="138"/>
      <c r="E709" s="138"/>
      <c r="F709" s="138"/>
      <c r="G709" s="138"/>
      <c r="H709" s="138"/>
      <c r="L709" s="139"/>
      <c r="M709" s="38"/>
      <c r="N709" s="38"/>
      <c r="O709" s="38"/>
      <c r="P709" s="38"/>
      <c r="Q709" s="38"/>
      <c r="R709" s="38"/>
      <c r="W709" s="139"/>
      <c r="X709" s="38"/>
    </row>
    <row r="710" ht="12.75" customHeight="1">
      <c r="C710" s="138"/>
      <c r="D710" s="138"/>
      <c r="E710" s="138"/>
      <c r="F710" s="138"/>
      <c r="G710" s="138"/>
      <c r="H710" s="138"/>
      <c r="L710" s="139"/>
      <c r="M710" s="38"/>
      <c r="N710" s="38"/>
      <c r="O710" s="38"/>
      <c r="P710" s="38"/>
      <c r="Q710" s="38"/>
      <c r="R710" s="38"/>
      <c r="W710" s="139"/>
      <c r="X710" s="38"/>
    </row>
    <row r="711" ht="12.75" customHeight="1">
      <c r="C711" s="138"/>
      <c r="D711" s="138"/>
      <c r="E711" s="138"/>
      <c r="F711" s="138"/>
      <c r="G711" s="138"/>
      <c r="H711" s="138"/>
      <c r="L711" s="139"/>
      <c r="M711" s="38"/>
      <c r="N711" s="38"/>
      <c r="O711" s="38"/>
      <c r="P711" s="38"/>
      <c r="Q711" s="38"/>
      <c r="R711" s="38"/>
      <c r="W711" s="139"/>
      <c r="X711" s="38"/>
    </row>
    <row r="712" ht="12.75" customHeight="1">
      <c r="C712" s="138"/>
      <c r="D712" s="138"/>
      <c r="E712" s="138"/>
      <c r="F712" s="138"/>
      <c r="G712" s="138"/>
      <c r="H712" s="138"/>
      <c r="L712" s="139"/>
      <c r="M712" s="38"/>
      <c r="N712" s="38"/>
      <c r="O712" s="38"/>
      <c r="P712" s="38"/>
      <c r="Q712" s="38"/>
      <c r="R712" s="38"/>
      <c r="W712" s="139"/>
      <c r="X712" s="38"/>
    </row>
    <row r="713" ht="12.75" customHeight="1">
      <c r="C713" s="138"/>
      <c r="D713" s="138"/>
      <c r="E713" s="138"/>
      <c r="F713" s="138"/>
      <c r="G713" s="138"/>
      <c r="H713" s="138"/>
      <c r="L713" s="139"/>
      <c r="M713" s="38"/>
      <c r="N713" s="38"/>
      <c r="O713" s="38"/>
      <c r="P713" s="38"/>
      <c r="Q713" s="38"/>
      <c r="R713" s="38"/>
      <c r="W713" s="139"/>
      <c r="X713" s="38"/>
    </row>
    <row r="714" ht="12.75" customHeight="1">
      <c r="C714" s="138"/>
      <c r="D714" s="138"/>
      <c r="E714" s="138"/>
      <c r="F714" s="138"/>
      <c r="G714" s="138"/>
      <c r="H714" s="138"/>
      <c r="L714" s="139"/>
      <c r="M714" s="38"/>
      <c r="N714" s="38"/>
      <c r="O714" s="38"/>
      <c r="P714" s="38"/>
      <c r="Q714" s="38"/>
      <c r="R714" s="38"/>
      <c r="W714" s="139"/>
      <c r="X714" s="38"/>
    </row>
    <row r="715" ht="12.75" customHeight="1">
      <c r="C715" s="138"/>
      <c r="D715" s="138"/>
      <c r="E715" s="138"/>
      <c r="F715" s="138"/>
      <c r="G715" s="138"/>
      <c r="H715" s="138"/>
      <c r="L715" s="139"/>
      <c r="M715" s="38"/>
      <c r="N715" s="38"/>
      <c r="O715" s="38"/>
      <c r="P715" s="38"/>
      <c r="Q715" s="38"/>
      <c r="R715" s="38"/>
      <c r="W715" s="139"/>
      <c r="X715" s="38"/>
    </row>
    <row r="716" ht="12.75" customHeight="1">
      <c r="C716" s="138"/>
      <c r="D716" s="138"/>
      <c r="E716" s="138"/>
      <c r="F716" s="138"/>
      <c r="G716" s="138"/>
      <c r="H716" s="138"/>
      <c r="L716" s="139"/>
      <c r="M716" s="38"/>
      <c r="N716" s="38"/>
      <c r="O716" s="38"/>
      <c r="P716" s="38"/>
      <c r="Q716" s="38"/>
      <c r="R716" s="38"/>
      <c r="W716" s="139"/>
      <c r="X716" s="38"/>
    </row>
    <row r="717" ht="12.75" customHeight="1">
      <c r="C717" s="138"/>
      <c r="D717" s="138"/>
      <c r="E717" s="138"/>
      <c r="F717" s="138"/>
      <c r="G717" s="138"/>
      <c r="H717" s="138"/>
      <c r="L717" s="139"/>
      <c r="M717" s="38"/>
      <c r="N717" s="38"/>
      <c r="O717" s="38"/>
      <c r="P717" s="38"/>
      <c r="Q717" s="38"/>
      <c r="R717" s="38"/>
      <c r="W717" s="139"/>
      <c r="X717" s="38"/>
    </row>
    <row r="718" ht="12.75" customHeight="1">
      <c r="C718" s="138"/>
      <c r="D718" s="138"/>
      <c r="E718" s="138"/>
      <c r="F718" s="138"/>
      <c r="G718" s="138"/>
      <c r="H718" s="138"/>
      <c r="L718" s="139"/>
      <c r="M718" s="38"/>
      <c r="N718" s="38"/>
      <c r="O718" s="38"/>
      <c r="P718" s="38"/>
      <c r="Q718" s="38"/>
      <c r="R718" s="38"/>
      <c r="W718" s="139"/>
      <c r="X718" s="38"/>
    </row>
    <row r="719" ht="12.75" customHeight="1">
      <c r="C719" s="138"/>
      <c r="D719" s="138"/>
      <c r="E719" s="138"/>
      <c r="F719" s="138"/>
      <c r="G719" s="138"/>
      <c r="H719" s="138"/>
      <c r="L719" s="139"/>
      <c r="M719" s="38"/>
      <c r="N719" s="38"/>
      <c r="O719" s="38"/>
      <c r="P719" s="38"/>
      <c r="Q719" s="38"/>
      <c r="R719" s="38"/>
      <c r="W719" s="139"/>
      <c r="X719" s="38"/>
    </row>
    <row r="720" ht="12.75" customHeight="1">
      <c r="C720" s="138"/>
      <c r="D720" s="138"/>
      <c r="E720" s="138"/>
      <c r="F720" s="138"/>
      <c r="G720" s="138"/>
      <c r="H720" s="138"/>
      <c r="L720" s="139"/>
      <c r="M720" s="38"/>
      <c r="N720" s="38"/>
      <c r="O720" s="38"/>
      <c r="P720" s="38"/>
      <c r="Q720" s="38"/>
      <c r="R720" s="38"/>
      <c r="W720" s="139"/>
      <c r="X720" s="38"/>
    </row>
    <row r="721" ht="12.75" customHeight="1">
      <c r="C721" s="138"/>
      <c r="D721" s="138"/>
      <c r="E721" s="138"/>
      <c r="F721" s="138"/>
      <c r="G721" s="138"/>
      <c r="H721" s="138"/>
      <c r="L721" s="139"/>
      <c r="M721" s="38"/>
      <c r="N721" s="38"/>
      <c r="O721" s="38"/>
      <c r="P721" s="38"/>
      <c r="Q721" s="38"/>
      <c r="R721" s="38"/>
      <c r="W721" s="139"/>
      <c r="X721" s="38"/>
    </row>
    <row r="722" ht="12.75" customHeight="1">
      <c r="C722" s="138"/>
      <c r="D722" s="138"/>
      <c r="E722" s="138"/>
      <c r="F722" s="138"/>
      <c r="G722" s="138"/>
      <c r="H722" s="138"/>
      <c r="L722" s="139"/>
      <c r="M722" s="38"/>
      <c r="N722" s="38"/>
      <c r="O722" s="38"/>
      <c r="P722" s="38"/>
      <c r="Q722" s="38"/>
      <c r="R722" s="38"/>
      <c r="W722" s="139"/>
      <c r="X722" s="38"/>
    </row>
    <row r="723" ht="12.75" customHeight="1">
      <c r="C723" s="138"/>
      <c r="D723" s="138"/>
      <c r="E723" s="138"/>
      <c r="F723" s="138"/>
      <c r="G723" s="138"/>
      <c r="H723" s="138"/>
      <c r="L723" s="139"/>
      <c r="M723" s="38"/>
      <c r="N723" s="38"/>
      <c r="O723" s="38"/>
      <c r="P723" s="38"/>
      <c r="Q723" s="38"/>
      <c r="R723" s="38"/>
      <c r="W723" s="139"/>
      <c r="X723" s="38"/>
    </row>
    <row r="724" ht="12.75" customHeight="1">
      <c r="C724" s="138"/>
      <c r="D724" s="138"/>
      <c r="E724" s="138"/>
      <c r="F724" s="138"/>
      <c r="G724" s="138"/>
      <c r="H724" s="138"/>
      <c r="L724" s="139"/>
      <c r="M724" s="38"/>
      <c r="N724" s="38"/>
      <c r="O724" s="38"/>
      <c r="P724" s="38"/>
      <c r="Q724" s="38"/>
      <c r="R724" s="38"/>
      <c r="W724" s="139"/>
      <c r="X724" s="38"/>
    </row>
    <row r="725" ht="12.75" customHeight="1">
      <c r="C725" s="138"/>
      <c r="D725" s="138"/>
      <c r="E725" s="138"/>
      <c r="F725" s="138"/>
      <c r="G725" s="138"/>
      <c r="H725" s="138"/>
      <c r="L725" s="139"/>
      <c r="M725" s="38"/>
      <c r="N725" s="38"/>
      <c r="O725" s="38"/>
      <c r="P725" s="38"/>
      <c r="Q725" s="38"/>
      <c r="R725" s="38"/>
      <c r="W725" s="139"/>
      <c r="X725" s="38"/>
    </row>
    <row r="726" ht="12.75" customHeight="1">
      <c r="C726" s="138"/>
      <c r="D726" s="138"/>
      <c r="E726" s="138"/>
      <c r="F726" s="138"/>
      <c r="G726" s="138"/>
      <c r="H726" s="138"/>
      <c r="L726" s="139"/>
      <c r="M726" s="38"/>
      <c r="N726" s="38"/>
      <c r="O726" s="38"/>
      <c r="P726" s="38"/>
      <c r="Q726" s="38"/>
      <c r="R726" s="38"/>
      <c r="W726" s="139"/>
      <c r="X726" s="38"/>
    </row>
    <row r="727" ht="12.75" customHeight="1">
      <c r="C727" s="138"/>
      <c r="D727" s="138"/>
      <c r="E727" s="138"/>
      <c r="F727" s="138"/>
      <c r="G727" s="138"/>
      <c r="H727" s="138"/>
      <c r="L727" s="139"/>
      <c r="M727" s="38"/>
      <c r="N727" s="38"/>
      <c r="O727" s="38"/>
      <c r="P727" s="38"/>
      <c r="Q727" s="38"/>
      <c r="R727" s="38"/>
      <c r="W727" s="139"/>
      <c r="X727" s="38"/>
    </row>
    <row r="728" ht="12.75" customHeight="1">
      <c r="C728" s="138"/>
      <c r="D728" s="138"/>
      <c r="E728" s="138"/>
      <c r="F728" s="138"/>
      <c r="G728" s="138"/>
      <c r="H728" s="138"/>
      <c r="L728" s="139"/>
      <c r="M728" s="38"/>
      <c r="N728" s="38"/>
      <c r="O728" s="38"/>
      <c r="P728" s="38"/>
      <c r="Q728" s="38"/>
      <c r="R728" s="38"/>
      <c r="W728" s="139"/>
      <c r="X728" s="38"/>
    </row>
    <row r="729" ht="12.75" customHeight="1">
      <c r="C729" s="138"/>
      <c r="D729" s="138"/>
      <c r="E729" s="138"/>
      <c r="F729" s="138"/>
      <c r="G729" s="138"/>
      <c r="H729" s="138"/>
      <c r="L729" s="139"/>
      <c r="M729" s="38"/>
      <c r="N729" s="38"/>
      <c r="O729" s="38"/>
      <c r="P729" s="38"/>
      <c r="Q729" s="38"/>
      <c r="R729" s="38"/>
      <c r="W729" s="139"/>
      <c r="X729" s="38"/>
    </row>
    <row r="730" ht="12.75" customHeight="1">
      <c r="C730" s="138"/>
      <c r="D730" s="138"/>
      <c r="E730" s="138"/>
      <c r="F730" s="138"/>
      <c r="G730" s="138"/>
      <c r="H730" s="138"/>
      <c r="L730" s="139"/>
      <c r="M730" s="38"/>
      <c r="N730" s="38"/>
      <c r="O730" s="38"/>
      <c r="P730" s="38"/>
      <c r="Q730" s="38"/>
      <c r="R730" s="38"/>
      <c r="W730" s="139"/>
      <c r="X730" s="38"/>
    </row>
    <row r="731" ht="12.75" customHeight="1">
      <c r="C731" s="138"/>
      <c r="D731" s="138"/>
      <c r="E731" s="138"/>
      <c r="F731" s="138"/>
      <c r="G731" s="138"/>
      <c r="H731" s="138"/>
      <c r="L731" s="139"/>
      <c r="M731" s="38"/>
      <c r="N731" s="38"/>
      <c r="O731" s="38"/>
      <c r="P731" s="38"/>
      <c r="Q731" s="38"/>
      <c r="R731" s="38"/>
      <c r="W731" s="139"/>
      <c r="X731" s="38"/>
    </row>
    <row r="732" ht="12.75" customHeight="1">
      <c r="C732" s="138"/>
      <c r="D732" s="138"/>
      <c r="E732" s="138"/>
      <c r="F732" s="138"/>
      <c r="G732" s="138"/>
      <c r="H732" s="138"/>
      <c r="L732" s="139"/>
      <c r="M732" s="38"/>
      <c r="N732" s="38"/>
      <c r="O732" s="38"/>
      <c r="P732" s="38"/>
      <c r="Q732" s="38"/>
      <c r="R732" s="38"/>
      <c r="W732" s="139"/>
      <c r="X732" s="38"/>
    </row>
    <row r="733" ht="12.75" customHeight="1">
      <c r="C733" s="138"/>
      <c r="D733" s="138"/>
      <c r="E733" s="138"/>
      <c r="F733" s="138"/>
      <c r="G733" s="138"/>
      <c r="H733" s="138"/>
      <c r="L733" s="139"/>
      <c r="M733" s="38"/>
      <c r="N733" s="38"/>
      <c r="O733" s="38"/>
      <c r="P733" s="38"/>
      <c r="Q733" s="38"/>
      <c r="R733" s="38"/>
      <c r="W733" s="139"/>
      <c r="X733" s="38"/>
    </row>
    <row r="734" ht="12.75" customHeight="1">
      <c r="C734" s="138"/>
      <c r="D734" s="138"/>
      <c r="E734" s="138"/>
      <c r="F734" s="138"/>
      <c r="G734" s="138"/>
      <c r="H734" s="138"/>
      <c r="L734" s="139"/>
      <c r="M734" s="38"/>
      <c r="N734" s="38"/>
      <c r="O734" s="38"/>
      <c r="P734" s="38"/>
      <c r="Q734" s="38"/>
      <c r="R734" s="38"/>
      <c r="W734" s="139"/>
      <c r="X734" s="38"/>
    </row>
    <row r="735" ht="12.75" customHeight="1">
      <c r="C735" s="138"/>
      <c r="D735" s="138"/>
      <c r="E735" s="138"/>
      <c r="F735" s="138"/>
      <c r="G735" s="138"/>
      <c r="H735" s="138"/>
      <c r="L735" s="139"/>
      <c r="M735" s="38"/>
      <c r="N735" s="38"/>
      <c r="O735" s="38"/>
      <c r="P735" s="38"/>
      <c r="Q735" s="38"/>
      <c r="R735" s="38"/>
      <c r="W735" s="139"/>
      <c r="X735" s="38"/>
    </row>
    <row r="736" ht="12.75" customHeight="1">
      <c r="C736" s="138"/>
      <c r="D736" s="138"/>
      <c r="E736" s="138"/>
      <c r="F736" s="138"/>
      <c r="G736" s="138"/>
      <c r="H736" s="138"/>
      <c r="L736" s="139"/>
      <c r="M736" s="38"/>
      <c r="N736" s="38"/>
      <c r="O736" s="38"/>
      <c r="P736" s="38"/>
      <c r="Q736" s="38"/>
      <c r="R736" s="38"/>
      <c r="W736" s="139"/>
      <c r="X736" s="38"/>
    </row>
    <row r="737" ht="12.75" customHeight="1">
      <c r="C737" s="138"/>
      <c r="D737" s="138"/>
      <c r="E737" s="138"/>
      <c r="F737" s="138"/>
      <c r="G737" s="138"/>
      <c r="H737" s="138"/>
      <c r="L737" s="139"/>
      <c r="M737" s="38"/>
      <c r="N737" s="38"/>
      <c r="O737" s="38"/>
      <c r="P737" s="38"/>
      <c r="Q737" s="38"/>
      <c r="R737" s="38"/>
      <c r="W737" s="139"/>
      <c r="X737" s="38"/>
    </row>
    <row r="738" ht="12.75" customHeight="1">
      <c r="C738" s="138"/>
      <c r="D738" s="138"/>
      <c r="E738" s="138"/>
      <c r="F738" s="138"/>
      <c r="G738" s="138"/>
      <c r="H738" s="138"/>
      <c r="L738" s="139"/>
      <c r="M738" s="38"/>
      <c r="N738" s="38"/>
      <c r="O738" s="38"/>
      <c r="P738" s="38"/>
      <c r="Q738" s="38"/>
      <c r="R738" s="38"/>
      <c r="W738" s="139"/>
      <c r="X738" s="38"/>
    </row>
    <row r="739" ht="12.75" customHeight="1">
      <c r="C739" s="138"/>
      <c r="D739" s="138"/>
      <c r="E739" s="138"/>
      <c r="F739" s="138"/>
      <c r="G739" s="138"/>
      <c r="H739" s="138"/>
      <c r="L739" s="139"/>
      <c r="M739" s="38"/>
      <c r="N739" s="38"/>
      <c r="O739" s="38"/>
      <c r="P739" s="38"/>
      <c r="Q739" s="38"/>
      <c r="R739" s="38"/>
      <c r="W739" s="139"/>
      <c r="X739" s="38"/>
    </row>
    <row r="740" ht="12.75" customHeight="1">
      <c r="C740" s="138"/>
      <c r="D740" s="138"/>
      <c r="E740" s="138"/>
      <c r="F740" s="138"/>
      <c r="G740" s="138"/>
      <c r="H740" s="138"/>
      <c r="L740" s="139"/>
      <c r="M740" s="38"/>
      <c r="N740" s="38"/>
      <c r="O740" s="38"/>
      <c r="P740" s="38"/>
      <c r="Q740" s="38"/>
      <c r="R740" s="38"/>
      <c r="W740" s="139"/>
      <c r="X740" s="38"/>
    </row>
    <row r="741" ht="12.75" customHeight="1">
      <c r="C741" s="138"/>
      <c r="D741" s="138"/>
      <c r="E741" s="138"/>
      <c r="F741" s="138"/>
      <c r="G741" s="138"/>
      <c r="H741" s="138"/>
      <c r="L741" s="139"/>
      <c r="M741" s="38"/>
      <c r="N741" s="38"/>
      <c r="O741" s="38"/>
      <c r="P741" s="38"/>
      <c r="Q741" s="38"/>
      <c r="R741" s="38"/>
      <c r="W741" s="139"/>
      <c r="X741" s="38"/>
    </row>
    <row r="742" ht="12.75" customHeight="1">
      <c r="C742" s="138"/>
      <c r="D742" s="138"/>
      <c r="E742" s="138"/>
      <c r="F742" s="138"/>
      <c r="G742" s="138"/>
      <c r="H742" s="138"/>
      <c r="L742" s="139"/>
      <c r="M742" s="38"/>
      <c r="N742" s="38"/>
      <c r="O742" s="38"/>
      <c r="P742" s="38"/>
      <c r="Q742" s="38"/>
      <c r="R742" s="38"/>
      <c r="W742" s="139"/>
      <c r="X742" s="38"/>
    </row>
    <row r="743" ht="12.75" customHeight="1">
      <c r="C743" s="138"/>
      <c r="D743" s="138"/>
      <c r="E743" s="138"/>
      <c r="F743" s="138"/>
      <c r="G743" s="138"/>
      <c r="H743" s="138"/>
      <c r="L743" s="139"/>
      <c r="M743" s="38"/>
      <c r="N743" s="38"/>
      <c r="O743" s="38"/>
      <c r="P743" s="38"/>
      <c r="Q743" s="38"/>
      <c r="R743" s="38"/>
      <c r="W743" s="139"/>
      <c r="X743" s="38"/>
    </row>
    <row r="744" ht="12.75" customHeight="1">
      <c r="C744" s="138"/>
      <c r="D744" s="138"/>
      <c r="E744" s="138"/>
      <c r="F744" s="138"/>
      <c r="G744" s="138"/>
      <c r="H744" s="138"/>
      <c r="L744" s="139"/>
      <c r="M744" s="38"/>
      <c r="N744" s="38"/>
      <c r="O744" s="38"/>
      <c r="P744" s="38"/>
      <c r="Q744" s="38"/>
      <c r="R744" s="38"/>
      <c r="W744" s="139"/>
      <c r="X744" s="38"/>
    </row>
    <row r="745" ht="12.75" customHeight="1">
      <c r="C745" s="138"/>
      <c r="D745" s="138"/>
      <c r="E745" s="138"/>
      <c r="F745" s="138"/>
      <c r="G745" s="138"/>
      <c r="H745" s="138"/>
      <c r="L745" s="139"/>
      <c r="M745" s="38"/>
      <c r="N745" s="38"/>
      <c r="O745" s="38"/>
      <c r="P745" s="38"/>
      <c r="Q745" s="38"/>
      <c r="R745" s="38"/>
      <c r="W745" s="139"/>
      <c r="X745" s="38"/>
    </row>
    <row r="746" ht="12.75" customHeight="1">
      <c r="C746" s="138"/>
      <c r="D746" s="138"/>
      <c r="E746" s="138"/>
      <c r="F746" s="138"/>
      <c r="G746" s="138"/>
      <c r="H746" s="138"/>
      <c r="L746" s="139"/>
      <c r="M746" s="38"/>
      <c r="N746" s="38"/>
      <c r="O746" s="38"/>
      <c r="P746" s="38"/>
      <c r="Q746" s="38"/>
      <c r="R746" s="38"/>
      <c r="W746" s="139"/>
      <c r="X746" s="38"/>
    </row>
    <row r="747" ht="12.75" customHeight="1">
      <c r="C747" s="138"/>
      <c r="D747" s="138"/>
      <c r="E747" s="138"/>
      <c r="F747" s="138"/>
      <c r="G747" s="138"/>
      <c r="H747" s="138"/>
      <c r="L747" s="139"/>
      <c r="M747" s="38"/>
      <c r="N747" s="38"/>
      <c r="O747" s="38"/>
      <c r="P747" s="38"/>
      <c r="Q747" s="38"/>
      <c r="R747" s="38"/>
      <c r="W747" s="139"/>
      <c r="X747" s="38"/>
    </row>
    <row r="748" ht="12.75" customHeight="1">
      <c r="C748" s="138"/>
      <c r="D748" s="138"/>
      <c r="E748" s="138"/>
      <c r="F748" s="138"/>
      <c r="G748" s="138"/>
      <c r="H748" s="138"/>
      <c r="L748" s="139"/>
      <c r="M748" s="38"/>
      <c r="N748" s="38"/>
      <c r="O748" s="38"/>
      <c r="P748" s="38"/>
      <c r="Q748" s="38"/>
      <c r="R748" s="38"/>
      <c r="W748" s="139"/>
      <c r="X748" s="38"/>
    </row>
    <row r="749" ht="12.75" customHeight="1">
      <c r="C749" s="138"/>
      <c r="D749" s="138"/>
      <c r="E749" s="138"/>
      <c r="F749" s="138"/>
      <c r="G749" s="138"/>
      <c r="H749" s="138"/>
      <c r="L749" s="139"/>
      <c r="M749" s="38"/>
      <c r="N749" s="38"/>
      <c r="O749" s="38"/>
      <c r="P749" s="38"/>
      <c r="Q749" s="38"/>
      <c r="R749" s="38"/>
      <c r="W749" s="139"/>
      <c r="X749" s="38"/>
    </row>
    <row r="750" ht="12.75" customHeight="1">
      <c r="C750" s="138"/>
      <c r="D750" s="138"/>
      <c r="E750" s="138"/>
      <c r="F750" s="138"/>
      <c r="G750" s="138"/>
      <c r="H750" s="138"/>
      <c r="L750" s="139"/>
      <c r="M750" s="38"/>
      <c r="N750" s="38"/>
      <c r="O750" s="38"/>
      <c r="P750" s="38"/>
      <c r="Q750" s="38"/>
      <c r="R750" s="38"/>
      <c r="W750" s="139"/>
      <c r="X750" s="38"/>
    </row>
    <row r="751" ht="12.75" customHeight="1">
      <c r="C751" s="138"/>
      <c r="D751" s="138"/>
      <c r="E751" s="138"/>
      <c r="F751" s="138"/>
      <c r="G751" s="138"/>
      <c r="H751" s="138"/>
      <c r="L751" s="139"/>
      <c r="M751" s="38"/>
      <c r="N751" s="38"/>
      <c r="O751" s="38"/>
      <c r="P751" s="38"/>
      <c r="Q751" s="38"/>
      <c r="R751" s="38"/>
      <c r="W751" s="139"/>
      <c r="X751" s="38"/>
    </row>
    <row r="752" ht="12.75" customHeight="1">
      <c r="C752" s="138"/>
      <c r="D752" s="138"/>
      <c r="E752" s="138"/>
      <c r="F752" s="138"/>
      <c r="G752" s="138"/>
      <c r="H752" s="138"/>
      <c r="L752" s="139"/>
      <c r="M752" s="38"/>
      <c r="N752" s="38"/>
      <c r="O752" s="38"/>
      <c r="P752" s="38"/>
      <c r="Q752" s="38"/>
      <c r="R752" s="38"/>
      <c r="W752" s="139"/>
      <c r="X752" s="38"/>
    </row>
    <row r="753" ht="12.75" customHeight="1">
      <c r="C753" s="138"/>
      <c r="D753" s="138"/>
      <c r="E753" s="138"/>
      <c r="F753" s="138"/>
      <c r="G753" s="138"/>
      <c r="H753" s="138"/>
      <c r="L753" s="139"/>
      <c r="M753" s="38"/>
      <c r="N753" s="38"/>
      <c r="O753" s="38"/>
      <c r="P753" s="38"/>
      <c r="Q753" s="38"/>
      <c r="R753" s="38"/>
      <c r="W753" s="139"/>
      <c r="X753" s="38"/>
    </row>
    <row r="754" ht="12.75" customHeight="1">
      <c r="C754" s="138"/>
      <c r="D754" s="138"/>
      <c r="E754" s="138"/>
      <c r="F754" s="138"/>
      <c r="G754" s="138"/>
      <c r="H754" s="138"/>
      <c r="L754" s="139"/>
      <c r="M754" s="38"/>
      <c r="N754" s="38"/>
      <c r="O754" s="38"/>
      <c r="P754" s="38"/>
      <c r="Q754" s="38"/>
      <c r="R754" s="38"/>
      <c r="W754" s="139"/>
      <c r="X754" s="38"/>
    </row>
    <row r="755" ht="12.75" customHeight="1">
      <c r="C755" s="138"/>
      <c r="D755" s="138"/>
      <c r="E755" s="138"/>
      <c r="F755" s="138"/>
      <c r="G755" s="138"/>
      <c r="H755" s="138"/>
      <c r="L755" s="139"/>
      <c r="M755" s="38"/>
      <c r="N755" s="38"/>
      <c r="O755" s="38"/>
      <c r="P755" s="38"/>
      <c r="Q755" s="38"/>
      <c r="R755" s="38"/>
      <c r="W755" s="139"/>
      <c r="X755" s="38"/>
    </row>
    <row r="756" ht="12.75" customHeight="1">
      <c r="C756" s="138"/>
      <c r="D756" s="138"/>
      <c r="E756" s="138"/>
      <c r="F756" s="138"/>
      <c r="G756" s="138"/>
      <c r="H756" s="138"/>
      <c r="L756" s="139"/>
      <c r="M756" s="38"/>
      <c r="N756" s="38"/>
      <c r="O756" s="38"/>
      <c r="P756" s="38"/>
      <c r="Q756" s="38"/>
      <c r="R756" s="38"/>
      <c r="W756" s="139"/>
      <c r="X756" s="38"/>
    </row>
    <row r="757" ht="12.75" customHeight="1">
      <c r="C757" s="138"/>
      <c r="D757" s="138"/>
      <c r="E757" s="138"/>
      <c r="F757" s="138"/>
      <c r="G757" s="138"/>
      <c r="H757" s="138"/>
      <c r="L757" s="139"/>
      <c r="M757" s="38"/>
      <c r="N757" s="38"/>
      <c r="O757" s="38"/>
      <c r="P757" s="38"/>
      <c r="Q757" s="38"/>
      <c r="R757" s="38"/>
      <c r="W757" s="139"/>
      <c r="X757" s="38"/>
    </row>
    <row r="758" ht="12.75" customHeight="1">
      <c r="C758" s="138"/>
      <c r="D758" s="138"/>
      <c r="E758" s="138"/>
      <c r="F758" s="138"/>
      <c r="G758" s="138"/>
      <c r="H758" s="138"/>
      <c r="L758" s="139"/>
      <c r="M758" s="38"/>
      <c r="N758" s="38"/>
      <c r="O758" s="38"/>
      <c r="P758" s="38"/>
      <c r="Q758" s="38"/>
      <c r="R758" s="38"/>
      <c r="W758" s="139"/>
      <c r="X758" s="38"/>
    </row>
    <row r="759" ht="12.75" customHeight="1">
      <c r="C759" s="138"/>
      <c r="D759" s="138"/>
      <c r="E759" s="138"/>
      <c r="F759" s="138"/>
      <c r="G759" s="138"/>
      <c r="H759" s="138"/>
      <c r="L759" s="139"/>
      <c r="M759" s="38"/>
      <c r="N759" s="38"/>
      <c r="O759" s="38"/>
      <c r="P759" s="38"/>
      <c r="Q759" s="38"/>
      <c r="R759" s="38"/>
      <c r="W759" s="139"/>
      <c r="X759" s="38"/>
    </row>
    <row r="760" ht="12.75" customHeight="1">
      <c r="C760" s="138"/>
      <c r="D760" s="138"/>
      <c r="E760" s="138"/>
      <c r="F760" s="138"/>
      <c r="G760" s="138"/>
      <c r="H760" s="138"/>
      <c r="L760" s="139"/>
      <c r="M760" s="38"/>
      <c r="N760" s="38"/>
      <c r="O760" s="38"/>
      <c r="P760" s="38"/>
      <c r="Q760" s="38"/>
      <c r="R760" s="38"/>
      <c r="W760" s="139"/>
      <c r="X760" s="38"/>
    </row>
    <row r="761" ht="12.75" customHeight="1">
      <c r="C761" s="138"/>
      <c r="D761" s="138"/>
      <c r="E761" s="138"/>
      <c r="F761" s="138"/>
      <c r="G761" s="138"/>
      <c r="H761" s="138"/>
      <c r="L761" s="139"/>
      <c r="M761" s="38"/>
      <c r="N761" s="38"/>
      <c r="O761" s="38"/>
      <c r="P761" s="38"/>
      <c r="Q761" s="38"/>
      <c r="R761" s="38"/>
      <c r="W761" s="139"/>
      <c r="X761" s="38"/>
    </row>
    <row r="762" ht="12.75" customHeight="1">
      <c r="C762" s="138"/>
      <c r="D762" s="138"/>
      <c r="E762" s="138"/>
      <c r="F762" s="138"/>
      <c r="G762" s="138"/>
      <c r="H762" s="138"/>
      <c r="L762" s="139"/>
      <c r="M762" s="38"/>
      <c r="N762" s="38"/>
      <c r="O762" s="38"/>
      <c r="P762" s="38"/>
      <c r="Q762" s="38"/>
      <c r="R762" s="38"/>
      <c r="W762" s="139"/>
      <c r="X762" s="38"/>
    </row>
    <row r="763" ht="12.75" customHeight="1">
      <c r="C763" s="138"/>
      <c r="D763" s="138"/>
      <c r="E763" s="138"/>
      <c r="F763" s="138"/>
      <c r="G763" s="138"/>
      <c r="H763" s="138"/>
      <c r="L763" s="139"/>
      <c r="M763" s="38"/>
      <c r="N763" s="38"/>
      <c r="O763" s="38"/>
      <c r="P763" s="38"/>
      <c r="Q763" s="38"/>
      <c r="R763" s="38"/>
      <c r="W763" s="139"/>
      <c r="X763" s="38"/>
    </row>
    <row r="764" ht="12.75" customHeight="1">
      <c r="C764" s="138"/>
      <c r="D764" s="138"/>
      <c r="E764" s="138"/>
      <c r="F764" s="138"/>
      <c r="G764" s="138"/>
      <c r="H764" s="138"/>
      <c r="L764" s="139"/>
      <c r="M764" s="38"/>
      <c r="N764" s="38"/>
      <c r="O764" s="38"/>
      <c r="P764" s="38"/>
      <c r="Q764" s="38"/>
      <c r="R764" s="38"/>
      <c r="W764" s="139"/>
      <c r="X764" s="38"/>
    </row>
    <row r="765" ht="12.75" customHeight="1">
      <c r="C765" s="138"/>
      <c r="D765" s="138"/>
      <c r="E765" s="138"/>
      <c r="F765" s="138"/>
      <c r="G765" s="138"/>
      <c r="H765" s="138"/>
      <c r="L765" s="139"/>
      <c r="M765" s="38"/>
      <c r="N765" s="38"/>
      <c r="O765" s="38"/>
      <c r="P765" s="38"/>
      <c r="Q765" s="38"/>
      <c r="R765" s="38"/>
      <c r="W765" s="139"/>
      <c r="X765" s="38"/>
    </row>
    <row r="766" ht="12.75" customHeight="1">
      <c r="C766" s="138"/>
      <c r="D766" s="138"/>
      <c r="E766" s="138"/>
      <c r="F766" s="138"/>
      <c r="G766" s="138"/>
      <c r="H766" s="138"/>
      <c r="L766" s="139"/>
      <c r="M766" s="38"/>
      <c r="N766" s="38"/>
      <c r="O766" s="38"/>
      <c r="P766" s="38"/>
      <c r="Q766" s="38"/>
      <c r="R766" s="38"/>
      <c r="W766" s="139"/>
      <c r="X766" s="38"/>
    </row>
    <row r="767" ht="12.75" customHeight="1">
      <c r="C767" s="138"/>
      <c r="D767" s="138"/>
      <c r="E767" s="138"/>
      <c r="F767" s="138"/>
      <c r="G767" s="138"/>
      <c r="H767" s="138"/>
      <c r="L767" s="139"/>
      <c r="M767" s="38"/>
      <c r="N767" s="38"/>
      <c r="O767" s="38"/>
      <c r="P767" s="38"/>
      <c r="Q767" s="38"/>
      <c r="R767" s="38"/>
      <c r="W767" s="139"/>
      <c r="X767" s="38"/>
    </row>
    <row r="768" ht="12.75" customHeight="1">
      <c r="C768" s="138"/>
      <c r="D768" s="138"/>
      <c r="E768" s="138"/>
      <c r="F768" s="138"/>
      <c r="G768" s="138"/>
      <c r="H768" s="138"/>
      <c r="L768" s="139"/>
      <c r="M768" s="38"/>
      <c r="N768" s="38"/>
      <c r="O768" s="38"/>
      <c r="P768" s="38"/>
      <c r="Q768" s="38"/>
      <c r="R768" s="38"/>
      <c r="W768" s="139"/>
      <c r="X768" s="38"/>
    </row>
    <row r="769" ht="12.75" customHeight="1">
      <c r="C769" s="138"/>
      <c r="D769" s="138"/>
      <c r="E769" s="138"/>
      <c r="F769" s="138"/>
      <c r="G769" s="138"/>
      <c r="H769" s="138"/>
      <c r="L769" s="139"/>
      <c r="M769" s="38"/>
      <c r="N769" s="38"/>
      <c r="O769" s="38"/>
      <c r="P769" s="38"/>
      <c r="Q769" s="38"/>
      <c r="R769" s="38"/>
      <c r="W769" s="139"/>
      <c r="X769" s="38"/>
    </row>
    <row r="770" ht="12.75" customHeight="1">
      <c r="C770" s="138"/>
      <c r="D770" s="138"/>
      <c r="E770" s="138"/>
      <c r="F770" s="138"/>
      <c r="G770" s="138"/>
      <c r="H770" s="138"/>
      <c r="L770" s="139"/>
      <c r="M770" s="38"/>
      <c r="N770" s="38"/>
      <c r="O770" s="38"/>
      <c r="P770" s="38"/>
      <c r="Q770" s="38"/>
      <c r="R770" s="38"/>
      <c r="W770" s="139"/>
      <c r="X770" s="38"/>
    </row>
    <row r="771" ht="12.75" customHeight="1">
      <c r="C771" s="138"/>
      <c r="D771" s="138"/>
      <c r="E771" s="138"/>
      <c r="F771" s="138"/>
      <c r="G771" s="138"/>
      <c r="H771" s="138"/>
      <c r="L771" s="139"/>
      <c r="M771" s="38"/>
      <c r="N771" s="38"/>
      <c r="O771" s="38"/>
      <c r="P771" s="38"/>
      <c r="Q771" s="38"/>
      <c r="R771" s="38"/>
      <c r="W771" s="139"/>
      <c r="X771" s="38"/>
    </row>
    <row r="772" ht="12.75" customHeight="1">
      <c r="C772" s="138"/>
      <c r="D772" s="138"/>
      <c r="E772" s="138"/>
      <c r="F772" s="138"/>
      <c r="G772" s="138"/>
      <c r="H772" s="138"/>
      <c r="L772" s="139"/>
      <c r="M772" s="38"/>
      <c r="N772" s="38"/>
      <c r="O772" s="38"/>
      <c r="P772" s="38"/>
      <c r="Q772" s="38"/>
      <c r="R772" s="38"/>
      <c r="W772" s="139"/>
      <c r="X772" s="38"/>
    </row>
    <row r="773" ht="12.75" customHeight="1">
      <c r="C773" s="138"/>
      <c r="D773" s="138"/>
      <c r="E773" s="138"/>
      <c r="F773" s="138"/>
      <c r="G773" s="138"/>
      <c r="H773" s="138"/>
      <c r="L773" s="139"/>
      <c r="M773" s="38"/>
      <c r="N773" s="38"/>
      <c r="O773" s="38"/>
      <c r="P773" s="38"/>
      <c r="Q773" s="38"/>
      <c r="R773" s="38"/>
      <c r="W773" s="139"/>
      <c r="X773" s="38"/>
    </row>
    <row r="774" ht="12.75" customHeight="1">
      <c r="C774" s="138"/>
      <c r="D774" s="138"/>
      <c r="E774" s="138"/>
      <c r="F774" s="138"/>
      <c r="G774" s="138"/>
      <c r="H774" s="138"/>
      <c r="L774" s="139"/>
      <c r="M774" s="38"/>
      <c r="N774" s="38"/>
      <c r="O774" s="38"/>
      <c r="P774" s="38"/>
      <c r="Q774" s="38"/>
      <c r="R774" s="38"/>
      <c r="W774" s="139"/>
      <c r="X774" s="38"/>
    </row>
    <row r="775" ht="12.75" customHeight="1">
      <c r="C775" s="138"/>
      <c r="D775" s="138"/>
      <c r="E775" s="138"/>
      <c r="F775" s="138"/>
      <c r="G775" s="138"/>
      <c r="H775" s="138"/>
      <c r="L775" s="139"/>
      <c r="M775" s="38"/>
      <c r="N775" s="38"/>
      <c r="O775" s="38"/>
      <c r="P775" s="38"/>
      <c r="Q775" s="38"/>
      <c r="R775" s="38"/>
      <c r="W775" s="139"/>
      <c r="X775" s="38"/>
    </row>
    <row r="776" ht="12.75" customHeight="1">
      <c r="C776" s="138"/>
      <c r="D776" s="138"/>
      <c r="E776" s="138"/>
      <c r="F776" s="138"/>
      <c r="G776" s="138"/>
      <c r="H776" s="138"/>
      <c r="L776" s="139"/>
      <c r="M776" s="38"/>
      <c r="N776" s="38"/>
      <c r="O776" s="38"/>
      <c r="P776" s="38"/>
      <c r="Q776" s="38"/>
      <c r="R776" s="38"/>
      <c r="W776" s="139"/>
      <c r="X776" s="38"/>
    </row>
    <row r="777" ht="12.75" customHeight="1">
      <c r="C777" s="138"/>
      <c r="D777" s="138"/>
      <c r="E777" s="138"/>
      <c r="F777" s="138"/>
      <c r="G777" s="138"/>
      <c r="H777" s="138"/>
      <c r="L777" s="139"/>
      <c r="M777" s="38"/>
      <c r="N777" s="38"/>
      <c r="O777" s="38"/>
      <c r="P777" s="38"/>
      <c r="Q777" s="38"/>
      <c r="R777" s="38"/>
      <c r="W777" s="139"/>
      <c r="X777" s="38"/>
    </row>
    <row r="778" ht="12.75" customHeight="1">
      <c r="C778" s="138"/>
      <c r="D778" s="138"/>
      <c r="E778" s="138"/>
      <c r="F778" s="138"/>
      <c r="G778" s="138"/>
      <c r="H778" s="138"/>
      <c r="L778" s="139"/>
      <c r="M778" s="38"/>
      <c r="N778" s="38"/>
      <c r="O778" s="38"/>
      <c r="P778" s="38"/>
      <c r="Q778" s="38"/>
      <c r="R778" s="38"/>
      <c r="W778" s="139"/>
      <c r="X778" s="38"/>
    </row>
    <row r="779" ht="12.75" customHeight="1">
      <c r="C779" s="138"/>
      <c r="D779" s="138"/>
      <c r="E779" s="138"/>
      <c r="F779" s="138"/>
      <c r="G779" s="138"/>
      <c r="H779" s="138"/>
      <c r="L779" s="139"/>
      <c r="M779" s="38"/>
      <c r="N779" s="38"/>
      <c r="O779" s="38"/>
      <c r="P779" s="38"/>
      <c r="Q779" s="38"/>
      <c r="R779" s="38"/>
      <c r="W779" s="139"/>
      <c r="X779" s="38"/>
    </row>
    <row r="780" ht="12.75" customHeight="1">
      <c r="C780" s="138"/>
      <c r="D780" s="138"/>
      <c r="E780" s="138"/>
      <c r="F780" s="138"/>
      <c r="G780" s="138"/>
      <c r="H780" s="138"/>
      <c r="L780" s="139"/>
      <c r="M780" s="38"/>
      <c r="N780" s="38"/>
      <c r="O780" s="38"/>
      <c r="P780" s="38"/>
      <c r="Q780" s="38"/>
      <c r="R780" s="38"/>
      <c r="W780" s="139"/>
      <c r="X780" s="38"/>
    </row>
    <row r="781" ht="12.75" customHeight="1">
      <c r="C781" s="138"/>
      <c r="D781" s="138"/>
      <c r="E781" s="138"/>
      <c r="F781" s="138"/>
      <c r="G781" s="138"/>
      <c r="H781" s="138"/>
      <c r="L781" s="139"/>
      <c r="M781" s="38"/>
      <c r="N781" s="38"/>
      <c r="O781" s="38"/>
      <c r="P781" s="38"/>
      <c r="Q781" s="38"/>
      <c r="R781" s="38"/>
      <c r="W781" s="139"/>
      <c r="X781" s="38"/>
    </row>
    <row r="782" ht="12.75" customHeight="1">
      <c r="C782" s="138"/>
      <c r="D782" s="138"/>
      <c r="E782" s="138"/>
      <c r="F782" s="138"/>
      <c r="G782" s="138"/>
      <c r="H782" s="138"/>
      <c r="L782" s="139"/>
      <c r="M782" s="38"/>
      <c r="N782" s="38"/>
      <c r="O782" s="38"/>
      <c r="P782" s="38"/>
      <c r="Q782" s="38"/>
      <c r="R782" s="38"/>
      <c r="W782" s="139"/>
      <c r="X782" s="38"/>
    </row>
    <row r="783" ht="12.75" customHeight="1">
      <c r="C783" s="138"/>
      <c r="D783" s="138"/>
      <c r="E783" s="138"/>
      <c r="F783" s="138"/>
      <c r="G783" s="138"/>
      <c r="H783" s="138"/>
      <c r="L783" s="139"/>
      <c r="M783" s="38"/>
      <c r="N783" s="38"/>
      <c r="O783" s="38"/>
      <c r="P783" s="38"/>
      <c r="Q783" s="38"/>
      <c r="R783" s="38"/>
      <c r="W783" s="139"/>
      <c r="X783" s="38"/>
    </row>
    <row r="784" ht="12.75" customHeight="1">
      <c r="C784" s="138"/>
      <c r="D784" s="138"/>
      <c r="E784" s="138"/>
      <c r="F784" s="138"/>
      <c r="G784" s="138"/>
      <c r="H784" s="138"/>
      <c r="L784" s="139"/>
      <c r="M784" s="38"/>
      <c r="N784" s="38"/>
      <c r="O784" s="38"/>
      <c r="P784" s="38"/>
      <c r="Q784" s="38"/>
      <c r="R784" s="38"/>
      <c r="W784" s="139"/>
      <c r="X784" s="38"/>
    </row>
    <row r="785" ht="12.75" customHeight="1">
      <c r="C785" s="138"/>
      <c r="D785" s="138"/>
      <c r="E785" s="138"/>
      <c r="F785" s="138"/>
      <c r="G785" s="138"/>
      <c r="H785" s="138"/>
      <c r="L785" s="139"/>
      <c r="M785" s="38"/>
      <c r="N785" s="38"/>
      <c r="O785" s="38"/>
      <c r="P785" s="38"/>
      <c r="Q785" s="38"/>
      <c r="R785" s="38"/>
      <c r="W785" s="139"/>
      <c r="X785" s="38"/>
    </row>
    <row r="786" ht="12.75" customHeight="1">
      <c r="C786" s="138"/>
      <c r="D786" s="138"/>
      <c r="E786" s="138"/>
      <c r="F786" s="138"/>
      <c r="G786" s="138"/>
      <c r="H786" s="138"/>
      <c r="L786" s="139"/>
      <c r="M786" s="38"/>
      <c r="N786" s="38"/>
      <c r="O786" s="38"/>
      <c r="P786" s="38"/>
      <c r="Q786" s="38"/>
      <c r="R786" s="38"/>
      <c r="W786" s="139"/>
      <c r="X786" s="38"/>
    </row>
    <row r="787" ht="12.75" customHeight="1">
      <c r="C787" s="138"/>
      <c r="D787" s="138"/>
      <c r="E787" s="138"/>
      <c r="F787" s="138"/>
      <c r="G787" s="138"/>
      <c r="H787" s="138"/>
      <c r="L787" s="139"/>
      <c r="M787" s="38"/>
      <c r="N787" s="38"/>
      <c r="O787" s="38"/>
      <c r="P787" s="38"/>
      <c r="Q787" s="38"/>
      <c r="R787" s="38"/>
      <c r="W787" s="139"/>
      <c r="X787" s="38"/>
    </row>
    <row r="788" ht="12.75" customHeight="1">
      <c r="C788" s="138"/>
      <c r="D788" s="138"/>
      <c r="E788" s="138"/>
      <c r="F788" s="138"/>
      <c r="G788" s="138"/>
      <c r="H788" s="138"/>
      <c r="L788" s="139"/>
      <c r="M788" s="38"/>
      <c r="N788" s="38"/>
      <c r="O788" s="38"/>
      <c r="P788" s="38"/>
      <c r="Q788" s="38"/>
      <c r="R788" s="38"/>
      <c r="W788" s="139"/>
      <c r="X788" s="38"/>
    </row>
    <row r="789" ht="12.75" customHeight="1">
      <c r="C789" s="138"/>
      <c r="D789" s="138"/>
      <c r="E789" s="138"/>
      <c r="F789" s="138"/>
      <c r="G789" s="138"/>
      <c r="H789" s="138"/>
      <c r="L789" s="139"/>
      <c r="M789" s="38"/>
      <c r="N789" s="38"/>
      <c r="O789" s="38"/>
      <c r="P789" s="38"/>
      <c r="Q789" s="38"/>
      <c r="R789" s="38"/>
      <c r="W789" s="139"/>
      <c r="X789" s="38"/>
    </row>
    <row r="790" ht="12.75" customHeight="1">
      <c r="C790" s="138"/>
      <c r="D790" s="138"/>
      <c r="E790" s="138"/>
      <c r="F790" s="138"/>
      <c r="G790" s="138"/>
      <c r="H790" s="138"/>
      <c r="L790" s="139"/>
      <c r="M790" s="38"/>
      <c r="N790" s="38"/>
      <c r="O790" s="38"/>
      <c r="P790" s="38"/>
      <c r="Q790" s="38"/>
      <c r="R790" s="38"/>
      <c r="W790" s="139"/>
      <c r="X790" s="38"/>
    </row>
    <row r="791" ht="12.75" customHeight="1">
      <c r="C791" s="138"/>
      <c r="D791" s="138"/>
      <c r="E791" s="138"/>
      <c r="F791" s="138"/>
      <c r="G791" s="138"/>
      <c r="H791" s="138"/>
      <c r="L791" s="139"/>
      <c r="M791" s="38"/>
      <c r="N791" s="38"/>
      <c r="O791" s="38"/>
      <c r="P791" s="38"/>
      <c r="Q791" s="38"/>
      <c r="R791" s="38"/>
      <c r="W791" s="139"/>
      <c r="X791" s="38"/>
    </row>
    <row r="792" ht="12.75" customHeight="1">
      <c r="C792" s="138"/>
      <c r="D792" s="138"/>
      <c r="E792" s="138"/>
      <c r="F792" s="138"/>
      <c r="G792" s="138"/>
      <c r="H792" s="138"/>
      <c r="L792" s="139"/>
      <c r="M792" s="38"/>
      <c r="N792" s="38"/>
      <c r="O792" s="38"/>
      <c r="P792" s="38"/>
      <c r="Q792" s="38"/>
      <c r="R792" s="38"/>
      <c r="W792" s="139"/>
      <c r="X792" s="38"/>
    </row>
    <row r="793" ht="12.75" customHeight="1">
      <c r="C793" s="138"/>
      <c r="D793" s="138"/>
      <c r="E793" s="138"/>
      <c r="F793" s="138"/>
      <c r="G793" s="138"/>
      <c r="H793" s="138"/>
      <c r="L793" s="139"/>
      <c r="M793" s="38"/>
      <c r="N793" s="38"/>
      <c r="O793" s="38"/>
      <c r="P793" s="38"/>
      <c r="Q793" s="38"/>
      <c r="R793" s="38"/>
      <c r="W793" s="139"/>
      <c r="X793" s="38"/>
    </row>
    <row r="794" ht="12.75" customHeight="1">
      <c r="C794" s="138"/>
      <c r="D794" s="138"/>
      <c r="E794" s="138"/>
      <c r="F794" s="138"/>
      <c r="G794" s="138"/>
      <c r="H794" s="138"/>
      <c r="L794" s="139"/>
      <c r="M794" s="38"/>
      <c r="N794" s="38"/>
      <c r="O794" s="38"/>
      <c r="P794" s="38"/>
      <c r="Q794" s="38"/>
      <c r="R794" s="38"/>
      <c r="W794" s="139"/>
      <c r="X794" s="38"/>
    </row>
    <row r="795" ht="12.75" customHeight="1">
      <c r="C795" s="138"/>
      <c r="D795" s="138"/>
      <c r="E795" s="138"/>
      <c r="F795" s="138"/>
      <c r="G795" s="138"/>
      <c r="H795" s="138"/>
      <c r="L795" s="139"/>
      <c r="M795" s="38"/>
      <c r="N795" s="38"/>
      <c r="O795" s="38"/>
      <c r="P795" s="38"/>
      <c r="Q795" s="38"/>
      <c r="R795" s="38"/>
      <c r="W795" s="139"/>
      <c r="X795" s="38"/>
    </row>
    <row r="796" ht="12.75" customHeight="1">
      <c r="C796" s="138"/>
      <c r="D796" s="138"/>
      <c r="E796" s="138"/>
      <c r="F796" s="138"/>
      <c r="G796" s="138"/>
      <c r="H796" s="138"/>
      <c r="L796" s="139"/>
      <c r="M796" s="38"/>
      <c r="N796" s="38"/>
      <c r="O796" s="38"/>
      <c r="P796" s="38"/>
      <c r="Q796" s="38"/>
      <c r="R796" s="38"/>
      <c r="W796" s="139"/>
      <c r="X796" s="38"/>
    </row>
    <row r="797" ht="12.75" customHeight="1">
      <c r="C797" s="138"/>
      <c r="D797" s="138"/>
      <c r="E797" s="138"/>
      <c r="F797" s="138"/>
      <c r="G797" s="138"/>
      <c r="H797" s="138"/>
      <c r="L797" s="139"/>
      <c r="M797" s="38"/>
      <c r="N797" s="38"/>
      <c r="O797" s="38"/>
      <c r="P797" s="38"/>
      <c r="Q797" s="38"/>
      <c r="R797" s="38"/>
      <c r="W797" s="139"/>
      <c r="X797" s="38"/>
    </row>
    <row r="798" ht="12.75" customHeight="1">
      <c r="C798" s="138"/>
      <c r="D798" s="138"/>
      <c r="E798" s="138"/>
      <c r="F798" s="138"/>
      <c r="G798" s="138"/>
      <c r="H798" s="138"/>
      <c r="L798" s="139"/>
      <c r="M798" s="38"/>
      <c r="N798" s="38"/>
      <c r="O798" s="38"/>
      <c r="P798" s="38"/>
      <c r="Q798" s="38"/>
      <c r="R798" s="38"/>
      <c r="W798" s="139"/>
      <c r="X798" s="38"/>
    </row>
    <row r="799" ht="12.75" customHeight="1">
      <c r="C799" s="138"/>
      <c r="D799" s="138"/>
      <c r="E799" s="138"/>
      <c r="F799" s="138"/>
      <c r="G799" s="138"/>
      <c r="H799" s="138"/>
      <c r="L799" s="139"/>
      <c r="M799" s="38"/>
      <c r="N799" s="38"/>
      <c r="O799" s="38"/>
      <c r="P799" s="38"/>
      <c r="Q799" s="38"/>
      <c r="R799" s="38"/>
      <c r="W799" s="139"/>
      <c r="X799" s="38"/>
    </row>
    <row r="800" ht="12.75" customHeight="1">
      <c r="C800" s="138"/>
      <c r="D800" s="138"/>
      <c r="E800" s="138"/>
      <c r="F800" s="138"/>
      <c r="G800" s="138"/>
      <c r="H800" s="138"/>
      <c r="L800" s="139"/>
      <c r="M800" s="38"/>
      <c r="N800" s="38"/>
      <c r="O800" s="38"/>
      <c r="P800" s="38"/>
      <c r="Q800" s="38"/>
      <c r="R800" s="38"/>
      <c r="W800" s="139"/>
      <c r="X800" s="38"/>
    </row>
    <row r="801" ht="12.75" customHeight="1">
      <c r="C801" s="138"/>
      <c r="D801" s="138"/>
      <c r="E801" s="138"/>
      <c r="F801" s="138"/>
      <c r="G801" s="138"/>
      <c r="H801" s="138"/>
      <c r="L801" s="139"/>
      <c r="M801" s="38"/>
      <c r="N801" s="38"/>
      <c r="O801" s="38"/>
      <c r="P801" s="38"/>
      <c r="Q801" s="38"/>
      <c r="R801" s="38"/>
      <c r="W801" s="139"/>
      <c r="X801" s="38"/>
    </row>
    <row r="802" ht="12.75" customHeight="1">
      <c r="C802" s="138"/>
      <c r="D802" s="138"/>
      <c r="E802" s="138"/>
      <c r="F802" s="138"/>
      <c r="G802" s="138"/>
      <c r="H802" s="138"/>
      <c r="L802" s="139"/>
      <c r="M802" s="38"/>
      <c r="N802" s="38"/>
      <c r="O802" s="38"/>
      <c r="P802" s="38"/>
      <c r="Q802" s="38"/>
      <c r="R802" s="38"/>
      <c r="W802" s="139"/>
      <c r="X802" s="38"/>
    </row>
    <row r="803" ht="12.75" customHeight="1">
      <c r="C803" s="138"/>
      <c r="D803" s="138"/>
      <c r="E803" s="138"/>
      <c r="F803" s="138"/>
      <c r="G803" s="138"/>
      <c r="H803" s="138"/>
      <c r="L803" s="139"/>
      <c r="M803" s="38"/>
      <c r="N803" s="38"/>
      <c r="O803" s="38"/>
      <c r="P803" s="38"/>
      <c r="Q803" s="38"/>
      <c r="R803" s="38"/>
      <c r="W803" s="139"/>
      <c r="X803" s="38"/>
    </row>
    <row r="804" ht="12.75" customHeight="1">
      <c r="C804" s="138"/>
      <c r="D804" s="138"/>
      <c r="E804" s="138"/>
      <c r="F804" s="138"/>
      <c r="G804" s="138"/>
      <c r="H804" s="138"/>
      <c r="L804" s="139"/>
      <c r="M804" s="38"/>
      <c r="N804" s="38"/>
      <c r="O804" s="38"/>
      <c r="P804" s="38"/>
      <c r="Q804" s="38"/>
      <c r="R804" s="38"/>
      <c r="W804" s="139"/>
      <c r="X804" s="38"/>
    </row>
    <row r="805" ht="12.75" customHeight="1">
      <c r="C805" s="138"/>
      <c r="D805" s="138"/>
      <c r="E805" s="138"/>
      <c r="F805" s="138"/>
      <c r="G805" s="138"/>
      <c r="H805" s="138"/>
      <c r="L805" s="139"/>
      <c r="M805" s="38"/>
      <c r="N805" s="38"/>
      <c r="O805" s="38"/>
      <c r="P805" s="38"/>
      <c r="Q805" s="38"/>
      <c r="R805" s="38"/>
      <c r="W805" s="139"/>
      <c r="X805" s="38"/>
    </row>
    <row r="806" ht="12.75" customHeight="1">
      <c r="C806" s="138"/>
      <c r="D806" s="138"/>
      <c r="E806" s="138"/>
      <c r="F806" s="138"/>
      <c r="G806" s="138"/>
      <c r="H806" s="138"/>
      <c r="L806" s="139"/>
      <c r="M806" s="38"/>
      <c r="N806" s="38"/>
      <c r="O806" s="38"/>
      <c r="P806" s="38"/>
      <c r="Q806" s="38"/>
      <c r="R806" s="38"/>
      <c r="W806" s="139"/>
      <c r="X806" s="38"/>
    </row>
    <row r="807" ht="12.75" customHeight="1">
      <c r="C807" s="138"/>
      <c r="D807" s="138"/>
      <c r="E807" s="138"/>
      <c r="F807" s="138"/>
      <c r="G807" s="138"/>
      <c r="H807" s="138"/>
      <c r="L807" s="139"/>
      <c r="M807" s="38"/>
      <c r="N807" s="38"/>
      <c r="O807" s="38"/>
      <c r="P807" s="38"/>
      <c r="Q807" s="38"/>
      <c r="R807" s="38"/>
      <c r="W807" s="139"/>
      <c r="X807" s="38"/>
    </row>
    <row r="808" ht="12.75" customHeight="1">
      <c r="C808" s="138"/>
      <c r="D808" s="138"/>
      <c r="E808" s="138"/>
      <c r="F808" s="138"/>
      <c r="G808" s="138"/>
      <c r="H808" s="138"/>
      <c r="L808" s="139"/>
      <c r="M808" s="38"/>
      <c r="N808" s="38"/>
      <c r="O808" s="38"/>
      <c r="P808" s="38"/>
      <c r="Q808" s="38"/>
      <c r="R808" s="38"/>
      <c r="W808" s="139"/>
      <c r="X808" s="38"/>
    </row>
    <row r="809" ht="12.75" customHeight="1">
      <c r="C809" s="138"/>
      <c r="D809" s="138"/>
      <c r="E809" s="138"/>
      <c r="F809" s="138"/>
      <c r="G809" s="138"/>
      <c r="H809" s="138"/>
      <c r="L809" s="139"/>
      <c r="M809" s="38"/>
      <c r="N809" s="38"/>
      <c r="O809" s="38"/>
      <c r="P809" s="38"/>
      <c r="Q809" s="38"/>
      <c r="R809" s="38"/>
      <c r="W809" s="139"/>
      <c r="X809" s="38"/>
    </row>
    <row r="810" ht="12.75" customHeight="1">
      <c r="C810" s="138"/>
      <c r="D810" s="138"/>
      <c r="E810" s="138"/>
      <c r="F810" s="138"/>
      <c r="G810" s="138"/>
      <c r="H810" s="138"/>
      <c r="L810" s="139"/>
      <c r="M810" s="38"/>
      <c r="N810" s="38"/>
      <c r="O810" s="38"/>
      <c r="P810" s="38"/>
      <c r="Q810" s="38"/>
      <c r="R810" s="38"/>
      <c r="W810" s="139"/>
      <c r="X810" s="38"/>
    </row>
    <row r="811" ht="12.75" customHeight="1">
      <c r="C811" s="138"/>
      <c r="D811" s="138"/>
      <c r="E811" s="138"/>
      <c r="F811" s="138"/>
      <c r="G811" s="138"/>
      <c r="H811" s="138"/>
      <c r="L811" s="139"/>
      <c r="M811" s="38"/>
      <c r="N811" s="38"/>
      <c r="O811" s="38"/>
      <c r="P811" s="38"/>
      <c r="Q811" s="38"/>
      <c r="R811" s="38"/>
      <c r="W811" s="139"/>
      <c r="X811" s="38"/>
    </row>
    <row r="812" ht="12.75" customHeight="1">
      <c r="C812" s="138"/>
      <c r="D812" s="138"/>
      <c r="E812" s="138"/>
      <c r="F812" s="138"/>
      <c r="G812" s="138"/>
      <c r="H812" s="138"/>
      <c r="L812" s="139"/>
      <c r="M812" s="38"/>
      <c r="N812" s="38"/>
      <c r="O812" s="38"/>
      <c r="P812" s="38"/>
      <c r="Q812" s="38"/>
      <c r="R812" s="38"/>
      <c r="W812" s="139"/>
      <c r="X812" s="38"/>
    </row>
    <row r="813" ht="12.75" customHeight="1">
      <c r="C813" s="138"/>
      <c r="D813" s="138"/>
      <c r="E813" s="138"/>
      <c r="F813" s="138"/>
      <c r="G813" s="138"/>
      <c r="H813" s="138"/>
      <c r="L813" s="139"/>
      <c r="M813" s="38"/>
      <c r="N813" s="38"/>
      <c r="O813" s="38"/>
      <c r="P813" s="38"/>
      <c r="Q813" s="38"/>
      <c r="R813" s="38"/>
      <c r="W813" s="139"/>
      <c r="X813" s="38"/>
    </row>
    <row r="814" ht="12.75" customHeight="1">
      <c r="C814" s="138"/>
      <c r="D814" s="138"/>
      <c r="E814" s="138"/>
      <c r="F814" s="138"/>
      <c r="G814" s="138"/>
      <c r="H814" s="138"/>
      <c r="L814" s="139"/>
      <c r="M814" s="38"/>
      <c r="N814" s="38"/>
      <c r="O814" s="38"/>
      <c r="P814" s="38"/>
      <c r="Q814" s="38"/>
      <c r="R814" s="38"/>
      <c r="W814" s="139"/>
      <c r="X814" s="38"/>
    </row>
    <row r="815" ht="12.75" customHeight="1">
      <c r="C815" s="138"/>
      <c r="D815" s="138"/>
      <c r="E815" s="138"/>
      <c r="F815" s="138"/>
      <c r="G815" s="138"/>
      <c r="H815" s="138"/>
      <c r="L815" s="139"/>
      <c r="M815" s="38"/>
      <c r="N815" s="38"/>
      <c r="O815" s="38"/>
      <c r="P815" s="38"/>
      <c r="Q815" s="38"/>
      <c r="R815" s="38"/>
      <c r="W815" s="139"/>
      <c r="X815" s="38"/>
    </row>
    <row r="816" ht="12.75" customHeight="1">
      <c r="C816" s="138"/>
      <c r="D816" s="138"/>
      <c r="E816" s="138"/>
      <c r="F816" s="138"/>
      <c r="G816" s="138"/>
      <c r="H816" s="138"/>
      <c r="L816" s="139"/>
      <c r="M816" s="38"/>
      <c r="N816" s="38"/>
      <c r="O816" s="38"/>
      <c r="P816" s="38"/>
      <c r="Q816" s="38"/>
      <c r="R816" s="38"/>
      <c r="W816" s="139"/>
      <c r="X816" s="38"/>
    </row>
    <row r="817" ht="12.75" customHeight="1">
      <c r="C817" s="138"/>
      <c r="D817" s="138"/>
      <c r="E817" s="138"/>
      <c r="F817" s="138"/>
      <c r="G817" s="138"/>
      <c r="H817" s="138"/>
      <c r="L817" s="139"/>
      <c r="M817" s="38"/>
      <c r="N817" s="38"/>
      <c r="O817" s="38"/>
      <c r="P817" s="38"/>
      <c r="Q817" s="38"/>
      <c r="R817" s="38"/>
      <c r="W817" s="139"/>
      <c r="X817" s="38"/>
    </row>
    <row r="818" ht="12.75" customHeight="1">
      <c r="C818" s="138"/>
      <c r="D818" s="138"/>
      <c r="E818" s="138"/>
      <c r="F818" s="138"/>
      <c r="G818" s="138"/>
      <c r="H818" s="138"/>
      <c r="L818" s="139"/>
      <c r="M818" s="38"/>
      <c r="N818" s="38"/>
      <c r="O818" s="38"/>
      <c r="P818" s="38"/>
      <c r="Q818" s="38"/>
      <c r="R818" s="38"/>
      <c r="W818" s="139"/>
      <c r="X818" s="38"/>
    </row>
    <row r="819" ht="12.75" customHeight="1">
      <c r="C819" s="138"/>
      <c r="D819" s="138"/>
      <c r="E819" s="138"/>
      <c r="F819" s="138"/>
      <c r="G819" s="138"/>
      <c r="H819" s="138"/>
      <c r="L819" s="139"/>
      <c r="M819" s="38"/>
      <c r="N819" s="38"/>
      <c r="O819" s="38"/>
      <c r="P819" s="38"/>
      <c r="Q819" s="38"/>
      <c r="R819" s="38"/>
      <c r="W819" s="139"/>
      <c r="X819" s="38"/>
    </row>
    <row r="820" ht="12.75" customHeight="1">
      <c r="C820" s="138"/>
      <c r="D820" s="138"/>
      <c r="E820" s="138"/>
      <c r="F820" s="138"/>
      <c r="G820" s="138"/>
      <c r="H820" s="138"/>
      <c r="L820" s="139"/>
      <c r="M820" s="38"/>
      <c r="N820" s="38"/>
      <c r="O820" s="38"/>
      <c r="P820" s="38"/>
      <c r="Q820" s="38"/>
      <c r="R820" s="38"/>
      <c r="W820" s="139"/>
      <c r="X820" s="38"/>
    </row>
    <row r="821" ht="12.75" customHeight="1">
      <c r="C821" s="138"/>
      <c r="D821" s="138"/>
      <c r="E821" s="138"/>
      <c r="F821" s="138"/>
      <c r="G821" s="138"/>
      <c r="H821" s="138"/>
      <c r="L821" s="139"/>
      <c r="M821" s="38"/>
      <c r="N821" s="38"/>
      <c r="O821" s="38"/>
      <c r="P821" s="38"/>
      <c r="Q821" s="38"/>
      <c r="R821" s="38"/>
      <c r="W821" s="139"/>
      <c r="X821" s="38"/>
    </row>
    <row r="822" ht="12.75" customHeight="1">
      <c r="C822" s="138"/>
      <c r="D822" s="138"/>
      <c r="E822" s="138"/>
      <c r="F822" s="138"/>
      <c r="G822" s="138"/>
      <c r="H822" s="138"/>
      <c r="L822" s="139"/>
      <c r="M822" s="38"/>
      <c r="N822" s="38"/>
      <c r="O822" s="38"/>
      <c r="P822" s="38"/>
      <c r="Q822" s="38"/>
      <c r="R822" s="38"/>
      <c r="W822" s="139"/>
      <c r="X822" s="38"/>
    </row>
    <row r="823" ht="12.75" customHeight="1">
      <c r="C823" s="138"/>
      <c r="D823" s="138"/>
      <c r="E823" s="138"/>
      <c r="F823" s="138"/>
      <c r="G823" s="138"/>
      <c r="H823" s="138"/>
      <c r="L823" s="139"/>
      <c r="M823" s="38"/>
      <c r="N823" s="38"/>
      <c r="O823" s="38"/>
      <c r="P823" s="38"/>
      <c r="Q823" s="38"/>
      <c r="R823" s="38"/>
      <c r="W823" s="139"/>
      <c r="X823" s="38"/>
    </row>
    <row r="824" ht="12.75" customHeight="1">
      <c r="C824" s="138"/>
      <c r="D824" s="138"/>
      <c r="E824" s="138"/>
      <c r="F824" s="138"/>
      <c r="G824" s="138"/>
      <c r="H824" s="138"/>
      <c r="L824" s="139"/>
      <c r="M824" s="38"/>
      <c r="N824" s="38"/>
      <c r="O824" s="38"/>
      <c r="P824" s="38"/>
      <c r="Q824" s="38"/>
      <c r="R824" s="38"/>
      <c r="W824" s="139"/>
      <c r="X824" s="38"/>
    </row>
    <row r="825" ht="12.75" customHeight="1">
      <c r="C825" s="138"/>
      <c r="D825" s="138"/>
      <c r="E825" s="138"/>
      <c r="F825" s="138"/>
      <c r="G825" s="138"/>
      <c r="H825" s="138"/>
      <c r="L825" s="139"/>
      <c r="M825" s="38"/>
      <c r="N825" s="38"/>
      <c r="O825" s="38"/>
      <c r="P825" s="38"/>
      <c r="Q825" s="38"/>
      <c r="R825" s="38"/>
      <c r="W825" s="139"/>
      <c r="X825" s="38"/>
    </row>
    <row r="826" ht="12.75" customHeight="1">
      <c r="C826" s="138"/>
      <c r="D826" s="138"/>
      <c r="E826" s="138"/>
      <c r="F826" s="138"/>
      <c r="G826" s="138"/>
      <c r="H826" s="138"/>
      <c r="L826" s="139"/>
      <c r="M826" s="38"/>
      <c r="N826" s="38"/>
      <c r="O826" s="38"/>
      <c r="P826" s="38"/>
      <c r="Q826" s="38"/>
      <c r="R826" s="38"/>
      <c r="W826" s="139"/>
      <c r="X826" s="38"/>
    </row>
    <row r="827" ht="12.75" customHeight="1">
      <c r="C827" s="138"/>
      <c r="D827" s="138"/>
      <c r="E827" s="138"/>
      <c r="F827" s="138"/>
      <c r="G827" s="138"/>
      <c r="H827" s="138"/>
      <c r="L827" s="139"/>
      <c r="M827" s="38"/>
      <c r="N827" s="38"/>
      <c r="O827" s="38"/>
      <c r="P827" s="38"/>
      <c r="Q827" s="38"/>
      <c r="R827" s="38"/>
      <c r="W827" s="139"/>
      <c r="X827" s="38"/>
    </row>
    <row r="828" ht="12.75" customHeight="1">
      <c r="C828" s="138"/>
      <c r="D828" s="138"/>
      <c r="E828" s="138"/>
      <c r="F828" s="138"/>
      <c r="G828" s="138"/>
      <c r="H828" s="138"/>
      <c r="L828" s="139"/>
      <c r="M828" s="38"/>
      <c r="N828" s="38"/>
      <c r="O828" s="38"/>
      <c r="P828" s="38"/>
      <c r="Q828" s="38"/>
      <c r="R828" s="38"/>
      <c r="W828" s="139"/>
      <c r="X828" s="38"/>
    </row>
    <row r="829" ht="12.75" customHeight="1">
      <c r="C829" s="138"/>
      <c r="D829" s="138"/>
      <c r="E829" s="138"/>
      <c r="F829" s="138"/>
      <c r="G829" s="138"/>
      <c r="H829" s="138"/>
      <c r="L829" s="139"/>
      <c r="M829" s="38"/>
      <c r="N829" s="38"/>
      <c r="O829" s="38"/>
      <c r="P829" s="38"/>
      <c r="Q829" s="38"/>
      <c r="R829" s="38"/>
      <c r="W829" s="139"/>
      <c r="X829" s="38"/>
    </row>
    <row r="830" ht="12.75" customHeight="1">
      <c r="C830" s="138"/>
      <c r="D830" s="138"/>
      <c r="E830" s="138"/>
      <c r="F830" s="138"/>
      <c r="G830" s="138"/>
      <c r="H830" s="138"/>
      <c r="L830" s="139"/>
      <c r="M830" s="38"/>
      <c r="N830" s="38"/>
      <c r="O830" s="38"/>
      <c r="P830" s="38"/>
      <c r="Q830" s="38"/>
      <c r="R830" s="38"/>
      <c r="W830" s="139"/>
      <c r="X830" s="38"/>
    </row>
    <row r="831" ht="12.75" customHeight="1">
      <c r="C831" s="138"/>
      <c r="D831" s="138"/>
      <c r="E831" s="138"/>
      <c r="F831" s="138"/>
      <c r="G831" s="138"/>
      <c r="H831" s="138"/>
      <c r="L831" s="139"/>
      <c r="M831" s="38"/>
      <c r="N831" s="38"/>
      <c r="O831" s="38"/>
      <c r="P831" s="38"/>
      <c r="Q831" s="38"/>
      <c r="R831" s="38"/>
      <c r="W831" s="139"/>
      <c r="X831" s="38"/>
    </row>
    <row r="832" ht="12.75" customHeight="1">
      <c r="C832" s="138"/>
      <c r="D832" s="138"/>
      <c r="E832" s="138"/>
      <c r="F832" s="138"/>
      <c r="G832" s="138"/>
      <c r="H832" s="138"/>
      <c r="L832" s="139"/>
      <c r="M832" s="38"/>
      <c r="N832" s="38"/>
      <c r="O832" s="38"/>
      <c r="P832" s="38"/>
      <c r="Q832" s="38"/>
      <c r="R832" s="38"/>
      <c r="W832" s="139"/>
      <c r="X832" s="38"/>
    </row>
    <row r="833" ht="12.75" customHeight="1">
      <c r="C833" s="138"/>
      <c r="D833" s="138"/>
      <c r="E833" s="138"/>
      <c r="F833" s="138"/>
      <c r="G833" s="138"/>
      <c r="H833" s="138"/>
      <c r="L833" s="139"/>
      <c r="M833" s="38"/>
      <c r="N833" s="38"/>
      <c r="O833" s="38"/>
      <c r="P833" s="38"/>
      <c r="Q833" s="38"/>
      <c r="R833" s="38"/>
      <c r="W833" s="139"/>
      <c r="X833" s="38"/>
    </row>
    <row r="834" ht="12.75" customHeight="1">
      <c r="C834" s="138"/>
      <c r="D834" s="138"/>
      <c r="E834" s="138"/>
      <c r="F834" s="138"/>
      <c r="G834" s="138"/>
      <c r="H834" s="138"/>
      <c r="L834" s="139"/>
      <c r="M834" s="38"/>
      <c r="N834" s="38"/>
      <c r="O834" s="38"/>
      <c r="P834" s="38"/>
      <c r="Q834" s="38"/>
      <c r="R834" s="38"/>
      <c r="W834" s="139"/>
      <c r="X834" s="38"/>
    </row>
    <row r="835" ht="12.75" customHeight="1">
      <c r="C835" s="138"/>
      <c r="D835" s="138"/>
      <c r="E835" s="138"/>
      <c r="F835" s="138"/>
      <c r="G835" s="138"/>
      <c r="H835" s="138"/>
      <c r="L835" s="139"/>
      <c r="M835" s="38"/>
      <c r="N835" s="38"/>
      <c r="O835" s="38"/>
      <c r="P835" s="38"/>
      <c r="Q835" s="38"/>
      <c r="R835" s="38"/>
      <c r="W835" s="139"/>
      <c r="X835" s="38"/>
    </row>
    <row r="836" ht="12.75" customHeight="1">
      <c r="C836" s="138"/>
      <c r="D836" s="138"/>
      <c r="E836" s="138"/>
      <c r="F836" s="138"/>
      <c r="G836" s="138"/>
      <c r="H836" s="138"/>
      <c r="L836" s="139"/>
      <c r="M836" s="38"/>
      <c r="N836" s="38"/>
      <c r="O836" s="38"/>
      <c r="P836" s="38"/>
      <c r="Q836" s="38"/>
      <c r="R836" s="38"/>
      <c r="W836" s="139"/>
      <c r="X836" s="38"/>
    </row>
    <row r="837" ht="12.75" customHeight="1">
      <c r="C837" s="138"/>
      <c r="D837" s="138"/>
      <c r="E837" s="138"/>
      <c r="F837" s="138"/>
      <c r="G837" s="138"/>
      <c r="H837" s="138"/>
      <c r="L837" s="139"/>
      <c r="M837" s="38"/>
      <c r="N837" s="38"/>
      <c r="O837" s="38"/>
      <c r="P837" s="38"/>
      <c r="Q837" s="38"/>
      <c r="R837" s="38"/>
      <c r="W837" s="139"/>
      <c r="X837" s="38"/>
    </row>
    <row r="838" ht="12.75" customHeight="1">
      <c r="C838" s="138"/>
      <c r="D838" s="138"/>
      <c r="E838" s="138"/>
      <c r="F838" s="138"/>
      <c r="G838" s="138"/>
      <c r="H838" s="138"/>
      <c r="L838" s="139"/>
      <c r="M838" s="38"/>
      <c r="N838" s="38"/>
      <c r="O838" s="38"/>
      <c r="P838" s="38"/>
      <c r="Q838" s="38"/>
      <c r="R838" s="38"/>
      <c r="W838" s="139"/>
      <c r="X838" s="38"/>
    </row>
    <row r="839" ht="12.75" customHeight="1">
      <c r="C839" s="138"/>
      <c r="D839" s="138"/>
      <c r="E839" s="138"/>
      <c r="F839" s="138"/>
      <c r="G839" s="138"/>
      <c r="H839" s="138"/>
      <c r="L839" s="139"/>
      <c r="M839" s="38"/>
      <c r="N839" s="38"/>
      <c r="O839" s="38"/>
      <c r="P839" s="38"/>
      <c r="Q839" s="38"/>
      <c r="R839" s="38"/>
      <c r="W839" s="139"/>
      <c r="X839" s="38"/>
    </row>
    <row r="840" ht="12.75" customHeight="1">
      <c r="C840" s="138"/>
      <c r="D840" s="138"/>
      <c r="E840" s="138"/>
      <c r="F840" s="138"/>
      <c r="G840" s="138"/>
      <c r="H840" s="138"/>
      <c r="L840" s="139"/>
      <c r="M840" s="38"/>
      <c r="N840" s="38"/>
      <c r="O840" s="38"/>
      <c r="P840" s="38"/>
      <c r="Q840" s="38"/>
      <c r="R840" s="38"/>
      <c r="W840" s="139"/>
      <c r="X840" s="38"/>
    </row>
    <row r="841" ht="12.75" customHeight="1">
      <c r="C841" s="138"/>
      <c r="D841" s="138"/>
      <c r="E841" s="138"/>
      <c r="F841" s="138"/>
      <c r="G841" s="138"/>
      <c r="H841" s="138"/>
      <c r="L841" s="139"/>
      <c r="M841" s="38"/>
      <c r="N841" s="38"/>
      <c r="O841" s="38"/>
      <c r="P841" s="38"/>
      <c r="Q841" s="38"/>
      <c r="R841" s="38"/>
      <c r="W841" s="139"/>
      <c r="X841" s="38"/>
    </row>
    <row r="842" ht="12.75" customHeight="1">
      <c r="C842" s="138"/>
      <c r="D842" s="138"/>
      <c r="E842" s="138"/>
      <c r="F842" s="138"/>
      <c r="G842" s="138"/>
      <c r="H842" s="138"/>
      <c r="L842" s="139"/>
      <c r="M842" s="38"/>
      <c r="N842" s="38"/>
      <c r="O842" s="38"/>
      <c r="P842" s="38"/>
      <c r="Q842" s="38"/>
      <c r="R842" s="38"/>
      <c r="W842" s="139"/>
      <c r="X842" s="38"/>
    </row>
    <row r="843" ht="12.75" customHeight="1">
      <c r="C843" s="138"/>
      <c r="D843" s="138"/>
      <c r="E843" s="138"/>
      <c r="F843" s="138"/>
      <c r="G843" s="138"/>
      <c r="H843" s="138"/>
      <c r="L843" s="139"/>
      <c r="M843" s="38"/>
      <c r="N843" s="38"/>
      <c r="O843" s="38"/>
      <c r="P843" s="38"/>
      <c r="Q843" s="38"/>
      <c r="R843" s="38"/>
      <c r="W843" s="139"/>
      <c r="X843" s="38"/>
    </row>
    <row r="844" ht="12.75" customHeight="1">
      <c r="C844" s="138"/>
      <c r="D844" s="138"/>
      <c r="E844" s="138"/>
      <c r="F844" s="138"/>
      <c r="G844" s="138"/>
      <c r="H844" s="138"/>
      <c r="L844" s="139"/>
      <c r="M844" s="38"/>
      <c r="N844" s="38"/>
      <c r="O844" s="38"/>
      <c r="P844" s="38"/>
      <c r="Q844" s="38"/>
      <c r="R844" s="38"/>
      <c r="W844" s="139"/>
      <c r="X844" s="38"/>
    </row>
    <row r="845" ht="12.75" customHeight="1">
      <c r="C845" s="138"/>
      <c r="D845" s="138"/>
      <c r="E845" s="138"/>
      <c r="F845" s="138"/>
      <c r="G845" s="138"/>
      <c r="H845" s="138"/>
      <c r="L845" s="139"/>
      <c r="M845" s="38"/>
      <c r="N845" s="38"/>
      <c r="O845" s="38"/>
      <c r="P845" s="38"/>
      <c r="Q845" s="38"/>
      <c r="R845" s="38"/>
      <c r="W845" s="139"/>
      <c r="X845" s="38"/>
    </row>
    <row r="846" ht="12.75" customHeight="1">
      <c r="C846" s="138"/>
      <c r="D846" s="138"/>
      <c r="E846" s="138"/>
      <c r="F846" s="138"/>
      <c r="G846" s="138"/>
      <c r="H846" s="138"/>
      <c r="L846" s="139"/>
      <c r="M846" s="38"/>
      <c r="N846" s="38"/>
      <c r="O846" s="38"/>
      <c r="P846" s="38"/>
      <c r="Q846" s="38"/>
      <c r="R846" s="38"/>
      <c r="W846" s="139"/>
      <c r="X846" s="38"/>
    </row>
    <row r="847" ht="12.75" customHeight="1">
      <c r="C847" s="138"/>
      <c r="D847" s="138"/>
      <c r="E847" s="138"/>
      <c r="F847" s="138"/>
      <c r="G847" s="138"/>
      <c r="H847" s="138"/>
      <c r="L847" s="139"/>
      <c r="M847" s="38"/>
      <c r="N847" s="38"/>
      <c r="O847" s="38"/>
      <c r="P847" s="38"/>
      <c r="Q847" s="38"/>
      <c r="R847" s="38"/>
      <c r="W847" s="139"/>
      <c r="X847" s="38"/>
    </row>
    <row r="848" ht="12.75" customHeight="1">
      <c r="C848" s="138"/>
      <c r="D848" s="138"/>
      <c r="E848" s="138"/>
      <c r="F848" s="138"/>
      <c r="G848" s="138"/>
      <c r="H848" s="138"/>
      <c r="L848" s="139"/>
      <c r="M848" s="38"/>
      <c r="N848" s="38"/>
      <c r="O848" s="38"/>
      <c r="P848" s="38"/>
      <c r="Q848" s="38"/>
      <c r="R848" s="38"/>
      <c r="W848" s="139"/>
      <c r="X848" s="38"/>
    </row>
    <row r="849" ht="12.75" customHeight="1">
      <c r="C849" s="138"/>
      <c r="D849" s="138"/>
      <c r="E849" s="138"/>
      <c r="F849" s="138"/>
      <c r="G849" s="138"/>
      <c r="H849" s="138"/>
      <c r="L849" s="139"/>
      <c r="M849" s="38"/>
      <c r="N849" s="38"/>
      <c r="O849" s="38"/>
      <c r="P849" s="38"/>
      <c r="Q849" s="38"/>
      <c r="R849" s="38"/>
      <c r="W849" s="139"/>
      <c r="X849" s="38"/>
    </row>
    <row r="850" ht="12.75" customHeight="1">
      <c r="C850" s="138"/>
      <c r="D850" s="138"/>
      <c r="E850" s="138"/>
      <c r="F850" s="138"/>
      <c r="G850" s="138"/>
      <c r="H850" s="138"/>
      <c r="L850" s="139"/>
      <c r="M850" s="38"/>
      <c r="N850" s="38"/>
      <c r="O850" s="38"/>
      <c r="P850" s="38"/>
      <c r="Q850" s="38"/>
      <c r="R850" s="38"/>
      <c r="W850" s="139"/>
      <c r="X850" s="38"/>
    </row>
    <row r="851" ht="12.75" customHeight="1">
      <c r="C851" s="138"/>
      <c r="D851" s="138"/>
      <c r="E851" s="138"/>
      <c r="F851" s="138"/>
      <c r="G851" s="138"/>
      <c r="H851" s="138"/>
      <c r="L851" s="139"/>
      <c r="M851" s="38"/>
      <c r="N851" s="38"/>
      <c r="O851" s="38"/>
      <c r="P851" s="38"/>
      <c r="Q851" s="38"/>
      <c r="R851" s="38"/>
      <c r="W851" s="139"/>
      <c r="X851" s="38"/>
    </row>
    <row r="852" ht="12.75" customHeight="1">
      <c r="C852" s="138"/>
      <c r="D852" s="138"/>
      <c r="E852" s="138"/>
      <c r="F852" s="138"/>
      <c r="G852" s="138"/>
      <c r="H852" s="138"/>
      <c r="L852" s="139"/>
      <c r="M852" s="38"/>
      <c r="N852" s="38"/>
      <c r="O852" s="38"/>
      <c r="P852" s="38"/>
      <c r="Q852" s="38"/>
      <c r="R852" s="38"/>
      <c r="W852" s="139"/>
      <c r="X852" s="38"/>
    </row>
    <row r="853" ht="12.75" customHeight="1">
      <c r="C853" s="138"/>
      <c r="D853" s="138"/>
      <c r="E853" s="138"/>
      <c r="F853" s="138"/>
      <c r="G853" s="138"/>
      <c r="H853" s="138"/>
      <c r="L853" s="139"/>
      <c r="M853" s="38"/>
      <c r="N853" s="38"/>
      <c r="O853" s="38"/>
      <c r="P853" s="38"/>
      <c r="Q853" s="38"/>
      <c r="R853" s="38"/>
      <c r="W853" s="139"/>
      <c r="X853" s="38"/>
    </row>
    <row r="854" ht="12.75" customHeight="1">
      <c r="C854" s="138"/>
      <c r="D854" s="138"/>
      <c r="E854" s="138"/>
      <c r="F854" s="138"/>
      <c r="G854" s="138"/>
      <c r="H854" s="138"/>
      <c r="L854" s="139"/>
      <c r="M854" s="38"/>
      <c r="N854" s="38"/>
      <c r="O854" s="38"/>
      <c r="P854" s="38"/>
      <c r="Q854" s="38"/>
      <c r="R854" s="38"/>
      <c r="W854" s="139"/>
      <c r="X854" s="38"/>
    </row>
    <row r="855" ht="12.75" customHeight="1">
      <c r="C855" s="138"/>
      <c r="D855" s="138"/>
      <c r="E855" s="138"/>
      <c r="F855" s="138"/>
      <c r="G855" s="138"/>
      <c r="H855" s="138"/>
      <c r="L855" s="139"/>
      <c r="M855" s="38"/>
      <c r="N855" s="38"/>
      <c r="O855" s="38"/>
      <c r="P855" s="38"/>
      <c r="Q855" s="38"/>
      <c r="R855" s="38"/>
      <c r="W855" s="139"/>
      <c r="X855" s="38"/>
    </row>
    <row r="856" ht="12.75" customHeight="1">
      <c r="C856" s="138"/>
      <c r="D856" s="138"/>
      <c r="E856" s="138"/>
      <c r="F856" s="138"/>
      <c r="G856" s="138"/>
      <c r="H856" s="138"/>
      <c r="L856" s="139"/>
      <c r="M856" s="38"/>
      <c r="N856" s="38"/>
      <c r="O856" s="38"/>
      <c r="P856" s="38"/>
      <c r="Q856" s="38"/>
      <c r="R856" s="38"/>
      <c r="W856" s="139"/>
      <c r="X856" s="38"/>
    </row>
    <row r="857" ht="12.75" customHeight="1">
      <c r="C857" s="138"/>
      <c r="D857" s="138"/>
      <c r="E857" s="138"/>
      <c r="F857" s="138"/>
      <c r="G857" s="138"/>
      <c r="H857" s="138"/>
      <c r="L857" s="139"/>
      <c r="M857" s="38"/>
      <c r="N857" s="38"/>
      <c r="O857" s="38"/>
      <c r="P857" s="38"/>
      <c r="Q857" s="38"/>
      <c r="R857" s="38"/>
      <c r="W857" s="139"/>
      <c r="X857" s="38"/>
    </row>
    <row r="858" ht="12.75" customHeight="1">
      <c r="C858" s="138"/>
      <c r="D858" s="138"/>
      <c r="E858" s="138"/>
      <c r="F858" s="138"/>
      <c r="G858" s="138"/>
      <c r="H858" s="138"/>
      <c r="L858" s="139"/>
      <c r="M858" s="38"/>
      <c r="N858" s="38"/>
      <c r="O858" s="38"/>
      <c r="P858" s="38"/>
      <c r="Q858" s="38"/>
      <c r="R858" s="38"/>
      <c r="W858" s="139"/>
      <c r="X858" s="38"/>
    </row>
    <row r="859" ht="12.75" customHeight="1">
      <c r="C859" s="138"/>
      <c r="D859" s="138"/>
      <c r="E859" s="138"/>
      <c r="F859" s="138"/>
      <c r="G859" s="138"/>
      <c r="H859" s="138"/>
      <c r="L859" s="139"/>
      <c r="M859" s="38"/>
      <c r="N859" s="38"/>
      <c r="O859" s="38"/>
      <c r="P859" s="38"/>
      <c r="Q859" s="38"/>
      <c r="R859" s="38"/>
      <c r="W859" s="139"/>
      <c r="X859" s="38"/>
    </row>
    <row r="860" ht="12.75" customHeight="1">
      <c r="C860" s="138"/>
      <c r="D860" s="138"/>
      <c r="E860" s="138"/>
      <c r="F860" s="138"/>
      <c r="G860" s="138"/>
      <c r="H860" s="138"/>
      <c r="L860" s="139"/>
      <c r="M860" s="38"/>
      <c r="N860" s="38"/>
      <c r="O860" s="38"/>
      <c r="P860" s="38"/>
      <c r="Q860" s="38"/>
      <c r="R860" s="38"/>
      <c r="W860" s="139"/>
      <c r="X860" s="38"/>
    </row>
    <row r="861" ht="12.75" customHeight="1">
      <c r="C861" s="138"/>
      <c r="D861" s="138"/>
      <c r="E861" s="138"/>
      <c r="F861" s="138"/>
      <c r="G861" s="138"/>
      <c r="H861" s="138"/>
      <c r="L861" s="139"/>
      <c r="M861" s="38"/>
      <c r="N861" s="38"/>
      <c r="O861" s="38"/>
      <c r="P861" s="38"/>
      <c r="Q861" s="38"/>
      <c r="R861" s="38"/>
      <c r="W861" s="139"/>
      <c r="X861" s="38"/>
    </row>
    <row r="862" ht="12.75" customHeight="1">
      <c r="C862" s="138"/>
      <c r="D862" s="138"/>
      <c r="E862" s="138"/>
      <c r="F862" s="138"/>
      <c r="G862" s="138"/>
      <c r="H862" s="138"/>
      <c r="L862" s="139"/>
      <c r="M862" s="38"/>
      <c r="N862" s="38"/>
      <c r="O862" s="38"/>
      <c r="P862" s="38"/>
      <c r="Q862" s="38"/>
      <c r="R862" s="38"/>
      <c r="W862" s="139"/>
      <c r="X862" s="38"/>
    </row>
    <row r="863" ht="12.75" customHeight="1">
      <c r="C863" s="138"/>
      <c r="D863" s="138"/>
      <c r="E863" s="138"/>
      <c r="F863" s="138"/>
      <c r="G863" s="138"/>
      <c r="H863" s="138"/>
      <c r="L863" s="139"/>
      <c r="M863" s="38"/>
      <c r="N863" s="38"/>
      <c r="O863" s="38"/>
      <c r="P863" s="38"/>
      <c r="Q863" s="38"/>
      <c r="R863" s="38"/>
      <c r="W863" s="139"/>
      <c r="X863" s="38"/>
    </row>
    <row r="864" ht="12.75" customHeight="1">
      <c r="C864" s="138"/>
      <c r="D864" s="138"/>
      <c r="E864" s="138"/>
      <c r="F864" s="138"/>
      <c r="G864" s="138"/>
      <c r="H864" s="138"/>
      <c r="L864" s="139"/>
      <c r="M864" s="38"/>
      <c r="N864" s="38"/>
      <c r="O864" s="38"/>
      <c r="P864" s="38"/>
      <c r="Q864" s="38"/>
      <c r="R864" s="38"/>
      <c r="W864" s="139"/>
      <c r="X864" s="38"/>
    </row>
    <row r="865" ht="12.75" customHeight="1">
      <c r="C865" s="138"/>
      <c r="D865" s="138"/>
      <c r="E865" s="138"/>
      <c r="F865" s="138"/>
      <c r="G865" s="138"/>
      <c r="H865" s="138"/>
      <c r="L865" s="139"/>
      <c r="M865" s="38"/>
      <c r="N865" s="38"/>
      <c r="O865" s="38"/>
      <c r="P865" s="38"/>
      <c r="Q865" s="38"/>
      <c r="R865" s="38"/>
      <c r="W865" s="139"/>
      <c r="X865" s="38"/>
    </row>
    <row r="866" ht="12.75" customHeight="1">
      <c r="C866" s="138"/>
      <c r="D866" s="138"/>
      <c r="E866" s="138"/>
      <c r="F866" s="138"/>
      <c r="G866" s="138"/>
      <c r="H866" s="138"/>
      <c r="L866" s="139"/>
      <c r="M866" s="38"/>
      <c r="N866" s="38"/>
      <c r="O866" s="38"/>
      <c r="P866" s="38"/>
      <c r="Q866" s="38"/>
      <c r="R866" s="38"/>
      <c r="W866" s="139"/>
      <c r="X866" s="38"/>
    </row>
    <row r="867" ht="12.75" customHeight="1">
      <c r="C867" s="138"/>
      <c r="D867" s="138"/>
      <c r="E867" s="138"/>
      <c r="F867" s="138"/>
      <c r="G867" s="138"/>
      <c r="H867" s="138"/>
      <c r="L867" s="139"/>
      <c r="M867" s="38"/>
      <c r="N867" s="38"/>
      <c r="O867" s="38"/>
      <c r="P867" s="38"/>
      <c r="Q867" s="38"/>
      <c r="R867" s="38"/>
      <c r="W867" s="139"/>
      <c r="X867" s="38"/>
    </row>
    <row r="868" ht="12.75" customHeight="1">
      <c r="C868" s="138"/>
      <c r="D868" s="138"/>
      <c r="E868" s="138"/>
      <c r="F868" s="138"/>
      <c r="G868" s="138"/>
      <c r="H868" s="138"/>
      <c r="L868" s="139"/>
      <c r="M868" s="38"/>
      <c r="N868" s="38"/>
      <c r="O868" s="38"/>
      <c r="P868" s="38"/>
      <c r="Q868" s="38"/>
      <c r="R868" s="38"/>
      <c r="W868" s="139"/>
      <c r="X868" s="38"/>
    </row>
    <row r="869" ht="12.75" customHeight="1">
      <c r="C869" s="138"/>
      <c r="D869" s="138"/>
      <c r="E869" s="138"/>
      <c r="F869" s="138"/>
      <c r="G869" s="138"/>
      <c r="H869" s="138"/>
      <c r="L869" s="139"/>
      <c r="M869" s="38"/>
      <c r="N869" s="38"/>
      <c r="O869" s="38"/>
      <c r="P869" s="38"/>
      <c r="Q869" s="38"/>
      <c r="R869" s="38"/>
      <c r="W869" s="139"/>
      <c r="X869" s="38"/>
    </row>
    <row r="870" ht="12.75" customHeight="1">
      <c r="C870" s="138"/>
      <c r="D870" s="138"/>
      <c r="E870" s="138"/>
      <c r="F870" s="138"/>
      <c r="G870" s="138"/>
      <c r="H870" s="138"/>
      <c r="L870" s="139"/>
      <c r="M870" s="38"/>
      <c r="N870" s="38"/>
      <c r="O870" s="38"/>
      <c r="P870" s="38"/>
      <c r="Q870" s="38"/>
      <c r="R870" s="38"/>
      <c r="W870" s="139"/>
      <c r="X870" s="38"/>
    </row>
    <row r="871" ht="12.75" customHeight="1">
      <c r="C871" s="138"/>
      <c r="D871" s="138"/>
      <c r="E871" s="138"/>
      <c r="F871" s="138"/>
      <c r="G871" s="138"/>
      <c r="H871" s="138"/>
      <c r="L871" s="139"/>
      <c r="M871" s="38"/>
      <c r="N871" s="38"/>
      <c r="O871" s="38"/>
      <c r="P871" s="38"/>
      <c r="Q871" s="38"/>
      <c r="R871" s="38"/>
      <c r="W871" s="139"/>
      <c r="X871" s="38"/>
    </row>
    <row r="872" ht="12.75" customHeight="1">
      <c r="C872" s="138"/>
      <c r="D872" s="138"/>
      <c r="E872" s="138"/>
      <c r="F872" s="138"/>
      <c r="G872" s="138"/>
      <c r="H872" s="138"/>
      <c r="L872" s="139"/>
      <c r="M872" s="38"/>
      <c r="N872" s="38"/>
      <c r="O872" s="38"/>
      <c r="P872" s="38"/>
      <c r="Q872" s="38"/>
      <c r="R872" s="38"/>
      <c r="W872" s="139"/>
      <c r="X872" s="38"/>
    </row>
    <row r="873" ht="12.75" customHeight="1">
      <c r="C873" s="138"/>
      <c r="D873" s="138"/>
      <c r="E873" s="138"/>
      <c r="F873" s="138"/>
      <c r="G873" s="138"/>
      <c r="H873" s="138"/>
      <c r="L873" s="139"/>
      <c r="M873" s="38"/>
      <c r="N873" s="38"/>
      <c r="O873" s="38"/>
      <c r="P873" s="38"/>
      <c r="Q873" s="38"/>
      <c r="R873" s="38"/>
      <c r="W873" s="139"/>
      <c r="X873" s="38"/>
    </row>
    <row r="874" ht="12.75" customHeight="1">
      <c r="C874" s="138"/>
      <c r="D874" s="138"/>
      <c r="E874" s="138"/>
      <c r="F874" s="138"/>
      <c r="G874" s="138"/>
      <c r="H874" s="138"/>
      <c r="L874" s="139"/>
      <c r="M874" s="38"/>
      <c r="N874" s="38"/>
      <c r="O874" s="38"/>
      <c r="P874" s="38"/>
      <c r="Q874" s="38"/>
      <c r="R874" s="38"/>
      <c r="W874" s="139"/>
      <c r="X874" s="38"/>
    </row>
    <row r="875" ht="12.75" customHeight="1">
      <c r="C875" s="138"/>
      <c r="D875" s="138"/>
      <c r="E875" s="138"/>
      <c r="F875" s="138"/>
      <c r="G875" s="138"/>
      <c r="H875" s="138"/>
      <c r="L875" s="139"/>
      <c r="M875" s="38"/>
      <c r="N875" s="38"/>
      <c r="O875" s="38"/>
      <c r="P875" s="38"/>
      <c r="Q875" s="38"/>
      <c r="R875" s="38"/>
      <c r="W875" s="139"/>
      <c r="X875" s="38"/>
    </row>
    <row r="876" ht="12.75" customHeight="1">
      <c r="C876" s="138"/>
      <c r="D876" s="138"/>
      <c r="E876" s="138"/>
      <c r="F876" s="138"/>
      <c r="G876" s="138"/>
      <c r="H876" s="138"/>
      <c r="L876" s="139"/>
      <c r="M876" s="38"/>
      <c r="N876" s="38"/>
      <c r="O876" s="38"/>
      <c r="P876" s="38"/>
      <c r="Q876" s="38"/>
      <c r="R876" s="38"/>
      <c r="W876" s="139"/>
      <c r="X876" s="38"/>
    </row>
    <row r="877" ht="12.75" customHeight="1">
      <c r="C877" s="138"/>
      <c r="D877" s="138"/>
      <c r="E877" s="138"/>
      <c r="F877" s="138"/>
      <c r="G877" s="138"/>
      <c r="H877" s="138"/>
      <c r="L877" s="139"/>
      <c r="M877" s="38"/>
      <c r="N877" s="38"/>
      <c r="O877" s="38"/>
      <c r="P877" s="38"/>
      <c r="Q877" s="38"/>
      <c r="R877" s="38"/>
      <c r="W877" s="139"/>
      <c r="X877" s="38"/>
    </row>
    <row r="878" ht="12.75" customHeight="1">
      <c r="C878" s="138"/>
      <c r="D878" s="138"/>
      <c r="E878" s="138"/>
      <c r="F878" s="138"/>
      <c r="G878" s="138"/>
      <c r="H878" s="138"/>
      <c r="L878" s="139"/>
      <c r="M878" s="38"/>
      <c r="N878" s="38"/>
      <c r="O878" s="38"/>
      <c r="P878" s="38"/>
      <c r="Q878" s="38"/>
      <c r="R878" s="38"/>
      <c r="W878" s="139"/>
      <c r="X878" s="38"/>
    </row>
    <row r="879" ht="12.75" customHeight="1">
      <c r="C879" s="138"/>
      <c r="D879" s="138"/>
      <c r="E879" s="138"/>
      <c r="F879" s="138"/>
      <c r="G879" s="138"/>
      <c r="H879" s="138"/>
      <c r="L879" s="139"/>
      <c r="M879" s="38"/>
      <c r="N879" s="38"/>
      <c r="O879" s="38"/>
      <c r="P879" s="38"/>
      <c r="Q879" s="38"/>
      <c r="R879" s="38"/>
      <c r="W879" s="139"/>
      <c r="X879" s="38"/>
    </row>
    <row r="880" ht="12.75" customHeight="1">
      <c r="C880" s="138"/>
      <c r="D880" s="138"/>
      <c r="E880" s="138"/>
      <c r="F880" s="138"/>
      <c r="G880" s="138"/>
      <c r="H880" s="138"/>
      <c r="L880" s="139"/>
      <c r="M880" s="38"/>
      <c r="N880" s="38"/>
      <c r="O880" s="38"/>
      <c r="P880" s="38"/>
      <c r="Q880" s="38"/>
      <c r="R880" s="38"/>
      <c r="W880" s="139"/>
      <c r="X880" s="38"/>
    </row>
    <row r="881" ht="12.75" customHeight="1">
      <c r="C881" s="138"/>
      <c r="D881" s="138"/>
      <c r="E881" s="138"/>
      <c r="F881" s="138"/>
      <c r="G881" s="138"/>
      <c r="H881" s="138"/>
      <c r="L881" s="139"/>
      <c r="M881" s="38"/>
      <c r="N881" s="38"/>
      <c r="O881" s="38"/>
      <c r="P881" s="38"/>
      <c r="Q881" s="38"/>
      <c r="R881" s="38"/>
      <c r="W881" s="139"/>
      <c r="X881" s="38"/>
    </row>
    <row r="882" ht="12.75" customHeight="1">
      <c r="C882" s="138"/>
      <c r="D882" s="138"/>
      <c r="E882" s="138"/>
      <c r="F882" s="138"/>
      <c r="G882" s="138"/>
      <c r="H882" s="138"/>
      <c r="L882" s="139"/>
      <c r="M882" s="38"/>
      <c r="N882" s="38"/>
      <c r="O882" s="38"/>
      <c r="P882" s="38"/>
      <c r="Q882" s="38"/>
      <c r="R882" s="38"/>
      <c r="W882" s="139"/>
      <c r="X882" s="38"/>
    </row>
    <row r="883" ht="12.75" customHeight="1">
      <c r="C883" s="138"/>
      <c r="D883" s="138"/>
      <c r="E883" s="138"/>
      <c r="F883" s="138"/>
      <c r="G883" s="138"/>
      <c r="H883" s="138"/>
      <c r="L883" s="139"/>
      <c r="M883" s="38"/>
      <c r="N883" s="38"/>
      <c r="O883" s="38"/>
      <c r="P883" s="38"/>
      <c r="Q883" s="38"/>
      <c r="R883" s="38"/>
      <c r="W883" s="139"/>
      <c r="X883" s="38"/>
    </row>
    <row r="884" ht="12.75" customHeight="1">
      <c r="C884" s="138"/>
      <c r="D884" s="138"/>
      <c r="E884" s="138"/>
      <c r="F884" s="138"/>
      <c r="G884" s="138"/>
      <c r="H884" s="138"/>
      <c r="L884" s="139"/>
      <c r="M884" s="38"/>
      <c r="N884" s="38"/>
      <c r="O884" s="38"/>
      <c r="P884" s="38"/>
      <c r="Q884" s="38"/>
      <c r="R884" s="38"/>
      <c r="W884" s="139"/>
      <c r="X884" s="38"/>
    </row>
    <row r="885" ht="12.75" customHeight="1">
      <c r="C885" s="138"/>
      <c r="D885" s="138"/>
      <c r="E885" s="138"/>
      <c r="F885" s="138"/>
      <c r="G885" s="138"/>
      <c r="H885" s="138"/>
      <c r="L885" s="139"/>
      <c r="M885" s="38"/>
      <c r="N885" s="38"/>
      <c r="O885" s="38"/>
      <c r="P885" s="38"/>
      <c r="Q885" s="38"/>
      <c r="R885" s="38"/>
      <c r="W885" s="139"/>
      <c r="X885" s="38"/>
    </row>
    <row r="886" ht="12.75" customHeight="1">
      <c r="C886" s="138"/>
      <c r="D886" s="138"/>
      <c r="E886" s="138"/>
      <c r="F886" s="138"/>
      <c r="G886" s="138"/>
      <c r="H886" s="138"/>
      <c r="L886" s="139"/>
      <c r="M886" s="38"/>
      <c r="N886" s="38"/>
      <c r="O886" s="38"/>
      <c r="P886" s="38"/>
      <c r="Q886" s="38"/>
      <c r="R886" s="38"/>
      <c r="W886" s="139"/>
      <c r="X886" s="38"/>
    </row>
    <row r="887" ht="12.75" customHeight="1">
      <c r="C887" s="138"/>
      <c r="D887" s="138"/>
      <c r="E887" s="138"/>
      <c r="F887" s="138"/>
      <c r="G887" s="138"/>
      <c r="H887" s="138"/>
      <c r="L887" s="139"/>
      <c r="M887" s="38"/>
      <c r="N887" s="38"/>
      <c r="O887" s="38"/>
      <c r="P887" s="38"/>
      <c r="Q887" s="38"/>
      <c r="R887" s="38"/>
      <c r="W887" s="139"/>
      <c r="X887" s="38"/>
    </row>
    <row r="888" ht="12.75" customHeight="1">
      <c r="C888" s="138"/>
      <c r="D888" s="138"/>
      <c r="E888" s="138"/>
      <c r="F888" s="138"/>
      <c r="G888" s="138"/>
      <c r="H888" s="138"/>
      <c r="L888" s="139"/>
      <c r="M888" s="38"/>
      <c r="N888" s="38"/>
      <c r="O888" s="38"/>
      <c r="P888" s="38"/>
      <c r="Q888" s="38"/>
      <c r="R888" s="38"/>
      <c r="W888" s="139"/>
      <c r="X888" s="38"/>
    </row>
    <row r="889" ht="12.75" customHeight="1">
      <c r="C889" s="138"/>
      <c r="D889" s="138"/>
      <c r="E889" s="138"/>
      <c r="F889" s="138"/>
      <c r="G889" s="138"/>
      <c r="H889" s="138"/>
      <c r="L889" s="139"/>
      <c r="M889" s="38"/>
      <c r="N889" s="38"/>
      <c r="O889" s="38"/>
      <c r="P889" s="38"/>
      <c r="Q889" s="38"/>
      <c r="R889" s="38"/>
      <c r="W889" s="139"/>
      <c r="X889" s="38"/>
    </row>
    <row r="890" ht="12.75" customHeight="1">
      <c r="C890" s="138"/>
      <c r="D890" s="138"/>
      <c r="E890" s="138"/>
      <c r="F890" s="138"/>
      <c r="G890" s="138"/>
      <c r="H890" s="138"/>
      <c r="L890" s="139"/>
      <c r="M890" s="38"/>
      <c r="N890" s="38"/>
      <c r="O890" s="38"/>
      <c r="P890" s="38"/>
      <c r="Q890" s="38"/>
      <c r="R890" s="38"/>
      <c r="W890" s="139"/>
      <c r="X890" s="38"/>
    </row>
    <row r="891" ht="12.75" customHeight="1">
      <c r="C891" s="138"/>
      <c r="D891" s="138"/>
      <c r="E891" s="138"/>
      <c r="F891" s="138"/>
      <c r="G891" s="138"/>
      <c r="H891" s="138"/>
      <c r="L891" s="139"/>
      <c r="M891" s="38"/>
      <c r="N891" s="38"/>
      <c r="O891" s="38"/>
      <c r="P891" s="38"/>
      <c r="Q891" s="38"/>
      <c r="R891" s="38"/>
      <c r="W891" s="139"/>
      <c r="X891" s="38"/>
    </row>
    <row r="892" ht="12.75" customHeight="1">
      <c r="C892" s="138"/>
      <c r="D892" s="138"/>
      <c r="E892" s="138"/>
      <c r="F892" s="138"/>
      <c r="G892" s="138"/>
      <c r="H892" s="138"/>
      <c r="L892" s="139"/>
      <c r="M892" s="38"/>
      <c r="N892" s="38"/>
      <c r="O892" s="38"/>
      <c r="P892" s="38"/>
      <c r="Q892" s="38"/>
      <c r="R892" s="38"/>
      <c r="W892" s="139"/>
      <c r="X892" s="38"/>
    </row>
    <row r="893" ht="12.75" customHeight="1">
      <c r="C893" s="138"/>
      <c r="D893" s="138"/>
      <c r="E893" s="138"/>
      <c r="F893" s="138"/>
      <c r="G893" s="138"/>
      <c r="H893" s="138"/>
      <c r="L893" s="139"/>
      <c r="M893" s="38"/>
      <c r="N893" s="38"/>
      <c r="O893" s="38"/>
      <c r="P893" s="38"/>
      <c r="Q893" s="38"/>
      <c r="R893" s="38"/>
      <c r="W893" s="139"/>
      <c r="X893" s="38"/>
    </row>
    <row r="894" ht="12.75" customHeight="1">
      <c r="C894" s="138"/>
      <c r="D894" s="138"/>
      <c r="E894" s="138"/>
      <c r="F894" s="138"/>
      <c r="G894" s="138"/>
      <c r="H894" s="138"/>
      <c r="L894" s="139"/>
      <c r="M894" s="38"/>
      <c r="N894" s="38"/>
      <c r="O894" s="38"/>
      <c r="P894" s="38"/>
      <c r="Q894" s="38"/>
      <c r="R894" s="38"/>
      <c r="W894" s="139"/>
      <c r="X894" s="38"/>
    </row>
    <row r="895" ht="12.75" customHeight="1">
      <c r="C895" s="138"/>
      <c r="D895" s="138"/>
      <c r="E895" s="138"/>
      <c r="F895" s="138"/>
      <c r="G895" s="138"/>
      <c r="H895" s="138"/>
      <c r="L895" s="139"/>
      <c r="M895" s="38"/>
      <c r="N895" s="38"/>
      <c r="O895" s="38"/>
      <c r="P895" s="38"/>
      <c r="Q895" s="38"/>
      <c r="R895" s="38"/>
      <c r="W895" s="139"/>
      <c r="X895" s="38"/>
    </row>
    <row r="896" ht="12.75" customHeight="1">
      <c r="C896" s="138"/>
      <c r="D896" s="138"/>
      <c r="E896" s="138"/>
      <c r="F896" s="138"/>
      <c r="G896" s="138"/>
      <c r="H896" s="138"/>
      <c r="L896" s="139"/>
      <c r="M896" s="38"/>
      <c r="N896" s="38"/>
      <c r="O896" s="38"/>
      <c r="P896" s="38"/>
      <c r="Q896" s="38"/>
      <c r="R896" s="38"/>
      <c r="W896" s="139"/>
      <c r="X896" s="38"/>
    </row>
    <row r="897" ht="12.75" customHeight="1">
      <c r="C897" s="138"/>
      <c r="D897" s="138"/>
      <c r="E897" s="138"/>
      <c r="F897" s="138"/>
      <c r="G897" s="138"/>
      <c r="H897" s="138"/>
      <c r="L897" s="139"/>
      <c r="M897" s="38"/>
      <c r="N897" s="38"/>
      <c r="O897" s="38"/>
      <c r="P897" s="38"/>
      <c r="Q897" s="38"/>
      <c r="R897" s="38"/>
      <c r="W897" s="139"/>
      <c r="X897" s="38"/>
    </row>
    <row r="898" ht="12.75" customHeight="1">
      <c r="C898" s="138"/>
      <c r="D898" s="138"/>
      <c r="E898" s="138"/>
      <c r="F898" s="138"/>
      <c r="G898" s="138"/>
      <c r="H898" s="138"/>
      <c r="L898" s="139"/>
      <c r="M898" s="38"/>
      <c r="N898" s="38"/>
      <c r="O898" s="38"/>
      <c r="P898" s="38"/>
      <c r="Q898" s="38"/>
      <c r="R898" s="38"/>
      <c r="W898" s="139"/>
      <c r="X898" s="38"/>
    </row>
    <row r="899" ht="12.75" customHeight="1">
      <c r="C899" s="138"/>
      <c r="D899" s="138"/>
      <c r="E899" s="138"/>
      <c r="F899" s="138"/>
      <c r="G899" s="138"/>
      <c r="H899" s="138"/>
      <c r="L899" s="139"/>
      <c r="M899" s="38"/>
      <c r="N899" s="38"/>
      <c r="O899" s="38"/>
      <c r="P899" s="38"/>
      <c r="Q899" s="38"/>
      <c r="R899" s="38"/>
      <c r="W899" s="139"/>
      <c r="X899" s="38"/>
    </row>
    <row r="900" ht="12.75" customHeight="1">
      <c r="C900" s="138"/>
      <c r="D900" s="138"/>
      <c r="E900" s="138"/>
      <c r="F900" s="138"/>
      <c r="G900" s="138"/>
      <c r="H900" s="138"/>
      <c r="L900" s="139"/>
      <c r="M900" s="38"/>
      <c r="N900" s="38"/>
      <c r="O900" s="38"/>
      <c r="P900" s="38"/>
      <c r="Q900" s="38"/>
      <c r="R900" s="38"/>
      <c r="W900" s="139"/>
      <c r="X900" s="38"/>
    </row>
    <row r="901" ht="12.75" customHeight="1">
      <c r="C901" s="138"/>
      <c r="D901" s="138"/>
      <c r="E901" s="138"/>
      <c r="F901" s="138"/>
      <c r="G901" s="138"/>
      <c r="H901" s="138"/>
      <c r="L901" s="139"/>
      <c r="M901" s="38"/>
      <c r="N901" s="38"/>
      <c r="O901" s="38"/>
      <c r="P901" s="38"/>
      <c r="Q901" s="38"/>
      <c r="R901" s="38"/>
      <c r="W901" s="139"/>
      <c r="X901" s="38"/>
    </row>
    <row r="902" ht="12.75" customHeight="1">
      <c r="C902" s="138"/>
      <c r="D902" s="138"/>
      <c r="E902" s="138"/>
      <c r="F902" s="138"/>
      <c r="G902" s="138"/>
      <c r="H902" s="138"/>
      <c r="L902" s="139"/>
      <c r="M902" s="38"/>
      <c r="N902" s="38"/>
      <c r="O902" s="38"/>
      <c r="P902" s="38"/>
      <c r="Q902" s="38"/>
      <c r="R902" s="38"/>
      <c r="W902" s="139"/>
      <c r="X902" s="38"/>
    </row>
    <row r="903" ht="12.75" customHeight="1">
      <c r="C903" s="138"/>
      <c r="D903" s="138"/>
      <c r="E903" s="138"/>
      <c r="F903" s="138"/>
      <c r="G903" s="138"/>
      <c r="H903" s="138"/>
      <c r="L903" s="139"/>
      <c r="M903" s="38"/>
      <c r="N903" s="38"/>
      <c r="O903" s="38"/>
      <c r="P903" s="38"/>
      <c r="Q903" s="38"/>
      <c r="R903" s="38"/>
      <c r="W903" s="139"/>
      <c r="X903" s="38"/>
    </row>
    <row r="904" ht="12.75" customHeight="1">
      <c r="C904" s="138"/>
      <c r="D904" s="138"/>
      <c r="E904" s="138"/>
      <c r="F904" s="138"/>
      <c r="G904" s="138"/>
      <c r="H904" s="138"/>
      <c r="L904" s="139"/>
      <c r="M904" s="38"/>
      <c r="N904" s="38"/>
      <c r="O904" s="38"/>
      <c r="P904" s="38"/>
      <c r="Q904" s="38"/>
      <c r="R904" s="38"/>
      <c r="W904" s="139"/>
      <c r="X904" s="38"/>
    </row>
    <row r="905" ht="12.75" customHeight="1">
      <c r="C905" s="138"/>
      <c r="D905" s="138"/>
      <c r="E905" s="138"/>
      <c r="F905" s="138"/>
      <c r="G905" s="138"/>
      <c r="H905" s="138"/>
      <c r="L905" s="139"/>
      <c r="M905" s="38"/>
      <c r="N905" s="38"/>
      <c r="O905" s="38"/>
      <c r="P905" s="38"/>
      <c r="Q905" s="38"/>
      <c r="R905" s="38"/>
      <c r="W905" s="139"/>
      <c r="X905" s="38"/>
    </row>
    <row r="906" ht="12.75" customHeight="1">
      <c r="C906" s="138"/>
      <c r="D906" s="138"/>
      <c r="E906" s="138"/>
      <c r="F906" s="138"/>
      <c r="G906" s="138"/>
      <c r="H906" s="138"/>
      <c r="L906" s="139"/>
      <c r="M906" s="38"/>
      <c r="N906" s="38"/>
      <c r="O906" s="38"/>
      <c r="P906" s="38"/>
      <c r="Q906" s="38"/>
      <c r="R906" s="38"/>
      <c r="W906" s="139"/>
      <c r="X906" s="38"/>
    </row>
    <row r="907" ht="12.75" customHeight="1">
      <c r="C907" s="138"/>
      <c r="D907" s="138"/>
      <c r="E907" s="138"/>
      <c r="F907" s="138"/>
      <c r="G907" s="138"/>
      <c r="H907" s="138"/>
      <c r="L907" s="139"/>
      <c r="M907" s="38"/>
      <c r="N907" s="38"/>
      <c r="O907" s="38"/>
      <c r="P907" s="38"/>
      <c r="Q907" s="38"/>
      <c r="R907" s="38"/>
      <c r="W907" s="139"/>
      <c r="X907" s="38"/>
    </row>
    <row r="908" ht="12.75" customHeight="1">
      <c r="C908" s="138"/>
      <c r="D908" s="138"/>
      <c r="E908" s="138"/>
      <c r="F908" s="138"/>
      <c r="G908" s="138"/>
      <c r="H908" s="138"/>
      <c r="L908" s="139"/>
      <c r="M908" s="38"/>
      <c r="N908" s="38"/>
      <c r="O908" s="38"/>
      <c r="P908" s="38"/>
      <c r="Q908" s="38"/>
      <c r="R908" s="38"/>
      <c r="W908" s="139"/>
      <c r="X908" s="38"/>
    </row>
    <row r="909" ht="12.75" customHeight="1">
      <c r="C909" s="138"/>
      <c r="D909" s="138"/>
      <c r="E909" s="138"/>
      <c r="F909" s="138"/>
      <c r="G909" s="138"/>
      <c r="H909" s="138"/>
      <c r="L909" s="139"/>
      <c r="M909" s="38"/>
      <c r="N909" s="38"/>
      <c r="O909" s="38"/>
      <c r="P909" s="38"/>
      <c r="Q909" s="38"/>
      <c r="R909" s="38"/>
      <c r="W909" s="139"/>
      <c r="X909" s="38"/>
    </row>
    <row r="910" ht="12.75" customHeight="1">
      <c r="C910" s="138"/>
      <c r="D910" s="138"/>
      <c r="E910" s="138"/>
      <c r="F910" s="138"/>
      <c r="G910" s="138"/>
      <c r="H910" s="138"/>
      <c r="L910" s="139"/>
      <c r="M910" s="38"/>
      <c r="N910" s="38"/>
      <c r="O910" s="38"/>
      <c r="P910" s="38"/>
      <c r="Q910" s="38"/>
      <c r="R910" s="38"/>
      <c r="W910" s="139"/>
      <c r="X910" s="38"/>
    </row>
    <row r="911" ht="12.75" customHeight="1">
      <c r="C911" s="138"/>
      <c r="D911" s="138"/>
      <c r="E911" s="138"/>
      <c r="F911" s="138"/>
      <c r="G911" s="138"/>
      <c r="H911" s="138"/>
      <c r="L911" s="139"/>
      <c r="M911" s="38"/>
      <c r="N911" s="38"/>
      <c r="O911" s="38"/>
      <c r="P911" s="38"/>
      <c r="Q911" s="38"/>
      <c r="R911" s="38"/>
      <c r="W911" s="139"/>
      <c r="X911" s="38"/>
    </row>
    <row r="912" ht="12.75" customHeight="1">
      <c r="C912" s="138"/>
      <c r="D912" s="138"/>
      <c r="E912" s="138"/>
      <c r="F912" s="138"/>
      <c r="G912" s="138"/>
      <c r="H912" s="138"/>
      <c r="L912" s="139"/>
      <c r="M912" s="38"/>
      <c r="N912" s="38"/>
      <c r="O912" s="38"/>
      <c r="P912" s="38"/>
      <c r="Q912" s="38"/>
      <c r="R912" s="38"/>
      <c r="W912" s="139"/>
      <c r="X912" s="38"/>
    </row>
    <row r="913" ht="12.75" customHeight="1">
      <c r="C913" s="138"/>
      <c r="D913" s="138"/>
      <c r="E913" s="138"/>
      <c r="F913" s="138"/>
      <c r="G913" s="138"/>
      <c r="H913" s="138"/>
      <c r="L913" s="139"/>
      <c r="M913" s="38"/>
      <c r="N913" s="38"/>
      <c r="O913" s="38"/>
      <c r="P913" s="38"/>
      <c r="Q913" s="38"/>
      <c r="R913" s="38"/>
      <c r="W913" s="139"/>
      <c r="X913" s="38"/>
    </row>
    <row r="914" ht="12.75" customHeight="1">
      <c r="C914" s="138"/>
      <c r="D914" s="138"/>
      <c r="E914" s="138"/>
      <c r="F914" s="138"/>
      <c r="G914" s="138"/>
      <c r="H914" s="138"/>
      <c r="L914" s="139"/>
      <c r="M914" s="38"/>
      <c r="N914" s="38"/>
      <c r="O914" s="38"/>
      <c r="P914" s="38"/>
      <c r="Q914" s="38"/>
      <c r="R914" s="38"/>
      <c r="W914" s="139"/>
      <c r="X914" s="38"/>
    </row>
    <row r="915" ht="12.75" customHeight="1">
      <c r="C915" s="138"/>
      <c r="D915" s="138"/>
      <c r="E915" s="138"/>
      <c r="F915" s="138"/>
      <c r="G915" s="138"/>
      <c r="H915" s="138"/>
      <c r="L915" s="139"/>
      <c r="M915" s="38"/>
      <c r="N915" s="38"/>
      <c r="O915" s="38"/>
      <c r="P915" s="38"/>
      <c r="Q915" s="38"/>
      <c r="R915" s="38"/>
      <c r="W915" s="139"/>
      <c r="X915" s="38"/>
    </row>
    <row r="916" ht="12.75" customHeight="1">
      <c r="C916" s="138"/>
      <c r="D916" s="138"/>
      <c r="E916" s="138"/>
      <c r="F916" s="138"/>
      <c r="G916" s="138"/>
      <c r="H916" s="138"/>
      <c r="L916" s="139"/>
      <c r="M916" s="38"/>
      <c r="N916" s="38"/>
      <c r="O916" s="38"/>
      <c r="P916" s="38"/>
      <c r="Q916" s="38"/>
      <c r="R916" s="38"/>
      <c r="W916" s="139"/>
      <c r="X916" s="38"/>
    </row>
    <row r="917" ht="12.75" customHeight="1">
      <c r="C917" s="138"/>
      <c r="D917" s="138"/>
      <c r="E917" s="138"/>
      <c r="F917" s="138"/>
      <c r="G917" s="138"/>
      <c r="H917" s="138"/>
      <c r="L917" s="139"/>
      <c r="M917" s="38"/>
      <c r="N917" s="38"/>
      <c r="O917" s="38"/>
      <c r="P917" s="38"/>
      <c r="Q917" s="38"/>
      <c r="R917" s="38"/>
      <c r="W917" s="139"/>
      <c r="X917" s="38"/>
    </row>
    <row r="918" ht="12.75" customHeight="1">
      <c r="C918" s="138"/>
      <c r="D918" s="138"/>
      <c r="E918" s="138"/>
      <c r="F918" s="138"/>
      <c r="G918" s="138"/>
      <c r="H918" s="138"/>
      <c r="L918" s="139"/>
      <c r="M918" s="38"/>
      <c r="N918" s="38"/>
      <c r="O918" s="38"/>
      <c r="P918" s="38"/>
      <c r="Q918" s="38"/>
      <c r="R918" s="38"/>
      <c r="W918" s="139"/>
      <c r="X918" s="38"/>
    </row>
    <row r="919" ht="12.75" customHeight="1">
      <c r="C919" s="138"/>
      <c r="D919" s="138"/>
      <c r="E919" s="138"/>
      <c r="F919" s="138"/>
      <c r="G919" s="138"/>
      <c r="H919" s="138"/>
      <c r="L919" s="139"/>
      <c r="M919" s="38"/>
      <c r="N919" s="38"/>
      <c r="O919" s="38"/>
      <c r="P919" s="38"/>
      <c r="Q919" s="38"/>
      <c r="R919" s="38"/>
      <c r="W919" s="139"/>
      <c r="X919" s="38"/>
    </row>
    <row r="920" ht="12.75" customHeight="1">
      <c r="C920" s="138"/>
      <c r="D920" s="138"/>
      <c r="E920" s="138"/>
      <c r="F920" s="138"/>
      <c r="G920" s="138"/>
      <c r="H920" s="138"/>
      <c r="L920" s="139"/>
      <c r="M920" s="38"/>
      <c r="N920" s="38"/>
      <c r="O920" s="38"/>
      <c r="P920" s="38"/>
      <c r="Q920" s="38"/>
      <c r="R920" s="38"/>
      <c r="W920" s="139"/>
      <c r="X920" s="38"/>
    </row>
    <row r="921" ht="12.75" customHeight="1">
      <c r="C921" s="138"/>
      <c r="D921" s="138"/>
      <c r="E921" s="138"/>
      <c r="F921" s="138"/>
      <c r="G921" s="138"/>
      <c r="H921" s="138"/>
      <c r="L921" s="139"/>
      <c r="M921" s="38"/>
      <c r="N921" s="38"/>
      <c r="O921" s="38"/>
      <c r="P921" s="38"/>
      <c r="Q921" s="38"/>
      <c r="R921" s="38"/>
      <c r="W921" s="139"/>
      <c r="X921" s="38"/>
    </row>
    <row r="922" ht="12.75" customHeight="1">
      <c r="C922" s="138"/>
      <c r="D922" s="138"/>
      <c r="E922" s="138"/>
      <c r="F922" s="138"/>
      <c r="G922" s="138"/>
      <c r="H922" s="138"/>
      <c r="L922" s="139"/>
      <c r="M922" s="38"/>
      <c r="N922" s="38"/>
      <c r="O922" s="38"/>
      <c r="P922" s="38"/>
      <c r="Q922" s="38"/>
      <c r="R922" s="38"/>
      <c r="W922" s="139"/>
      <c r="X922" s="38"/>
    </row>
    <row r="923" ht="12.75" customHeight="1">
      <c r="C923" s="138"/>
      <c r="D923" s="138"/>
      <c r="E923" s="138"/>
      <c r="F923" s="138"/>
      <c r="G923" s="138"/>
      <c r="H923" s="138"/>
      <c r="L923" s="139"/>
      <c r="M923" s="38"/>
      <c r="N923" s="38"/>
      <c r="O923" s="38"/>
      <c r="P923" s="38"/>
      <c r="Q923" s="38"/>
      <c r="R923" s="38"/>
      <c r="W923" s="139"/>
      <c r="X923" s="38"/>
    </row>
    <row r="924" ht="12.75" customHeight="1">
      <c r="C924" s="138"/>
      <c r="D924" s="138"/>
      <c r="E924" s="138"/>
      <c r="F924" s="138"/>
      <c r="G924" s="138"/>
      <c r="H924" s="138"/>
      <c r="L924" s="139"/>
      <c r="M924" s="38"/>
      <c r="N924" s="38"/>
      <c r="O924" s="38"/>
      <c r="P924" s="38"/>
      <c r="Q924" s="38"/>
      <c r="R924" s="38"/>
      <c r="W924" s="139"/>
      <c r="X924" s="38"/>
    </row>
    <row r="925" ht="12.75" customHeight="1">
      <c r="C925" s="138"/>
      <c r="D925" s="138"/>
      <c r="E925" s="138"/>
      <c r="F925" s="138"/>
      <c r="G925" s="138"/>
      <c r="H925" s="138"/>
      <c r="L925" s="139"/>
      <c r="M925" s="38"/>
      <c r="N925" s="38"/>
      <c r="O925" s="38"/>
      <c r="P925" s="38"/>
      <c r="Q925" s="38"/>
      <c r="R925" s="38"/>
      <c r="W925" s="139"/>
      <c r="X925" s="38"/>
    </row>
    <row r="926" ht="12.75" customHeight="1">
      <c r="C926" s="138"/>
      <c r="D926" s="138"/>
      <c r="E926" s="138"/>
      <c r="F926" s="138"/>
      <c r="G926" s="138"/>
      <c r="H926" s="138"/>
      <c r="L926" s="139"/>
      <c r="M926" s="38"/>
      <c r="N926" s="38"/>
      <c r="O926" s="38"/>
      <c r="P926" s="38"/>
      <c r="Q926" s="38"/>
      <c r="R926" s="38"/>
      <c r="W926" s="139"/>
      <c r="X926" s="38"/>
    </row>
    <row r="927" ht="12.75" customHeight="1">
      <c r="C927" s="138"/>
      <c r="D927" s="138"/>
      <c r="E927" s="138"/>
      <c r="F927" s="138"/>
      <c r="G927" s="138"/>
      <c r="H927" s="138"/>
      <c r="L927" s="139"/>
      <c r="M927" s="38"/>
      <c r="N927" s="38"/>
      <c r="O927" s="38"/>
      <c r="P927" s="38"/>
      <c r="Q927" s="38"/>
      <c r="R927" s="38"/>
      <c r="W927" s="139"/>
      <c r="X927" s="38"/>
    </row>
    <row r="928" ht="12.75" customHeight="1">
      <c r="C928" s="138"/>
      <c r="D928" s="138"/>
      <c r="E928" s="138"/>
      <c r="F928" s="138"/>
      <c r="G928" s="138"/>
      <c r="H928" s="138"/>
      <c r="L928" s="139"/>
      <c r="M928" s="38"/>
      <c r="N928" s="38"/>
      <c r="O928" s="38"/>
      <c r="P928" s="38"/>
      <c r="Q928" s="38"/>
      <c r="R928" s="38"/>
      <c r="W928" s="139"/>
      <c r="X928" s="38"/>
    </row>
    <row r="929" ht="12.75" customHeight="1">
      <c r="C929" s="138"/>
      <c r="D929" s="138"/>
      <c r="E929" s="138"/>
      <c r="F929" s="138"/>
      <c r="G929" s="138"/>
      <c r="H929" s="138"/>
      <c r="L929" s="139"/>
      <c r="M929" s="38"/>
      <c r="N929" s="38"/>
      <c r="O929" s="38"/>
      <c r="P929" s="38"/>
      <c r="Q929" s="38"/>
      <c r="R929" s="38"/>
      <c r="W929" s="139"/>
      <c r="X929" s="38"/>
    </row>
    <row r="930" ht="12.75" customHeight="1">
      <c r="C930" s="138"/>
      <c r="D930" s="138"/>
      <c r="E930" s="138"/>
      <c r="F930" s="138"/>
      <c r="G930" s="138"/>
      <c r="H930" s="138"/>
      <c r="L930" s="139"/>
      <c r="M930" s="38"/>
      <c r="N930" s="38"/>
      <c r="O930" s="38"/>
      <c r="P930" s="38"/>
      <c r="Q930" s="38"/>
      <c r="R930" s="38"/>
      <c r="W930" s="139"/>
      <c r="X930" s="38"/>
    </row>
    <row r="931" ht="12.75" customHeight="1">
      <c r="C931" s="138"/>
      <c r="D931" s="138"/>
      <c r="E931" s="138"/>
      <c r="F931" s="138"/>
      <c r="G931" s="138"/>
      <c r="H931" s="138"/>
      <c r="L931" s="139"/>
      <c r="M931" s="38"/>
      <c r="N931" s="38"/>
      <c r="O931" s="38"/>
      <c r="P931" s="38"/>
      <c r="Q931" s="38"/>
      <c r="R931" s="38"/>
      <c r="W931" s="139"/>
      <c r="X931" s="38"/>
    </row>
    <row r="932" ht="12.75" customHeight="1">
      <c r="C932" s="138"/>
      <c r="D932" s="138"/>
      <c r="E932" s="138"/>
      <c r="F932" s="138"/>
      <c r="G932" s="138"/>
      <c r="H932" s="138"/>
      <c r="L932" s="139"/>
      <c r="M932" s="38"/>
      <c r="N932" s="38"/>
      <c r="O932" s="38"/>
      <c r="P932" s="38"/>
      <c r="Q932" s="38"/>
      <c r="R932" s="38"/>
      <c r="W932" s="139"/>
      <c r="X932" s="38"/>
    </row>
    <row r="933" ht="12.75" customHeight="1">
      <c r="C933" s="138"/>
      <c r="D933" s="138"/>
      <c r="E933" s="138"/>
      <c r="F933" s="138"/>
      <c r="G933" s="138"/>
      <c r="H933" s="138"/>
      <c r="L933" s="139"/>
      <c r="M933" s="38"/>
      <c r="N933" s="38"/>
      <c r="O933" s="38"/>
      <c r="P933" s="38"/>
      <c r="Q933" s="38"/>
      <c r="R933" s="38"/>
      <c r="W933" s="139"/>
      <c r="X933" s="38"/>
    </row>
    <row r="934" ht="12.75" customHeight="1">
      <c r="C934" s="138"/>
      <c r="D934" s="138"/>
      <c r="E934" s="138"/>
      <c r="F934" s="138"/>
      <c r="G934" s="138"/>
      <c r="H934" s="138"/>
      <c r="L934" s="139"/>
      <c r="M934" s="38"/>
      <c r="N934" s="38"/>
      <c r="O934" s="38"/>
      <c r="P934" s="38"/>
      <c r="Q934" s="38"/>
      <c r="R934" s="38"/>
      <c r="W934" s="139"/>
      <c r="X934" s="38"/>
    </row>
    <row r="935" ht="12.75" customHeight="1">
      <c r="C935" s="138"/>
      <c r="D935" s="138"/>
      <c r="E935" s="138"/>
      <c r="F935" s="138"/>
      <c r="G935" s="138"/>
      <c r="H935" s="138"/>
      <c r="L935" s="139"/>
      <c r="M935" s="38"/>
      <c r="N935" s="38"/>
      <c r="O935" s="38"/>
      <c r="P935" s="38"/>
      <c r="Q935" s="38"/>
      <c r="R935" s="38"/>
      <c r="W935" s="139"/>
      <c r="X935" s="38"/>
    </row>
    <row r="936" ht="12.75" customHeight="1">
      <c r="C936" s="138"/>
      <c r="D936" s="138"/>
      <c r="E936" s="138"/>
      <c r="F936" s="138"/>
      <c r="G936" s="138"/>
      <c r="H936" s="138"/>
      <c r="L936" s="139"/>
      <c r="M936" s="38"/>
      <c r="N936" s="38"/>
      <c r="O936" s="38"/>
      <c r="P936" s="38"/>
      <c r="Q936" s="38"/>
      <c r="R936" s="38"/>
      <c r="W936" s="139"/>
      <c r="X936" s="38"/>
    </row>
    <row r="937" ht="12.75" customHeight="1">
      <c r="C937" s="138"/>
      <c r="D937" s="138"/>
      <c r="E937" s="138"/>
      <c r="F937" s="138"/>
      <c r="G937" s="138"/>
      <c r="H937" s="138"/>
      <c r="L937" s="139"/>
      <c r="M937" s="38"/>
      <c r="N937" s="38"/>
      <c r="O937" s="38"/>
      <c r="P937" s="38"/>
      <c r="Q937" s="38"/>
      <c r="R937" s="38"/>
      <c r="W937" s="139"/>
      <c r="X937" s="38"/>
    </row>
    <row r="938" ht="12.75" customHeight="1">
      <c r="C938" s="138"/>
      <c r="D938" s="138"/>
      <c r="E938" s="138"/>
      <c r="F938" s="138"/>
      <c r="G938" s="138"/>
      <c r="H938" s="138"/>
      <c r="L938" s="139"/>
      <c r="M938" s="38"/>
      <c r="N938" s="38"/>
      <c r="O938" s="38"/>
      <c r="P938" s="38"/>
      <c r="Q938" s="38"/>
      <c r="R938" s="38"/>
      <c r="W938" s="139"/>
      <c r="X938" s="38"/>
    </row>
    <row r="939" ht="12.75" customHeight="1">
      <c r="C939" s="138"/>
      <c r="D939" s="138"/>
      <c r="E939" s="138"/>
      <c r="F939" s="138"/>
      <c r="G939" s="138"/>
      <c r="H939" s="138"/>
      <c r="L939" s="139"/>
      <c r="M939" s="38"/>
      <c r="N939" s="38"/>
      <c r="O939" s="38"/>
      <c r="P939" s="38"/>
      <c r="Q939" s="38"/>
      <c r="R939" s="38"/>
      <c r="W939" s="139"/>
      <c r="X939" s="38"/>
    </row>
    <row r="940" ht="12.75" customHeight="1">
      <c r="C940" s="138"/>
      <c r="D940" s="138"/>
      <c r="E940" s="138"/>
      <c r="F940" s="138"/>
      <c r="G940" s="138"/>
      <c r="H940" s="138"/>
      <c r="L940" s="139"/>
      <c r="M940" s="38"/>
      <c r="N940" s="38"/>
      <c r="O940" s="38"/>
      <c r="P940" s="38"/>
      <c r="Q940" s="38"/>
      <c r="R940" s="38"/>
      <c r="W940" s="139"/>
      <c r="X940" s="38"/>
    </row>
    <row r="941" ht="12.75" customHeight="1">
      <c r="C941" s="138"/>
      <c r="D941" s="138"/>
      <c r="E941" s="138"/>
      <c r="F941" s="138"/>
      <c r="G941" s="138"/>
      <c r="H941" s="138"/>
      <c r="L941" s="139"/>
      <c r="M941" s="38"/>
      <c r="N941" s="38"/>
      <c r="O941" s="38"/>
      <c r="P941" s="38"/>
      <c r="Q941" s="38"/>
      <c r="R941" s="38"/>
      <c r="W941" s="139"/>
      <c r="X941" s="38"/>
    </row>
    <row r="942" ht="12.75" customHeight="1">
      <c r="C942" s="138"/>
      <c r="D942" s="138"/>
      <c r="E942" s="138"/>
      <c r="F942" s="138"/>
      <c r="G942" s="138"/>
      <c r="H942" s="138"/>
      <c r="L942" s="139"/>
      <c r="M942" s="38"/>
      <c r="N942" s="38"/>
      <c r="O942" s="38"/>
      <c r="P942" s="38"/>
      <c r="Q942" s="38"/>
      <c r="R942" s="38"/>
      <c r="W942" s="139"/>
      <c r="X942" s="38"/>
    </row>
    <row r="943" ht="12.75" customHeight="1">
      <c r="C943" s="138"/>
      <c r="D943" s="138"/>
      <c r="E943" s="138"/>
      <c r="F943" s="138"/>
      <c r="G943" s="138"/>
      <c r="H943" s="138"/>
      <c r="L943" s="139"/>
      <c r="M943" s="38"/>
      <c r="N943" s="38"/>
      <c r="O943" s="38"/>
      <c r="P943" s="38"/>
      <c r="Q943" s="38"/>
      <c r="R943" s="38"/>
      <c r="W943" s="139"/>
      <c r="X943" s="38"/>
    </row>
    <row r="944" ht="12.75" customHeight="1">
      <c r="C944" s="138"/>
      <c r="D944" s="138"/>
      <c r="E944" s="138"/>
      <c r="F944" s="138"/>
      <c r="G944" s="138"/>
      <c r="H944" s="138"/>
      <c r="L944" s="139"/>
      <c r="M944" s="38"/>
      <c r="N944" s="38"/>
      <c r="O944" s="38"/>
      <c r="P944" s="38"/>
      <c r="Q944" s="38"/>
      <c r="R944" s="38"/>
      <c r="W944" s="139"/>
      <c r="X944" s="38"/>
    </row>
    <row r="945" ht="12.75" customHeight="1">
      <c r="C945" s="138"/>
      <c r="D945" s="138"/>
      <c r="E945" s="138"/>
      <c r="F945" s="138"/>
      <c r="G945" s="138"/>
      <c r="H945" s="138"/>
      <c r="L945" s="139"/>
      <c r="M945" s="38"/>
      <c r="N945" s="38"/>
      <c r="O945" s="38"/>
      <c r="P945" s="38"/>
      <c r="Q945" s="38"/>
      <c r="R945" s="38"/>
      <c r="W945" s="139"/>
      <c r="X945" s="38"/>
    </row>
    <row r="946" ht="12.75" customHeight="1">
      <c r="C946" s="138"/>
      <c r="D946" s="138"/>
      <c r="E946" s="138"/>
      <c r="F946" s="138"/>
      <c r="G946" s="138"/>
      <c r="H946" s="138"/>
      <c r="L946" s="139"/>
      <c r="M946" s="38"/>
      <c r="N946" s="38"/>
      <c r="O946" s="38"/>
      <c r="P946" s="38"/>
      <c r="Q946" s="38"/>
      <c r="R946" s="38"/>
      <c r="W946" s="139"/>
      <c r="X946" s="38"/>
    </row>
    <row r="947" ht="12.75" customHeight="1">
      <c r="C947" s="138"/>
      <c r="D947" s="138"/>
      <c r="E947" s="138"/>
      <c r="F947" s="138"/>
      <c r="G947" s="138"/>
      <c r="H947" s="138"/>
      <c r="L947" s="139"/>
      <c r="M947" s="38"/>
      <c r="N947" s="38"/>
      <c r="O947" s="38"/>
      <c r="P947" s="38"/>
      <c r="Q947" s="38"/>
      <c r="R947" s="38"/>
      <c r="W947" s="139"/>
      <c r="X947" s="38"/>
    </row>
    <row r="948" ht="12.75" customHeight="1">
      <c r="C948" s="138"/>
      <c r="D948" s="138"/>
      <c r="E948" s="138"/>
      <c r="F948" s="138"/>
      <c r="G948" s="138"/>
      <c r="H948" s="138"/>
      <c r="L948" s="139"/>
      <c r="M948" s="38"/>
      <c r="N948" s="38"/>
      <c r="O948" s="38"/>
      <c r="P948" s="38"/>
      <c r="Q948" s="38"/>
      <c r="R948" s="38"/>
      <c r="W948" s="139"/>
      <c r="X948" s="38"/>
    </row>
    <row r="949" ht="12.75" customHeight="1">
      <c r="C949" s="138"/>
      <c r="D949" s="138"/>
      <c r="E949" s="138"/>
      <c r="F949" s="138"/>
      <c r="G949" s="138"/>
      <c r="H949" s="138"/>
      <c r="L949" s="139"/>
      <c r="M949" s="38"/>
      <c r="N949" s="38"/>
      <c r="O949" s="38"/>
      <c r="P949" s="38"/>
      <c r="Q949" s="38"/>
      <c r="R949" s="38"/>
      <c r="W949" s="139"/>
      <c r="X949" s="38"/>
    </row>
    <row r="950" ht="12.75" customHeight="1">
      <c r="C950" s="138"/>
      <c r="D950" s="138"/>
      <c r="E950" s="138"/>
      <c r="F950" s="138"/>
      <c r="G950" s="138"/>
      <c r="H950" s="138"/>
      <c r="L950" s="139"/>
      <c r="M950" s="38"/>
      <c r="N950" s="38"/>
      <c r="O950" s="38"/>
      <c r="P950" s="38"/>
      <c r="Q950" s="38"/>
      <c r="R950" s="38"/>
      <c r="W950" s="139"/>
      <c r="X950" s="38"/>
    </row>
    <row r="951" ht="12.75" customHeight="1">
      <c r="C951" s="138"/>
      <c r="D951" s="138"/>
      <c r="E951" s="138"/>
      <c r="F951" s="138"/>
      <c r="G951" s="138"/>
      <c r="H951" s="138"/>
      <c r="L951" s="139"/>
      <c r="M951" s="38"/>
      <c r="N951" s="38"/>
      <c r="O951" s="38"/>
      <c r="P951" s="38"/>
      <c r="Q951" s="38"/>
      <c r="R951" s="38"/>
      <c r="W951" s="139"/>
      <c r="X951" s="38"/>
    </row>
    <row r="952" ht="12.75" customHeight="1">
      <c r="C952" s="138"/>
      <c r="D952" s="138"/>
      <c r="E952" s="138"/>
      <c r="F952" s="138"/>
      <c r="G952" s="138"/>
      <c r="H952" s="138"/>
      <c r="L952" s="139"/>
      <c r="M952" s="38"/>
      <c r="N952" s="38"/>
      <c r="O952" s="38"/>
      <c r="P952" s="38"/>
      <c r="Q952" s="38"/>
      <c r="R952" s="38"/>
      <c r="W952" s="139"/>
      <c r="X952" s="38"/>
    </row>
    <row r="953" ht="12.75" customHeight="1">
      <c r="C953" s="138"/>
      <c r="D953" s="138"/>
      <c r="E953" s="138"/>
      <c r="F953" s="138"/>
      <c r="G953" s="138"/>
      <c r="H953" s="138"/>
      <c r="L953" s="139"/>
      <c r="M953" s="38"/>
      <c r="N953" s="38"/>
      <c r="O953" s="38"/>
      <c r="P953" s="38"/>
      <c r="Q953" s="38"/>
      <c r="R953" s="38"/>
      <c r="W953" s="139"/>
      <c r="X953" s="38"/>
    </row>
    <row r="954" ht="12.75" customHeight="1">
      <c r="C954" s="138"/>
      <c r="D954" s="138"/>
      <c r="E954" s="138"/>
      <c r="F954" s="138"/>
      <c r="G954" s="138"/>
      <c r="H954" s="138"/>
      <c r="L954" s="139"/>
      <c r="M954" s="38"/>
      <c r="N954" s="38"/>
      <c r="O954" s="38"/>
      <c r="P954" s="38"/>
      <c r="Q954" s="38"/>
      <c r="R954" s="38"/>
      <c r="W954" s="139"/>
      <c r="X954" s="38"/>
    </row>
    <row r="955" ht="12.75" customHeight="1">
      <c r="C955" s="138"/>
      <c r="D955" s="138"/>
      <c r="E955" s="138"/>
      <c r="F955" s="138"/>
      <c r="G955" s="138"/>
      <c r="H955" s="138"/>
      <c r="L955" s="139"/>
      <c r="M955" s="38"/>
      <c r="N955" s="38"/>
      <c r="O955" s="38"/>
      <c r="P955" s="38"/>
      <c r="Q955" s="38"/>
      <c r="R955" s="38"/>
      <c r="W955" s="139"/>
      <c r="X955" s="38"/>
    </row>
    <row r="956" ht="12.75" customHeight="1">
      <c r="C956" s="138"/>
      <c r="D956" s="138"/>
      <c r="E956" s="138"/>
      <c r="F956" s="138"/>
      <c r="G956" s="138"/>
      <c r="H956" s="138"/>
      <c r="L956" s="139"/>
      <c r="M956" s="38"/>
      <c r="N956" s="38"/>
      <c r="O956" s="38"/>
      <c r="P956" s="38"/>
      <c r="Q956" s="38"/>
      <c r="R956" s="38"/>
      <c r="W956" s="139"/>
      <c r="X956" s="38"/>
    </row>
    <row r="957" ht="12.75" customHeight="1">
      <c r="C957" s="138"/>
      <c r="D957" s="138"/>
      <c r="E957" s="138"/>
      <c r="F957" s="138"/>
      <c r="G957" s="138"/>
      <c r="H957" s="138"/>
      <c r="L957" s="139"/>
      <c r="M957" s="38"/>
      <c r="N957" s="38"/>
      <c r="O957" s="38"/>
      <c r="P957" s="38"/>
      <c r="Q957" s="38"/>
      <c r="R957" s="38"/>
      <c r="W957" s="139"/>
      <c r="X957" s="38"/>
    </row>
    <row r="958" ht="12.75" customHeight="1">
      <c r="C958" s="138"/>
      <c r="D958" s="138"/>
      <c r="E958" s="138"/>
      <c r="F958" s="138"/>
      <c r="G958" s="138"/>
      <c r="H958" s="138"/>
      <c r="L958" s="139"/>
      <c r="M958" s="38"/>
      <c r="N958" s="38"/>
      <c r="O958" s="38"/>
      <c r="P958" s="38"/>
      <c r="Q958" s="38"/>
      <c r="R958" s="38"/>
      <c r="W958" s="139"/>
      <c r="X958" s="38"/>
    </row>
    <row r="959" ht="12.75" customHeight="1">
      <c r="C959" s="138"/>
      <c r="D959" s="138"/>
      <c r="E959" s="138"/>
      <c r="F959" s="138"/>
      <c r="G959" s="138"/>
      <c r="H959" s="138"/>
      <c r="L959" s="139"/>
      <c r="M959" s="38"/>
      <c r="N959" s="38"/>
      <c r="O959" s="38"/>
      <c r="P959" s="38"/>
      <c r="Q959" s="38"/>
      <c r="R959" s="38"/>
      <c r="W959" s="139"/>
      <c r="X959" s="38"/>
    </row>
    <row r="960" ht="12.75" customHeight="1">
      <c r="C960" s="138"/>
      <c r="D960" s="138"/>
      <c r="E960" s="138"/>
      <c r="F960" s="138"/>
      <c r="G960" s="138"/>
      <c r="H960" s="138"/>
      <c r="L960" s="139"/>
      <c r="M960" s="38"/>
      <c r="N960" s="38"/>
      <c r="O960" s="38"/>
      <c r="P960" s="38"/>
      <c r="Q960" s="38"/>
      <c r="R960" s="38"/>
      <c r="W960" s="139"/>
      <c r="X960" s="38"/>
    </row>
    <row r="961" ht="12.75" customHeight="1">
      <c r="C961" s="138"/>
      <c r="D961" s="138"/>
      <c r="E961" s="138"/>
      <c r="F961" s="138"/>
      <c r="G961" s="138"/>
      <c r="H961" s="138"/>
      <c r="L961" s="139"/>
      <c r="M961" s="38"/>
      <c r="N961" s="38"/>
      <c r="O961" s="38"/>
      <c r="P961" s="38"/>
      <c r="Q961" s="38"/>
      <c r="R961" s="38"/>
      <c r="W961" s="139"/>
      <c r="X961" s="38"/>
    </row>
    <row r="962" ht="12.75" customHeight="1">
      <c r="C962" s="138"/>
      <c r="D962" s="138"/>
      <c r="E962" s="138"/>
      <c r="F962" s="138"/>
      <c r="G962" s="138"/>
      <c r="H962" s="138"/>
      <c r="L962" s="139"/>
      <c r="M962" s="38"/>
      <c r="N962" s="38"/>
      <c r="O962" s="38"/>
      <c r="P962" s="38"/>
      <c r="Q962" s="38"/>
      <c r="R962" s="38"/>
      <c r="W962" s="139"/>
      <c r="X962" s="38"/>
    </row>
    <row r="963" ht="12.75" customHeight="1">
      <c r="C963" s="138"/>
      <c r="D963" s="138"/>
      <c r="E963" s="138"/>
      <c r="F963" s="138"/>
      <c r="G963" s="138"/>
      <c r="H963" s="138"/>
      <c r="L963" s="139"/>
      <c r="M963" s="38"/>
      <c r="N963" s="38"/>
      <c r="O963" s="38"/>
      <c r="P963" s="38"/>
      <c r="Q963" s="38"/>
      <c r="R963" s="38"/>
      <c r="W963" s="139"/>
      <c r="X963" s="38"/>
    </row>
    <row r="964" ht="12.75" customHeight="1">
      <c r="C964" s="138"/>
      <c r="D964" s="138"/>
      <c r="E964" s="138"/>
      <c r="F964" s="138"/>
      <c r="G964" s="138"/>
      <c r="H964" s="138"/>
      <c r="L964" s="139"/>
      <c r="M964" s="38"/>
      <c r="N964" s="38"/>
      <c r="O964" s="38"/>
      <c r="P964" s="38"/>
      <c r="Q964" s="38"/>
      <c r="R964" s="38"/>
      <c r="W964" s="139"/>
      <c r="X964" s="38"/>
    </row>
    <row r="965" ht="12.75" customHeight="1">
      <c r="C965" s="138"/>
      <c r="D965" s="138"/>
      <c r="E965" s="138"/>
      <c r="F965" s="138"/>
      <c r="G965" s="138"/>
      <c r="H965" s="138"/>
      <c r="L965" s="139"/>
      <c r="M965" s="38"/>
      <c r="N965" s="38"/>
      <c r="O965" s="38"/>
      <c r="P965" s="38"/>
      <c r="Q965" s="38"/>
      <c r="R965" s="38"/>
      <c r="W965" s="139"/>
      <c r="X965" s="38"/>
    </row>
    <row r="966" ht="12.75" customHeight="1">
      <c r="C966" s="138"/>
      <c r="D966" s="138"/>
      <c r="E966" s="138"/>
      <c r="F966" s="138"/>
      <c r="G966" s="138"/>
      <c r="H966" s="138"/>
      <c r="L966" s="139"/>
      <c r="M966" s="38"/>
      <c r="N966" s="38"/>
      <c r="O966" s="38"/>
      <c r="P966" s="38"/>
      <c r="Q966" s="38"/>
      <c r="R966" s="38"/>
      <c r="W966" s="139"/>
      <c r="X966" s="38"/>
    </row>
    <row r="967" ht="12.75" customHeight="1">
      <c r="C967" s="138"/>
      <c r="D967" s="138"/>
      <c r="E967" s="138"/>
      <c r="F967" s="138"/>
      <c r="G967" s="138"/>
      <c r="H967" s="138"/>
      <c r="L967" s="139"/>
      <c r="M967" s="38"/>
      <c r="N967" s="38"/>
      <c r="O967" s="38"/>
      <c r="P967" s="38"/>
      <c r="Q967" s="38"/>
      <c r="R967" s="38"/>
      <c r="W967" s="139"/>
      <c r="X967" s="38"/>
    </row>
    <row r="968" ht="12.75" customHeight="1">
      <c r="C968" s="138"/>
      <c r="D968" s="138"/>
      <c r="E968" s="138"/>
      <c r="F968" s="138"/>
      <c r="G968" s="138"/>
      <c r="H968" s="138"/>
      <c r="L968" s="139"/>
      <c r="M968" s="38"/>
      <c r="N968" s="38"/>
      <c r="O968" s="38"/>
      <c r="P968" s="38"/>
      <c r="Q968" s="38"/>
      <c r="R968" s="38"/>
      <c r="W968" s="139"/>
      <c r="X968" s="38"/>
    </row>
    <row r="969" ht="12.75" customHeight="1">
      <c r="C969" s="138"/>
      <c r="D969" s="138"/>
      <c r="E969" s="138"/>
      <c r="F969" s="138"/>
      <c r="G969" s="138"/>
      <c r="H969" s="138"/>
      <c r="L969" s="139"/>
      <c r="M969" s="38"/>
      <c r="N969" s="38"/>
      <c r="O969" s="38"/>
      <c r="P969" s="38"/>
      <c r="Q969" s="38"/>
      <c r="R969" s="38"/>
      <c r="W969" s="139"/>
      <c r="X969" s="38"/>
    </row>
    <row r="970" ht="12.75" customHeight="1">
      <c r="C970" s="138"/>
      <c r="D970" s="138"/>
      <c r="E970" s="138"/>
      <c r="F970" s="138"/>
      <c r="G970" s="138"/>
      <c r="H970" s="138"/>
      <c r="L970" s="139"/>
      <c r="M970" s="38"/>
      <c r="N970" s="38"/>
      <c r="O970" s="38"/>
      <c r="P970" s="38"/>
      <c r="Q970" s="38"/>
      <c r="R970" s="38"/>
      <c r="W970" s="139"/>
      <c r="X970" s="38"/>
    </row>
    <row r="971" ht="12.75" customHeight="1">
      <c r="C971" s="138"/>
      <c r="D971" s="138"/>
      <c r="E971" s="138"/>
      <c r="F971" s="138"/>
      <c r="G971" s="138"/>
      <c r="H971" s="138"/>
      <c r="L971" s="139"/>
      <c r="M971" s="38"/>
      <c r="N971" s="38"/>
      <c r="O971" s="38"/>
      <c r="P971" s="38"/>
      <c r="Q971" s="38"/>
      <c r="R971" s="38"/>
      <c r="W971" s="139"/>
      <c r="X971" s="38"/>
    </row>
    <row r="972" ht="12.75" customHeight="1">
      <c r="C972" s="138"/>
      <c r="D972" s="138"/>
      <c r="E972" s="138"/>
      <c r="F972" s="138"/>
      <c r="G972" s="138"/>
      <c r="H972" s="138"/>
      <c r="L972" s="139"/>
      <c r="M972" s="38"/>
      <c r="N972" s="38"/>
      <c r="O972" s="38"/>
      <c r="P972" s="38"/>
      <c r="Q972" s="38"/>
      <c r="R972" s="38"/>
      <c r="W972" s="139"/>
      <c r="X972" s="38"/>
    </row>
    <row r="973" ht="12.75" customHeight="1">
      <c r="C973" s="138"/>
      <c r="D973" s="138"/>
      <c r="E973" s="138"/>
      <c r="F973" s="138"/>
      <c r="G973" s="138"/>
      <c r="H973" s="138"/>
      <c r="L973" s="139"/>
      <c r="M973" s="38"/>
      <c r="N973" s="38"/>
      <c r="O973" s="38"/>
      <c r="P973" s="38"/>
      <c r="Q973" s="38"/>
      <c r="R973" s="38"/>
      <c r="W973" s="139"/>
      <c r="X973" s="38"/>
    </row>
    <row r="974" ht="12.75" customHeight="1">
      <c r="C974" s="138"/>
      <c r="D974" s="138"/>
      <c r="E974" s="138"/>
      <c r="F974" s="138"/>
      <c r="G974" s="138"/>
      <c r="H974" s="138"/>
      <c r="L974" s="139"/>
      <c r="M974" s="38"/>
      <c r="N974" s="38"/>
      <c r="O974" s="38"/>
      <c r="P974" s="38"/>
      <c r="Q974" s="38"/>
      <c r="R974" s="38"/>
      <c r="W974" s="139"/>
      <c r="X974" s="38"/>
    </row>
    <row r="975" ht="12.75" customHeight="1">
      <c r="C975" s="138"/>
      <c r="D975" s="138"/>
      <c r="E975" s="138"/>
      <c r="F975" s="138"/>
      <c r="G975" s="138"/>
      <c r="H975" s="138"/>
      <c r="L975" s="139"/>
      <c r="M975" s="38"/>
      <c r="N975" s="38"/>
      <c r="O975" s="38"/>
      <c r="P975" s="38"/>
      <c r="Q975" s="38"/>
      <c r="R975" s="38"/>
      <c r="W975" s="139"/>
      <c r="X975" s="38"/>
    </row>
    <row r="976" ht="12.75" customHeight="1">
      <c r="C976" s="138"/>
      <c r="D976" s="138"/>
      <c r="E976" s="138"/>
      <c r="F976" s="138"/>
      <c r="G976" s="138"/>
      <c r="H976" s="138"/>
      <c r="L976" s="139"/>
      <c r="M976" s="38"/>
      <c r="N976" s="38"/>
      <c r="O976" s="38"/>
      <c r="P976" s="38"/>
      <c r="Q976" s="38"/>
      <c r="R976" s="38"/>
      <c r="W976" s="139"/>
      <c r="X976" s="38"/>
    </row>
    <row r="977" ht="12.75" customHeight="1">
      <c r="C977" s="138"/>
      <c r="D977" s="138"/>
      <c r="E977" s="138"/>
      <c r="F977" s="138"/>
      <c r="G977" s="138"/>
      <c r="H977" s="138"/>
      <c r="L977" s="139"/>
      <c r="M977" s="38"/>
      <c r="N977" s="38"/>
      <c r="O977" s="38"/>
      <c r="P977" s="38"/>
      <c r="Q977" s="38"/>
      <c r="R977" s="38"/>
      <c r="W977" s="139"/>
      <c r="X977" s="38"/>
    </row>
    <row r="978" ht="12.75" customHeight="1">
      <c r="C978" s="138"/>
      <c r="D978" s="138"/>
      <c r="E978" s="138"/>
      <c r="F978" s="138"/>
      <c r="G978" s="138"/>
      <c r="H978" s="138"/>
      <c r="L978" s="139"/>
      <c r="M978" s="38"/>
      <c r="N978" s="38"/>
      <c r="O978" s="38"/>
      <c r="P978" s="38"/>
      <c r="Q978" s="38"/>
      <c r="R978" s="38"/>
      <c r="W978" s="139"/>
      <c r="X978" s="38"/>
    </row>
    <row r="979" ht="12.75" customHeight="1">
      <c r="C979" s="138"/>
      <c r="D979" s="138"/>
      <c r="E979" s="138"/>
      <c r="F979" s="138"/>
      <c r="G979" s="138"/>
      <c r="H979" s="138"/>
      <c r="L979" s="139"/>
      <c r="M979" s="38"/>
      <c r="N979" s="38"/>
      <c r="O979" s="38"/>
      <c r="P979" s="38"/>
      <c r="Q979" s="38"/>
      <c r="R979" s="38"/>
      <c r="W979" s="139"/>
      <c r="X979" s="38"/>
    </row>
    <row r="980" ht="12.75" customHeight="1">
      <c r="C980" s="138"/>
      <c r="D980" s="138"/>
      <c r="E980" s="138"/>
      <c r="F980" s="138"/>
      <c r="G980" s="138"/>
      <c r="H980" s="138"/>
      <c r="L980" s="139"/>
      <c r="M980" s="38"/>
      <c r="N980" s="38"/>
      <c r="O980" s="38"/>
      <c r="P980" s="38"/>
      <c r="Q980" s="38"/>
      <c r="R980" s="38"/>
      <c r="W980" s="139"/>
      <c r="X980" s="38"/>
    </row>
    <row r="981" ht="12.75" customHeight="1">
      <c r="C981" s="138"/>
      <c r="D981" s="138"/>
      <c r="E981" s="138"/>
      <c r="F981" s="138"/>
      <c r="G981" s="138"/>
      <c r="H981" s="138"/>
      <c r="L981" s="139"/>
      <c r="M981" s="38"/>
      <c r="N981" s="38"/>
      <c r="O981" s="38"/>
      <c r="P981" s="38"/>
      <c r="Q981" s="38"/>
      <c r="R981" s="38"/>
      <c r="W981" s="139"/>
      <c r="X981" s="38"/>
    </row>
    <row r="982" ht="12.75" customHeight="1">
      <c r="C982" s="138"/>
      <c r="D982" s="138"/>
      <c r="E982" s="138"/>
      <c r="F982" s="138"/>
      <c r="G982" s="138"/>
      <c r="H982" s="138"/>
      <c r="L982" s="139"/>
      <c r="M982" s="38"/>
      <c r="N982" s="38"/>
      <c r="O982" s="38"/>
      <c r="P982" s="38"/>
      <c r="Q982" s="38"/>
      <c r="R982" s="38"/>
      <c r="W982" s="139"/>
      <c r="X982" s="38"/>
    </row>
    <row r="983" ht="12.75" customHeight="1">
      <c r="C983" s="138"/>
      <c r="D983" s="138"/>
      <c r="E983" s="138"/>
      <c r="F983" s="138"/>
      <c r="G983" s="138"/>
      <c r="H983" s="138"/>
      <c r="L983" s="139"/>
      <c r="M983" s="38"/>
      <c r="N983" s="38"/>
      <c r="O983" s="38"/>
      <c r="P983" s="38"/>
      <c r="Q983" s="38"/>
      <c r="R983" s="38"/>
      <c r="W983" s="139"/>
      <c r="X983" s="38"/>
    </row>
    <row r="984" ht="12.75" customHeight="1">
      <c r="C984" s="138"/>
      <c r="D984" s="138"/>
      <c r="E984" s="138"/>
      <c r="F984" s="138"/>
      <c r="G984" s="138"/>
      <c r="H984" s="138"/>
      <c r="L984" s="139"/>
      <c r="M984" s="38"/>
      <c r="N984" s="38"/>
      <c r="O984" s="38"/>
      <c r="P984" s="38"/>
      <c r="Q984" s="38"/>
      <c r="R984" s="38"/>
      <c r="W984" s="139"/>
      <c r="X984" s="38"/>
    </row>
    <row r="985" ht="12.75" customHeight="1">
      <c r="C985" s="138"/>
      <c r="D985" s="138"/>
      <c r="E985" s="138"/>
      <c r="F985" s="138"/>
      <c r="G985" s="138"/>
      <c r="H985" s="138"/>
      <c r="L985" s="139"/>
      <c r="M985" s="38"/>
      <c r="N985" s="38"/>
      <c r="O985" s="38"/>
      <c r="P985" s="38"/>
      <c r="Q985" s="38"/>
      <c r="R985" s="38"/>
      <c r="W985" s="139"/>
      <c r="X985" s="38"/>
    </row>
    <row r="986" ht="12.75" customHeight="1">
      <c r="C986" s="138"/>
      <c r="D986" s="138"/>
      <c r="E986" s="138"/>
      <c r="F986" s="138"/>
      <c r="G986" s="138"/>
      <c r="H986" s="138"/>
      <c r="L986" s="139"/>
      <c r="M986" s="38"/>
      <c r="N986" s="38"/>
      <c r="O986" s="38"/>
      <c r="P986" s="38"/>
      <c r="Q986" s="38"/>
      <c r="R986" s="38"/>
      <c r="W986" s="139"/>
      <c r="X986" s="38"/>
    </row>
    <row r="987" ht="12.75" customHeight="1">
      <c r="C987" s="138"/>
      <c r="D987" s="138"/>
      <c r="E987" s="138"/>
      <c r="F987" s="138"/>
      <c r="G987" s="138"/>
      <c r="H987" s="138"/>
      <c r="L987" s="139"/>
      <c r="M987" s="38"/>
      <c r="N987" s="38"/>
      <c r="O987" s="38"/>
      <c r="P987" s="38"/>
      <c r="Q987" s="38"/>
      <c r="R987" s="38"/>
      <c r="W987" s="139"/>
      <c r="X987" s="38"/>
    </row>
    <row r="988" ht="12.75" customHeight="1">
      <c r="C988" s="138"/>
      <c r="D988" s="138"/>
      <c r="E988" s="138"/>
      <c r="F988" s="138"/>
      <c r="G988" s="138"/>
      <c r="H988" s="138"/>
      <c r="L988" s="139"/>
      <c r="M988" s="38"/>
      <c r="N988" s="38"/>
      <c r="O988" s="38"/>
      <c r="P988" s="38"/>
      <c r="Q988" s="38"/>
      <c r="R988" s="38"/>
      <c r="W988" s="139"/>
      <c r="X988" s="38"/>
    </row>
    <row r="989" ht="12.75" customHeight="1">
      <c r="C989" s="138"/>
      <c r="D989" s="138"/>
      <c r="E989" s="138"/>
      <c r="F989" s="138"/>
      <c r="G989" s="138"/>
      <c r="H989" s="138"/>
      <c r="L989" s="139"/>
      <c r="M989" s="38"/>
      <c r="N989" s="38"/>
      <c r="O989" s="38"/>
      <c r="P989" s="38"/>
      <c r="Q989" s="38"/>
      <c r="R989" s="38"/>
      <c r="W989" s="139"/>
      <c r="X989" s="38"/>
    </row>
    <row r="990" ht="12.75" customHeight="1">
      <c r="C990" s="138"/>
      <c r="D990" s="138"/>
      <c r="E990" s="138"/>
      <c r="F990" s="138"/>
      <c r="G990" s="138"/>
      <c r="H990" s="138"/>
      <c r="L990" s="139"/>
      <c r="M990" s="38"/>
      <c r="N990" s="38"/>
      <c r="O990" s="38"/>
      <c r="P990" s="38"/>
      <c r="Q990" s="38"/>
      <c r="R990" s="38"/>
      <c r="W990" s="139"/>
      <c r="X990" s="38"/>
    </row>
    <row r="991" ht="12.75" customHeight="1">
      <c r="C991" s="138"/>
      <c r="D991" s="138"/>
      <c r="E991" s="138"/>
      <c r="F991" s="138"/>
      <c r="G991" s="138"/>
      <c r="H991" s="138"/>
      <c r="L991" s="139"/>
      <c r="M991" s="38"/>
      <c r="N991" s="38"/>
      <c r="O991" s="38"/>
      <c r="P991" s="38"/>
      <c r="Q991" s="38"/>
      <c r="R991" s="38"/>
      <c r="W991" s="139"/>
      <c r="X991" s="38"/>
    </row>
    <row r="992" ht="12.75" customHeight="1">
      <c r="C992" s="138"/>
      <c r="D992" s="138"/>
      <c r="E992" s="138"/>
      <c r="F992" s="138"/>
      <c r="G992" s="138"/>
      <c r="H992" s="138"/>
      <c r="L992" s="139"/>
      <c r="M992" s="38"/>
      <c r="N992" s="38"/>
      <c r="O992" s="38"/>
      <c r="P992" s="38"/>
      <c r="Q992" s="38"/>
      <c r="R992" s="38"/>
      <c r="W992" s="139"/>
      <c r="X992" s="38"/>
    </row>
    <row r="993" ht="12.75" customHeight="1">
      <c r="C993" s="138"/>
      <c r="D993" s="138"/>
      <c r="E993" s="138"/>
      <c r="F993" s="138"/>
      <c r="G993" s="138"/>
      <c r="H993" s="138"/>
      <c r="L993" s="139"/>
      <c r="M993" s="38"/>
      <c r="N993" s="38"/>
      <c r="O993" s="38"/>
      <c r="P993" s="38"/>
      <c r="Q993" s="38"/>
      <c r="R993" s="38"/>
      <c r="W993" s="139"/>
      <c r="X993" s="38"/>
    </row>
    <row r="994" ht="12.75" customHeight="1">
      <c r="C994" s="138"/>
      <c r="D994" s="138"/>
      <c r="E994" s="138"/>
      <c r="F994" s="138"/>
      <c r="G994" s="138"/>
      <c r="H994" s="138"/>
      <c r="L994" s="139"/>
      <c r="M994" s="38"/>
      <c r="N994" s="38"/>
      <c r="O994" s="38"/>
      <c r="P994" s="38"/>
      <c r="Q994" s="38"/>
      <c r="R994" s="38"/>
      <c r="W994" s="139"/>
      <c r="X994" s="38"/>
    </row>
    <row r="995" ht="12.75" customHeight="1">
      <c r="C995" s="138"/>
      <c r="D995" s="138"/>
      <c r="E995" s="138"/>
      <c r="F995" s="138"/>
      <c r="G995" s="138"/>
      <c r="H995" s="138"/>
      <c r="L995" s="139"/>
      <c r="M995" s="38"/>
      <c r="N995" s="38"/>
      <c r="O995" s="38"/>
      <c r="P995" s="38"/>
      <c r="Q995" s="38"/>
      <c r="R995" s="38"/>
      <c r="W995" s="139"/>
      <c r="X995" s="38"/>
    </row>
    <row r="996" ht="12.75" customHeight="1">
      <c r="C996" s="138"/>
      <c r="D996" s="138"/>
      <c r="E996" s="138"/>
      <c r="F996" s="138"/>
      <c r="G996" s="138"/>
      <c r="H996" s="138"/>
      <c r="L996" s="139"/>
      <c r="M996" s="38"/>
      <c r="N996" s="38"/>
      <c r="O996" s="38"/>
      <c r="P996" s="38"/>
      <c r="Q996" s="38"/>
      <c r="R996" s="38"/>
      <c r="W996" s="139"/>
      <c r="X996" s="38"/>
    </row>
    <row r="997" ht="12.75" customHeight="1">
      <c r="C997" s="138"/>
      <c r="D997" s="138"/>
      <c r="E997" s="138"/>
      <c r="F997" s="138"/>
      <c r="G997" s="138"/>
      <c r="H997" s="138"/>
      <c r="L997" s="139"/>
      <c r="M997" s="38"/>
      <c r="N997" s="38"/>
      <c r="O997" s="38"/>
      <c r="P997" s="38"/>
      <c r="Q997" s="38"/>
      <c r="R997" s="38"/>
      <c r="W997" s="139"/>
      <c r="X997" s="38"/>
    </row>
    <row r="998" ht="12.75" customHeight="1">
      <c r="C998" s="138"/>
      <c r="D998" s="138"/>
      <c r="E998" s="138"/>
      <c r="F998" s="138"/>
      <c r="G998" s="138"/>
      <c r="H998" s="138"/>
      <c r="L998" s="139"/>
      <c r="M998" s="38"/>
      <c r="N998" s="38"/>
      <c r="O998" s="38"/>
      <c r="P998" s="38"/>
      <c r="Q998" s="38"/>
      <c r="R998" s="38"/>
      <c r="W998" s="139"/>
      <c r="X998" s="38"/>
    </row>
    <row r="999" ht="12.75" customHeight="1">
      <c r="C999" s="138"/>
      <c r="D999" s="138"/>
      <c r="E999" s="138"/>
      <c r="F999" s="138"/>
      <c r="G999" s="138"/>
      <c r="H999" s="138"/>
      <c r="L999" s="139"/>
      <c r="M999" s="38"/>
      <c r="N999" s="38"/>
      <c r="O999" s="38"/>
      <c r="P999" s="38"/>
      <c r="Q999" s="38"/>
      <c r="R999" s="38"/>
      <c r="W999" s="139"/>
      <c r="X999" s="38"/>
    </row>
    <row r="1000" ht="12.75" customHeight="1">
      <c r="C1000" s="138"/>
      <c r="D1000" s="138"/>
      <c r="E1000" s="138"/>
      <c r="F1000" s="138"/>
      <c r="G1000" s="138"/>
      <c r="H1000" s="138"/>
      <c r="L1000" s="139"/>
      <c r="M1000" s="38"/>
      <c r="N1000" s="38"/>
      <c r="O1000" s="38"/>
      <c r="P1000" s="38"/>
      <c r="Q1000" s="38"/>
      <c r="R1000" s="38"/>
      <c r="W1000" s="139"/>
      <c r="X1000" s="38"/>
    </row>
  </sheetData>
  <mergeCells count="7">
    <mergeCell ref="C1:G1"/>
    <mergeCell ref="M1:R3"/>
    <mergeCell ref="D2:H2"/>
    <mergeCell ref="C3:H4"/>
    <mergeCell ref="J4:L4"/>
    <mergeCell ref="M4:R4"/>
    <mergeCell ref="U4:W4"/>
  </mergeCells>
  <printOptions/>
  <pageMargins bottom="0.75" footer="0.0" header="0.0" left="0.7" right="0.7" top="0.75"/>
  <pageSetup orientation="landscape"/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6.0"/>
    <col customWidth="1" min="2" max="2" width="41.38"/>
    <col customWidth="1" min="3" max="3" width="8.63"/>
    <col customWidth="1" min="4" max="4" width="10.63"/>
    <col customWidth="1" min="5" max="5" width="11.88"/>
    <col customWidth="1" min="6" max="6" width="17.63"/>
    <col customWidth="1" min="7" max="26" width="8.63"/>
  </cols>
  <sheetData>
    <row r="1" ht="12.75" customHeight="1">
      <c r="A1" s="142" t="s">
        <v>420</v>
      </c>
      <c r="B1" s="142"/>
    </row>
    <row r="2" ht="12.75" customHeight="1"/>
    <row r="3" ht="12.75" customHeight="1">
      <c r="A3" s="143" t="s">
        <v>421</v>
      </c>
      <c r="B3" s="143"/>
      <c r="C3" s="143"/>
      <c r="D3" s="143"/>
    </row>
    <row r="4" ht="12.75" customHeight="1">
      <c r="A4" s="143" t="s">
        <v>422</v>
      </c>
      <c r="B4" s="143"/>
      <c r="C4" s="143"/>
      <c r="D4" s="143"/>
    </row>
    <row r="5" ht="12.75" customHeight="1">
      <c r="A5" s="143" t="s">
        <v>4</v>
      </c>
      <c r="B5" s="143"/>
      <c r="C5" s="143" t="s">
        <v>423</v>
      </c>
      <c r="D5" s="143"/>
    </row>
    <row r="6" ht="12.75" customHeight="1">
      <c r="A6" s="143" t="s">
        <v>424</v>
      </c>
      <c r="B6" s="143"/>
      <c r="C6" s="143" t="s">
        <v>425</v>
      </c>
      <c r="D6" s="143"/>
    </row>
    <row r="7" ht="12.75" customHeight="1">
      <c r="A7" s="143" t="s">
        <v>12</v>
      </c>
      <c r="B7" s="143" t="s">
        <v>426</v>
      </c>
    </row>
    <row r="8" ht="12.75" customHeight="1">
      <c r="A8" s="46"/>
      <c r="B8" s="144" t="s">
        <v>427</v>
      </c>
      <c r="C8" s="144" t="s">
        <v>428</v>
      </c>
      <c r="D8" s="144" t="s">
        <v>8</v>
      </c>
      <c r="E8" s="144" t="s">
        <v>429</v>
      </c>
      <c r="F8" s="145" t="s">
        <v>430</v>
      </c>
    </row>
    <row r="9" ht="12.75" customHeight="1"/>
    <row r="10" ht="12.75" customHeight="1"/>
    <row r="11" ht="12.75" customHeight="1"/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>
      <c r="A24" s="143" t="s">
        <v>25</v>
      </c>
      <c r="B24" s="143" t="s">
        <v>431</v>
      </c>
    </row>
    <row r="25" ht="12.75" customHeight="1">
      <c r="A25" s="144" t="s">
        <v>432</v>
      </c>
      <c r="B25" s="45" t="s">
        <v>427</v>
      </c>
      <c r="C25" s="144" t="s">
        <v>432</v>
      </c>
      <c r="D25" s="144" t="s">
        <v>433</v>
      </c>
      <c r="E25" s="144" t="s">
        <v>434</v>
      </c>
      <c r="F25" s="145" t="s">
        <v>430</v>
      </c>
    </row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>
      <c r="A38" s="143" t="s">
        <v>27</v>
      </c>
      <c r="B38" s="143" t="s">
        <v>435</v>
      </c>
    </row>
    <row r="39" ht="12.75" customHeight="1">
      <c r="A39" s="144" t="s">
        <v>432</v>
      </c>
      <c r="B39" s="45" t="s">
        <v>427</v>
      </c>
      <c r="C39" s="144" t="s">
        <v>432</v>
      </c>
      <c r="D39" s="144" t="s">
        <v>433</v>
      </c>
      <c r="E39" s="144" t="s">
        <v>436</v>
      </c>
      <c r="F39" s="145" t="s">
        <v>430</v>
      </c>
    </row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>
      <c r="A56" s="144" t="s">
        <v>35</v>
      </c>
      <c r="B56" s="143" t="s">
        <v>437</v>
      </c>
    </row>
    <row r="57" ht="12.75" customHeight="1">
      <c r="A57" s="45" t="s">
        <v>438</v>
      </c>
      <c r="B57" s="143" t="s">
        <v>439</v>
      </c>
    </row>
    <row r="58" ht="12.75" customHeight="1">
      <c r="A58" s="45" t="s">
        <v>440</v>
      </c>
      <c r="B58" s="143" t="s">
        <v>441</v>
      </c>
    </row>
    <row r="59" ht="12.75" customHeight="1">
      <c r="A59" s="45" t="s">
        <v>442</v>
      </c>
      <c r="B59" s="143" t="s">
        <v>443</v>
      </c>
    </row>
    <row r="60" ht="12.75" customHeight="1">
      <c r="A60" s="45" t="s">
        <v>127</v>
      </c>
      <c r="B60" s="143" t="s">
        <v>444</v>
      </c>
    </row>
    <row r="61" ht="12.75" customHeight="1">
      <c r="A61" s="45" t="s">
        <v>445</v>
      </c>
      <c r="B61" s="143" t="s">
        <v>446</v>
      </c>
    </row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5.0" topLeftCell="B6" activePane="bottomRight" state="frozen"/>
      <selection activeCell="B1" sqref="B1" pane="topRight"/>
      <selection activeCell="A6" sqref="A6" pane="bottomLeft"/>
      <selection activeCell="B6" sqref="B6" pane="bottomRight"/>
    </sheetView>
  </sheetViews>
  <sheetFormatPr customHeight="1" defaultColWidth="12.63" defaultRowHeight="15.0"/>
  <cols>
    <col customWidth="1" min="1" max="1" width="3.75"/>
    <col customWidth="1" min="2" max="2" width="31.38"/>
    <col customWidth="1" min="3" max="3" width="23.63"/>
    <col customWidth="1" min="4" max="6" width="9.13"/>
    <col customWidth="1" min="7" max="7" width="17.38"/>
    <col customWidth="1" min="8" max="8" width="16.25"/>
    <col customWidth="1" min="9" max="9" width="7.13"/>
    <col customWidth="1" min="10" max="10" width="27.25"/>
    <col customWidth="1" min="11" max="11" width="6.63"/>
    <col customWidth="1" min="12" max="12" width="30.25"/>
    <col customWidth="1" min="13" max="13" width="6.63"/>
    <col customWidth="1" min="14" max="14" width="36.38"/>
    <col customWidth="1" min="15" max="15" width="7.13"/>
    <col customWidth="1" min="16" max="16" width="36.63"/>
    <col customWidth="1" min="17" max="17" width="8.25"/>
    <col customWidth="1" min="18" max="18" width="27.88"/>
    <col customWidth="1" min="19" max="19" width="8.0"/>
    <col customWidth="1" min="20" max="20" width="30.38"/>
    <col customWidth="1" min="21" max="21" width="8.13"/>
    <col customWidth="1" min="22" max="22" width="32.0"/>
    <col customWidth="1" min="23" max="23" width="8.63"/>
    <col customWidth="1" min="24" max="24" width="35.88"/>
    <col customWidth="1" min="25" max="25" width="9.63"/>
    <col customWidth="1" min="26" max="26" width="32.63"/>
  </cols>
  <sheetData>
    <row r="1" ht="12.75" customHeight="1">
      <c r="A1" s="146" t="s">
        <v>447</v>
      </c>
      <c r="B1" s="147"/>
      <c r="C1" s="147"/>
      <c r="D1" s="146"/>
      <c r="E1" s="146"/>
      <c r="F1" s="146"/>
    </row>
    <row r="2" ht="12.75" customHeight="1"/>
    <row r="3" ht="12.75" customHeight="1">
      <c r="A3" s="148"/>
      <c r="B3" s="146" t="s">
        <v>448</v>
      </c>
      <c r="C3" s="149" t="s">
        <v>449</v>
      </c>
      <c r="E3" s="149"/>
      <c r="F3" s="149"/>
    </row>
    <row r="4" ht="12.75" customHeight="1">
      <c r="A4" s="148"/>
      <c r="B4" s="146"/>
      <c r="C4" s="149"/>
      <c r="D4" s="149"/>
      <c r="E4" s="149"/>
      <c r="F4" s="149"/>
    </row>
    <row r="5" ht="12.75" customHeight="1">
      <c r="A5" s="150"/>
      <c r="B5" s="150"/>
      <c r="C5" s="150"/>
      <c r="D5" s="150"/>
      <c r="E5" s="150"/>
      <c r="F5" s="150"/>
      <c r="G5" s="151" t="s">
        <v>450</v>
      </c>
      <c r="H5" s="152" t="s">
        <v>451</v>
      </c>
      <c r="I5" s="153"/>
      <c r="J5" s="152" t="s">
        <v>452</v>
      </c>
      <c r="K5" s="153"/>
      <c r="L5" s="151" t="s">
        <v>453</v>
      </c>
      <c r="M5" s="151"/>
      <c r="N5" s="151" t="s">
        <v>454</v>
      </c>
      <c r="O5" s="151"/>
      <c r="P5" s="151" t="s">
        <v>455</v>
      </c>
      <c r="Q5" s="151"/>
      <c r="R5" s="151" t="s">
        <v>456</v>
      </c>
      <c r="S5" s="151"/>
      <c r="T5" s="151" t="s">
        <v>457</v>
      </c>
      <c r="U5" s="151"/>
      <c r="V5" s="151" t="s">
        <v>458</v>
      </c>
      <c r="W5" s="151"/>
      <c r="X5" s="151" t="s">
        <v>459</v>
      </c>
      <c r="Y5" s="151"/>
      <c r="Z5" s="151" t="s">
        <v>460</v>
      </c>
    </row>
    <row r="6" ht="12.75" customHeight="1">
      <c r="A6" s="46" t="s">
        <v>461</v>
      </c>
      <c r="B6" s="46" t="s">
        <v>462</v>
      </c>
      <c r="G6" s="140"/>
    </row>
    <row r="7" ht="12.75" customHeight="1">
      <c r="B7" s="44" t="s">
        <v>463</v>
      </c>
      <c r="C7" s="38">
        <v>45.0</v>
      </c>
      <c r="D7" s="44" t="s">
        <v>464</v>
      </c>
      <c r="E7" s="154">
        <f t="shared" ref="E7:E8" si="1">1/C7</f>
        <v>0.02222222222</v>
      </c>
      <c r="F7" s="44" t="s">
        <v>465</v>
      </c>
      <c r="G7" s="155"/>
    </row>
    <row r="8" ht="12.75" customHeight="1">
      <c r="B8" s="44" t="s">
        <v>450</v>
      </c>
      <c r="C8" s="38">
        <v>150.0</v>
      </c>
      <c r="D8" s="44" t="s">
        <v>466</v>
      </c>
      <c r="E8" s="154">
        <f t="shared" si="1"/>
        <v>0.006666666667</v>
      </c>
      <c r="F8" s="44" t="s">
        <v>467</v>
      </c>
    </row>
    <row r="9" ht="12.75" customHeight="1">
      <c r="A9" s="46" t="s">
        <v>461</v>
      </c>
      <c r="B9" s="46" t="s">
        <v>468</v>
      </c>
      <c r="G9" s="140"/>
    </row>
    <row r="10" ht="12.75" customHeight="1">
      <c r="B10" s="44" t="s">
        <v>469</v>
      </c>
      <c r="C10" s="38">
        <v>30.0</v>
      </c>
      <c r="D10" s="44" t="s">
        <v>464</v>
      </c>
      <c r="E10" s="154">
        <f t="shared" ref="E10:E11" si="2">1/C10</f>
        <v>0.03333333333</v>
      </c>
      <c r="F10" s="44" t="s">
        <v>465</v>
      </c>
    </row>
    <row r="11" ht="12.75" customHeight="1">
      <c r="B11" s="44" t="s">
        <v>450</v>
      </c>
      <c r="C11" s="38">
        <v>300.0</v>
      </c>
      <c r="D11" s="44" t="s">
        <v>466</v>
      </c>
      <c r="E11" s="154">
        <f t="shared" si="2"/>
        <v>0.003333333333</v>
      </c>
      <c r="F11" s="44" t="s">
        <v>467</v>
      </c>
    </row>
    <row r="12" ht="12.75" customHeight="1">
      <c r="A12" s="46" t="s">
        <v>470</v>
      </c>
      <c r="B12" s="46" t="s">
        <v>471</v>
      </c>
      <c r="C12" s="38"/>
      <c r="G12" s="140">
        <v>300.0</v>
      </c>
      <c r="H12" s="140">
        <v>30.0</v>
      </c>
      <c r="I12" s="140" t="s">
        <v>472</v>
      </c>
      <c r="N12" s="44">
        <v>29.41</v>
      </c>
      <c r="O12" s="140" t="s">
        <v>472</v>
      </c>
    </row>
    <row r="13" ht="12.75" customHeight="1">
      <c r="A13" s="46"/>
      <c r="B13" s="48" t="s">
        <v>473</v>
      </c>
      <c r="C13" s="38">
        <v>200.0</v>
      </c>
      <c r="D13" s="44" t="s">
        <v>466</v>
      </c>
      <c r="E13" s="154">
        <f t="shared" ref="E13:E16" si="3">1/C13</f>
        <v>0.005</v>
      </c>
      <c r="F13" s="44" t="s">
        <v>467</v>
      </c>
      <c r="G13" s="140"/>
      <c r="H13" s="140"/>
      <c r="I13" s="140"/>
      <c r="O13" s="140"/>
    </row>
    <row r="14" ht="12.75" customHeight="1">
      <c r="A14" s="46"/>
      <c r="B14" s="48" t="s">
        <v>463</v>
      </c>
      <c r="C14" s="38">
        <v>25.0</v>
      </c>
      <c r="D14" s="44" t="s">
        <v>464</v>
      </c>
      <c r="E14" s="154">
        <f t="shared" si="3"/>
        <v>0.04</v>
      </c>
      <c r="F14" s="44" t="s">
        <v>465</v>
      </c>
      <c r="G14" s="140"/>
      <c r="H14" s="140"/>
      <c r="I14" s="140"/>
      <c r="O14" s="140"/>
    </row>
    <row r="15" ht="12.75" customHeight="1">
      <c r="B15" s="48" t="s">
        <v>474</v>
      </c>
      <c r="C15" s="38">
        <v>50.0</v>
      </c>
      <c r="D15" s="44" t="s">
        <v>464</v>
      </c>
      <c r="E15" s="154">
        <f t="shared" si="3"/>
        <v>0.02</v>
      </c>
      <c r="F15" s="44" t="s">
        <v>465</v>
      </c>
    </row>
    <row r="16" ht="12.75" customHeight="1">
      <c r="B16" s="48" t="s">
        <v>475</v>
      </c>
      <c r="C16" s="38">
        <v>3.0</v>
      </c>
      <c r="D16" s="44" t="s">
        <v>466</v>
      </c>
      <c r="E16" s="154">
        <f t="shared" si="3"/>
        <v>0.3333333333</v>
      </c>
      <c r="F16" s="44" t="s">
        <v>467</v>
      </c>
    </row>
    <row r="17" ht="12.75" customHeight="1">
      <c r="B17" s="46"/>
      <c r="C17" s="38"/>
    </row>
    <row r="18" ht="12.75" customHeight="1">
      <c r="A18" s="46" t="s">
        <v>476</v>
      </c>
      <c r="B18" s="46" t="s">
        <v>477</v>
      </c>
      <c r="C18" s="38"/>
    </row>
    <row r="19" ht="12.75" customHeight="1">
      <c r="B19" s="44" t="s">
        <v>478</v>
      </c>
      <c r="C19" s="38">
        <v>70.0</v>
      </c>
      <c r="D19" s="44" t="s">
        <v>464</v>
      </c>
      <c r="E19" s="154">
        <f>1/C19</f>
        <v>0.01428571429</v>
      </c>
      <c r="F19" s="44" t="s">
        <v>465</v>
      </c>
      <c r="L19" s="38">
        <v>125.0</v>
      </c>
      <c r="M19" s="140" t="s">
        <v>472</v>
      </c>
    </row>
    <row r="20" ht="12.75" customHeight="1">
      <c r="A20" s="46" t="s">
        <v>479</v>
      </c>
      <c r="B20" s="46" t="s">
        <v>480</v>
      </c>
      <c r="C20" s="38"/>
      <c r="H20" s="140">
        <v>232.55</v>
      </c>
      <c r="I20" s="140" t="s">
        <v>472</v>
      </c>
      <c r="L20" s="38"/>
    </row>
    <row r="21" ht="12.75" customHeight="1">
      <c r="C21" s="38"/>
      <c r="L21" s="38"/>
    </row>
    <row r="22" ht="12.75" customHeight="1">
      <c r="A22" s="46" t="s">
        <v>27</v>
      </c>
      <c r="B22" s="46" t="s">
        <v>481</v>
      </c>
      <c r="C22" s="38"/>
      <c r="H22" s="140">
        <v>232.55</v>
      </c>
      <c r="I22" s="140" t="s">
        <v>472</v>
      </c>
      <c r="L22" s="38">
        <v>125.0</v>
      </c>
      <c r="M22" s="140" t="s">
        <v>472</v>
      </c>
    </row>
    <row r="23" ht="12.75" customHeight="1">
      <c r="B23" s="44" t="s">
        <v>482</v>
      </c>
      <c r="C23" s="38">
        <v>90.0</v>
      </c>
      <c r="D23" s="44" t="s">
        <v>464</v>
      </c>
      <c r="E23" s="154">
        <f>1/C23</f>
        <v>0.01111111111</v>
      </c>
      <c r="F23" s="44" t="s">
        <v>465</v>
      </c>
    </row>
    <row r="24" ht="12.75" customHeight="1">
      <c r="C24" s="38"/>
    </row>
    <row r="25" ht="12.75" customHeight="1">
      <c r="A25" s="46" t="s">
        <v>483</v>
      </c>
      <c r="B25" s="46" t="s">
        <v>484</v>
      </c>
      <c r="C25" s="38"/>
      <c r="H25" s="140">
        <v>384.62</v>
      </c>
      <c r="I25" s="140" t="s">
        <v>472</v>
      </c>
      <c r="P25" s="44">
        <v>142.86</v>
      </c>
      <c r="Q25" s="140" t="s">
        <v>472</v>
      </c>
      <c r="R25" s="44">
        <v>769.23</v>
      </c>
      <c r="S25" s="44" t="s">
        <v>466</v>
      </c>
      <c r="T25" s="44">
        <v>76.92</v>
      </c>
      <c r="U25" s="140" t="s">
        <v>472</v>
      </c>
      <c r="V25" s="38">
        <v>115.38</v>
      </c>
      <c r="W25" s="140" t="s">
        <v>472</v>
      </c>
    </row>
    <row r="26" ht="12.75" customHeight="1">
      <c r="B26" s="44" t="s">
        <v>485</v>
      </c>
      <c r="C26" s="38">
        <v>700.0</v>
      </c>
      <c r="D26" s="44" t="s">
        <v>466</v>
      </c>
      <c r="E26" s="154">
        <f t="shared" ref="E26:E28" si="4">1/C26</f>
        <v>0.001428571429</v>
      </c>
      <c r="F26" s="44" t="s">
        <v>467</v>
      </c>
      <c r="V26" s="38"/>
    </row>
    <row r="27" ht="12.75" customHeight="1">
      <c r="B27" s="44" t="s">
        <v>486</v>
      </c>
      <c r="C27" s="38">
        <v>300.0</v>
      </c>
      <c r="D27" s="44" t="s">
        <v>466</v>
      </c>
      <c r="E27" s="154">
        <f t="shared" si="4"/>
        <v>0.003333333333</v>
      </c>
      <c r="F27" s="44" t="s">
        <v>467</v>
      </c>
      <c r="V27" s="38"/>
    </row>
    <row r="28" ht="12.75" customHeight="1">
      <c r="B28" s="44" t="s">
        <v>487</v>
      </c>
      <c r="C28" s="38">
        <v>40.0</v>
      </c>
      <c r="D28" s="44" t="s">
        <v>464</v>
      </c>
      <c r="E28" s="154">
        <f t="shared" si="4"/>
        <v>0.025</v>
      </c>
      <c r="F28" s="44" t="s">
        <v>465</v>
      </c>
      <c r="V28" s="38"/>
    </row>
    <row r="29" ht="12.75" customHeight="1">
      <c r="C29" s="38"/>
      <c r="V29" s="38"/>
    </row>
    <row r="30" ht="12.75" customHeight="1">
      <c r="A30" s="46" t="s">
        <v>488</v>
      </c>
      <c r="B30" s="46" t="s">
        <v>489</v>
      </c>
      <c r="C30" s="38"/>
      <c r="T30" s="44">
        <v>58.82</v>
      </c>
      <c r="U30" s="140" t="s">
        <v>472</v>
      </c>
      <c r="V30" s="38">
        <v>88.23</v>
      </c>
      <c r="W30" s="140" t="s">
        <v>472</v>
      </c>
      <c r="X30" s="38">
        <v>65.0</v>
      </c>
      <c r="Y30" s="140" t="s">
        <v>490</v>
      </c>
    </row>
    <row r="31" ht="12.75" customHeight="1">
      <c r="B31" s="44" t="s">
        <v>485</v>
      </c>
      <c r="C31" s="38">
        <v>600.0</v>
      </c>
      <c r="D31" s="44" t="s">
        <v>466</v>
      </c>
      <c r="E31" s="154">
        <f>1/C31</f>
        <v>0.001666666667</v>
      </c>
      <c r="F31" s="44" t="s">
        <v>467</v>
      </c>
      <c r="V31" s="38"/>
      <c r="X31" s="38"/>
    </row>
    <row r="32" ht="12.75" customHeight="1">
      <c r="B32" s="46" t="s">
        <v>491</v>
      </c>
      <c r="C32" s="38"/>
      <c r="V32" s="38"/>
      <c r="X32" s="38"/>
    </row>
    <row r="33" ht="12.75" customHeight="1">
      <c r="B33" s="44" t="s">
        <v>492</v>
      </c>
      <c r="C33" s="38"/>
      <c r="V33" s="38"/>
      <c r="X33" s="38"/>
    </row>
    <row r="34" ht="12.75" customHeight="1">
      <c r="B34" s="44" t="s">
        <v>493</v>
      </c>
      <c r="C34" s="38">
        <v>135.0</v>
      </c>
      <c r="D34" s="44" t="s">
        <v>464</v>
      </c>
      <c r="E34" s="154">
        <f>1/C34</f>
        <v>0.007407407407</v>
      </c>
      <c r="F34" s="44" t="s">
        <v>465</v>
      </c>
      <c r="V34" s="38"/>
      <c r="X34" s="38"/>
    </row>
    <row r="35" ht="12.75" customHeight="1">
      <c r="B35" s="44" t="s">
        <v>494</v>
      </c>
      <c r="C35" s="38"/>
      <c r="V35" s="38"/>
      <c r="X35" s="38"/>
    </row>
    <row r="36" ht="12.75" customHeight="1">
      <c r="B36" s="44" t="s">
        <v>495</v>
      </c>
      <c r="C36" s="38">
        <v>24.0</v>
      </c>
      <c r="D36" s="44" t="s">
        <v>464</v>
      </c>
      <c r="E36" s="154">
        <f>1/C36</f>
        <v>0.04166666667</v>
      </c>
      <c r="F36" s="44" t="s">
        <v>465</v>
      </c>
      <c r="V36" s="38"/>
      <c r="X36" s="38"/>
    </row>
    <row r="37" ht="12.75" customHeight="1">
      <c r="B37" s="44" t="s">
        <v>496</v>
      </c>
      <c r="C37" s="38"/>
      <c r="V37" s="38"/>
      <c r="X37" s="38"/>
    </row>
    <row r="38" ht="12.75" customHeight="1">
      <c r="B38" s="44" t="s">
        <v>497</v>
      </c>
      <c r="C38" s="38">
        <v>240.0</v>
      </c>
      <c r="D38" s="44" t="s">
        <v>464</v>
      </c>
      <c r="E38" s="154">
        <f>1/C38</f>
        <v>0.004166666667</v>
      </c>
      <c r="F38" s="44" t="s">
        <v>465</v>
      </c>
      <c r="V38" s="38"/>
      <c r="X38" s="38"/>
    </row>
    <row r="39" ht="12.75" customHeight="1">
      <c r="B39" s="44" t="s">
        <v>498</v>
      </c>
      <c r="C39" s="38"/>
      <c r="V39" s="38"/>
      <c r="X39" s="38"/>
    </row>
    <row r="40" ht="12.75" customHeight="1">
      <c r="B40" s="44" t="s">
        <v>499</v>
      </c>
      <c r="C40" s="38">
        <v>24.0</v>
      </c>
      <c r="D40" s="44" t="s">
        <v>464</v>
      </c>
      <c r="E40" s="154">
        <f>1/C40</f>
        <v>0.04166666667</v>
      </c>
      <c r="F40" s="44" t="s">
        <v>465</v>
      </c>
      <c r="V40" s="38"/>
      <c r="X40" s="38"/>
    </row>
    <row r="41" ht="12.75" customHeight="1">
      <c r="C41" s="38"/>
      <c r="V41" s="38"/>
      <c r="X41" s="38"/>
    </row>
    <row r="42" ht="12.75" customHeight="1">
      <c r="A42" s="46" t="s">
        <v>500</v>
      </c>
      <c r="B42" s="46" t="s">
        <v>501</v>
      </c>
      <c r="C42" s="38"/>
      <c r="H42" s="140">
        <v>303.03</v>
      </c>
      <c r="I42" s="140" t="s">
        <v>472</v>
      </c>
      <c r="P42" s="38">
        <v>125.0</v>
      </c>
      <c r="Q42" s="140" t="s">
        <v>472</v>
      </c>
      <c r="R42" s="44">
        <v>588.23</v>
      </c>
      <c r="S42" s="44" t="s">
        <v>466</v>
      </c>
      <c r="V42" s="38"/>
      <c r="X42" s="38"/>
    </row>
    <row r="43" ht="12.75" customHeight="1">
      <c r="C43" s="38"/>
      <c r="V43" s="38"/>
      <c r="X43" s="38"/>
    </row>
    <row r="44" ht="12.75" customHeight="1">
      <c r="A44" s="46" t="s">
        <v>105</v>
      </c>
      <c r="B44" s="46" t="s">
        <v>502</v>
      </c>
      <c r="C44" s="38"/>
      <c r="H44" s="140">
        <v>769.23</v>
      </c>
      <c r="I44" s="140" t="s">
        <v>472</v>
      </c>
      <c r="P44" s="44">
        <v>333.33</v>
      </c>
      <c r="Q44" s="140" t="s">
        <v>472</v>
      </c>
      <c r="R44" s="38">
        <v>1666.67</v>
      </c>
      <c r="S44" s="44" t="s">
        <v>466</v>
      </c>
      <c r="T44" s="44">
        <v>166.67</v>
      </c>
      <c r="U44" s="140" t="s">
        <v>472</v>
      </c>
      <c r="V44" s="38">
        <v>250.0</v>
      </c>
      <c r="W44" s="140" t="s">
        <v>472</v>
      </c>
      <c r="X44" s="38"/>
    </row>
    <row r="45" ht="12.75" customHeight="1">
      <c r="B45" s="44" t="s">
        <v>503</v>
      </c>
      <c r="C45" s="38">
        <v>1600.0</v>
      </c>
      <c r="D45" s="44" t="s">
        <v>466</v>
      </c>
      <c r="E45" s="154">
        <f>1/C45</f>
        <v>0.000625</v>
      </c>
      <c r="F45" s="44" t="s">
        <v>467</v>
      </c>
      <c r="X45" s="38"/>
    </row>
    <row r="46" ht="12.75" customHeight="1">
      <c r="X46" s="38"/>
    </row>
    <row r="47" ht="12.75" customHeight="1">
      <c r="B47" s="46" t="s">
        <v>504</v>
      </c>
      <c r="X47" s="38">
        <v>32.5</v>
      </c>
      <c r="Y47" s="140" t="s">
        <v>490</v>
      </c>
    </row>
    <row r="48" ht="12.75" customHeight="1">
      <c r="B48" s="46" t="s">
        <v>505</v>
      </c>
      <c r="C48" s="52" t="s">
        <v>506</v>
      </c>
      <c r="X48" s="44">
        <v>300.0</v>
      </c>
      <c r="Y48" s="44" t="s">
        <v>404</v>
      </c>
    </row>
    <row r="49" ht="12.75" customHeight="1">
      <c r="B49" s="46" t="s">
        <v>507</v>
      </c>
    </row>
    <row r="50" ht="12.75" customHeight="1">
      <c r="B50" s="48" t="s">
        <v>508</v>
      </c>
      <c r="C50" s="38">
        <v>8.0</v>
      </c>
      <c r="D50" s="44" t="s">
        <v>464</v>
      </c>
      <c r="E50" s="154">
        <f>1/C50</f>
        <v>0.125</v>
      </c>
      <c r="F50" s="44" t="s">
        <v>465</v>
      </c>
    </row>
    <row r="51" ht="12.75" customHeight="1">
      <c r="B51" s="46" t="s">
        <v>509</v>
      </c>
      <c r="C51" s="38"/>
    </row>
    <row r="52" ht="12.75" customHeight="1">
      <c r="B52" s="48" t="s">
        <v>510</v>
      </c>
      <c r="C52" s="38">
        <v>40.0</v>
      </c>
      <c r="D52" s="44" t="s">
        <v>464</v>
      </c>
      <c r="E52" s="154">
        <f>1/C52</f>
        <v>0.025</v>
      </c>
      <c r="F52" s="44" t="s">
        <v>465</v>
      </c>
    </row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hidden="1" customHeight="1">
      <c r="X63" s="44" t="s">
        <v>511</v>
      </c>
      <c r="Y63" s="44" t="s">
        <v>512</v>
      </c>
    </row>
    <row r="64" ht="12.75" customHeight="1"/>
    <row r="65" ht="12.75" hidden="1" customHeight="1">
      <c r="X65" s="44" t="s">
        <v>513</v>
      </c>
    </row>
    <row r="66" ht="12.75" hidden="1" customHeight="1">
      <c r="X66" s="44" t="s">
        <v>514</v>
      </c>
    </row>
    <row r="67" ht="12.75" hidden="1" customHeight="1">
      <c r="X67" s="44" t="s">
        <v>515</v>
      </c>
    </row>
    <row r="68" ht="12.75" hidden="1" customHeight="1">
      <c r="X68" s="44" t="s">
        <v>516</v>
      </c>
    </row>
    <row r="69" ht="12.75" hidden="1" customHeight="1">
      <c r="X69" s="44" t="s">
        <v>517</v>
      </c>
    </row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3">
    <mergeCell ref="C3:D3"/>
    <mergeCell ref="H5:I5"/>
    <mergeCell ref="J5:K5"/>
  </mergeCells>
  <printOptions/>
  <pageMargins bottom="1.0" footer="0.0" header="0.0" left="0.75" right="0.75" top="1.0"/>
  <pageSetup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.38"/>
    <col customWidth="1" min="2" max="2" width="9.13"/>
    <col customWidth="1" min="3" max="3" width="11.13"/>
    <col customWidth="1" min="4" max="4" width="12.0"/>
    <col customWidth="1" min="5" max="5" width="11.25"/>
    <col customWidth="1" min="6" max="6" width="11.88"/>
    <col customWidth="1" min="7" max="7" width="11.0"/>
    <col customWidth="1" min="8" max="12" width="9.13"/>
    <col customWidth="1" min="13" max="13" width="20.88"/>
    <col customWidth="1" min="14" max="26" width="8.63"/>
  </cols>
  <sheetData>
    <row r="1" ht="12.75" customHeight="1">
      <c r="A1" s="146" t="s">
        <v>12</v>
      </c>
      <c r="B1" s="156" t="s">
        <v>518</v>
      </c>
      <c r="C1" s="156"/>
      <c r="D1" s="156"/>
      <c r="E1" s="157"/>
    </row>
    <row r="2" ht="12.75" customHeight="1"/>
    <row r="3" ht="12.75" customHeight="1">
      <c r="B3" s="46" t="s">
        <v>519</v>
      </c>
      <c r="C3" s="46"/>
      <c r="D3" s="46"/>
      <c r="E3" s="46"/>
      <c r="F3" s="46"/>
    </row>
    <row r="4" ht="12.75" customHeight="1">
      <c r="C4" s="143" t="s">
        <v>520</v>
      </c>
      <c r="D4" s="143"/>
      <c r="E4" s="143"/>
    </row>
    <row r="5" ht="12.75" customHeight="1">
      <c r="C5" s="158" t="s">
        <v>521</v>
      </c>
      <c r="D5" s="159"/>
      <c r="E5" s="160" t="s">
        <v>401</v>
      </c>
      <c r="F5" s="160" t="s">
        <v>9</v>
      </c>
      <c r="G5" s="160" t="s">
        <v>403</v>
      </c>
    </row>
    <row r="6" ht="12.75" customHeight="1">
      <c r="C6" s="161" t="s">
        <v>522</v>
      </c>
      <c r="D6" s="46"/>
      <c r="E6" s="46"/>
      <c r="F6" s="46"/>
      <c r="G6" s="46"/>
    </row>
    <row r="7" ht="12.75" customHeight="1">
      <c r="C7" s="162" t="s">
        <v>210</v>
      </c>
      <c r="E7" s="163">
        <v>0.58</v>
      </c>
      <c r="F7" s="44">
        <v>0.22</v>
      </c>
      <c r="G7" s="44">
        <v>0.16</v>
      </c>
    </row>
    <row r="8" ht="12.75" customHeight="1">
      <c r="C8" s="162" t="s">
        <v>211</v>
      </c>
      <c r="E8" s="163">
        <v>0.59</v>
      </c>
      <c r="F8" s="44">
        <v>0.23</v>
      </c>
      <c r="G8" s="44">
        <v>0.16</v>
      </c>
    </row>
    <row r="9" ht="12.75" customHeight="1">
      <c r="C9" s="162" t="s">
        <v>523</v>
      </c>
      <c r="E9" s="163">
        <v>0.6</v>
      </c>
      <c r="F9" s="44">
        <v>0.23</v>
      </c>
      <c r="G9" s="44">
        <v>0.17</v>
      </c>
    </row>
    <row r="10" ht="12.75" customHeight="1">
      <c r="C10" s="162" t="s">
        <v>524</v>
      </c>
      <c r="E10" s="163">
        <v>0.61</v>
      </c>
      <c r="F10" s="44">
        <v>0.24</v>
      </c>
      <c r="G10" s="44">
        <v>0.17</v>
      </c>
    </row>
    <row r="11" ht="12.75" customHeight="1">
      <c r="C11" s="162" t="s">
        <v>525</v>
      </c>
      <c r="E11" s="163">
        <v>0.64</v>
      </c>
      <c r="F11" s="44">
        <v>0.25</v>
      </c>
      <c r="G11" s="44">
        <v>0.18</v>
      </c>
    </row>
    <row r="12" ht="12.75" customHeight="1"/>
    <row r="13" ht="12.75" customHeight="1">
      <c r="C13" s="143" t="s">
        <v>526</v>
      </c>
      <c r="D13" s="143"/>
      <c r="E13" s="143"/>
    </row>
    <row r="14" ht="12.75" customHeight="1">
      <c r="C14" s="162" t="s">
        <v>210</v>
      </c>
      <c r="E14" s="163">
        <v>0.6</v>
      </c>
      <c r="F14" s="44">
        <v>0.23</v>
      </c>
      <c r="G14" s="44">
        <v>0.17</v>
      </c>
    </row>
    <row r="15" ht="12.75" customHeight="1">
      <c r="C15" s="162" t="s">
        <v>211</v>
      </c>
      <c r="E15" s="163">
        <v>0.61</v>
      </c>
      <c r="F15" s="44">
        <v>0.24</v>
      </c>
      <c r="G15" s="44">
        <v>0.17</v>
      </c>
    </row>
    <row r="16" ht="12.75" customHeight="1">
      <c r="C16" s="162" t="s">
        <v>523</v>
      </c>
      <c r="E16" s="163">
        <v>0.64</v>
      </c>
      <c r="F16" s="44">
        <v>0.25</v>
      </c>
      <c r="G16" s="44">
        <v>0.18</v>
      </c>
    </row>
    <row r="17" ht="12.75" customHeight="1">
      <c r="C17" s="162" t="s">
        <v>524</v>
      </c>
      <c r="E17" s="163">
        <v>0.66</v>
      </c>
      <c r="F17" s="44">
        <v>0.25</v>
      </c>
      <c r="G17" s="44">
        <v>0.18</v>
      </c>
    </row>
    <row r="18" ht="12.75" customHeight="1">
      <c r="C18" s="162" t="s">
        <v>525</v>
      </c>
      <c r="E18" s="163">
        <v>0.68</v>
      </c>
      <c r="F18" s="44">
        <v>0.26</v>
      </c>
      <c r="G18" s="44">
        <v>0.19</v>
      </c>
    </row>
    <row r="19" ht="12.75" customHeight="1">
      <c r="C19" s="162"/>
      <c r="E19" s="163"/>
    </row>
    <row r="20" ht="12.75" customHeight="1">
      <c r="B20" s="44" t="s">
        <v>527</v>
      </c>
      <c r="H20" s="44" t="s">
        <v>528</v>
      </c>
    </row>
    <row r="21" ht="12.75" customHeight="1">
      <c r="B21" s="44">
        <v>1.0</v>
      </c>
      <c r="C21" s="164" t="s">
        <v>529</v>
      </c>
      <c r="E21" s="44">
        <v>8.0</v>
      </c>
      <c r="H21" s="44" t="s">
        <v>530</v>
      </c>
    </row>
    <row r="22" ht="12.75" customHeight="1">
      <c r="B22" s="44">
        <v>3.0</v>
      </c>
      <c r="C22" s="164" t="s">
        <v>531</v>
      </c>
      <c r="E22" s="44">
        <v>24.0</v>
      </c>
      <c r="H22" s="44">
        <v>8.0</v>
      </c>
      <c r="I22" s="44" t="s">
        <v>532</v>
      </c>
    </row>
    <row r="23" ht="12.75" customHeight="1">
      <c r="B23" s="157">
        <v>6.0</v>
      </c>
      <c r="C23" s="51" t="s">
        <v>533</v>
      </c>
      <c r="E23" s="157">
        <v>48.0</v>
      </c>
    </row>
    <row r="24" ht="12.75" customHeight="1">
      <c r="B24" s="44">
        <f>SUM(B21:B23)</f>
        <v>10</v>
      </c>
      <c r="C24" s="44" t="s">
        <v>534</v>
      </c>
      <c r="E24" s="44">
        <f>SUM(E21:E23)</f>
        <v>80</v>
      </c>
      <c r="F24" s="44" t="s">
        <v>535</v>
      </c>
    </row>
    <row r="25" ht="12.75" customHeight="1"/>
    <row r="26" ht="12.75" customHeight="1"/>
    <row r="27" ht="12.75" customHeight="1">
      <c r="A27" s="146" t="s">
        <v>25</v>
      </c>
      <c r="B27" s="146" t="s">
        <v>536</v>
      </c>
      <c r="C27" s="146"/>
      <c r="D27" s="146"/>
      <c r="E27" s="146"/>
      <c r="F27" s="146"/>
    </row>
    <row r="28" ht="12.75" customHeight="1">
      <c r="B28" s="156" t="s">
        <v>537</v>
      </c>
      <c r="C28" s="156"/>
      <c r="D28" s="156"/>
      <c r="E28" s="156"/>
      <c r="F28" s="156"/>
      <c r="G28" s="157"/>
    </row>
    <row r="29" ht="12.75" customHeight="1">
      <c r="B29" s="156"/>
      <c r="C29" s="156"/>
      <c r="D29" s="156"/>
      <c r="E29" s="156"/>
      <c r="F29" s="156"/>
      <c r="G29" s="157"/>
    </row>
    <row r="30" ht="12.75" customHeight="1">
      <c r="B30" s="156"/>
      <c r="C30" s="46" t="s">
        <v>538</v>
      </c>
      <c r="D30" s="46"/>
      <c r="E30" s="46"/>
      <c r="F30" s="46"/>
      <c r="G30" s="48"/>
      <c r="H30" s="48"/>
    </row>
    <row r="31" ht="12.75" customHeight="1">
      <c r="B31" s="156"/>
      <c r="C31" s="46"/>
      <c r="D31" s="46"/>
      <c r="E31" s="46"/>
      <c r="F31" s="46"/>
      <c r="G31" s="48"/>
      <c r="H31" s="48"/>
    </row>
    <row r="32" ht="12.75" customHeight="1">
      <c r="E32" s="165" t="s">
        <v>539</v>
      </c>
      <c r="F32" s="166"/>
      <c r="G32" s="153"/>
      <c r="I32" s="165" t="s">
        <v>540</v>
      </c>
      <c r="J32" s="166"/>
      <c r="K32" s="153"/>
    </row>
    <row r="33" ht="12.75" customHeight="1">
      <c r="E33" s="160" t="s">
        <v>401</v>
      </c>
      <c r="F33" s="160" t="s">
        <v>9</v>
      </c>
      <c r="G33" s="160" t="s">
        <v>403</v>
      </c>
      <c r="I33" s="160" t="s">
        <v>401</v>
      </c>
      <c r="J33" s="160" t="s">
        <v>9</v>
      </c>
      <c r="K33" s="160" t="s">
        <v>403</v>
      </c>
    </row>
    <row r="34" ht="12.75" customHeight="1">
      <c r="B34" s="44" t="s">
        <v>541</v>
      </c>
      <c r="E34" s="38">
        <v>36.0</v>
      </c>
      <c r="F34" s="38">
        <v>13.85</v>
      </c>
      <c r="G34" s="38">
        <v>10.0</v>
      </c>
      <c r="I34" s="38">
        <v>7.0</v>
      </c>
      <c r="J34" s="38">
        <v>2.69</v>
      </c>
      <c r="K34" s="38">
        <v>1.94</v>
      </c>
    </row>
    <row r="35" ht="12.75" customHeight="1">
      <c r="B35" s="44" t="s">
        <v>542</v>
      </c>
      <c r="E35" s="38">
        <v>32.73</v>
      </c>
      <c r="F35" s="38">
        <v>12.63</v>
      </c>
      <c r="G35" s="38">
        <v>9.11</v>
      </c>
      <c r="I35" s="38">
        <v>6.36</v>
      </c>
      <c r="J35" s="38">
        <v>2.46</v>
      </c>
      <c r="K35" s="38">
        <v>1.77</v>
      </c>
    </row>
    <row r="36" ht="12.75" customHeight="1">
      <c r="B36" s="44" t="s">
        <v>543</v>
      </c>
      <c r="E36" s="38">
        <v>40.0</v>
      </c>
      <c r="F36" s="38">
        <v>15.37</v>
      </c>
      <c r="G36" s="38">
        <v>11.08</v>
      </c>
      <c r="I36" s="38">
        <v>7.78</v>
      </c>
      <c r="J36" s="38">
        <v>2.98</v>
      </c>
      <c r="K36" s="38">
        <v>2.15</v>
      </c>
    </row>
    <row r="37" ht="12.75" customHeight="1"/>
    <row r="38" ht="12.75" customHeight="1">
      <c r="B38" s="46" t="s">
        <v>527</v>
      </c>
      <c r="H38" s="44" t="s">
        <v>528</v>
      </c>
    </row>
    <row r="39" ht="12.75" customHeight="1">
      <c r="B39" s="44">
        <v>1.0</v>
      </c>
      <c r="C39" s="164" t="s">
        <v>544</v>
      </c>
      <c r="E39" s="44">
        <v>8.0</v>
      </c>
      <c r="H39" s="50">
        <v>0.5</v>
      </c>
      <c r="I39" s="44" t="s">
        <v>545</v>
      </c>
      <c r="L39" s="38">
        <f t="shared" ref="L39:L41" si="1">H39*8</f>
        <v>4</v>
      </c>
    </row>
    <row r="40" ht="12.75" customHeight="1">
      <c r="B40" s="44">
        <v>4.0</v>
      </c>
      <c r="C40" s="164" t="s">
        <v>546</v>
      </c>
      <c r="E40" s="44">
        <f t="shared" ref="E40:E44" si="2">B40*8</f>
        <v>32</v>
      </c>
      <c r="H40" s="50">
        <v>2.0</v>
      </c>
      <c r="I40" s="44" t="s">
        <v>547</v>
      </c>
      <c r="L40" s="38">
        <f t="shared" si="1"/>
        <v>16</v>
      </c>
    </row>
    <row r="41" ht="12.75" customHeight="1">
      <c r="B41" s="44">
        <v>4.0</v>
      </c>
      <c r="C41" s="164" t="s">
        <v>548</v>
      </c>
      <c r="E41" s="44">
        <f t="shared" si="2"/>
        <v>32</v>
      </c>
      <c r="H41" s="167">
        <v>1.0</v>
      </c>
      <c r="I41" s="44" t="s">
        <v>549</v>
      </c>
      <c r="L41" s="168">
        <f t="shared" si="1"/>
        <v>8</v>
      </c>
    </row>
    <row r="42" ht="12.75" customHeight="1">
      <c r="B42" s="44">
        <v>2.0</v>
      </c>
      <c r="C42" s="164" t="s">
        <v>550</v>
      </c>
      <c r="E42" s="44">
        <f t="shared" si="2"/>
        <v>16</v>
      </c>
      <c r="H42" s="50">
        <f>SUM(H39:H41)</f>
        <v>3.5</v>
      </c>
      <c r="L42" s="38">
        <f>SUM(L39:L41)</f>
        <v>28</v>
      </c>
      <c r="M42" s="44" t="s">
        <v>551</v>
      </c>
    </row>
    <row r="43" ht="12.75" customHeight="1">
      <c r="B43" s="44">
        <v>1.0</v>
      </c>
      <c r="C43" s="164" t="s">
        <v>552</v>
      </c>
      <c r="E43" s="44">
        <f t="shared" si="2"/>
        <v>8</v>
      </c>
    </row>
    <row r="44" ht="12.75" customHeight="1">
      <c r="B44" s="157">
        <v>6.0</v>
      </c>
      <c r="C44" s="51" t="s">
        <v>533</v>
      </c>
      <c r="E44" s="157">
        <f t="shared" si="2"/>
        <v>48</v>
      </c>
    </row>
    <row r="45" ht="12.75" customHeight="1">
      <c r="B45" s="44">
        <f>SUM(B39:B44)</f>
        <v>18</v>
      </c>
      <c r="C45" s="44" t="s">
        <v>534</v>
      </c>
      <c r="E45" s="44">
        <f>SUM(E39:E44)</f>
        <v>144</v>
      </c>
      <c r="F45" s="44" t="s">
        <v>535</v>
      </c>
      <c r="H45" s="49"/>
    </row>
    <row r="46" ht="12.75" customHeight="1"/>
    <row r="47" ht="12.75" customHeight="1">
      <c r="B47" s="46" t="s">
        <v>553</v>
      </c>
      <c r="C47" s="46"/>
    </row>
    <row r="48" ht="12.75" customHeight="1"/>
    <row r="49" ht="12.75" customHeight="1"/>
    <row r="50" ht="12.75" customHeight="1"/>
    <row r="51" ht="12.75" customHeight="1">
      <c r="A51" s="146" t="s">
        <v>27</v>
      </c>
      <c r="B51" s="146" t="s">
        <v>554</v>
      </c>
      <c r="C51" s="146"/>
      <c r="D51" s="146"/>
      <c r="E51" s="146"/>
      <c r="F51" s="146"/>
    </row>
    <row r="52" ht="12.75" customHeight="1">
      <c r="B52" s="156" t="s">
        <v>537</v>
      </c>
      <c r="C52" s="156"/>
      <c r="D52" s="156"/>
      <c r="E52" s="156"/>
      <c r="F52" s="156"/>
      <c r="G52" s="157"/>
    </row>
    <row r="53" ht="12.75" customHeight="1">
      <c r="B53" s="156"/>
      <c r="C53" s="156"/>
      <c r="D53" s="156"/>
      <c r="E53" s="156"/>
      <c r="F53" s="156"/>
      <c r="G53" s="157"/>
    </row>
    <row r="54" ht="12.75" customHeight="1">
      <c r="B54" s="156"/>
      <c r="C54" s="46" t="s">
        <v>538</v>
      </c>
      <c r="D54" s="46"/>
      <c r="E54" s="46"/>
      <c r="F54" s="46"/>
      <c r="G54" s="48"/>
      <c r="H54" s="48"/>
    </row>
    <row r="55" ht="12.75" customHeight="1">
      <c r="B55" s="156"/>
      <c r="C55" s="46"/>
      <c r="D55" s="46"/>
      <c r="E55" s="46"/>
      <c r="F55" s="46"/>
      <c r="G55" s="48"/>
      <c r="H55" s="48"/>
    </row>
    <row r="56" ht="12.75" customHeight="1">
      <c r="E56" s="165" t="s">
        <v>539</v>
      </c>
      <c r="F56" s="166"/>
      <c r="G56" s="153"/>
      <c r="I56" s="165" t="s">
        <v>540</v>
      </c>
      <c r="J56" s="166"/>
      <c r="K56" s="153"/>
    </row>
    <row r="57" ht="12.75" customHeight="1">
      <c r="E57" s="160" t="s">
        <v>401</v>
      </c>
      <c r="F57" s="160" t="s">
        <v>9</v>
      </c>
      <c r="G57" s="160" t="s">
        <v>403</v>
      </c>
      <c r="I57" s="160" t="s">
        <v>401</v>
      </c>
      <c r="J57" s="160" t="s">
        <v>9</v>
      </c>
      <c r="K57" s="160" t="s">
        <v>403</v>
      </c>
    </row>
    <row r="58" ht="12.75" customHeight="1">
      <c r="E58" s="140"/>
      <c r="F58" s="140"/>
      <c r="G58" s="140"/>
      <c r="I58" s="140"/>
      <c r="J58" s="140"/>
      <c r="K58" s="140"/>
    </row>
    <row r="59" ht="12.75" customHeight="1">
      <c r="B59" s="169" t="s">
        <v>555</v>
      </c>
      <c r="C59" s="169"/>
      <c r="D59" s="169"/>
      <c r="E59" s="140"/>
      <c r="F59" s="140"/>
      <c r="G59" s="140"/>
      <c r="I59" s="140"/>
      <c r="J59" s="140"/>
      <c r="K59" s="140"/>
    </row>
    <row r="60" ht="12.75" customHeight="1">
      <c r="B60" s="44" t="s">
        <v>556</v>
      </c>
      <c r="E60" s="50">
        <v>46.67</v>
      </c>
      <c r="F60" s="50">
        <v>18.06</v>
      </c>
      <c r="G60" s="50">
        <v>13.02</v>
      </c>
      <c r="I60" s="50">
        <v>18.33</v>
      </c>
      <c r="J60" s="50">
        <v>7.1</v>
      </c>
      <c r="K60" s="50">
        <v>5.12</v>
      </c>
    </row>
    <row r="61" ht="12.75" customHeight="1">
      <c r="B61" s="44" t="s">
        <v>541</v>
      </c>
      <c r="E61" s="38">
        <v>40.0</v>
      </c>
      <c r="F61" s="38">
        <v>15.56</v>
      </c>
      <c r="G61" s="38">
        <v>11.2</v>
      </c>
      <c r="I61" s="38">
        <v>15.71</v>
      </c>
      <c r="J61" s="38">
        <v>6.11</v>
      </c>
      <c r="K61" s="38">
        <v>4.4</v>
      </c>
    </row>
    <row r="62" ht="12.75" customHeight="1">
      <c r="B62" s="44" t="s">
        <v>542</v>
      </c>
      <c r="E62" s="38">
        <v>35.0</v>
      </c>
      <c r="F62" s="38">
        <v>13.33</v>
      </c>
      <c r="G62" s="38">
        <v>9.66</v>
      </c>
      <c r="I62" s="38">
        <v>13.75</v>
      </c>
      <c r="J62" s="38">
        <v>5.24</v>
      </c>
      <c r="K62" s="38">
        <v>3.79</v>
      </c>
    </row>
    <row r="63" ht="12.75" customHeight="1">
      <c r="B63" s="44" t="s">
        <v>543</v>
      </c>
      <c r="E63" s="38">
        <v>43.08</v>
      </c>
      <c r="F63" s="38">
        <v>16.47</v>
      </c>
      <c r="G63" s="38">
        <v>11.91</v>
      </c>
      <c r="I63" s="38">
        <v>16.92</v>
      </c>
      <c r="J63" s="38">
        <v>6.47</v>
      </c>
      <c r="K63" s="38">
        <v>4.68</v>
      </c>
    </row>
    <row r="64" ht="12.75" customHeight="1">
      <c r="E64" s="38"/>
      <c r="F64" s="38"/>
      <c r="G64" s="38"/>
      <c r="I64" s="38"/>
      <c r="J64" s="38"/>
      <c r="K64" s="38"/>
    </row>
    <row r="65" ht="12.75" customHeight="1">
      <c r="E65" s="38"/>
      <c r="F65" s="38"/>
      <c r="G65" s="38"/>
      <c r="I65" s="38"/>
      <c r="J65" s="38"/>
      <c r="K65" s="38"/>
    </row>
    <row r="66" ht="12.75" customHeight="1">
      <c r="B66" s="169" t="s">
        <v>557</v>
      </c>
      <c r="C66" s="169"/>
      <c r="E66" s="38"/>
      <c r="F66" s="38"/>
      <c r="G66" s="38"/>
      <c r="I66" s="38"/>
      <c r="J66" s="38"/>
      <c r="K66" s="38"/>
    </row>
    <row r="67" ht="12.75" customHeight="1">
      <c r="B67" s="44" t="s">
        <v>556</v>
      </c>
      <c r="E67" s="38">
        <v>35.0</v>
      </c>
      <c r="F67" s="38">
        <v>13.33</v>
      </c>
      <c r="G67" s="38">
        <v>9.66</v>
      </c>
      <c r="I67" s="38">
        <v>13.75</v>
      </c>
      <c r="J67" s="38">
        <v>5.24</v>
      </c>
      <c r="K67" s="38">
        <v>3.79</v>
      </c>
    </row>
    <row r="68" ht="12.75" customHeight="1">
      <c r="B68" s="44" t="s">
        <v>541</v>
      </c>
      <c r="E68" s="38">
        <v>31.11</v>
      </c>
      <c r="F68" s="38">
        <v>11.91</v>
      </c>
      <c r="G68" s="38">
        <v>8.62</v>
      </c>
      <c r="I68" s="38">
        <v>12.22</v>
      </c>
      <c r="J68" s="38">
        <v>4.68</v>
      </c>
      <c r="K68" s="38">
        <v>3.38</v>
      </c>
    </row>
    <row r="69" ht="12.75" customHeight="1">
      <c r="B69" s="44" t="s">
        <v>542</v>
      </c>
      <c r="E69" s="38">
        <v>35.0</v>
      </c>
      <c r="F69" s="38">
        <v>10.77</v>
      </c>
      <c r="G69" s="38">
        <v>7.78</v>
      </c>
      <c r="I69" s="38">
        <v>13.75</v>
      </c>
      <c r="J69" s="38">
        <v>4.23</v>
      </c>
      <c r="K69" s="38">
        <v>3.06</v>
      </c>
    </row>
    <row r="70" ht="12.75" customHeight="1">
      <c r="B70" s="44" t="s">
        <v>543</v>
      </c>
      <c r="E70" s="38">
        <v>32.94</v>
      </c>
      <c r="F70" s="38">
        <v>12.27</v>
      </c>
      <c r="G70" s="38">
        <v>9.18</v>
      </c>
      <c r="I70" s="38">
        <v>12.94</v>
      </c>
      <c r="J70" s="38">
        <v>5.0</v>
      </c>
      <c r="K70" s="38">
        <v>3.61</v>
      </c>
    </row>
    <row r="71" ht="12.75" customHeight="1"/>
    <row r="72" ht="12.75" customHeight="1">
      <c r="B72" s="46" t="s">
        <v>527</v>
      </c>
      <c r="H72" s="44" t="s">
        <v>528</v>
      </c>
    </row>
    <row r="73" ht="12.75" customHeight="1">
      <c r="B73" s="44">
        <v>1.0</v>
      </c>
      <c r="C73" s="164" t="s">
        <v>544</v>
      </c>
      <c r="E73" s="44">
        <v>8.0</v>
      </c>
      <c r="H73" s="50">
        <v>0.5</v>
      </c>
      <c r="I73" s="44" t="s">
        <v>558</v>
      </c>
      <c r="L73" s="38">
        <f t="shared" ref="L73:L76" si="3">H73*8</f>
        <v>4</v>
      </c>
    </row>
    <row r="74" ht="12.75" customHeight="1">
      <c r="B74" s="44">
        <v>2.0</v>
      </c>
      <c r="C74" s="164" t="s">
        <v>546</v>
      </c>
      <c r="E74" s="44">
        <f t="shared" ref="E74:E78" si="4">B74*8</f>
        <v>16</v>
      </c>
      <c r="H74" s="50">
        <v>2.0</v>
      </c>
      <c r="I74" s="44" t="s">
        <v>547</v>
      </c>
      <c r="L74" s="38">
        <f t="shared" si="3"/>
        <v>16</v>
      </c>
    </row>
    <row r="75" ht="12.75" customHeight="1">
      <c r="B75" s="44">
        <v>4.0</v>
      </c>
      <c r="C75" s="164" t="s">
        <v>548</v>
      </c>
      <c r="E75" s="44">
        <f t="shared" si="4"/>
        <v>32</v>
      </c>
      <c r="H75" s="50">
        <v>2.0</v>
      </c>
      <c r="I75" s="44" t="s">
        <v>559</v>
      </c>
      <c r="L75" s="38">
        <f t="shared" si="3"/>
        <v>16</v>
      </c>
    </row>
    <row r="76" ht="12.75" customHeight="1">
      <c r="B76" s="44">
        <v>2.0</v>
      </c>
      <c r="C76" s="164" t="s">
        <v>550</v>
      </c>
      <c r="E76" s="44">
        <f t="shared" si="4"/>
        <v>16</v>
      </c>
      <c r="H76" s="167">
        <v>1.0</v>
      </c>
      <c r="I76" s="44" t="s">
        <v>549</v>
      </c>
      <c r="L76" s="168">
        <f t="shared" si="3"/>
        <v>8</v>
      </c>
    </row>
    <row r="77" ht="12.75" customHeight="1">
      <c r="B77" s="44">
        <v>1.0</v>
      </c>
      <c r="C77" s="164" t="s">
        <v>552</v>
      </c>
      <c r="E77" s="44">
        <f t="shared" si="4"/>
        <v>8</v>
      </c>
      <c r="H77" s="38">
        <f>SUM(H73:H76)</f>
        <v>5.5</v>
      </c>
      <c r="I77" s="44" t="s">
        <v>560</v>
      </c>
      <c r="L77" s="38">
        <f>SUM(L73:L76)</f>
        <v>44</v>
      </c>
      <c r="M77" s="44" t="s">
        <v>561</v>
      </c>
    </row>
    <row r="78" ht="12.75" customHeight="1">
      <c r="B78" s="157">
        <v>4.0</v>
      </c>
      <c r="C78" s="51" t="s">
        <v>533</v>
      </c>
      <c r="E78" s="157">
        <f t="shared" si="4"/>
        <v>32</v>
      </c>
    </row>
    <row r="79" ht="12.75" customHeight="1">
      <c r="B79" s="44">
        <f>SUM(B73:B78)</f>
        <v>14</v>
      </c>
      <c r="C79" s="44" t="s">
        <v>534</v>
      </c>
      <c r="E79" s="44">
        <f>SUM(E73:E78)</f>
        <v>112</v>
      </c>
      <c r="F79" s="44" t="s">
        <v>535</v>
      </c>
      <c r="H79" s="49"/>
    </row>
    <row r="80" ht="12.75" customHeight="1"/>
    <row r="81" ht="12.75" customHeight="1">
      <c r="B81" s="46" t="s">
        <v>553</v>
      </c>
      <c r="C81" s="46"/>
    </row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4">
    <mergeCell ref="E32:G32"/>
    <mergeCell ref="I32:K32"/>
    <mergeCell ref="E56:G56"/>
    <mergeCell ref="I56:K56"/>
  </mergeCells>
  <printOptions/>
  <pageMargins bottom="1.0" footer="0.0" header="0.0" left="0.75" right="0.75" top="1.0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1996-10-14T23:33:28Z</dcterms:created>
  <dc:creator>Microsoft Corporation</dc:creator>
</cp:coreProperties>
</file>