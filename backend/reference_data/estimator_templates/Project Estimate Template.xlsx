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My Files\Files For Sale\3-unit, One Storey Commercial Bldg\"/>
    </mc:Choice>
  </mc:AlternateContent>
  <bookViews>
    <workbookView showHorizontalScroll="0" xWindow="0" yWindow="0" windowWidth="25128" windowHeight="12300" firstSheet="6" activeTab="6"/>
  </bookViews>
  <sheets>
    <sheet name="Estimate" sheetId="29" state="hidden" r:id="rId1"/>
    <sheet name="Sheet2" sheetId="39" state="hidden" r:id="rId2"/>
    <sheet name="ABC" sheetId="35" state="hidden" r:id="rId3"/>
    <sheet name="BOQ" sheetId="38" state="hidden" r:id="rId4"/>
    <sheet name="BOQ w quantity" sheetId="37" state="hidden" r:id="rId5"/>
    <sheet name="Sheet1" sheetId="36" state="hidden" r:id="rId6"/>
    <sheet name="ARDYL" sheetId="40" r:id="rId7"/>
    <sheet name="Masonry Works." sheetId="41" r:id="rId8"/>
  </sheets>
  <definedNames>
    <definedName name="_xlnm.Print_Area" localSheetId="2">ABC!$A$1:$P$41</definedName>
    <definedName name="_xlnm.Print_Area" localSheetId="6">ARDYL!$A$1:$I$378</definedName>
    <definedName name="_xlnm.Print_Area" localSheetId="3">BOQ!$A$1:$I$478</definedName>
    <definedName name="_xlnm.Print_Area" localSheetId="4">'BOQ w quantity'!$A$1:$I$495</definedName>
    <definedName name="_xlnm.Print_Titles" localSheetId="3">BOQ!$1:$9</definedName>
    <definedName name="_xlnm.Print_Titles" localSheetId="4">'BOQ w quantity'!$1:$9</definedName>
    <definedName name="_xlnm.Print_Titles" localSheetId="0">Estimate!$1:$13</definedName>
  </definedNames>
  <calcPr calcId="152511"/>
</workbook>
</file>

<file path=xl/calcChain.xml><?xml version="1.0" encoding="utf-8"?>
<calcChain xmlns="http://schemas.openxmlformats.org/spreadsheetml/2006/main">
  <c r="I143" i="40" l="1"/>
  <c r="G349" i="40"/>
  <c r="F51" i="40" l="1"/>
  <c r="F50" i="40"/>
  <c r="I50" i="40" s="1"/>
  <c r="F49" i="40"/>
  <c r="F92" i="40"/>
  <c r="F77" i="40"/>
  <c r="F75" i="40"/>
  <c r="F71" i="40"/>
  <c r="E43" i="41"/>
  <c r="E42" i="41"/>
  <c r="D31" i="41"/>
  <c r="E37" i="41" s="1"/>
  <c r="B23" i="41"/>
  <c r="M27" i="41"/>
  <c r="B29" i="41"/>
  <c r="D34" i="41"/>
  <c r="D37" i="41"/>
  <c r="I149" i="40"/>
  <c r="I142" i="40"/>
  <c r="L431" i="40"/>
  <c r="L430" i="40"/>
  <c r="B356" i="40"/>
  <c r="L429" i="40"/>
  <c r="B355" i="40"/>
  <c r="L428" i="40"/>
  <c r="B354" i="40"/>
  <c r="L427" i="40"/>
  <c r="B353" i="40"/>
  <c r="L426" i="40"/>
  <c r="L425" i="40"/>
  <c r="B351" i="40"/>
  <c r="B350" i="40"/>
  <c r="B349" i="40"/>
  <c r="B348" i="40"/>
  <c r="B346" i="40"/>
  <c r="B345" i="40"/>
  <c r="B344" i="40"/>
  <c r="A342" i="40"/>
  <c r="O400" i="40"/>
  <c r="N396" i="40"/>
  <c r="M396" i="40"/>
  <c r="L396" i="40"/>
  <c r="M392" i="40"/>
  <c r="M388" i="40"/>
  <c r="K388" i="40"/>
  <c r="L388" i="40" s="1"/>
  <c r="H338" i="40"/>
  <c r="I335" i="40"/>
  <c r="I334" i="40"/>
  <c r="I333" i="40"/>
  <c r="I332" i="40"/>
  <c r="I331" i="40"/>
  <c r="I330" i="40"/>
  <c r="I328" i="40"/>
  <c r="I327" i="40"/>
  <c r="I326" i="40"/>
  <c r="I325" i="40"/>
  <c r="H316" i="40"/>
  <c r="I313" i="40"/>
  <c r="I312" i="40"/>
  <c r="I311" i="40"/>
  <c r="I309" i="40"/>
  <c r="I308" i="40"/>
  <c r="I307" i="40"/>
  <c r="I306" i="40"/>
  <c r="I305" i="40"/>
  <c r="I304" i="40"/>
  <c r="I303" i="40"/>
  <c r="I302" i="40"/>
  <c r="I301" i="40"/>
  <c r="I300" i="40"/>
  <c r="I298" i="40"/>
  <c r="I297" i="40"/>
  <c r="I296" i="40"/>
  <c r="I295" i="40"/>
  <c r="I294" i="40"/>
  <c r="I293" i="40"/>
  <c r="I291" i="40"/>
  <c r="I290" i="40"/>
  <c r="I289" i="40"/>
  <c r="I288" i="40"/>
  <c r="I286" i="40"/>
  <c r="H275" i="40"/>
  <c r="I272" i="40"/>
  <c r="I271" i="40"/>
  <c r="I270" i="40"/>
  <c r="I269" i="40"/>
  <c r="I268" i="40"/>
  <c r="I267" i="40"/>
  <c r="I266" i="40"/>
  <c r="I265" i="40"/>
  <c r="I264" i="40"/>
  <c r="I263" i="40"/>
  <c r="I262" i="40"/>
  <c r="I261" i="40"/>
  <c r="I259" i="40"/>
  <c r="I258" i="40"/>
  <c r="I256" i="40"/>
  <c r="I255" i="40"/>
  <c r="I254" i="40"/>
  <c r="I252" i="40"/>
  <c r="I251" i="40"/>
  <c r="L275" i="40"/>
  <c r="H224" i="40" s="1"/>
  <c r="I224" i="40" s="1"/>
  <c r="I250" i="40"/>
  <c r="L274" i="40"/>
  <c r="I223" i="40" s="1"/>
  <c r="I249" i="40"/>
  <c r="L273" i="40"/>
  <c r="H222" i="40" s="1"/>
  <c r="I222" i="40" s="1"/>
  <c r="I248" i="40"/>
  <c r="L272" i="40"/>
  <c r="H221" i="40" s="1"/>
  <c r="I221" i="40" s="1"/>
  <c r="L271" i="40"/>
  <c r="H220" i="40" s="1"/>
  <c r="I220" i="40" s="1"/>
  <c r="L270" i="40"/>
  <c r="H219" i="40" s="1"/>
  <c r="I219" i="40" s="1"/>
  <c r="L269" i="40"/>
  <c r="H218" i="40" s="1"/>
  <c r="I218" i="40" s="1"/>
  <c r="I244" i="40"/>
  <c r="L268" i="40"/>
  <c r="H217" i="40" s="1"/>
  <c r="I217" i="40" s="1"/>
  <c r="L267" i="40"/>
  <c r="H216" i="40" s="1"/>
  <c r="I216" i="40" s="1"/>
  <c r="I241" i="40"/>
  <c r="I240" i="40"/>
  <c r="I239" i="40"/>
  <c r="I238" i="40"/>
  <c r="I237" i="40"/>
  <c r="K259" i="40"/>
  <c r="L259" i="40" s="1"/>
  <c r="K258" i="40"/>
  <c r="L258" i="40" s="1"/>
  <c r="H227" i="40"/>
  <c r="L250" i="40"/>
  <c r="H200" i="40" s="1"/>
  <c r="I200" i="40" s="1"/>
  <c r="L249" i="40"/>
  <c r="H199" i="40" s="1"/>
  <c r="I199" i="40" s="1"/>
  <c r="L248" i="40"/>
  <c r="H198" i="40" s="1"/>
  <c r="I198" i="40" s="1"/>
  <c r="Q247" i="40"/>
  <c r="S247" i="40" s="1"/>
  <c r="L247" i="40"/>
  <c r="H197" i="40" s="1"/>
  <c r="I197" i="40" s="1"/>
  <c r="Q246" i="40"/>
  <c r="S246" i="40" s="1"/>
  <c r="L246" i="40"/>
  <c r="H196" i="40" s="1"/>
  <c r="I196" i="40" s="1"/>
  <c r="L242" i="40"/>
  <c r="Q240" i="40"/>
  <c r="Q236" i="40"/>
  <c r="N235" i="40"/>
  <c r="N234" i="40"/>
  <c r="R233" i="40"/>
  <c r="N233" i="40"/>
  <c r="O233" i="40" s="1"/>
  <c r="O236" i="40" s="1"/>
  <c r="P236" i="40" s="1"/>
  <c r="H203" i="40"/>
  <c r="L219" i="40"/>
  <c r="H177" i="40" s="1"/>
  <c r="I177" i="40" s="1"/>
  <c r="L218" i="40"/>
  <c r="H176" i="40" s="1"/>
  <c r="I176" i="40" s="1"/>
  <c r="I195" i="40"/>
  <c r="L217" i="40"/>
  <c r="I194" i="40"/>
  <c r="L216" i="40"/>
  <c r="H174" i="40" s="1"/>
  <c r="I174" i="40" s="1"/>
  <c r="I193" i="40"/>
  <c r="M215" i="40"/>
  <c r="N215" i="40" s="1"/>
  <c r="O215" i="40" s="1"/>
  <c r="L215" i="40"/>
  <c r="H173" i="40" s="1"/>
  <c r="I173" i="40" s="1"/>
  <c r="I192" i="40"/>
  <c r="M214" i="40"/>
  <c r="N214" i="40" s="1"/>
  <c r="L214" i="40"/>
  <c r="H172" i="40" s="1"/>
  <c r="I172" i="40" s="1"/>
  <c r="I191" i="40"/>
  <c r="N213" i="40"/>
  <c r="M213" i="40"/>
  <c r="L213" i="40"/>
  <c r="N212" i="40"/>
  <c r="M212" i="40"/>
  <c r="L200" i="40"/>
  <c r="L199" i="40"/>
  <c r="I159" i="40" s="1"/>
  <c r="L198" i="40"/>
  <c r="I158" i="40" s="1"/>
  <c r="H180" i="40"/>
  <c r="L196" i="40"/>
  <c r="H156" i="40" s="1"/>
  <c r="I156" i="40" s="1"/>
  <c r="L195" i="40"/>
  <c r="H155" i="40" s="1"/>
  <c r="I155" i="40" s="1"/>
  <c r="N194" i="40"/>
  <c r="O194" i="40" s="1"/>
  <c r="L194" i="40"/>
  <c r="H154" i="40" s="1"/>
  <c r="I154" i="40" s="1"/>
  <c r="I175" i="40"/>
  <c r="F171" i="40"/>
  <c r="I171" i="40" s="1"/>
  <c r="L186" i="40"/>
  <c r="H151" i="40" s="1"/>
  <c r="L185" i="40"/>
  <c r="H150" i="40" s="1"/>
  <c r="I150" i="40" s="1"/>
  <c r="M184" i="40"/>
  <c r="L184" i="40"/>
  <c r="I148" i="40" s="1"/>
  <c r="L182" i="40"/>
  <c r="I146" i="40" s="1"/>
  <c r="M181" i="40"/>
  <c r="N182" i="40" s="1"/>
  <c r="O182" i="40" s="1"/>
  <c r="L181" i="40"/>
  <c r="I145" i="40" s="1"/>
  <c r="L180" i="40"/>
  <c r="H144" i="40" s="1"/>
  <c r="I144" i="40" s="1"/>
  <c r="M179" i="40"/>
  <c r="L179" i="40"/>
  <c r="H162" i="40"/>
  <c r="M177" i="40"/>
  <c r="L177" i="40"/>
  <c r="K167" i="40"/>
  <c r="K159" i="40"/>
  <c r="L159" i="40" s="1"/>
  <c r="N158" i="40"/>
  <c r="M158" i="40"/>
  <c r="K157" i="40"/>
  <c r="L157" i="40" s="1"/>
  <c r="N156" i="40"/>
  <c r="M156" i="40"/>
  <c r="K154" i="40"/>
  <c r="L154" i="40" s="1"/>
  <c r="H131" i="40"/>
  <c r="I127" i="40"/>
  <c r="I125" i="40"/>
  <c r="L135" i="40"/>
  <c r="L134" i="40"/>
  <c r="L133" i="40"/>
  <c r="I122" i="40"/>
  <c r="L132" i="40"/>
  <c r="I121" i="40"/>
  <c r="L131" i="40"/>
  <c r="H107" i="40" s="1"/>
  <c r="I107" i="40" s="1"/>
  <c r="I120" i="40"/>
  <c r="L127" i="40"/>
  <c r="F116" i="40"/>
  <c r="L123" i="40"/>
  <c r="L122" i="40"/>
  <c r="H103" i="40" s="1"/>
  <c r="I103" i="40" s="1"/>
  <c r="H114" i="40"/>
  <c r="L121" i="40"/>
  <c r="L119" i="40"/>
  <c r="H101" i="40" s="1"/>
  <c r="I101" i="40" s="1"/>
  <c r="L118" i="40"/>
  <c r="H100" i="40" s="1"/>
  <c r="I100" i="40" s="1"/>
  <c r="I111" i="40"/>
  <c r="L117" i="40"/>
  <c r="H99" i="40" s="1"/>
  <c r="I99" i="40" s="1"/>
  <c r="I110" i="40"/>
  <c r="L116" i="40"/>
  <c r="I109" i="40"/>
  <c r="L115" i="40"/>
  <c r="I98" i="40" s="1"/>
  <c r="I108" i="40"/>
  <c r="L114" i="40"/>
  <c r="H97" i="40" s="1"/>
  <c r="I97" i="40" s="1"/>
  <c r="L113" i="40"/>
  <c r="H96" i="40" s="1"/>
  <c r="I96" i="40" s="1"/>
  <c r="F106" i="40"/>
  <c r="I106" i="40" s="1"/>
  <c r="L112" i="40"/>
  <c r="H95" i="40" s="1"/>
  <c r="I95" i="40" s="1"/>
  <c r="F105" i="40"/>
  <c r="I105" i="40" s="1"/>
  <c r="L111" i="40"/>
  <c r="H94" i="40" s="1"/>
  <c r="I94" i="40" s="1"/>
  <c r="L110" i="40"/>
  <c r="I93" i="40" s="1"/>
  <c r="L109" i="40"/>
  <c r="M108" i="40"/>
  <c r="L108" i="40"/>
  <c r="I91" i="40" s="1"/>
  <c r="M107" i="40"/>
  <c r="L92" i="40"/>
  <c r="L91" i="40"/>
  <c r="H76" i="40" s="1"/>
  <c r="I76" i="40" s="1"/>
  <c r="L90" i="40"/>
  <c r="L89" i="40"/>
  <c r="H75" i="40" s="1"/>
  <c r="L88" i="40"/>
  <c r="H74" i="40" s="1"/>
  <c r="H81" i="40"/>
  <c r="L86" i="40"/>
  <c r="L85" i="40"/>
  <c r="H72" i="40" s="1"/>
  <c r="L84" i="40"/>
  <c r="I78" i="40"/>
  <c r="K78" i="40"/>
  <c r="L77" i="40"/>
  <c r="K77" i="40"/>
  <c r="I73" i="40"/>
  <c r="L68" i="40"/>
  <c r="H56" i="40" s="1"/>
  <c r="I56" i="40" s="1"/>
  <c r="L67" i="40"/>
  <c r="L66" i="40"/>
  <c r="H55" i="40" s="1"/>
  <c r="I55" i="40" s="1"/>
  <c r="L65" i="40"/>
  <c r="H54" i="40" s="1"/>
  <c r="I54" i="40" s="1"/>
  <c r="L64" i="40"/>
  <c r="L63" i="40"/>
  <c r="L62" i="40"/>
  <c r="H59" i="40"/>
  <c r="L61" i="40"/>
  <c r="K54" i="40"/>
  <c r="H32" i="40"/>
  <c r="F29" i="40"/>
  <c r="I29" i="40" s="1"/>
  <c r="I31" i="40" s="1"/>
  <c r="I18" i="40"/>
  <c r="I17" i="40"/>
  <c r="F16" i="40"/>
  <c r="I16" i="40" s="1"/>
  <c r="L10" i="40"/>
  <c r="L9" i="40"/>
  <c r="L7" i="40"/>
  <c r="F7" i="40"/>
  <c r="F14" i="40" s="1"/>
  <c r="I14" i="40" s="1"/>
  <c r="I21" i="40" s="1"/>
  <c r="G344" i="40" s="1"/>
  <c r="L6" i="40"/>
  <c r="F124" i="29"/>
  <c r="I75" i="40" l="1"/>
  <c r="H52" i="40"/>
  <c r="I52" i="40" s="1"/>
  <c r="I53" i="40"/>
  <c r="I51" i="40"/>
  <c r="I49" i="40"/>
  <c r="I92" i="40"/>
  <c r="I113" i="40" s="1"/>
  <c r="E348" i="40" s="1"/>
  <c r="I77" i="40"/>
  <c r="I72" i="40"/>
  <c r="I71" i="40"/>
  <c r="D33" i="41"/>
  <c r="F37" i="41"/>
  <c r="E45" i="41" s="1"/>
  <c r="J32" i="41"/>
  <c r="K32" i="41" s="1"/>
  <c r="J31" i="41"/>
  <c r="K31" i="41" s="1"/>
  <c r="L31" i="41"/>
  <c r="I151" i="40"/>
  <c r="I161" i="40" s="1"/>
  <c r="O213" i="40"/>
  <c r="O388" i="40"/>
  <c r="P388" i="40" s="1"/>
  <c r="I20" i="40"/>
  <c r="I337" i="40"/>
  <c r="I226" i="40"/>
  <c r="O396" i="40"/>
  <c r="P396" i="40" s="1"/>
  <c r="I315" i="40"/>
  <c r="I74" i="40"/>
  <c r="L260" i="40"/>
  <c r="N181" i="40"/>
  <c r="O181" i="40" s="1"/>
  <c r="I130" i="40"/>
  <c r="I132" i="40" s="1"/>
  <c r="I274" i="40"/>
  <c r="I32" i="40"/>
  <c r="G345" i="40" s="1"/>
  <c r="E345" i="40"/>
  <c r="I202" i="40"/>
  <c r="I179" i="40"/>
  <c r="N392" i="40"/>
  <c r="F186" i="29"/>
  <c r="F29" i="29"/>
  <c r="F7" i="29"/>
  <c r="F14" i="29" s="1"/>
  <c r="I33" i="40" l="1"/>
  <c r="E344" i="40"/>
  <c r="I344" i="40" s="1"/>
  <c r="I22" i="40"/>
  <c r="E353" i="40"/>
  <c r="I275" i="40"/>
  <c r="G354" i="40" s="1"/>
  <c r="I345" i="40"/>
  <c r="I58" i="40"/>
  <c r="I80" i="40"/>
  <c r="E34" i="41"/>
  <c r="F34" i="41" s="1"/>
  <c r="E33" i="41"/>
  <c r="F33" i="41" s="1"/>
  <c r="E355" i="40"/>
  <c r="I316" i="40"/>
  <c r="G355" i="40" s="1"/>
  <c r="I114" i="40"/>
  <c r="G348" i="40" s="1"/>
  <c r="E356" i="40"/>
  <c r="I338" i="40"/>
  <c r="G356" i="40" s="1"/>
  <c r="E349" i="40"/>
  <c r="I349" i="40" s="1"/>
  <c r="I227" i="40"/>
  <c r="G353" i="40" s="1"/>
  <c r="E354" i="40"/>
  <c r="E351" i="40"/>
  <c r="I180" i="40"/>
  <c r="G351" i="40" s="1"/>
  <c r="E350" i="40"/>
  <c r="I162" i="40"/>
  <c r="G350" i="40" s="1"/>
  <c r="I350" i="40" s="1"/>
  <c r="I203" i="40"/>
  <c r="G352" i="40" s="1"/>
  <c r="E352" i="40"/>
  <c r="F401" i="38"/>
  <c r="F325" i="38"/>
  <c r="F276" i="38"/>
  <c r="F220" i="38"/>
  <c r="F201" i="38"/>
  <c r="F162" i="38"/>
  <c r="F96" i="38"/>
  <c r="F71" i="38"/>
  <c r="F42" i="38"/>
  <c r="A11" i="35"/>
  <c r="C5" i="37"/>
  <c r="I353" i="40" l="1"/>
  <c r="I339" i="40"/>
  <c r="I115" i="40"/>
  <c r="I163" i="40"/>
  <c r="I356" i="40"/>
  <c r="I181" i="40"/>
  <c r="E347" i="40"/>
  <c r="I204" i="40"/>
  <c r="I354" i="40"/>
  <c r="I228" i="40"/>
  <c r="E346" i="40"/>
  <c r="I348" i="40"/>
  <c r="I276" i="40"/>
  <c r="I317" i="40"/>
  <c r="I352" i="40"/>
  <c r="I351" i="40"/>
  <c r="I355" i="40"/>
  <c r="I59" i="40"/>
  <c r="G346" i="40" s="1"/>
  <c r="I81" i="40"/>
  <c r="G347" i="40" s="1"/>
  <c r="E44" i="41"/>
  <c r="L423" i="29"/>
  <c r="H395" i="29" s="1"/>
  <c r="L265" i="29"/>
  <c r="H238" i="29" s="1"/>
  <c r="L84" i="29"/>
  <c r="H74" i="29" s="1"/>
  <c r="L61" i="29"/>
  <c r="H51" i="29" s="1"/>
  <c r="I283" i="29"/>
  <c r="I282" i="29"/>
  <c r="I280" i="29"/>
  <c r="I279" i="29"/>
  <c r="I278" i="29"/>
  <c r="I285" i="29"/>
  <c r="I286" i="29"/>
  <c r="I287" i="29"/>
  <c r="I288" i="29"/>
  <c r="I289" i="29"/>
  <c r="I290" i="29"/>
  <c r="I291" i="29"/>
  <c r="I292" i="29"/>
  <c r="I293" i="29"/>
  <c r="I294" i="29"/>
  <c r="I295" i="29"/>
  <c r="I296" i="29"/>
  <c r="I276" i="29"/>
  <c r="I275" i="29"/>
  <c r="I274" i="29"/>
  <c r="I273" i="29"/>
  <c r="I272" i="29"/>
  <c r="I271" i="29"/>
  <c r="I264" i="29"/>
  <c r="I263" i="29"/>
  <c r="I262" i="29"/>
  <c r="I261" i="29"/>
  <c r="I260" i="29"/>
  <c r="I267" i="29"/>
  <c r="I82" i="40" l="1"/>
  <c r="E357" i="40"/>
  <c r="M3" i="40" s="1"/>
  <c r="I346" i="40"/>
  <c r="I60" i="40"/>
  <c r="I347" i="40"/>
  <c r="G357" i="40"/>
  <c r="M4" i="40"/>
  <c r="M5" i="40"/>
  <c r="I298" i="29"/>
  <c r="I299" i="29" s="1"/>
  <c r="I358" i="40" l="1"/>
  <c r="I300" i="29"/>
  <c r="L64" i="29" l="1"/>
  <c r="L428" i="29"/>
  <c r="L427" i="29"/>
  <c r="L217" i="29"/>
  <c r="L216" i="29"/>
  <c r="L215" i="29"/>
  <c r="L214" i="29"/>
  <c r="L213" i="29"/>
  <c r="L212" i="29"/>
  <c r="L211" i="29"/>
  <c r="L180" i="29"/>
  <c r="L179" i="29"/>
  <c r="L178" i="29"/>
  <c r="L177" i="29"/>
  <c r="L175" i="29"/>
  <c r="L90" i="29"/>
  <c r="L89" i="29"/>
  <c r="L88" i="29"/>
  <c r="L67" i="29"/>
  <c r="L66" i="29"/>
  <c r="L65" i="29"/>
  <c r="C6" i="37" l="1"/>
  <c r="C6" i="38"/>
  <c r="C5" i="38"/>
  <c r="A10" i="35"/>
  <c r="B454" i="38" l="1"/>
  <c r="A454" i="38"/>
  <c r="F31" i="35"/>
  <c r="E31" i="35"/>
  <c r="B31" i="35"/>
  <c r="A31" i="35"/>
  <c r="B429" i="29"/>
  <c r="A429" i="29"/>
  <c r="I404" i="29"/>
  <c r="L429" i="29"/>
  <c r="H401" i="29" s="1"/>
  <c r="I401" i="29" s="1"/>
  <c r="H400" i="29"/>
  <c r="H399" i="29"/>
  <c r="L426" i="29"/>
  <c r="H398" i="29" s="1"/>
  <c r="L425" i="29"/>
  <c r="I397" i="29" s="1"/>
  <c r="L424" i="29"/>
  <c r="I396" i="29" s="1"/>
  <c r="I395" i="29"/>
  <c r="I392" i="29"/>
  <c r="H410" i="29"/>
  <c r="H409" i="29"/>
  <c r="I406" i="29"/>
  <c r="I405" i="29"/>
  <c r="I403" i="29"/>
  <c r="I394" i="29"/>
  <c r="I393" i="29"/>
  <c r="I391" i="29"/>
  <c r="I390" i="29"/>
  <c r="I389" i="29"/>
  <c r="I388" i="29"/>
  <c r="I400" i="29" l="1"/>
  <c r="I399" i="29"/>
  <c r="I398" i="29"/>
  <c r="I408" i="29" l="1"/>
  <c r="E429" i="29" s="1"/>
  <c r="E30" i="35"/>
  <c r="F75" i="38"/>
  <c r="F74" i="38"/>
  <c r="F27" i="38"/>
  <c r="E27" i="35"/>
  <c r="E19" i="35"/>
  <c r="E18" i="35"/>
  <c r="F371" i="38"/>
  <c r="I156" i="29"/>
  <c r="I132" i="29"/>
  <c r="I131" i="29"/>
  <c r="I133" i="29"/>
  <c r="I409" i="29" l="1"/>
  <c r="H429" i="29" s="1"/>
  <c r="I410" i="29"/>
  <c r="F429" i="29" s="1"/>
  <c r="F78" i="29"/>
  <c r="I83" i="29"/>
  <c r="I77" i="29"/>
  <c r="F68" i="29"/>
  <c r="F67" i="29"/>
  <c r="F10" i="38"/>
  <c r="I429" i="29" l="1"/>
  <c r="I411" i="29"/>
  <c r="G31" i="35" s="1"/>
  <c r="F113" i="29"/>
  <c r="F112" i="29"/>
  <c r="I188" i="37" l="1"/>
  <c r="I187" i="37"/>
  <c r="I413" i="37" l="1"/>
  <c r="I412" i="37"/>
  <c r="I411" i="37"/>
  <c r="I410" i="37"/>
  <c r="I409" i="37"/>
  <c r="I408" i="37"/>
  <c r="I407" i="37"/>
  <c r="I405" i="37"/>
  <c r="I404" i="37"/>
  <c r="I403" i="37"/>
  <c r="I401" i="37"/>
  <c r="I400" i="37"/>
  <c r="I399" i="37"/>
  <c r="I398" i="37"/>
  <c r="I383" i="37"/>
  <c r="I382" i="37"/>
  <c r="I381" i="37"/>
  <c r="I380" i="37"/>
  <c r="I378" i="37"/>
  <c r="I377" i="37"/>
  <c r="I376" i="37"/>
  <c r="I375" i="37"/>
  <c r="I374" i="37"/>
  <c r="I373" i="37"/>
  <c r="I372" i="37"/>
  <c r="I371" i="37"/>
  <c r="I370" i="37"/>
  <c r="I369" i="37"/>
  <c r="I368" i="37"/>
  <c r="I367" i="37"/>
  <c r="I365" i="37"/>
  <c r="I364" i="37"/>
  <c r="I363" i="37"/>
  <c r="I362" i="37"/>
  <c r="I361" i="37"/>
  <c r="I360" i="37"/>
  <c r="I359" i="37"/>
  <c r="I357" i="37"/>
  <c r="I356" i="37"/>
  <c r="I355" i="37"/>
  <c r="I354" i="37"/>
  <c r="I352" i="37"/>
  <c r="I350" i="37"/>
  <c r="I348" i="37"/>
  <c r="I333" i="37"/>
  <c r="I332" i="37"/>
  <c r="I331" i="37"/>
  <c r="I330" i="37"/>
  <c r="I329" i="37"/>
  <c r="I328" i="37"/>
  <c r="I327" i="37"/>
  <c r="I326" i="37"/>
  <c r="I325" i="37"/>
  <c r="I324" i="37"/>
  <c r="I323" i="37"/>
  <c r="I322" i="37"/>
  <c r="I320" i="37"/>
  <c r="I319" i="37"/>
  <c r="I318" i="37"/>
  <c r="I317" i="37"/>
  <c r="I316" i="37"/>
  <c r="I315" i="37"/>
  <c r="I313" i="37"/>
  <c r="I312" i="37"/>
  <c r="I311" i="37"/>
  <c r="I310" i="37"/>
  <c r="I308" i="37"/>
  <c r="I307" i="37"/>
  <c r="I302" i="37"/>
  <c r="I299" i="37"/>
  <c r="I298" i="37"/>
  <c r="I284" i="37"/>
  <c r="I283" i="37"/>
  <c r="I282" i="37"/>
  <c r="I281" i="37"/>
  <c r="I280" i="37"/>
  <c r="I279" i="37"/>
  <c r="I278" i="37"/>
  <c r="I277" i="37"/>
  <c r="I276" i="37"/>
  <c r="I258" i="37"/>
  <c r="I257" i="37"/>
  <c r="I256" i="37"/>
  <c r="I255" i="37"/>
  <c r="I254" i="37"/>
  <c r="I253" i="37"/>
  <c r="I252" i="37"/>
  <c r="I250" i="37"/>
  <c r="I249" i="37"/>
  <c r="I248" i="37"/>
  <c r="I247" i="37"/>
  <c r="I246" i="37"/>
  <c r="I245" i="37"/>
  <c r="I242" i="37"/>
  <c r="I241" i="37"/>
  <c r="I240" i="37"/>
  <c r="I239" i="37"/>
  <c r="I238" i="37"/>
  <c r="I237" i="37"/>
  <c r="I218" i="37"/>
  <c r="I217" i="37"/>
  <c r="I215" i="37"/>
  <c r="I214" i="37"/>
  <c r="I213" i="37"/>
  <c r="I212" i="37"/>
  <c r="I199" i="37"/>
  <c r="I198" i="37"/>
  <c r="I197" i="37"/>
  <c r="I195" i="37"/>
  <c r="I194" i="37"/>
  <c r="I193" i="37"/>
  <c r="I184" i="37"/>
  <c r="I183" i="37"/>
  <c r="I181" i="37"/>
  <c r="I180" i="37"/>
  <c r="I179" i="37"/>
  <c r="I178" i="37"/>
  <c r="I177" i="37"/>
  <c r="I159" i="37"/>
  <c r="I157" i="37"/>
  <c r="I155" i="37"/>
  <c r="I153" i="37"/>
  <c r="I150" i="37"/>
  <c r="I149" i="37"/>
  <c r="I147" i="37"/>
  <c r="I145" i="37"/>
  <c r="I132" i="37"/>
  <c r="I131" i="37"/>
  <c r="I130" i="37"/>
  <c r="I129" i="37"/>
  <c r="I128" i="37"/>
  <c r="I127" i="37"/>
  <c r="I126" i="37"/>
  <c r="I124" i="37"/>
  <c r="I123" i="37"/>
  <c r="I122" i="37"/>
  <c r="I121" i="37"/>
  <c r="I117" i="37"/>
  <c r="I115" i="37"/>
  <c r="I114" i="37"/>
  <c r="I113" i="37"/>
  <c r="I112" i="37"/>
  <c r="I111" i="37"/>
  <c r="I110" i="37"/>
  <c r="I109" i="37"/>
  <c r="I108" i="37"/>
  <c r="I107" i="37"/>
  <c r="I106" i="37"/>
  <c r="I105" i="37"/>
  <c r="I104" i="37"/>
  <c r="I89" i="37"/>
  <c r="I88" i="37"/>
  <c r="I87" i="37"/>
  <c r="I86" i="37"/>
  <c r="I85" i="37"/>
  <c r="I84" i="37"/>
  <c r="I83" i="37"/>
  <c r="I82" i="37"/>
  <c r="I65" i="37"/>
  <c r="I64" i="37"/>
  <c r="I63" i="37"/>
  <c r="I62" i="37"/>
  <c r="I61" i="37"/>
  <c r="I60" i="37"/>
  <c r="I59" i="37"/>
  <c r="I58" i="37"/>
  <c r="I34" i="37"/>
  <c r="I20" i="37"/>
  <c r="I19" i="37"/>
  <c r="I18" i="37"/>
  <c r="I16" i="37"/>
  <c r="I185" i="37" l="1"/>
  <c r="I216" i="37"/>
  <c r="I118" i="37"/>
  <c r="I119" i="37"/>
  <c r="J9" i="36"/>
  <c r="H9" i="36"/>
  <c r="G9" i="36"/>
  <c r="F9" i="36"/>
  <c r="E9" i="36"/>
  <c r="D9" i="36"/>
  <c r="C9" i="36"/>
  <c r="K8" i="36"/>
  <c r="I7" i="36"/>
  <c r="K7" i="36" s="1"/>
  <c r="K6" i="36"/>
  <c r="I6" i="36"/>
  <c r="I5" i="36"/>
  <c r="K5" i="36" s="1"/>
  <c r="I4" i="36"/>
  <c r="K4" i="36" s="1"/>
  <c r="I3" i="36"/>
  <c r="I9" i="36" l="1"/>
  <c r="K3" i="36"/>
  <c r="K9" i="36" s="1"/>
  <c r="N192" i="29" l="1"/>
  <c r="F251" i="38" l="1"/>
  <c r="L7" i="29" l="1"/>
  <c r="H17" i="35" s="1"/>
  <c r="H31" i="35" l="1"/>
  <c r="M182" i="29"/>
  <c r="F164" i="29"/>
  <c r="L194" i="29" l="1"/>
  <c r="H169" i="29" s="1"/>
  <c r="I169" i="29" s="1"/>
  <c r="Q238" i="29" l="1"/>
  <c r="Q234" i="29"/>
  <c r="K165" i="29" l="1"/>
  <c r="K78" i="29" l="1"/>
  <c r="N233" i="29" l="1"/>
  <c r="N232" i="29"/>
  <c r="N231" i="29"/>
  <c r="I326" i="29" l="1"/>
  <c r="I29" i="29"/>
  <c r="I31" i="29" s="1"/>
  <c r="H225" i="29" l="1"/>
  <c r="H224" i="29"/>
  <c r="H376" i="29"/>
  <c r="H375" i="29"/>
  <c r="H346" i="29"/>
  <c r="H345" i="29"/>
  <c r="H300" i="29"/>
  <c r="H299" i="29"/>
  <c r="H250" i="29"/>
  <c r="H249" i="29"/>
  <c r="H196" i="29"/>
  <c r="H195" i="29"/>
  <c r="H177" i="29"/>
  <c r="H176" i="29"/>
  <c r="H143" i="29"/>
  <c r="H142" i="29"/>
  <c r="H122" i="29"/>
  <c r="H121" i="29"/>
  <c r="H33" i="29"/>
  <c r="H32" i="29"/>
  <c r="H62" i="29"/>
  <c r="H61" i="29"/>
  <c r="H87" i="29"/>
  <c r="H86" i="29"/>
  <c r="M175" i="29" l="1"/>
  <c r="M177" i="29"/>
  <c r="L184" i="29"/>
  <c r="H164" i="29" s="1"/>
  <c r="I164" i="29" s="1"/>
  <c r="L123" i="29"/>
  <c r="L122" i="29"/>
  <c r="H110" i="29" s="1"/>
  <c r="L121" i="29"/>
  <c r="I110" i="29" l="1"/>
  <c r="M107" i="29" l="1"/>
  <c r="M108" i="29"/>
  <c r="L119" i="29"/>
  <c r="L118" i="29"/>
  <c r="L117" i="29"/>
  <c r="L116" i="29"/>
  <c r="H108" i="29" l="1"/>
  <c r="I108" i="29" s="1"/>
  <c r="H107" i="29"/>
  <c r="I107" i="29" s="1"/>
  <c r="H106" i="29"/>
  <c r="I106" i="29" s="1"/>
  <c r="H105" i="29"/>
  <c r="I105" i="29" s="1"/>
  <c r="I14" i="29" l="1"/>
  <c r="L92" i="29"/>
  <c r="H82" i="29" s="1"/>
  <c r="I82" i="29" s="1"/>
  <c r="L91" i="29"/>
  <c r="H81" i="29" s="1"/>
  <c r="I81" i="29" s="1"/>
  <c r="H80" i="29"/>
  <c r="L86" i="29"/>
  <c r="H76" i="29" s="1"/>
  <c r="I76" i="29" s="1"/>
  <c r="L85" i="29"/>
  <c r="H75" i="29" s="1"/>
  <c r="I75" i="29" s="1"/>
  <c r="I74" i="29"/>
  <c r="H79" i="29"/>
  <c r="H78" i="29"/>
  <c r="I80" i="29" l="1"/>
  <c r="I79" i="29"/>
  <c r="I78" i="29"/>
  <c r="I85" i="29" l="1"/>
  <c r="E419" i="29" s="1"/>
  <c r="I87" i="29" l="1"/>
  <c r="F419" i="29" s="1"/>
  <c r="I86" i="29"/>
  <c r="H419" i="29" s="1"/>
  <c r="I419" i="29" l="1"/>
  <c r="I88" i="29"/>
  <c r="G21" i="35" s="1"/>
  <c r="I21" i="29"/>
  <c r="F416" i="29" s="1"/>
  <c r="I17" i="35" l="1"/>
  <c r="I31" i="35" s="1"/>
  <c r="J31" i="35" s="1"/>
  <c r="K31" i="35" s="1"/>
  <c r="H21" i="35"/>
  <c r="L248" i="29"/>
  <c r="L247" i="29"/>
  <c r="L246" i="29"/>
  <c r="L245" i="29"/>
  <c r="L244" i="29"/>
  <c r="L240" i="29"/>
  <c r="L394" i="29"/>
  <c r="L273" i="29"/>
  <c r="L272" i="29"/>
  <c r="L271" i="29"/>
  <c r="L270" i="29"/>
  <c r="L269" i="29"/>
  <c r="L268" i="29"/>
  <c r="L267" i="29"/>
  <c r="L266" i="29"/>
  <c r="L193" i="29"/>
  <c r="L192" i="29"/>
  <c r="L198" i="29"/>
  <c r="L197" i="29"/>
  <c r="L196" i="29"/>
  <c r="L183" i="29"/>
  <c r="L182" i="29"/>
  <c r="L135" i="29"/>
  <c r="L134" i="29"/>
  <c r="L133" i="29"/>
  <c r="L132" i="29"/>
  <c r="L131" i="29"/>
  <c r="L127" i="29"/>
  <c r="L115" i="29"/>
  <c r="L114" i="29"/>
  <c r="L113" i="29"/>
  <c r="L112" i="29"/>
  <c r="L111" i="29"/>
  <c r="L110" i="29"/>
  <c r="L109" i="29"/>
  <c r="L108" i="29"/>
  <c r="L68" i="29"/>
  <c r="L63" i="29"/>
  <c r="L62" i="29"/>
  <c r="L31" i="35" l="1"/>
  <c r="N31" i="35" s="1"/>
  <c r="O31" i="35" s="1"/>
  <c r="P31" i="35" s="1"/>
  <c r="I21" i="35"/>
  <c r="J21" i="35" s="1"/>
  <c r="K21" i="35" s="1"/>
  <c r="H163" i="29"/>
  <c r="I163" i="29" s="1"/>
  <c r="L21" i="35" l="1"/>
  <c r="N21" i="35" s="1"/>
  <c r="O21" i="35" s="1"/>
  <c r="P21" i="35" s="1"/>
  <c r="F138" i="38" l="1"/>
  <c r="K158" i="29"/>
  <c r="L158" i="29" s="1"/>
  <c r="N157" i="29"/>
  <c r="M157" i="29"/>
  <c r="N155" i="29"/>
  <c r="M155" i="29"/>
  <c r="I316" i="29" l="1"/>
  <c r="I216" i="29" l="1"/>
  <c r="H57" i="29" l="1"/>
  <c r="I57" i="29" l="1"/>
  <c r="K156" i="29"/>
  <c r="K154" i="29"/>
  <c r="L156" i="29" l="1"/>
  <c r="L154" i="29"/>
  <c r="I26" i="35"/>
  <c r="H26" i="35"/>
  <c r="I30" i="35"/>
  <c r="H30" i="35"/>
  <c r="I29" i="35"/>
  <c r="H29" i="35"/>
  <c r="I28" i="35"/>
  <c r="H28" i="35"/>
  <c r="I27" i="35"/>
  <c r="H27" i="35"/>
  <c r="I25" i="35"/>
  <c r="H25" i="35"/>
  <c r="I24" i="35"/>
  <c r="H24" i="35"/>
  <c r="I23" i="35"/>
  <c r="H23" i="35"/>
  <c r="I22" i="35"/>
  <c r="H22" i="35"/>
  <c r="I20" i="35"/>
  <c r="H20" i="35"/>
  <c r="I19" i="35"/>
  <c r="H19" i="35"/>
  <c r="I18" i="35"/>
  <c r="H18" i="35"/>
  <c r="J19" i="35" l="1"/>
  <c r="J22" i="35"/>
  <c r="J27" i="35"/>
  <c r="J26" i="35"/>
  <c r="J28" i="35"/>
  <c r="J18" i="35"/>
  <c r="J23" i="35"/>
  <c r="J25" i="35"/>
  <c r="J30" i="35"/>
  <c r="J24" i="35"/>
  <c r="J20" i="35"/>
  <c r="J29" i="35"/>
  <c r="F16" i="29"/>
  <c r="I16" i="29" s="1"/>
  <c r="I17" i="29"/>
  <c r="I18" i="29"/>
  <c r="I155" i="29"/>
  <c r="H157" i="29"/>
  <c r="M210" i="29"/>
  <c r="N210" i="29"/>
  <c r="M211" i="29"/>
  <c r="N211" i="29"/>
  <c r="H187" i="29"/>
  <c r="M212" i="29"/>
  <c r="N212" i="29" s="1"/>
  <c r="H189" i="29"/>
  <c r="I187" i="29" l="1"/>
  <c r="I186" i="29"/>
  <c r="E417" i="29"/>
  <c r="I33" i="29"/>
  <c r="F417" i="29" s="1"/>
  <c r="I32" i="29"/>
  <c r="I157" i="29"/>
  <c r="O211" i="29"/>
  <c r="I20" i="29"/>
  <c r="I189" i="29"/>
  <c r="H98" i="29"/>
  <c r="I98" i="29" s="1"/>
  <c r="H99" i="29"/>
  <c r="I99" i="29" s="1"/>
  <c r="H100" i="29"/>
  <c r="I100" i="29" s="1"/>
  <c r="I34" i="29" l="1"/>
  <c r="H417" i="29"/>
  <c r="I22" i="29"/>
  <c r="E416" i="29"/>
  <c r="I416" i="29" l="1"/>
  <c r="I417" i="29"/>
  <c r="M394" i="29"/>
  <c r="O398" i="29"/>
  <c r="N394" i="29"/>
  <c r="K256" i="29" l="1"/>
  <c r="K386" i="29" l="1"/>
  <c r="I372" i="29" l="1"/>
  <c r="I371" i="29"/>
  <c r="I370" i="29"/>
  <c r="I369" i="29"/>
  <c r="I368" i="29"/>
  <c r="I367" i="29"/>
  <c r="I366" i="29"/>
  <c r="I364" i="29"/>
  <c r="I363" i="29"/>
  <c r="M390" i="29"/>
  <c r="O394" i="29" s="1"/>
  <c r="P394" i="29" s="1"/>
  <c r="I362" i="29"/>
  <c r="I360" i="29"/>
  <c r="I359" i="29"/>
  <c r="M386" i="29"/>
  <c r="L386" i="29"/>
  <c r="I358" i="29"/>
  <c r="I357" i="29"/>
  <c r="O386" i="29" l="1"/>
  <c r="N390" i="29"/>
  <c r="P386" i="29" l="1"/>
  <c r="I374" i="29" l="1"/>
  <c r="E428" i="29" s="1"/>
  <c r="I376" i="29" l="1"/>
  <c r="I375" i="29"/>
  <c r="H428" i="29" s="1"/>
  <c r="H101" i="29"/>
  <c r="I101" i="29" s="1"/>
  <c r="M179" i="29"/>
  <c r="N180" i="29" s="1"/>
  <c r="O180" i="29" s="1"/>
  <c r="H160" i="29"/>
  <c r="H159" i="29"/>
  <c r="I160" i="29" l="1"/>
  <c r="I159" i="29"/>
  <c r="F428" i="29"/>
  <c r="I428" i="29" s="1"/>
  <c r="I377" i="29"/>
  <c r="N179" i="29"/>
  <c r="O179" i="29" s="1"/>
  <c r="M213" i="29" l="1"/>
  <c r="N213" i="29" s="1"/>
  <c r="O213" i="29" s="1"/>
  <c r="H188" i="29"/>
  <c r="H192" i="29"/>
  <c r="H191" i="29"/>
  <c r="I192" i="29" l="1"/>
  <c r="I191" i="29"/>
  <c r="I188" i="29"/>
  <c r="I190" i="29" l="1"/>
  <c r="K257" i="29"/>
  <c r="L257" i="29" s="1"/>
  <c r="L256" i="29"/>
  <c r="H221" i="29"/>
  <c r="H220" i="29"/>
  <c r="H219" i="29"/>
  <c r="H218" i="29"/>
  <c r="H217" i="29"/>
  <c r="L258" i="29" l="1"/>
  <c r="Q245" i="29" l="1"/>
  <c r="S245" i="29" s="1"/>
  <c r="Q244" i="29"/>
  <c r="S244" i="29" s="1"/>
  <c r="R231" i="29" l="1"/>
  <c r="O231" i="29"/>
  <c r="O234" i="29" s="1"/>
  <c r="P234" i="29" l="1"/>
  <c r="H162" i="29"/>
  <c r="H172" i="29"/>
  <c r="H171" i="29"/>
  <c r="H158" i="29"/>
  <c r="H114" i="29"/>
  <c r="H168" i="29" l="1"/>
  <c r="I168" i="29" s="1"/>
  <c r="H173" i="29"/>
  <c r="I173" i="29" s="1"/>
  <c r="H167" i="29"/>
  <c r="I167" i="29" s="1"/>
  <c r="H104" i="29" l="1"/>
  <c r="I104" i="29" s="1"/>
  <c r="H103" i="29"/>
  <c r="I103" i="29" s="1"/>
  <c r="H102" i="29"/>
  <c r="I102" i="29" s="1"/>
  <c r="H97" i="29"/>
  <c r="I97" i="29" s="1"/>
  <c r="H58" i="29" l="1"/>
  <c r="H56" i="29"/>
  <c r="H55" i="29"/>
  <c r="H246" i="29"/>
  <c r="H245" i="29"/>
  <c r="H244" i="29"/>
  <c r="H243" i="29"/>
  <c r="H242" i="29"/>
  <c r="H241" i="29"/>
  <c r="H240" i="29"/>
  <c r="H239" i="29"/>
  <c r="O192" i="29" l="1"/>
  <c r="K54" i="29" l="1"/>
  <c r="L77" i="29" l="1"/>
  <c r="K77" i="29" l="1"/>
  <c r="I213" i="29" l="1"/>
  <c r="I215" i="29" l="1"/>
  <c r="I214" i="29"/>
  <c r="I217" i="29"/>
  <c r="I218" i="29"/>
  <c r="I221" i="29" l="1"/>
  <c r="I220" i="29"/>
  <c r="I219" i="29"/>
  <c r="I212" i="29"/>
  <c r="I158" i="29"/>
  <c r="I223" i="29" l="1"/>
  <c r="E424" i="29" s="1"/>
  <c r="I162" i="29"/>
  <c r="I224" i="29" l="1"/>
  <c r="H424" i="29" s="1"/>
  <c r="I225" i="29"/>
  <c r="B428" i="29"/>
  <c r="I246" i="29"/>
  <c r="I245" i="29"/>
  <c r="I244" i="29"/>
  <c r="I243" i="29"/>
  <c r="I242" i="29"/>
  <c r="I241" i="29"/>
  <c r="I240" i="29"/>
  <c r="I239" i="29"/>
  <c r="I238" i="29"/>
  <c r="F424" i="29" l="1"/>
  <c r="I424" i="29" s="1"/>
  <c r="I226" i="29"/>
  <c r="G26" i="35" s="1"/>
  <c r="I248" i="29"/>
  <c r="E425" i="29" s="1"/>
  <c r="K26" i="35" l="1"/>
  <c r="L26" i="35" s="1"/>
  <c r="N26" i="35" s="1"/>
  <c r="O26" i="35" s="1"/>
  <c r="P26" i="35" s="1"/>
  <c r="I250" i="29"/>
  <c r="I249" i="29"/>
  <c r="H425" i="29" s="1"/>
  <c r="F425" i="29" l="1"/>
  <c r="I425" i="29" s="1"/>
  <c r="I251" i="29"/>
  <c r="G27" i="35" s="1"/>
  <c r="K27" i="35" l="1"/>
  <c r="L27" i="35" s="1"/>
  <c r="N27" i="35" s="1"/>
  <c r="O27" i="35" s="1"/>
  <c r="P27" i="35" s="1"/>
  <c r="E426" i="29" l="1"/>
  <c r="B427" i="29" l="1"/>
  <c r="B426" i="29"/>
  <c r="B425" i="29"/>
  <c r="B423" i="29"/>
  <c r="B422" i="29"/>
  <c r="B421" i="29"/>
  <c r="B420" i="29"/>
  <c r="B418" i="29"/>
  <c r="B417" i="29"/>
  <c r="B416" i="29"/>
  <c r="B414" i="29"/>
  <c r="H426" i="29" l="1"/>
  <c r="I301" i="29"/>
  <c r="F426" i="29"/>
  <c r="I115" i="29"/>
  <c r="I426" i="29" l="1"/>
  <c r="I342" i="29"/>
  <c r="I52" i="29" l="1"/>
  <c r="I58" i="29" l="1"/>
  <c r="I320" i="29" l="1"/>
  <c r="I324" i="29"/>
  <c r="I323" i="29"/>
  <c r="I322" i="29"/>
  <c r="I321" i="29"/>
  <c r="I329" i="29"/>
  <c r="I332" i="29"/>
  <c r="I337" i="29"/>
  <c r="I336" i="29"/>
  <c r="I335" i="29"/>
  <c r="I334" i="29"/>
  <c r="I333" i="29"/>
  <c r="I331" i="29"/>
  <c r="I330" i="29"/>
  <c r="I172" i="29" l="1"/>
  <c r="I171" i="29"/>
  <c r="I175" i="29" l="1"/>
  <c r="E422" i="29" s="1"/>
  <c r="I176" i="29" l="1"/>
  <c r="H422" i="29" s="1"/>
  <c r="I177" i="29"/>
  <c r="F422" i="29" l="1"/>
  <c r="I422" i="29" s="1"/>
  <c r="I178" i="29"/>
  <c r="I341" i="29"/>
  <c r="I340" i="29"/>
  <c r="I339" i="29"/>
  <c r="I325" i="29"/>
  <c r="I328" i="29"/>
  <c r="I318" i="29"/>
  <c r="I317" i="29"/>
  <c r="I315" i="29"/>
  <c r="I313" i="29"/>
  <c r="I311" i="29"/>
  <c r="I138" i="29"/>
  <c r="I136" i="29"/>
  <c r="I118" i="29"/>
  <c r="I117" i="29"/>
  <c r="I116" i="29"/>
  <c r="I114" i="29"/>
  <c r="I113" i="29"/>
  <c r="I112" i="29"/>
  <c r="I53" i="29"/>
  <c r="I51" i="29"/>
  <c r="I55" i="29"/>
  <c r="I56" i="29"/>
  <c r="I141" i="29" l="1"/>
  <c r="E421" i="29" s="1"/>
  <c r="I344" i="29"/>
  <c r="E427" i="29" s="1"/>
  <c r="I120" i="29"/>
  <c r="E420" i="29" s="1"/>
  <c r="I345" i="29" l="1"/>
  <c r="H427" i="29" s="1"/>
  <c r="I346" i="29"/>
  <c r="H421" i="29"/>
  <c r="I122" i="29"/>
  <c r="I121" i="29"/>
  <c r="H420" i="29" s="1"/>
  <c r="G19" i="35"/>
  <c r="I194" i="29"/>
  <c r="E423" i="29" s="1"/>
  <c r="K19" i="35" l="1"/>
  <c r="L19" i="35" s="1"/>
  <c r="I144" i="29"/>
  <c r="G23" i="35" s="1"/>
  <c r="F427" i="29"/>
  <c r="I427" i="29" s="1"/>
  <c r="I347" i="29"/>
  <c r="G29" i="35" s="1"/>
  <c r="F420" i="29"/>
  <c r="I420" i="29" s="1"/>
  <c r="I123" i="29"/>
  <c r="G22" i="35" s="1"/>
  <c r="F421" i="29"/>
  <c r="I421" i="29" s="1"/>
  <c r="I196" i="29"/>
  <c r="I195" i="29"/>
  <c r="H423" i="29" s="1"/>
  <c r="G30" i="35"/>
  <c r="G28" i="35"/>
  <c r="G24" i="35"/>
  <c r="G18" i="35"/>
  <c r="K22" i="35" l="1"/>
  <c r="L22" i="35" s="1"/>
  <c r="N22" i="35" s="1"/>
  <c r="O22" i="35" s="1"/>
  <c r="P22" i="35" s="1"/>
  <c r="K28" i="35"/>
  <c r="L28" i="35" s="1"/>
  <c r="K29" i="35"/>
  <c r="L29" i="35" s="1"/>
  <c r="K23" i="35"/>
  <c r="L23" i="35" s="1"/>
  <c r="K30" i="35"/>
  <c r="L30" i="35" s="1"/>
  <c r="K24" i="35"/>
  <c r="L24" i="35" s="1"/>
  <c r="F423" i="29"/>
  <c r="I197" i="29"/>
  <c r="G25" i="35" s="1"/>
  <c r="K18" i="35"/>
  <c r="L18" i="35" s="1"/>
  <c r="N19" i="35"/>
  <c r="O19" i="35" s="1"/>
  <c r="P19" i="35" s="1"/>
  <c r="N28" i="35" l="1"/>
  <c r="O28" i="35" s="1"/>
  <c r="P28" i="35" s="1"/>
  <c r="N30" i="35"/>
  <c r="O30" i="35" s="1"/>
  <c r="P30" i="35" s="1"/>
  <c r="N29" i="35"/>
  <c r="O29" i="35" s="1"/>
  <c r="P29" i="35" s="1"/>
  <c r="K25" i="35"/>
  <c r="I423" i="29"/>
  <c r="N18" i="35"/>
  <c r="O18" i="35" s="1"/>
  <c r="P18" i="35" s="1"/>
  <c r="N24" i="35"/>
  <c r="O24" i="35" s="1"/>
  <c r="P24" i="35" s="1"/>
  <c r="N23" i="35"/>
  <c r="O23" i="35" s="1"/>
  <c r="P23" i="35" s="1"/>
  <c r="L25" i="35" l="1"/>
  <c r="N25" i="35" s="1"/>
  <c r="O25" i="35" l="1"/>
  <c r="P25" i="35" l="1"/>
  <c r="H54" i="29"/>
  <c r="I54" i="29" l="1"/>
  <c r="I60" i="29" s="1"/>
  <c r="E418" i="29" l="1"/>
  <c r="E430" i="29" s="1"/>
  <c r="M3" i="29" s="1"/>
  <c r="I61" i="29"/>
  <c r="H418" i="29" s="1"/>
  <c r="H430" i="29" s="1"/>
  <c r="M4" i="29" s="1"/>
  <c r="I62" i="29"/>
  <c r="F418" i="29" s="1"/>
  <c r="F430" i="29" l="1"/>
  <c r="M5" i="29" s="1"/>
  <c r="I418" i="29"/>
  <c r="I431" i="29" s="1"/>
  <c r="I63" i="29"/>
  <c r="G20" i="35" s="1"/>
  <c r="K20" i="35" l="1"/>
  <c r="L20" i="35" s="1"/>
  <c r="L33" i="35" s="1"/>
  <c r="G33" i="35"/>
  <c r="L6" i="29" s="1"/>
  <c r="N20" i="35" l="1"/>
  <c r="K33" i="35"/>
  <c r="N33" i="35" l="1"/>
  <c r="L9" i="29" s="1"/>
  <c r="O20" i="35"/>
  <c r="P20" i="35" l="1"/>
  <c r="O33" i="35"/>
  <c r="L10" i="29" s="1"/>
</calcChain>
</file>

<file path=xl/comments1.xml><?xml version="1.0" encoding="utf-8"?>
<comments xmlns="http://schemas.openxmlformats.org/spreadsheetml/2006/main">
  <authors>
    <author>Roland Santiago</author>
  </authors>
  <commentList>
    <comment ref="M155" authorId="0" shapeId="0">
      <text>
        <r>
          <rPr>
            <b/>
            <sz val="9"/>
            <color indexed="81"/>
            <rFont val="Tahoma"/>
            <family val="2"/>
          </rPr>
          <t>Roland Santiago:</t>
        </r>
        <r>
          <rPr>
            <sz val="9"/>
            <color indexed="81"/>
            <rFont val="Tahoma"/>
            <family val="2"/>
          </rPr>
          <t xml:space="preserve">
anodized frame + clear glass (per blade)
- per panel 0.70m</t>
        </r>
      </text>
    </comment>
    <comment ref="N155" authorId="0" shapeId="0">
      <text>
        <r>
          <rPr>
            <b/>
            <sz val="9"/>
            <color indexed="81"/>
            <rFont val="Tahoma"/>
            <family val="2"/>
          </rPr>
          <t>Roland Santiago:</t>
        </r>
        <r>
          <rPr>
            <sz val="9"/>
            <color indexed="81"/>
            <rFont val="Tahoma"/>
            <family val="2"/>
          </rPr>
          <t xml:space="preserve">
anodized frame + clear glass (per blade)
- per panel 0.70m</t>
        </r>
      </text>
    </comment>
    <comment ref="M157" authorId="0" shapeId="0">
      <text>
        <r>
          <rPr>
            <b/>
            <sz val="9"/>
            <color indexed="81"/>
            <rFont val="Tahoma"/>
            <family val="2"/>
          </rPr>
          <t>Roland Santiago:</t>
        </r>
        <r>
          <rPr>
            <sz val="9"/>
            <color indexed="81"/>
            <rFont val="Tahoma"/>
            <family val="2"/>
          </rPr>
          <t xml:space="preserve">
analok frame + bronze glass (per blade)
- per panel 0.70m</t>
        </r>
      </text>
    </comment>
    <comment ref="N157" authorId="0" shapeId="0">
      <text>
        <r>
          <rPr>
            <b/>
            <sz val="9"/>
            <color indexed="81"/>
            <rFont val="Tahoma"/>
            <family val="2"/>
          </rPr>
          <t>Roland Santiago:</t>
        </r>
        <r>
          <rPr>
            <sz val="9"/>
            <color indexed="81"/>
            <rFont val="Tahoma"/>
            <family val="2"/>
          </rPr>
          <t xml:space="preserve">
analok frame + bronze glass (per blade)
- per panel 0.70m</t>
        </r>
      </text>
    </comment>
  </commentList>
</comments>
</file>

<file path=xl/comments2.xml><?xml version="1.0" encoding="utf-8"?>
<comments xmlns="http://schemas.openxmlformats.org/spreadsheetml/2006/main">
  <authors>
    <author>Roland Santiago</author>
  </authors>
  <commentList>
    <comment ref="I17" authorId="0" shapeId="0">
      <text>
        <r>
          <rPr>
            <b/>
            <sz val="9"/>
            <color indexed="81"/>
            <rFont val="Tahoma"/>
            <family val="2"/>
          </rPr>
          <t>Roland Santiago:</t>
        </r>
        <r>
          <rPr>
            <sz val="9"/>
            <color indexed="81"/>
            <rFont val="Tahoma"/>
            <family val="2"/>
          </rPr>
          <t xml:space="preserve">
should not be greater than 8%</t>
        </r>
      </text>
    </comment>
  </commentList>
</comments>
</file>

<file path=xl/comments3.xml><?xml version="1.0" encoding="utf-8"?>
<comments xmlns="http://schemas.openxmlformats.org/spreadsheetml/2006/main">
  <authors>
    <author>Roland Santiago</author>
  </authors>
  <commentList>
    <comment ref="M156" authorId="0" shapeId="0">
      <text>
        <r>
          <rPr>
            <b/>
            <sz val="9"/>
            <color indexed="81"/>
            <rFont val="Tahoma"/>
            <family val="2"/>
          </rPr>
          <t>Roland Santiago:</t>
        </r>
        <r>
          <rPr>
            <sz val="9"/>
            <color indexed="81"/>
            <rFont val="Tahoma"/>
            <family val="2"/>
          </rPr>
          <t xml:space="preserve">
anodized frame + clear glass (per blade)
- per panel 0.70m</t>
        </r>
      </text>
    </comment>
    <comment ref="N156" authorId="0" shapeId="0">
      <text>
        <r>
          <rPr>
            <b/>
            <sz val="9"/>
            <color indexed="81"/>
            <rFont val="Tahoma"/>
            <family val="2"/>
          </rPr>
          <t>Roland Santiago:</t>
        </r>
        <r>
          <rPr>
            <sz val="9"/>
            <color indexed="81"/>
            <rFont val="Tahoma"/>
            <family val="2"/>
          </rPr>
          <t xml:space="preserve">
anodized frame + clear glass (per blade)
- per panel 0.70m</t>
        </r>
      </text>
    </comment>
    <comment ref="M158" authorId="0" shapeId="0">
      <text>
        <r>
          <rPr>
            <b/>
            <sz val="9"/>
            <color indexed="81"/>
            <rFont val="Tahoma"/>
            <family val="2"/>
          </rPr>
          <t>Roland Santiago:</t>
        </r>
        <r>
          <rPr>
            <sz val="9"/>
            <color indexed="81"/>
            <rFont val="Tahoma"/>
            <family val="2"/>
          </rPr>
          <t xml:space="preserve">
analok frame + bronze glass (per blade)
- per panel 0.70m</t>
        </r>
      </text>
    </comment>
    <comment ref="N158" authorId="0" shapeId="0">
      <text>
        <r>
          <rPr>
            <b/>
            <sz val="9"/>
            <color indexed="81"/>
            <rFont val="Tahoma"/>
            <family val="2"/>
          </rPr>
          <t>Roland Santiago:</t>
        </r>
        <r>
          <rPr>
            <sz val="9"/>
            <color indexed="81"/>
            <rFont val="Tahoma"/>
            <family val="2"/>
          </rPr>
          <t xml:space="preserve">
analok frame + bronze glass (per blade)
- per panel 0.70m</t>
        </r>
      </text>
    </comment>
  </commentList>
</comments>
</file>

<file path=xl/sharedStrings.xml><?xml version="1.0" encoding="utf-8"?>
<sst xmlns="http://schemas.openxmlformats.org/spreadsheetml/2006/main" count="2966" uniqueCount="769">
  <si>
    <t>kgs</t>
  </si>
  <si>
    <t>pcs</t>
  </si>
  <si>
    <t>bags</t>
  </si>
  <si>
    <t>Portland Cement</t>
  </si>
  <si>
    <t>cu.m</t>
  </si>
  <si>
    <t>packs</t>
  </si>
  <si>
    <t>sets</t>
  </si>
  <si>
    <t>gals</t>
  </si>
  <si>
    <t>Paint Thinner</t>
  </si>
  <si>
    <t>Labor Cost</t>
  </si>
  <si>
    <t>set</t>
  </si>
  <si>
    <t>AMOUNT</t>
  </si>
  <si>
    <t>UNIT</t>
  </si>
  <si>
    <t>QTY</t>
  </si>
  <si>
    <t>Republic of the Philippines</t>
  </si>
  <si>
    <t>Project Title:</t>
  </si>
  <si>
    <t xml:space="preserve">Location: </t>
  </si>
  <si>
    <t xml:space="preserve">Date: </t>
  </si>
  <si>
    <t xml:space="preserve">DETAILED ESTIMATE </t>
  </si>
  <si>
    <t xml:space="preserve">UNIT </t>
  </si>
  <si>
    <t>I.</t>
  </si>
  <si>
    <t>lot</t>
  </si>
  <si>
    <t>Scope of Work:</t>
  </si>
  <si>
    <t>Total Cost</t>
  </si>
  <si>
    <t>II.</t>
  </si>
  <si>
    <t>Materials:</t>
  </si>
  <si>
    <t>Material Cost</t>
  </si>
  <si>
    <t>III.</t>
  </si>
  <si>
    <t>IV.</t>
  </si>
  <si>
    <t>V.</t>
  </si>
  <si>
    <t>TILE WORKS</t>
  </si>
  <si>
    <t>VI.</t>
  </si>
  <si>
    <t>VII.</t>
  </si>
  <si>
    <t>SUMMARY OF COST ESTIMATE</t>
  </si>
  <si>
    <t xml:space="preserve"> </t>
  </si>
  <si>
    <t>ITEM NO.</t>
  </si>
  <si>
    <t>DESCRIPTION</t>
  </si>
  <si>
    <t>ESTIMATED DIRECT COST</t>
  </si>
  <si>
    <t>VAT</t>
  </si>
  <si>
    <t>TOTAL COST</t>
  </si>
  <si>
    <t>UNIT COST</t>
  </si>
  <si>
    <t>OCM</t>
  </si>
  <si>
    <t>PROFIT</t>
  </si>
  <si>
    <t>%</t>
  </si>
  <si>
    <t>VALUE</t>
  </si>
  <si>
    <t>(1)</t>
  </si>
  <si>
    <t>(2)</t>
  </si>
  <si>
    <t>(3)</t>
  </si>
  <si>
    <t>(4)</t>
  </si>
  <si>
    <t>(5)</t>
  </si>
  <si>
    <t>(8)</t>
  </si>
  <si>
    <t>TOTAL</t>
  </si>
  <si>
    <t>UNIT PRICE</t>
  </si>
  <si>
    <t xml:space="preserve">ITEM DESCRIPTION </t>
  </si>
  <si>
    <t>PLUMBING WORKS</t>
  </si>
  <si>
    <t>PAINTING WORKS</t>
  </si>
  <si>
    <t>(6)</t>
  </si>
  <si>
    <t>(7)</t>
  </si>
  <si>
    <t>MARKUPS IN PERCENT</t>
  </si>
  <si>
    <t>TOTAL MARKUP</t>
  </si>
  <si>
    <t>(12)</t>
  </si>
  <si>
    <t>(13)</t>
  </si>
  <si>
    <t>(10)</t>
  </si>
  <si>
    <t>(11)</t>
  </si>
  <si>
    <t>(9)</t>
  </si>
  <si>
    <t>Fine Sand</t>
  </si>
  <si>
    <t>kg</t>
  </si>
  <si>
    <t>Gravel</t>
  </si>
  <si>
    <t>pc</t>
  </si>
  <si>
    <t>bd.ft</t>
  </si>
  <si>
    <t>GI Tie Wire #16</t>
  </si>
  <si>
    <t>DOORS AND WINDOWS</t>
  </si>
  <si>
    <t>DOORS</t>
  </si>
  <si>
    <t xml:space="preserve">Sand </t>
  </si>
  <si>
    <t>Hacksaw Blade</t>
  </si>
  <si>
    <t>ROOFING WORKS</t>
  </si>
  <si>
    <t>sq.m</t>
  </si>
  <si>
    <t>CARPENTRY WORKS</t>
  </si>
  <si>
    <t>ELECTRICAL WORKS</t>
  </si>
  <si>
    <t>NOTE:</t>
  </si>
  <si>
    <t>mtrs</t>
  </si>
  <si>
    <t>rolls</t>
  </si>
  <si>
    <t>VIII.</t>
  </si>
  <si>
    <t xml:space="preserve">LAYOUT AND EXCAVATION       </t>
  </si>
  <si>
    <t>Assorted CW Nails</t>
  </si>
  <si>
    <t>Nylon Chord</t>
  </si>
  <si>
    <t>pcs.</t>
  </si>
  <si>
    <t>job orders</t>
  </si>
  <si>
    <t>IX.</t>
  </si>
  <si>
    <t>assy</t>
  </si>
  <si>
    <t>PVC Tox #8</t>
  </si>
  <si>
    <t>PVC Tox #5</t>
  </si>
  <si>
    <t>Metal Screw [Tox #8]</t>
  </si>
  <si>
    <t>gross</t>
  </si>
  <si>
    <t>Metal Screw [Tox #5]</t>
  </si>
  <si>
    <t>X.</t>
  </si>
  <si>
    <t>XI.</t>
  </si>
  <si>
    <t>Concrete Neutralizer</t>
  </si>
  <si>
    <t>Red Oxide Primer Paint</t>
  </si>
  <si>
    <t>Easy Tite</t>
  </si>
  <si>
    <t>Tinting Color Latex</t>
  </si>
  <si>
    <t>pints</t>
  </si>
  <si>
    <t>Tinting Color (Oil)</t>
  </si>
  <si>
    <t>Sand Paper #120</t>
  </si>
  <si>
    <t>Paint Roller w/ Tray</t>
  </si>
  <si>
    <t>Paint Brush</t>
  </si>
  <si>
    <t>1.  Embankment for buildable areas</t>
  </si>
  <si>
    <t>Assorted Form Lumber</t>
  </si>
  <si>
    <t>Use Grade 40 Reinforcing Steel and 28 days curing period for concrete.</t>
  </si>
  <si>
    <t>Welding Rod  1/8"  (20kgs/box)</t>
  </si>
  <si>
    <t>CW Nail  4"</t>
  </si>
  <si>
    <t>2.  Backfilling Works</t>
  </si>
  <si>
    <t>cu.m concrete</t>
  </si>
  <si>
    <t>sq.m ceiling area</t>
  </si>
  <si>
    <t>2.  Supply and Installation of lighting fixtures and switches</t>
  </si>
  <si>
    <t>3.  Supply and Installation of conv.outlets and panel board</t>
  </si>
  <si>
    <t>WIRES AND CABLES</t>
  </si>
  <si>
    <t>PANEL BOARD AND DISCONNECTING SWITCH</t>
  </si>
  <si>
    <t>lgth</t>
  </si>
  <si>
    <t>FIXTURES AND APPURTENANCES</t>
  </si>
  <si>
    <t>Soap and Tissue Holders</t>
  </si>
  <si>
    <t>PVC Wye  4"Ø x 4"Ø</t>
  </si>
  <si>
    <t>PVC Tee  4"Ø x 4"Ø</t>
  </si>
  <si>
    <t>PVC Tee  3"Ø x 3"Ø</t>
  </si>
  <si>
    <t>PVC Reducer  4"Ø x 3"Ø</t>
  </si>
  <si>
    <t>PVC P-Trap  3"Ø</t>
  </si>
  <si>
    <t>PVC Clean-Out  4"Ø  w/ Cover</t>
  </si>
  <si>
    <t>3.  Supply and Installation of Sanitary Fixtures and Appurtenances</t>
  </si>
  <si>
    <t>CLEAN WATER PIPELINE</t>
  </si>
  <si>
    <t>PVC Bend  4"Ø x 90°</t>
  </si>
  <si>
    <t>PVC Bend  3"Ø x 90°</t>
  </si>
  <si>
    <t>PVC Elbow  4"Ø x 45°</t>
  </si>
  <si>
    <t>PVC Pipe S-1000  4"Ø x 10'</t>
  </si>
  <si>
    <t>PVC Pipe S-1000  3"Ø x 10'</t>
  </si>
  <si>
    <t>End Plug  1/2"Ø</t>
  </si>
  <si>
    <t>IV</t>
  </si>
  <si>
    <t>WINDOWS</t>
  </si>
  <si>
    <t>cu.m of excavation</t>
  </si>
  <si>
    <t>All column footings shall be laid with boulders underneath, tampered thoroughly to compact soil.</t>
  </si>
  <si>
    <t>Sahara Cement Class A</t>
  </si>
  <si>
    <t>pks</t>
  </si>
  <si>
    <t>SEPTIC TANK AND PLACENTA PIT</t>
  </si>
  <si>
    <t xml:space="preserve">       Both floors of Digestive Chamber and Leaching Well shall be cemented, with outlet pipe to dispose of excess water to sewer</t>
  </si>
  <si>
    <t xml:space="preserve">       Provide air space by securing the water table to be below the tank cover by 0.30m.</t>
  </si>
  <si>
    <t>unit</t>
  </si>
  <si>
    <t>CW Nail  1"</t>
  </si>
  <si>
    <t>box</t>
  </si>
  <si>
    <t>shts</t>
  </si>
  <si>
    <t xml:space="preserve">Concrete Hollow Block  4" x 8" x 16" </t>
  </si>
  <si>
    <t>Prepared by:</t>
  </si>
  <si>
    <t>APPROVED BUDGET FOR THE CONTRACT</t>
  </si>
  <si>
    <t>CW Nail  2-1/2"</t>
  </si>
  <si>
    <t>kgs.</t>
  </si>
  <si>
    <t>LIGHTING FIXTURES AND ACCESSORIES</t>
  </si>
  <si>
    <t>PVC P-Trap  4"Ø</t>
  </si>
  <si>
    <t>sq.m wall area</t>
  </si>
  <si>
    <t>gal</t>
  </si>
  <si>
    <t>XII.</t>
  </si>
  <si>
    <t>Tile Grout (2 kgs)</t>
  </si>
  <si>
    <t>Tile Adhesive (25 kgs)</t>
  </si>
  <si>
    <t>I</t>
  </si>
  <si>
    <t>II</t>
  </si>
  <si>
    <t>III</t>
  </si>
  <si>
    <t>V</t>
  </si>
  <si>
    <t>VI</t>
  </si>
  <si>
    <t>VII</t>
  </si>
  <si>
    <t>VIII</t>
  </si>
  <si>
    <t>IX</t>
  </si>
  <si>
    <t>X</t>
  </si>
  <si>
    <t>XI</t>
  </si>
  <si>
    <t>XII</t>
  </si>
  <si>
    <t>a.</t>
  </si>
  <si>
    <t>b.</t>
  </si>
  <si>
    <t>c.</t>
  </si>
  <si>
    <t>d.</t>
  </si>
  <si>
    <t>e.</t>
  </si>
  <si>
    <t>Column Footings  -  3 of 1.0m x 1.0m x 0.20m + 6 of 0.80m x 0.80m x 0.20m</t>
  </si>
  <si>
    <t xml:space="preserve">1.  Construction of reinforced concrete works system with deformed bars layout arranged according to structural plans </t>
  </si>
  <si>
    <t xml:space="preserve">      and specification, includes the following:</t>
  </si>
  <si>
    <t>lgths</t>
  </si>
  <si>
    <t>Tekscrew for Steel #2  12/24 x 45mm</t>
  </si>
  <si>
    <t>DOOR JAMBS  -  1 of 1.60m x 2.10m + 2 of 1.50m x 2.10m + 1 of 0.80m x 2.10m</t>
  </si>
  <si>
    <t>Ord. Plywood  5mm x 4' x 8'</t>
  </si>
  <si>
    <t>Mesh Wire or Hardware Cloth  1/8" x 36"</t>
  </si>
  <si>
    <t>Good Lumber  2 pcs of 2" x 6" x 12'</t>
  </si>
  <si>
    <t>Good Lumber  1 pc of 2" x 6" x 10'</t>
  </si>
  <si>
    <t>Good Lumber  5 pcs of 2" x 6" x 8'</t>
  </si>
  <si>
    <t>Fininshing Nail  1-1/2"</t>
  </si>
  <si>
    <t>Deformed Bar  12mmØ x 6m</t>
  </si>
  <si>
    <t>Deformed Bar  10mmØ x 6m</t>
  </si>
  <si>
    <t>2.  Installation of Pre-fab PVC Door for toilet -  1 unit</t>
  </si>
  <si>
    <t xml:space="preserve">            (0.70m x 1.18m)</t>
  </si>
  <si>
    <t xml:space="preserve">            (1.40m x 1.18m)</t>
  </si>
  <si>
    <t>Tyrolit Cut-Off Wheel  8" for Steel</t>
  </si>
  <si>
    <t xml:space="preserve">Convenience Outlet Duplex Universal  250V </t>
  </si>
  <si>
    <t>Switch One-gang w/ Plate &amp; Cover</t>
  </si>
  <si>
    <t>Switch Two-gang w/ Plate &amp; Cover</t>
  </si>
  <si>
    <t>Switch Three-gang w/ Plate &amp; Cover</t>
  </si>
  <si>
    <t>Center Main Panel Board (bolt on type)</t>
  </si>
  <si>
    <t>uPVC Flexible Pipe  1/2”Ø</t>
  </si>
  <si>
    <t xml:space="preserve">uPVC Pipe  3/4”Ø </t>
  </si>
  <si>
    <t>PVC Utility Box [High Impact &amp; Heat Resistant]  2" x 4"</t>
  </si>
  <si>
    <t>CONSUMABLES</t>
  </si>
  <si>
    <t>Staple Wire  ½”Ø</t>
  </si>
  <si>
    <t>Staple Wire  ¾”Ø</t>
  </si>
  <si>
    <t>Electrical Tape, Big</t>
  </si>
  <si>
    <t>G.I. Tie Wire #14</t>
  </si>
  <si>
    <t>Mica Tube  ½"Ø</t>
  </si>
  <si>
    <t>Mica Tube  ¼"Ø</t>
  </si>
  <si>
    <t>Concrete Nail  2"</t>
  </si>
  <si>
    <t>Depress Center Wheel 1/4" x 4"</t>
  </si>
  <si>
    <t>doors &amp; jambs</t>
  </si>
  <si>
    <t>Paint Roller Foam  7"</t>
  </si>
  <si>
    <t>floor tiles</t>
  </si>
  <si>
    <t>Counters</t>
  </si>
  <si>
    <t>1.50m x 0.60m</t>
  </si>
  <si>
    <t>1.75m x 0.60m</t>
  </si>
  <si>
    <t>countertop</t>
  </si>
  <si>
    <t>flashboard</t>
  </si>
  <si>
    <t>bag</t>
  </si>
  <si>
    <t>ITEM#</t>
  </si>
  <si>
    <t>Tile Trim</t>
  </si>
  <si>
    <t>counters</t>
  </si>
  <si>
    <t>CR</t>
  </si>
  <si>
    <t>Red Cement Lansco</t>
  </si>
  <si>
    <t>Granite Tile  60cm x 60cm (off-white)</t>
  </si>
  <si>
    <t>lghts</t>
  </si>
  <si>
    <t>OTHER MISCELLANEOUS ITEMS</t>
  </si>
  <si>
    <t>lin.m</t>
  </si>
  <si>
    <t>Alum. Blind Rivets 1/8" x 3/8"</t>
  </si>
  <si>
    <t>Elastomeric Sealant</t>
  </si>
  <si>
    <t>ltrs</t>
  </si>
  <si>
    <t>Touch-up Paint</t>
  </si>
  <si>
    <t>cans</t>
  </si>
  <si>
    <t>Pre-painted Plain Sheet  0.400mm x 18" x 8'  (for Wall Flashing)</t>
  </si>
  <si>
    <t>SWITCHES AND CONVENIENCE OUTLETS</t>
  </si>
  <si>
    <t>PVC Junction Box [High Impact &amp; Heat Resistant]  4" x 4"</t>
  </si>
  <si>
    <t>Entrance Cap  1"</t>
  </si>
  <si>
    <t>Rigid Steel Conduit  1" x 6m</t>
  </si>
  <si>
    <t>S-Blue Solvent Cement 200cc</t>
  </si>
  <si>
    <t>PVC Tile Trim  9mm x 8'</t>
  </si>
  <si>
    <t>Scoring Knife</t>
  </si>
  <si>
    <t>walls</t>
  </si>
  <si>
    <t>ceiling</t>
  </si>
  <si>
    <t>gi pipe</t>
  </si>
  <si>
    <t>circuits</t>
  </si>
  <si>
    <t>1 copy BOQ</t>
  </si>
  <si>
    <t>TW Cu. Wire Stranded  5.5 mm2  (#10)</t>
  </si>
  <si>
    <t>PVC Wye  3"Ø x 3"Ø</t>
  </si>
  <si>
    <t>PVC Coupling  1/2"Ø</t>
  </si>
  <si>
    <t>PVC Male Adaptor  1/2"Ø</t>
  </si>
  <si>
    <t>PVC Tee  1/2"Ø x 1/2"</t>
  </si>
  <si>
    <t>PVC Elbow  1/2"Ø x 90⁰</t>
  </si>
  <si>
    <t>PE Pipe  1/2"Ø, sched. 40</t>
  </si>
  <si>
    <t>Wall Footing  -  0.30m x 0.15m x 49.25 lin.m</t>
  </si>
  <si>
    <t>3.  Fabrication and Installation of Door Jambs  -  4 units</t>
  </si>
  <si>
    <t>W1 - Jalousie Window Analok-Frame 2-Panel  13-Blade  1/4" Bronze Glass</t>
  </si>
  <si>
    <t>W2 - Jalousie Window Analok-Frame 1-Panel  13-Blade  1/4" Bronze Glass</t>
  </si>
  <si>
    <t>Paint colors must be according to plans and as advised by the Inspectorate Engineer both for interior and exterior paintings.</t>
  </si>
  <si>
    <t>grilles</t>
  </si>
  <si>
    <t>WOOD AND METAL SURFACES - application on doors, door jambs, airvent, window grilles, and handrail - 50.2 sq.m</t>
  </si>
  <si>
    <t>MASONRY SURFACE -  application on perimeter walls and partitions, window mouldings, and ceiling - 337.2 sq.m</t>
  </si>
  <si>
    <t>Circuit Breakers:</t>
  </si>
  <si>
    <t xml:space="preserve">                  2 -  20AT, 240V, 2P, 12 KAIC</t>
  </si>
  <si>
    <t xml:space="preserve">                  1 -  15AT, 240V, 2P, 10 KAIC</t>
  </si>
  <si>
    <t>Main :     40AT, 40AF, 240V, 2P, 14 KAIC</t>
  </si>
  <si>
    <t>Concrete Nail  4"</t>
  </si>
  <si>
    <t>CEILING BOARDS AND JOISTS FOR INTERIOR AND EXTERIOR CEILING  -  100.10 sq.m</t>
  </si>
  <si>
    <t>QUANTITY</t>
  </si>
  <si>
    <t>DIRECT COST</t>
  </si>
  <si>
    <r>
      <t xml:space="preserve">A.1 </t>
    </r>
    <r>
      <rPr>
        <b/>
        <sz val="10"/>
        <color theme="1"/>
        <rFont val="Calibri"/>
        <family val="2"/>
        <scheme val="minor"/>
      </rPr>
      <t xml:space="preserve">Cost of Materials </t>
    </r>
    <r>
      <rPr>
        <sz val="10"/>
        <color theme="1"/>
        <rFont val="Calibri"/>
        <family val="2"/>
        <scheme val="minor"/>
      </rPr>
      <t>to be used in doing the work item called for, which shall include, the following:</t>
    </r>
  </si>
  <si>
    <t xml:space="preserve">         A.1.1 Cost at source, including processing, crushing, stockpiling, loading, royalties, local taxes, construction and/or maintenance of haul roads, etc.</t>
  </si>
  <si>
    <t xml:space="preserve">         A.1.2 Expenses for Hauling to project site</t>
  </si>
  <si>
    <t xml:space="preserve">         A.1.3 Handling expenses</t>
  </si>
  <si>
    <t xml:space="preserve">         A.1.4 Storage expenses</t>
  </si>
  <si>
    <t xml:space="preserve">         A.1.5 Allowance for waste and/or losses, not to exceed 5% of materials requirement</t>
  </si>
  <si>
    <r>
      <t xml:space="preserve">A.2 </t>
    </r>
    <r>
      <rPr>
        <b/>
        <sz val="10"/>
        <color theme="1"/>
        <rFont val="Calibri"/>
        <family val="2"/>
        <scheme val="minor"/>
      </rPr>
      <t>Cost of Labor</t>
    </r>
  </si>
  <si>
    <t xml:space="preserve">         A.2.1 Salaries and wages, as authorized by the Department of Labor and Employment</t>
  </si>
  <si>
    <t xml:space="preserve">         A.2.2 Fringe benefits, such as vacation and sick leaves, benefits under the Workmen's Compensation Act, GSIS and/or SSS contributions, allowances, 13th month pay, bonuses, etc</t>
  </si>
  <si>
    <r>
      <t xml:space="preserve">A.3 </t>
    </r>
    <r>
      <rPr>
        <b/>
        <sz val="10"/>
        <color theme="1"/>
        <rFont val="Calibri"/>
        <family val="2"/>
        <scheme val="minor"/>
      </rPr>
      <t>Equipment Expenses</t>
    </r>
  </si>
  <si>
    <t xml:space="preserve">         A.3.1 Rental of equipment which shall be based on the prevailing "Associated Construction Equipment Lessors, Inc" (ACEL) rental rates approved for use by the DPWH (Presently it is the 2009 ACEL Rates). Rental rates of equipment not indicated in the ACEL booklet shall be taken from the rental rates prepared by the Bureau of Equipment. For simplicity in computation, the operated rental rates are preferred over the bare rental rates as the former includes operator's wages, fringe benefits, fuel, oil, lubricants and equipment maintenance. The make, model and capacity of the equipment should be indicated in the detailed unit cost analysis.</t>
  </si>
  <si>
    <t xml:space="preserve">         A.3.2  Mobilization and demobilization, shall be treated as a separate pay item. It shall be computed based on the equipment requirements of the project stipulated in the proposal and contract booklet. In no case shall mobilization and demobilization exceed 1% of the Estimated Direct Cost (EDC) of the civil works items.</t>
  </si>
  <si>
    <t>INDIRECT COST</t>
  </si>
  <si>
    <r>
      <t xml:space="preserve">B.1 </t>
    </r>
    <r>
      <rPr>
        <b/>
        <sz val="10"/>
        <color theme="1"/>
        <rFont val="Calibri"/>
        <family val="2"/>
        <scheme val="minor"/>
      </rPr>
      <t xml:space="preserve">Overhead Expenses </t>
    </r>
    <r>
      <rPr>
        <sz val="10"/>
        <color theme="1"/>
        <rFont val="Calibri"/>
        <family val="2"/>
        <scheme val="minor"/>
      </rPr>
      <t>– ranges from 5 - 7% of the EDC, which includes the following:</t>
    </r>
  </si>
  <si>
    <t xml:space="preserve">         B.1.1 Engineering and Administrative Supervision</t>
  </si>
  <si>
    <t xml:space="preserve">         B.1.2 Transportation allowances</t>
  </si>
  <si>
    <t xml:space="preserve">         B.1.3 Office Expenses, e.g., for office equipment and supplies, power and water consumption, communication and maintenance</t>
  </si>
  <si>
    <t xml:space="preserve">         B.1.4 Premium on Contractor's All Risk Insurance (CARI)</t>
  </si>
  <si>
    <t xml:space="preserve">         B.1.5 Financing Cost</t>
  </si>
  <si>
    <t xml:space="preserve">              (a) Premium on Bid Security</t>
  </si>
  <si>
    <t xml:space="preserve">              (b) Premium on Performance Security</t>
  </si>
  <si>
    <t xml:space="preserve">              (c) Premium on Surety for Advance Payment</t>
  </si>
  <si>
    <t xml:space="preserve">              (d) Premium on Warranty Bond (one year)</t>
  </si>
  <si>
    <r>
      <t xml:space="preserve">B.2 </t>
    </r>
    <r>
      <rPr>
        <b/>
        <sz val="10"/>
        <color theme="1"/>
        <rFont val="Calibri"/>
        <family val="2"/>
        <scheme val="minor"/>
      </rPr>
      <t xml:space="preserve">Contingencies </t>
    </r>
    <r>
      <rPr>
        <sz val="10"/>
        <color theme="1"/>
        <rFont val="Calibri"/>
        <family val="2"/>
        <scheme val="minor"/>
      </rPr>
      <t>– ranges from 0.5 - 2% of the EDC. These include expenses for meetings, coordination with other stakeholders, billboards, stages during ground breaking &amp; inauguration ceremonies and other unforeseen events.</t>
    </r>
  </si>
  <si>
    <r>
      <t xml:space="preserve">B.3 </t>
    </r>
    <r>
      <rPr>
        <b/>
        <sz val="10"/>
        <color theme="1"/>
        <rFont val="Calibri"/>
        <family val="2"/>
        <scheme val="minor"/>
      </rPr>
      <t xml:space="preserve">Miscellaneous Expenses </t>
    </r>
    <r>
      <rPr>
        <sz val="10"/>
        <color theme="1"/>
        <rFont val="Calibri"/>
        <family val="2"/>
        <scheme val="minor"/>
      </rPr>
      <t>– ranges from 0.5 - 1% of the EDC. These include laboratory tests for quality control and plan preparation.</t>
    </r>
  </si>
  <si>
    <r>
      <t xml:space="preserve">B.4 </t>
    </r>
    <r>
      <rPr>
        <b/>
        <sz val="10"/>
        <color theme="1"/>
        <rFont val="Calibri"/>
        <family val="2"/>
        <scheme val="minor"/>
      </rPr>
      <t xml:space="preserve">Contractor's Profit Margin </t>
    </r>
    <r>
      <rPr>
        <sz val="10"/>
        <color theme="1"/>
        <rFont val="Calibri"/>
        <family val="2"/>
        <scheme val="minor"/>
      </rPr>
      <t>– shall be 8% of EDC.</t>
    </r>
  </si>
  <si>
    <r>
      <t xml:space="preserve">B.5 </t>
    </r>
    <r>
      <rPr>
        <b/>
        <sz val="10"/>
        <color theme="1"/>
        <rFont val="Calibri"/>
        <family val="2"/>
        <scheme val="minor"/>
      </rPr>
      <t xml:space="preserve">VAT Component </t>
    </r>
    <r>
      <rPr>
        <sz val="10"/>
        <color theme="1"/>
        <rFont val="Calibri"/>
        <family val="2"/>
        <scheme val="minor"/>
      </rPr>
      <t>– shall be 12% of the sum of the EDC, OCM and Profit</t>
    </r>
  </si>
  <si>
    <r>
      <t xml:space="preserve">Unglazed Ceramic Tiles  8" x 8" (green)  (for CR Floor)  -  </t>
    </r>
    <r>
      <rPr>
        <b/>
        <sz val="10"/>
        <rFont val="Calibri"/>
        <family val="2"/>
        <scheme val="minor"/>
      </rPr>
      <t>3.45 sq.m</t>
    </r>
  </si>
  <si>
    <t>Water Closet, Lever-type with complete tank fittings, angle valve, and</t>
  </si>
  <si>
    <t xml:space="preserve">       1/2"Ø Flexible Hose</t>
  </si>
  <si>
    <t>with Door Knob, Hinges, Foot Bolts and Overhead Chain Bolts</t>
  </si>
  <si>
    <t>D4 - (0.70m x 2.10m) PVC Door with fixed louver (with Door Knob and Hinges)</t>
  </si>
  <si>
    <t>anodize/clear</t>
  </si>
  <si>
    <t>analok/bronze</t>
  </si>
  <si>
    <t>3.  Assembly and installation of glass jalousie windows  -  10 units</t>
  </si>
  <si>
    <t>Roof Beams  -  0.15m x 0.20m x 36.40 lin.m</t>
  </si>
  <si>
    <t>FORMWORKS AND FALSEWORKS  (for Columns, Beams and Cover Slabs)</t>
  </si>
  <si>
    <t>Angle Bar  3.5mm x 1 1/2" x 1 1/2" x 6m  (for Fascia Framing)</t>
  </si>
  <si>
    <t>Flat Bar  3.5mm x 1" x 6m  (for Fascia Framing)</t>
  </si>
  <si>
    <t>Plain Round Bar  12mmØ x 6m  (for Sag Rod)</t>
  </si>
  <si>
    <r>
      <t>TW Cu. Wire  3.5 mm</t>
    </r>
    <r>
      <rPr>
        <vertAlign val="superscript"/>
        <sz val="10"/>
        <color indexed="8"/>
        <rFont val="Calibri"/>
        <family val="2"/>
        <scheme val="minor"/>
      </rPr>
      <t>2</t>
    </r>
    <r>
      <rPr>
        <sz val="10"/>
        <color indexed="8"/>
        <rFont val="Calibri"/>
        <family val="2"/>
        <scheme val="minor"/>
      </rPr>
      <t xml:space="preserve">  (#12)  [150 mtrs/box] (for lights &amp; outlets)</t>
    </r>
  </si>
  <si>
    <r>
      <t xml:space="preserve">Granite Tiles  60cm x 60cm (off-white)  (for 3 Lavatory Counters)  -  </t>
    </r>
    <r>
      <rPr>
        <b/>
        <sz val="10"/>
        <rFont val="Calibri"/>
        <family val="2"/>
        <scheme val="minor"/>
      </rPr>
      <t>4.90 sq.m</t>
    </r>
  </si>
  <si>
    <t>Unglazed Granite Tiles  60cm x 60cm (dark color)</t>
  </si>
  <si>
    <t>Lavatory, Pedestal-type with Stainless Faucet, 1/2"Ø Stainless Flexible Hose,</t>
  </si>
  <si>
    <t xml:space="preserve">       Angle Valve, and other fittings</t>
  </si>
  <si>
    <t xml:space="preserve">       (for Labor Room and Sterilization Lavatory Counters)</t>
  </si>
  <si>
    <t>Stainless Sink Basket Strainer  (for Scrub-up Tiled Sink)</t>
  </si>
  <si>
    <t>Stainless-Chrome Faucet  (for CR, Scrub-up, Sterilization)</t>
  </si>
  <si>
    <t>Stainless Floor Drain 4"x 4" with Strainer  (for CR)</t>
  </si>
  <si>
    <t xml:space="preserve">       Tiling of Scrub-up Sink 0.50m wide x 0.60m long x 0.25m deep</t>
  </si>
  <si>
    <t>All lavatory counters shall be furnished with 0.30m high granite tile for Splashboard and 0.10m for Countertop Riser</t>
  </si>
  <si>
    <t>Stainless Counter Sink  0.50m x 0.80m with Sink Basket Strainer</t>
  </si>
  <si>
    <t>4.  Supply and Installation of Stainless Counter Sinks  -  2 units</t>
  </si>
  <si>
    <t>W4 - Jalousie High Window Analok-Frame 2-Panel  6-Blade  1/4" Bronze Glass</t>
  </si>
  <si>
    <t>W3 - Jalousie High Window Analok-Frame 1-Panel  6-Blade  1/4" Bronze Glass</t>
  </si>
  <si>
    <t xml:space="preserve">            (0.70m x 0.56m)</t>
  </si>
  <si>
    <t xml:space="preserve">            (1.40m x 0.56m)</t>
  </si>
  <si>
    <t xml:space="preserve">If actual terrain and level of surface ground of the project site is hilly or too low such that rainwater may certainly flow into the building, </t>
  </si>
  <si>
    <t>Lavatory Counters</t>
  </si>
  <si>
    <t>New-Born Counter  -  0.60m x 1.50m</t>
  </si>
  <si>
    <t>D2 - (1.50m x 2.10m) Flush-type Double Door w/ Inset Bronze Glass 1/4" x 0.20m x 0.40m</t>
  </si>
  <si>
    <t>Columns  -  9 of 0.20m x 0.20m x 4.10m</t>
  </si>
  <si>
    <t>Deformed Bar 10mmø x 6m</t>
  </si>
  <si>
    <t>Deformed Bar 12mmø x 6m</t>
  </si>
  <si>
    <t>Deformed Bar 16mmø x 6m</t>
  </si>
  <si>
    <t xml:space="preserve">Concrete Hollow Block  4" x 8" x 12" </t>
  </si>
  <si>
    <t>1.  Fabrication and installation of doors  -  4 units</t>
  </si>
  <si>
    <t>Pin Light  6"Ø w/ 18W CFL</t>
  </si>
  <si>
    <t>Premium Acrylic Latex Primer</t>
  </si>
  <si>
    <t>Premium Acrylic Latex Gloss</t>
  </si>
  <si>
    <t>Interior/Exterior Wood Primer</t>
  </si>
  <si>
    <t>QDE Interior Semi-Gloss Enamel</t>
  </si>
  <si>
    <t>GI Pipe  2"Ø x 6m, sched.40</t>
  </si>
  <si>
    <t>GI Elbow  2"Ø x 180°</t>
  </si>
  <si>
    <t>(5) x (8)</t>
  </si>
  <si>
    <t>(6) + (7)</t>
  </si>
  <si>
    <t>[(5)+(9)]</t>
  </si>
  <si>
    <t>TOTAL        INDIRECT COST</t>
  </si>
  <si>
    <t>(9) + (10)</t>
  </si>
  <si>
    <t>(5) + (11)</t>
  </si>
  <si>
    <t>(12) / (3)</t>
  </si>
  <si>
    <t>BARJUNAID T. AMILASAN, CE</t>
  </si>
  <si>
    <t>EDC</t>
  </si>
  <si>
    <t>3 copies ABC  (File, BAC, COA)</t>
  </si>
  <si>
    <t>3 copies PERT-CPM  (File, BAC, COA)</t>
  </si>
  <si>
    <t>3 copies Scope of Work  (File, BAC, COA)</t>
  </si>
  <si>
    <t>2 copies Detailed Estimate  (File, COA)</t>
  </si>
  <si>
    <t>Matls Markup</t>
  </si>
  <si>
    <t>Budget</t>
  </si>
  <si>
    <t>Indirect Cost</t>
  </si>
  <si>
    <t>Labor Rate</t>
  </si>
  <si>
    <t>REGIONAL OFFICE IX</t>
  </si>
  <si>
    <t>Hauling Rate</t>
  </si>
  <si>
    <t>Contr Profit</t>
  </si>
  <si>
    <t xml:space="preserve">     R.L.E.D. Chief / HFEP Coordinator</t>
  </si>
  <si>
    <t>Labor:</t>
  </si>
  <si>
    <t>lumpsum</t>
  </si>
  <si>
    <t>Deformed Bar  16mmØ x 6m (for columns and footings only)</t>
  </si>
  <si>
    <t>MASONRY WORKS</t>
  </si>
  <si>
    <t>XIII.</t>
  </si>
  <si>
    <t>REINFORCED CONCRETE WORKS</t>
  </si>
  <si>
    <t>sq.m (net)</t>
  </si>
  <si>
    <t>Joint fillers and mortar for block laying shall be concrete of the class “B”, with ratio 1:3.</t>
  </si>
  <si>
    <t>All walls shall be provided with vertical and horizontal bars tied and securely anchored at the foundation.</t>
  </si>
  <si>
    <t>All concrete hollow blocks shall be laid plumb and true to line.</t>
  </si>
  <si>
    <t>Plastering and finishing of concrete surfaces includes fashioning of exterior window mouldings and window sill rabbets.</t>
  </si>
  <si>
    <t>XIII</t>
  </si>
  <si>
    <t>TOTAL ESTIMATED DIRECT COST</t>
  </si>
  <si>
    <t>LABOR COST</t>
  </si>
  <si>
    <t>MATERIAL COST</t>
  </si>
  <si>
    <t>HAULING COST</t>
  </si>
  <si>
    <t>SUB-TOTAL</t>
  </si>
  <si>
    <t>HardiLite Fiber-Cement Board 3.5mm x 4' x 8'</t>
  </si>
  <si>
    <t>Metal Furring Double 0.400mm x 3/4" x 2" x 5m</t>
  </si>
  <si>
    <t>Carrying Channel 0.400mm x 3/4" x 2" x 5m</t>
  </si>
  <si>
    <t>Metal Wall Angle 0.400mm x 1" x 1" x 8'</t>
  </si>
  <si>
    <t>W-Clip</t>
  </si>
  <si>
    <t>Ficem Screw 1"</t>
  </si>
  <si>
    <t>Concrete Nail 1"</t>
  </si>
  <si>
    <t>Masonry Drill Bit 1/8"</t>
  </si>
  <si>
    <t>Metal Screw 1" and PVC Tox</t>
  </si>
  <si>
    <t>CEILING AIR VENTILATION  -  4 units</t>
  </si>
  <si>
    <t>Pre-Fabricated Wooden Ceiling Airvent  12" x 48"</t>
  </si>
  <si>
    <t>Pre-painted Pre-bent Fascia Cover w/Moulding  0.400mm x 18" x 8'</t>
  </si>
  <si>
    <t>with Door Knob Lever-type, Hinges, Foot Bolts and Overhead Chain Bolts</t>
  </si>
  <si>
    <t>D1 - (1.60m x 2.10m) Panel-type Double Door</t>
  </si>
  <si>
    <t>D3 - (0.80m x 2.10m) Panel-type Door (with Door Knob and Hinges)</t>
  </si>
  <si>
    <t>Coco Lumber  2" x 2" x 10'</t>
  </si>
  <si>
    <t>Coco Lumber  2" x 3" x 10'</t>
  </si>
  <si>
    <t>C-Purlin  1.5mm x 2" x 4"  (for Purlins)</t>
  </si>
  <si>
    <r>
      <t xml:space="preserve">2.  Construction of Placenta Pit  </t>
    </r>
    <r>
      <rPr>
        <b/>
        <sz val="10"/>
        <rFont val="Calibri"/>
        <family val="2"/>
        <scheme val="minor"/>
      </rPr>
      <t>1.20m wide x 1.20m long x 1.50m deep</t>
    </r>
    <r>
      <rPr>
        <sz val="10"/>
        <rFont val="Calibri"/>
        <family val="2"/>
        <scheme val="minor"/>
      </rPr>
      <t xml:space="preserve"> with floor cemented</t>
    </r>
  </si>
  <si>
    <t>Finishing of Ramp with horizontal grooves every 10 cm along entire length</t>
  </si>
  <si>
    <t>4.  Cement-Finishing of Ramp with horizontal grooves every 10 cm along entire length</t>
  </si>
  <si>
    <r>
      <t xml:space="preserve">2.  Tiling of Lavatory Counters  -  2 of 1.50m x 0.60m and 1 of 1.75m x 0.60m  -  </t>
    </r>
    <r>
      <rPr>
        <b/>
        <sz val="10"/>
        <rFont val="Calibri"/>
        <family val="2"/>
        <scheme val="minor"/>
      </rPr>
      <t>4.90 sq.m</t>
    </r>
  </si>
  <si>
    <t>HFEP Engineer II</t>
  </si>
  <si>
    <t>proposal shall be made as extra work to raise the building further by such level higher than the road that is safe from flooding.</t>
  </si>
  <si>
    <t>letters</t>
  </si>
  <si>
    <t>SIGNAGE WORKS</t>
  </si>
  <si>
    <t>STEEL WORKS AND SIGNAGE</t>
  </si>
  <si>
    <t>To set accordingly as shown in the Perspective</t>
  </si>
  <si>
    <t>Long-Span Pre-Painted Rib-Type (Green) 0.400mm x 1220mm (1.05m effect.width)</t>
  </si>
  <si>
    <t>1.  Installation of Pre-painted Long-span Roofing Sheets (Color Green)</t>
  </si>
  <si>
    <t>Filling Materials  - to elevate the buildable area by 0.40m</t>
  </si>
  <si>
    <t>Initial provision shall be included in this scope of work for the buildable area.</t>
  </si>
  <si>
    <t>Provide stiffener with a minimum depth of 0.15m throughout perimeter along headers of doors and windows (w/ bars and C-ties).</t>
  </si>
  <si>
    <t>1.  Installation of Interior and Exterior Ceilings</t>
  </si>
  <si>
    <t>2.  Installation of Ceiling Air Ventilation  -  4 units</t>
  </si>
  <si>
    <t>4.  Formworks and Scaffoldings</t>
  </si>
  <si>
    <t>RAFTERS, PURLINS, SAG ROD AND FASCIA FRAMING</t>
  </si>
  <si>
    <t>1.  Installation of Rafters, Channel Purlins and Sag Rods</t>
  </si>
  <si>
    <t>2.  Fabrication of Fascia Framing</t>
  </si>
  <si>
    <t>3.  Fabrication and Installation of Window Iron Grilles for all windows</t>
  </si>
  <si>
    <t>4.  Fabrication and Installation of Handrail at Ramp and Porch Steps</t>
  </si>
  <si>
    <t>5.  Fabrication and Installation of Signage Letterings and Seal</t>
  </si>
  <si>
    <t>3.  Installation of Pre-painted Fascia Cover w/ Moulding (Color Green)</t>
  </si>
  <si>
    <t>2.  Installation of Wall Flashing (Color Green) embedded on wall plasters</t>
  </si>
  <si>
    <t>Cement for plastering of interior walls shall be mixed with adequate water-proofing addtive and as well for the external exposed walls.</t>
  </si>
  <si>
    <t>Concrete Covers shall be reinforced with rebars spaced 0.20m, with manhole on each chamber</t>
  </si>
  <si>
    <t>Location and Positioning of septic tank and plactena pit must be according to plans as reflected in Sewer Line Layout otherwise,</t>
  </si>
  <si>
    <t xml:space="preserve">       depending on actual site conditions, must be as instructed by the Inspectorate Engineer</t>
  </si>
  <si>
    <t>1.  Supply and Installation of electrical conduits, wires and cables</t>
  </si>
  <si>
    <t>1.  Painting of all masonry exposed surfaces (except for septic tank and placenta pit), ceiling, and window mouldings</t>
  </si>
  <si>
    <t>2.  Painting of doors, jambs, and air vent</t>
  </si>
  <si>
    <t>3.  Application of topcoat paints (at least 2 coats) on ramp handrails and window iron grilles  (metal primer provided in Item VII)</t>
  </si>
  <si>
    <t>Power Putty  (applied evenly throughout walls and columns)</t>
  </si>
  <si>
    <t>EMBANKMENT WORKS</t>
  </si>
  <si>
    <t>US PP Gate Valve 1/2"Ø</t>
  </si>
  <si>
    <t>WASTEWATER PIPELINE AND VENT-THRU-ROOF (VTR) PIPES</t>
  </si>
  <si>
    <t>1.  Supply and Installation of Clean Water Pipeline System  -  1 Gate Valve</t>
  </si>
  <si>
    <t>2.  Supply and Installation of Wastewater Pipeline System  -  2 VTR Pipes</t>
  </si>
  <si>
    <t>Apply putty evenly throughout walls. Apply two (2) topcoat coatings to even the application on all surfaces.</t>
  </si>
  <si>
    <t>Angle Bar  3.5mm x 2-1/2" x 2-1/2" x 6m (for Rafter, 4 units double bar)</t>
  </si>
  <si>
    <t>TILING OF COMFORT ROOM</t>
  </si>
  <si>
    <t>TILING OF LAVATORY COUNTERS</t>
  </si>
  <si>
    <t>All wall and countertop edges of Lavatory Counters shall be furnished with PVC Tile Trim</t>
  </si>
  <si>
    <t>All wall and floor edges of Comfort Room shall be furnished with PVC Tile Trim</t>
  </si>
  <si>
    <t>pack</t>
  </si>
  <si>
    <t>Labor Room Lavatory Counter  -  0.60m x 1.50m  (with s/s sink)</t>
  </si>
  <si>
    <t>Zocallo Footing -  0.30m x 0.10m x 12.70 lin.m</t>
  </si>
  <si>
    <r>
      <t xml:space="preserve">2.  Erecting of CHB walls/zocallo  -  </t>
    </r>
    <r>
      <rPr>
        <b/>
        <sz val="10"/>
        <rFont val="Calibri"/>
        <family val="2"/>
        <scheme val="minor"/>
      </rPr>
      <t>156.6 sq.m net area</t>
    </r>
  </si>
  <si>
    <t>Sterilization (with s/s sink) &amp; Scrub-up (tiled) Lavatory Counters  -  0.60m x (1.30m + 0.60m)</t>
  </si>
  <si>
    <t>49.25 lin.m</t>
  </si>
  <si>
    <t>sq.m roof area</t>
  </si>
  <si>
    <r>
      <t xml:space="preserve">1.  Tiling of Comfort Room  -  </t>
    </r>
    <r>
      <rPr>
        <b/>
        <sz val="10"/>
        <rFont val="Calibri"/>
        <family val="2"/>
        <scheme val="minor"/>
      </rPr>
      <t>15.69 sq.m</t>
    </r>
  </si>
  <si>
    <r>
      <t xml:space="preserve">Glazed Ceramic Tiles  8" x 12" (green)  (for CR Wall)  -  </t>
    </r>
    <r>
      <rPr>
        <b/>
        <sz val="10"/>
        <rFont val="Calibri"/>
        <family val="2"/>
        <scheme val="minor"/>
      </rPr>
      <t>12.24 sq.m</t>
    </r>
  </si>
  <si>
    <t>Stair Nosing Brass 1 1/2" x 20'</t>
  </si>
  <si>
    <t>Upper Calarian, Zamboanga City 7000</t>
  </si>
  <si>
    <r>
      <t xml:space="preserve">Floor Slabs on Grade - all areas includ. Porch, Back Exit Landing, Ramp  -  </t>
    </r>
    <r>
      <rPr>
        <b/>
        <sz val="10"/>
        <rFont val="Calibri"/>
        <family val="2"/>
        <scheme val="minor"/>
      </rPr>
      <t>67.2 sq.m</t>
    </r>
  </si>
  <si>
    <t>TILING OF FLOORS OF ENTIRE AREAS INCLUDING PORCH, BACK EXIT LANDING, AND STEPS  -  56.74 sq.m</t>
  </si>
  <si>
    <r>
      <t xml:space="preserve">3.  Tiling of floors for entire areas including Porch, Back Exit Landing, and steps  -  </t>
    </r>
    <r>
      <rPr>
        <b/>
        <sz val="10"/>
        <rFont val="Calibri"/>
        <family val="2"/>
        <scheme val="minor"/>
      </rPr>
      <t>56.74 sq.m</t>
    </r>
  </si>
  <si>
    <t>CR Wall tile height shall be 1.80m or 6 layers of tiles</t>
  </si>
  <si>
    <t>Tile height 1.80m</t>
  </si>
  <si>
    <t>PIPES/CONDUITS AND FITTINGS</t>
  </si>
  <si>
    <t>OTHER MATERIALS</t>
  </si>
  <si>
    <t>GI Flange 2"Ø  (for 9 footings and 4 wall anchorage)</t>
  </si>
  <si>
    <t>HANDRAIL FOR RAMP AND PORCH STEPS  (total 9 posts)</t>
  </si>
  <si>
    <r>
      <t xml:space="preserve">6.  Application of metal primer on all metal surfaces  -  </t>
    </r>
    <r>
      <rPr>
        <b/>
        <sz val="10"/>
        <rFont val="Calibri"/>
        <family val="2"/>
        <scheme val="minor"/>
      </rPr>
      <t>146.7 sq.m</t>
    </r>
  </si>
  <si>
    <t>METAL PRIMING OF ALL METAL SURFACES  -  146.7 sq.m</t>
  </si>
  <si>
    <r>
      <t xml:space="preserve">3.  Cement-plastering smooth-finish of all exposed concrete walls and window jambs  -  </t>
    </r>
    <r>
      <rPr>
        <b/>
        <sz val="10"/>
        <rFont val="Calibri"/>
        <family val="2"/>
        <scheme val="minor"/>
      </rPr>
      <t>231.9 sq.m net area</t>
    </r>
  </si>
  <si>
    <t>This item includes cement-plastering of all exposed surfaces of columns, beams,and stiffeners.</t>
  </si>
  <si>
    <t>Mounted Luminaires w/  1 - 40W Flour.Lamp Cool White</t>
  </si>
  <si>
    <r>
      <t xml:space="preserve">1.  Construction of Septic Tank </t>
    </r>
    <r>
      <rPr>
        <b/>
        <sz val="10"/>
        <rFont val="Calibri"/>
        <family val="2"/>
        <scheme val="minor"/>
      </rPr>
      <t xml:space="preserve"> 1.50m wide x 3.0m long x 1.80m deep</t>
    </r>
    <r>
      <rPr>
        <sz val="10"/>
        <rFont val="Calibri"/>
        <family val="2"/>
        <scheme val="minor"/>
      </rPr>
      <t xml:space="preserve"> with 1.00m wide division for leaching well</t>
    </r>
  </si>
  <si>
    <t>No window grilles</t>
  </si>
  <si>
    <t>No boulders</t>
  </si>
  <si>
    <t>Septic Tank at 1.50m x 3.00m</t>
  </si>
  <si>
    <t>1.  Construction of wall/zocallo footing with deformed bars arranged according to structural plans and specification:</t>
  </si>
  <si>
    <t>CIRCUIT No.</t>
  </si>
  <si>
    <t>LOAD DESCRIPTION</t>
  </si>
  <si>
    <t>LIGHT</t>
  </si>
  <si>
    <t>SWITCH</t>
  </si>
  <si>
    <t>POWER OUTLET</t>
  </si>
  <si>
    <t>VOLT-AMPERE</t>
  </si>
  <si>
    <t>VOLTAGE</t>
  </si>
  <si>
    <t>AMPERE</t>
  </si>
  <si>
    <t>WIRE SIZE</t>
  </si>
  <si>
    <t>CONDUIT</t>
  </si>
  <si>
    <t>CIRCUIT BREAKER</t>
  </si>
  <si>
    <t>FL (20w)</t>
  </si>
  <si>
    <t>PL 18w</t>
  </si>
  <si>
    <t>S1</t>
  </si>
  <si>
    <t>S2</t>
  </si>
  <si>
    <t>S3</t>
  </si>
  <si>
    <t>Lighting Load</t>
  </si>
  <si>
    <t>2 - 3.5mm2 TW (#12)</t>
  </si>
  <si>
    <t>uPVC Pipe  1/2”Ø</t>
  </si>
  <si>
    <t>15 amp. 2P</t>
  </si>
  <si>
    <t>Power Outlets (Left Side)</t>
  </si>
  <si>
    <t>Power Outlets (Right Side)</t>
  </si>
  <si>
    <t>Power Outlets</t>
  </si>
  <si>
    <t>Spare</t>
  </si>
  <si>
    <r>
      <t xml:space="preserve">     Specs:  </t>
    </r>
    <r>
      <rPr>
        <sz val="10"/>
        <color rgb="FFC00000"/>
        <rFont val="Calibri"/>
        <family val="2"/>
        <scheme val="minor"/>
      </rPr>
      <t>REBOKON</t>
    </r>
    <r>
      <rPr>
        <sz val="10"/>
        <rFont val="Calibri"/>
        <family val="2"/>
        <scheme val="minor"/>
      </rPr>
      <t xml:space="preserve">  (8" ht);  BARANGAY HEALTH STATION  (4" ht)</t>
    </r>
  </si>
  <si>
    <t>TW Cu. Wire  2.0 mm2  (#14)  [150 mtrs/box] (for lights)</t>
  </si>
  <si>
    <t>TW Cu. Wire  3.5 mm2  (#12)  [150 mtrs/box] (for lights &amp; outlets)</t>
  </si>
  <si>
    <t>TW Cu. Wire Stranded  5.5 mm2  (#10)  (for aircon provision)</t>
  </si>
  <si>
    <t>TW Cu. Wire Stranded  8 mm2  (#8)  (for aircon provision)</t>
  </si>
  <si>
    <t>TW Cu. Wire Stranded  14 mm2  (#6)  (for aircon provision)</t>
  </si>
  <si>
    <t>TW Cu. Wire Stranded  22 mm2  (#4)  (for main entrance)</t>
  </si>
  <si>
    <t>1. Includes clearing, layout,  and excavation works for:</t>
  </si>
  <si>
    <t xml:space="preserve">     a. Wall and Zoccalo Footings </t>
  </si>
  <si>
    <t xml:space="preserve">     b. Column Footings </t>
  </si>
  <si>
    <t xml:space="preserve">     c. Septic Tank and Placenta Pit</t>
  </si>
  <si>
    <t>(Pesos)  _________________________  Amount in Words ____________________________________________________________________</t>
  </si>
  <si>
    <t>_____________________________________________________________________________________________________________</t>
  </si>
  <si>
    <t>RICAPITULATION: </t>
  </si>
  <si>
    <t>- - - - - - - - -</t>
  </si>
  <si>
    <t xml:space="preserve">TOTAL MATERIAL COST </t>
  </si>
  <si>
    <t>- - - - - - - - - - - - - - - - - - - - - - - - - - - - - - - - - - - -</t>
  </si>
  <si>
    <t>LABOR COST  ( ______% of TMC )</t>
  </si>
  <si>
    <t>Submitted by:</t>
  </si>
  <si>
    <t xml:space="preserve">_____________________________________________          </t>
  </si>
  <si>
    <t xml:space="preserve"> Date: ____________________</t>
  </si>
  <si>
    <t>Name of the Representative of the Bidder</t>
  </si>
  <si>
    <t>_____________________________________________</t>
  </si>
  <si>
    <t>Position</t>
  </si>
  <si>
    <t>Name of the Bidder</t>
  </si>
  <si>
    <t>Standard Form Number: SF-INFR-55</t>
  </si>
  <si>
    <t>Revised on: August 11, 2004</t>
  </si>
  <si>
    <t>BILL OF QUANTITIES</t>
  </si>
  <si>
    <t>Acrylic Plastic Signage, 25mm thk,with DOH Seal, 500mm dia.</t>
  </si>
  <si>
    <r>
      <t xml:space="preserve">     "</t>
    </r>
    <r>
      <rPr>
        <b/>
        <sz val="10"/>
        <color rgb="FFC00000"/>
        <rFont val="Calibri"/>
        <family val="2"/>
        <scheme val="minor"/>
      </rPr>
      <t>REBOKON BARANGAY HEALTH STATION</t>
    </r>
    <r>
      <rPr>
        <sz val="10"/>
        <rFont val="Calibri"/>
        <family val="2"/>
        <scheme val="minor"/>
      </rPr>
      <t>"</t>
    </r>
  </si>
  <si>
    <r>
      <t xml:space="preserve">Stainless Letterings to exhibit </t>
    </r>
    <r>
      <rPr>
        <sz val="10"/>
        <color rgb="FFC00000"/>
        <rFont val="Calibri"/>
        <family val="2"/>
        <scheme val="minor"/>
      </rPr>
      <t>28</t>
    </r>
    <r>
      <rPr>
        <sz val="10"/>
        <rFont val="Calibri"/>
        <family val="2"/>
        <scheme val="minor"/>
      </rPr>
      <t>-letter signage</t>
    </r>
  </si>
  <si>
    <t>Slab thickness shall be 0.10m with temperature bars spaced 0.60m bothways on top of gravel bed throughout.</t>
  </si>
  <si>
    <t>TOTAL DIRECT COST  (DC)</t>
  </si>
  <si>
    <t>Contractor's Profit</t>
  </si>
  <si>
    <t>OCM (Bonds, Contingencies, Materials Testing &amp; Quality Control, etc.)</t>
  </si>
  <si>
    <t>VAT  (7% of DC+I+II+III of Indirect Cost)</t>
  </si>
  <si>
    <t>TOTAL INDIRECT COST</t>
  </si>
  <si>
    <r>
      <t xml:space="preserve">TOTAL BID AMOUNT  </t>
    </r>
    <r>
      <rPr>
        <sz val="11"/>
        <color theme="1"/>
        <rFont val="Calibri"/>
        <family val="2"/>
        <scheme val="minor"/>
      </rPr>
      <t>(</t>
    </r>
    <r>
      <rPr>
        <sz val="10"/>
        <color theme="1"/>
        <rFont val="Calibri"/>
        <family val="2"/>
        <scheme val="minor"/>
      </rPr>
      <t>TOTAL DIRECT COST + TOTAL INDIRECT COST)</t>
    </r>
  </si>
  <si>
    <t>Excavation works</t>
  </si>
  <si>
    <t>Engineer III / HFEP Infra In-Charge</t>
  </si>
  <si>
    <t>DEPARTMENT OF HEALTH</t>
  </si>
  <si>
    <t>Phone : (062) 983-0314, (062) 983-0416, Fax : (062)   991-3380</t>
  </si>
  <si>
    <t>Email : dohchdzp@yahoo.com, Web : www.doh.gov.ph</t>
  </si>
  <si>
    <t xml:space="preserve">Floor Slabs on Grade - all areas includ. Porch, Back Exit Landing, Ramp </t>
  </si>
  <si>
    <t>Stainless-Chrome Faucet</t>
  </si>
  <si>
    <t>only as to documents presented</t>
  </si>
  <si>
    <t>Approved by:</t>
  </si>
  <si>
    <t>Verified and Certified by:</t>
  </si>
  <si>
    <t>Director IV</t>
  </si>
  <si>
    <t>Recommending Approval by:</t>
  </si>
  <si>
    <t>JOSHUA G. BRILLANTES, MD, MPH</t>
  </si>
  <si>
    <t>BAC Chairman</t>
  </si>
  <si>
    <t>VAT  (5% of DC+I+II+III of Indirect Cost)</t>
  </si>
  <si>
    <t>DEMOLITION WORKS</t>
  </si>
  <si>
    <t>XIV.</t>
  </si>
  <si>
    <t xml:space="preserve">Column Footings </t>
  </si>
  <si>
    <t xml:space="preserve">Columns  </t>
  </si>
  <si>
    <t xml:space="preserve">Roof Beams  </t>
  </si>
  <si>
    <t>f.</t>
  </si>
  <si>
    <t>Lintel Beam</t>
  </si>
  <si>
    <t>Wall Footing  -  0.30m x 0.15m x 40 lin.m</t>
  </si>
  <si>
    <t>Zocallo Footing -  0.30m x 0.10m x 14.10 lin.m</t>
  </si>
  <si>
    <t xml:space="preserve">Concrete Hollow Block  6" x 8" x 16" </t>
  </si>
  <si>
    <t>CEILING BOARDS AND JOISTS FOR INTERIOR AND EXTERIOR CEILING  -  96.80 sq.m</t>
  </si>
  <si>
    <t>DOOR JAMBS  -  3 of 0.90m x 2.10m + 1 of 0.80m x 2.10m</t>
  </si>
  <si>
    <t>Good Lumber  4 pc of 2" x 6" x 10'</t>
  </si>
  <si>
    <t>Good Lumber  4 pcs of 2" x 6" x 8'</t>
  </si>
  <si>
    <t>2.  Assembly and installation of glass jalousie windows  -  9 units</t>
  </si>
  <si>
    <t>1.  Fabrication and installation of doors  -  5 units</t>
  </si>
  <si>
    <t>D3 - (0.90m x 2.10m) Panel Door with Kick Plate (with Door Knob and Hinges)</t>
  </si>
  <si>
    <t>D2 - (0.80m x 2.10m) Flush-type Door (with Door Knob and Hinges)</t>
  </si>
  <si>
    <t>D1 - (0.90m x 2.10m) Panel-type Door (with Door Knob and Hinges)</t>
  </si>
  <si>
    <t>D2 - (0.90m x 2.10m) Flush-type Door (with Door Knob and Hinges)</t>
  </si>
  <si>
    <t>3.  Fabrication and Installation of Handrail at Ramp and Porch Steps</t>
  </si>
  <si>
    <t>4.  Fabrication and Installation of Signage Letterings and Seal</t>
  </si>
  <si>
    <t xml:space="preserve">Angle Bar  3.5mm x 2" x 2" x 6m </t>
  </si>
  <si>
    <t xml:space="preserve">Angle Bar  3.5mm x 1-1/2" x 1-1/2" x 6m </t>
  </si>
  <si>
    <t>All lavatory counters shall be furnished with 0.30m high tile for Splashboard and 0.10m for Countertop Riser</t>
  </si>
  <si>
    <t>TILING OF FLOORS OF ENTIRE AREAS INCLUDING PORCH, BACK EXIT LANDING, AND STEPS  -  55.75 sq.m</t>
  </si>
  <si>
    <t>1.  Painting of all masonry exposed surfaces (except for septic tank), ceiling, and window mouldings</t>
  </si>
  <si>
    <t>MASONRY SURFACE -  application on perimeter walls and partitions, window mouldings, and ceiling - 327.52 sq.m</t>
  </si>
  <si>
    <t>WOOD AND METAL SURFACES - application on doors, door jambs, airvent, and handrail - 26.60 sq.m</t>
  </si>
  <si>
    <t>XIV</t>
  </si>
  <si>
    <t>Location and Positioning of septic tank must be according to plans as reflected in Sewer Line Layout otherwise,</t>
  </si>
  <si>
    <t>PVC Pipe S-1000  2"Ø x 10'</t>
  </si>
  <si>
    <t>PVC Wye  2"Ø x 2"Ø</t>
  </si>
  <si>
    <t>PVC Reducer  4"Ø x 2"Ø</t>
  </si>
  <si>
    <t>PVC Bend  2"Ø x 90°</t>
  </si>
  <si>
    <t>PVC P-Trap  2"Ø</t>
  </si>
  <si>
    <t xml:space="preserve">SEPTIC TANK </t>
  </si>
  <si>
    <t xml:space="preserve">cu.m </t>
  </si>
  <si>
    <t xml:space="preserve">sq.m </t>
  </si>
  <si>
    <t xml:space="preserve">     c. Septic Tank </t>
  </si>
  <si>
    <t>SEPTIC TANK</t>
  </si>
  <si>
    <r>
      <t xml:space="preserve">2.  Erecting of CHB walls/zocallo  -  </t>
    </r>
    <r>
      <rPr>
        <b/>
        <sz val="10"/>
        <rFont val="Arial Narrow"/>
        <family val="2"/>
      </rPr>
      <t>135.51 sq.m net area</t>
    </r>
  </si>
  <si>
    <r>
      <t xml:space="preserve">3.  Cement-plastering smooth-finish of all exposed concrete walls and window jambs  -  </t>
    </r>
    <r>
      <rPr>
        <b/>
        <sz val="10"/>
        <rFont val="Arial Narrow"/>
        <family val="2"/>
      </rPr>
      <t>210.98 sq.m net area</t>
    </r>
  </si>
  <si>
    <r>
      <t xml:space="preserve">5.  Application of metal primer on all metal surfaces  -  </t>
    </r>
    <r>
      <rPr>
        <b/>
        <sz val="10"/>
        <rFont val="Arial Narrow"/>
        <family val="2"/>
      </rPr>
      <t>146.7 sq.m</t>
    </r>
  </si>
  <si>
    <r>
      <t xml:space="preserve">Stainless Letterings to exhibit </t>
    </r>
    <r>
      <rPr>
        <sz val="10"/>
        <color rgb="FFC00000"/>
        <rFont val="Arial Narrow"/>
        <family val="2"/>
      </rPr>
      <t>26</t>
    </r>
    <r>
      <rPr>
        <sz val="10"/>
        <rFont val="Arial Narrow"/>
        <family val="2"/>
      </rPr>
      <t>-letter signage</t>
    </r>
  </si>
  <si>
    <r>
      <t xml:space="preserve">     "</t>
    </r>
    <r>
      <rPr>
        <b/>
        <sz val="10"/>
        <color rgb="FFC00000"/>
        <rFont val="Arial Narrow"/>
        <family val="2"/>
      </rPr>
      <t>BUTON BARANGAY HEALTH STATION</t>
    </r>
    <r>
      <rPr>
        <sz val="10"/>
        <rFont val="Arial Narrow"/>
        <family val="2"/>
      </rPr>
      <t>"</t>
    </r>
  </si>
  <si>
    <r>
      <t xml:space="preserve">     Specs:  </t>
    </r>
    <r>
      <rPr>
        <sz val="10"/>
        <color rgb="FFC00000"/>
        <rFont val="Arial Narrow"/>
        <family val="2"/>
      </rPr>
      <t>BUTON</t>
    </r>
    <r>
      <rPr>
        <sz val="10"/>
        <rFont val="Arial Narrow"/>
        <family val="2"/>
      </rPr>
      <t xml:space="preserve">  (8" ht);  BARANGAY HEALTH STATION  (4" ht)</t>
    </r>
  </si>
  <si>
    <r>
      <t xml:space="preserve">1.  Tiling of Comfort Room  -  </t>
    </r>
    <r>
      <rPr>
        <b/>
        <sz val="10"/>
        <rFont val="Arial Narrow"/>
        <family val="2"/>
      </rPr>
      <t>17.18 sq.m</t>
    </r>
  </si>
  <si>
    <r>
      <t xml:space="preserve">2.  Tiling of Lavatory Counters  -  3 of 1.50m x 0.60m + 5.70 ln.m x 0.30m -  </t>
    </r>
    <r>
      <rPr>
        <b/>
        <sz val="10"/>
        <rFont val="Arial Narrow"/>
        <family val="2"/>
      </rPr>
      <t>4.41 sq.m</t>
    </r>
  </si>
  <si>
    <r>
      <t xml:space="preserve">3.  Tiling of floors for entire areas including Porch, Back Exit Landing, and steps  -  </t>
    </r>
    <r>
      <rPr>
        <b/>
        <sz val="10"/>
        <rFont val="Arial Narrow"/>
        <family val="2"/>
      </rPr>
      <t>55.75 sq.m</t>
    </r>
  </si>
  <si>
    <r>
      <t xml:space="preserve">Unglazed Ceramic Tiles  8" x 8" (green)  (for CR Floor)  -  </t>
    </r>
    <r>
      <rPr>
        <b/>
        <sz val="10"/>
        <rFont val="Arial Narrow"/>
        <family val="2"/>
      </rPr>
      <t>4.04 sq.m</t>
    </r>
  </si>
  <si>
    <r>
      <t xml:space="preserve">Glazed Ceramic Tiles  8" x 12" (green)  (for CR Wall and Splashboard)  -  </t>
    </r>
    <r>
      <rPr>
        <b/>
        <sz val="10"/>
        <rFont val="Arial Narrow"/>
        <family val="2"/>
      </rPr>
      <t>14.85 sq.m</t>
    </r>
  </si>
  <si>
    <r>
      <t xml:space="preserve">Glazed Ceramic Tiles  20cm x 20cm (off-white)  (for 3 Lav. Counters)  -  </t>
    </r>
    <r>
      <rPr>
        <b/>
        <sz val="10"/>
        <rFont val="Arial Narrow"/>
        <family val="2"/>
      </rPr>
      <t>2.70 sq.m</t>
    </r>
  </si>
  <si>
    <r>
      <t xml:space="preserve">1.  Construction of Septic Tank </t>
    </r>
    <r>
      <rPr>
        <b/>
        <sz val="10"/>
        <rFont val="Arial Narrow"/>
        <family val="2"/>
      </rPr>
      <t xml:space="preserve"> 1.50m wide x 3.0m long x 1.80m deep</t>
    </r>
    <r>
      <rPr>
        <sz val="10"/>
        <rFont val="Arial Narrow"/>
        <family val="2"/>
      </rPr>
      <t xml:space="preserve"> with 1.00m wide division for leaching well</t>
    </r>
  </si>
  <si>
    <r>
      <t xml:space="preserve">Type of Facility     </t>
    </r>
    <r>
      <rPr>
        <sz val="10"/>
        <rFont val="Arial Narrow"/>
        <family val="2"/>
      </rPr>
      <t>:</t>
    </r>
    <r>
      <rPr>
        <b/>
        <sz val="10"/>
        <rFont val="Arial Narrow"/>
        <family val="2"/>
      </rPr>
      <t xml:space="preserve"> </t>
    </r>
    <r>
      <rPr>
        <sz val="10"/>
        <rFont val="Arial Narrow"/>
        <family val="2"/>
      </rPr>
      <t>Barangay Health Station (BHS)</t>
    </r>
  </si>
  <si>
    <r>
      <rPr>
        <b/>
        <sz val="10"/>
        <rFont val="Arial Narrow"/>
        <family val="2"/>
      </rPr>
      <t xml:space="preserve">Floor Area             </t>
    </r>
    <r>
      <rPr>
        <sz val="10"/>
        <rFont val="Arial Narrow"/>
        <family val="2"/>
      </rPr>
      <t>: 54.40 sq.m</t>
    </r>
  </si>
  <si>
    <r>
      <rPr>
        <b/>
        <sz val="10"/>
        <rFont val="Arial Narrow"/>
        <family val="2"/>
      </rPr>
      <t>Contract Duration</t>
    </r>
    <r>
      <rPr>
        <sz val="10"/>
        <rFont val="Arial Narrow"/>
        <family val="2"/>
      </rPr>
      <t>:</t>
    </r>
  </si>
  <si>
    <t xml:space="preserve">     ATTY. TIMOTHY E. GALVEZ, RN, MPA</t>
  </si>
  <si>
    <t xml:space="preserve">Pre-Fabricated Wooden Ceiling Airvent  </t>
  </si>
  <si>
    <t>23W CFL with Vertical Downlight (6" Ø)</t>
  </si>
  <si>
    <t xml:space="preserve">INDIRECT COST </t>
  </si>
  <si>
    <t>TW Cu. Wire Stranded  8mm²  (#8)</t>
  </si>
  <si>
    <r>
      <t xml:space="preserve">TOTAL BID AMOUNT  </t>
    </r>
    <r>
      <rPr>
        <sz val="11"/>
        <color theme="1"/>
        <rFont val="Arial Narrow"/>
        <family val="2"/>
      </rPr>
      <t>(</t>
    </r>
    <r>
      <rPr>
        <sz val="10"/>
        <color theme="1"/>
        <rFont val="Arial Narrow"/>
        <family val="2"/>
      </rPr>
      <t>TOTAL DIRECT COST + TOTAL INDIRECT COST)</t>
    </r>
  </si>
  <si>
    <t>XV.</t>
  </si>
  <si>
    <t>Water tower</t>
  </si>
  <si>
    <t>1.  Fabrication of water tower</t>
  </si>
  <si>
    <t>2.  Installation of water tank and accessories</t>
  </si>
  <si>
    <t xml:space="preserve">3.  Application of red oxied epoxy paints (at least 2 coats) on all metal surface of tower. </t>
  </si>
  <si>
    <t>1000 liter capacity stainless steel water tank</t>
  </si>
  <si>
    <t>50mm x 50mm x 8mm THk.Angle Bar</t>
  </si>
  <si>
    <t>50mm x 50mm x 12mm THk.Angle Bar</t>
  </si>
  <si>
    <t>50mm x 50mm x 3mm THK Angle Bar</t>
  </si>
  <si>
    <t>25mm x 5mm THK Flat Bar</t>
  </si>
  <si>
    <t>75mm x 75mm x 12mm THK Angle Bar</t>
  </si>
  <si>
    <t>50mm x 50mm x 6mm THK Angle Bar</t>
  </si>
  <si>
    <t>12mm THK Gusset Plate</t>
  </si>
  <si>
    <t xml:space="preserve">4.  Construction of reinforced concrete works system with deformed bars layout arranged according to structural plans </t>
  </si>
  <si>
    <t xml:space="preserve">a. Column Footings </t>
  </si>
  <si>
    <t>b. Slab thickness shall be 0.10m with temperature bars spaced 0.60m bothways on top of gravel bed throughout.</t>
  </si>
  <si>
    <t>umit</t>
  </si>
  <si>
    <t>Red Oxied Epoxy</t>
  </si>
  <si>
    <t>Reducer For Red Oxied Epoxy</t>
  </si>
  <si>
    <t>EMILIA P. MONICIMPO, MD, MPH, CSEE</t>
  </si>
  <si>
    <t>CAMILO Y. NEE, CE</t>
  </si>
  <si>
    <t>1000 liter capacity stainless steel water tank (squad type)</t>
  </si>
  <si>
    <t>50mm x 50mm x 6mm THk.Angle Bar</t>
  </si>
  <si>
    <t>Red Oxide Epoxy</t>
  </si>
  <si>
    <t>WATER TOWER</t>
  </si>
  <si>
    <t>`</t>
  </si>
  <si>
    <t>Main :     60AT, 40AF, 240V, 2P, 14 KAIC</t>
  </si>
  <si>
    <t xml:space="preserve">                  3 -  20AT, 240V, 2P, 12 KAIC</t>
  </si>
  <si>
    <t>15W LED Pinlight bulb</t>
  </si>
  <si>
    <t>Vertical Downlight Case for Pinlight 4" recessed type</t>
  </si>
  <si>
    <t>WIRES AND CONDUCTORS</t>
  </si>
  <si>
    <t>14 sq. mm THHN Cu. Wire (Stranded), color black</t>
  </si>
  <si>
    <t>8.0 sq. mm THHN Cu. Wire (Stranded), color green</t>
  </si>
  <si>
    <t>3.5 sq.mm THHN Cu. Wire (Stranded), color black</t>
  </si>
  <si>
    <t>2.0 sq. mm THHN Cu. Wire (Stranded), color black</t>
  </si>
  <si>
    <t>2.0 sq. mm THHN Cu. Wire (Stranded), color green</t>
  </si>
  <si>
    <t>meters</t>
  </si>
  <si>
    <t>box/150 m</t>
  </si>
  <si>
    <t>One Gang Switch and its complete accessories</t>
  </si>
  <si>
    <t>Two Gang Switch and its complete accessories</t>
  </si>
  <si>
    <t>Three Gang Switch and its complete accessories</t>
  </si>
  <si>
    <t>Duplex Universal Outlet w/ Ground and its complete accessories (16 amps/230 V)</t>
  </si>
  <si>
    <t>Electrical Conduit Pipe (3m x 25mm D)</t>
  </si>
  <si>
    <t>Electrical Conduit Pipe (3m x 20mm D)</t>
  </si>
  <si>
    <t>Electrical Conduit Pipe (3m x 15mm D)</t>
  </si>
  <si>
    <t xml:space="preserve"> lenghts </t>
  </si>
  <si>
    <t>2" x 4" PVC Utility Box [High Impact &amp; Heat Resistant]</t>
  </si>
  <si>
    <t>4" x 4" PVC Junction Box [High Impact &amp; Heat Resistant] with cover</t>
  </si>
  <si>
    <t xml:space="preserve"> pcs </t>
  </si>
  <si>
    <t>BOXES</t>
  </si>
  <si>
    <t>150 C.D.</t>
  </si>
  <si>
    <t>Concurred By:</t>
  </si>
  <si>
    <t>Director III / HFEP Coordinator</t>
  </si>
  <si>
    <t>TIMOTHY BRET B. LEAL</t>
  </si>
  <si>
    <t>HFEP Architect II</t>
  </si>
  <si>
    <t>s</t>
  </si>
  <si>
    <t>2.  Installation of Ceiling Air Ventilation</t>
  </si>
  <si>
    <t>3.  Formworks and Scaffoldings</t>
  </si>
  <si>
    <t>CEILING AIR VENTILATION</t>
  </si>
  <si>
    <t>Ord. Plywood 1/2 x 4' x 8'</t>
  </si>
  <si>
    <t>STEEL WORKS</t>
  </si>
  <si>
    <r>
      <t xml:space="preserve">2.  Erecting of CHB walls/zocallo  -  </t>
    </r>
    <r>
      <rPr>
        <b/>
        <i/>
        <sz val="10"/>
        <rFont val="Arial Narrow"/>
        <family val="2"/>
      </rPr>
      <t>135.51 sq.m net area</t>
    </r>
  </si>
  <si>
    <r>
      <t xml:space="preserve">3.  Cement-plastering smooth-finish of all exposed concrete walls and window jambs  -  </t>
    </r>
    <r>
      <rPr>
        <b/>
        <i/>
        <sz val="10"/>
        <rFont val="Arial Narrow"/>
        <family val="2"/>
      </rPr>
      <t>210.98 sq.m net area</t>
    </r>
  </si>
  <si>
    <r>
      <t xml:space="preserve">5.  Application of metal primer on all metal surfaces  -  </t>
    </r>
    <r>
      <rPr>
        <b/>
        <i/>
        <sz val="10"/>
        <rFont val="Arial Narrow"/>
        <family val="2"/>
      </rPr>
      <t>146.7 sq.m</t>
    </r>
  </si>
  <si>
    <t>PROPOSED CONSTRUCTION OF TWO STOREY RESIDENTIAL/APARTMENT BUILDING.</t>
  </si>
  <si>
    <t>Filling Materials  - to elevate the buildable area by 0.20m</t>
  </si>
  <si>
    <t>2.  Tiling of Lavatory Counters  -  2.4 sq.m</t>
  </si>
  <si>
    <t>1.  Tiling of Comfort Room  -  71.81 sq.m</t>
  </si>
  <si>
    <t>3.  Tiling of Interior floors for First &amp; Second Floor  -  278 sq.m</t>
  </si>
  <si>
    <t>CR Wall tile height shall be 1.60m or 8 layers of tiles</t>
  </si>
  <si>
    <r>
      <t>Glazed Ceramic Tiles  20cm x 20cm  -  2.4</t>
    </r>
    <r>
      <rPr>
        <b/>
        <i/>
        <sz val="10"/>
        <rFont val="Arial Narrow"/>
        <family val="2"/>
      </rPr>
      <t xml:space="preserve"> </t>
    </r>
    <r>
      <rPr>
        <i/>
        <sz val="10"/>
        <rFont val="Arial Narrow"/>
        <family val="2"/>
      </rPr>
      <t>sq.m</t>
    </r>
  </si>
  <si>
    <t>Glazed Ceramic Tiles  8" x 12" (for CR Wall and Splashboard)  -  51.38 sq.m</t>
  </si>
  <si>
    <r>
      <t>Unglazed Ceramic Tiles  8" x 8" (for CR Floor)  -  20.43</t>
    </r>
    <r>
      <rPr>
        <b/>
        <i/>
        <sz val="10"/>
        <rFont val="Arial Narrow"/>
        <family val="2"/>
      </rPr>
      <t xml:space="preserve"> </t>
    </r>
    <r>
      <rPr>
        <i/>
        <sz val="10"/>
        <rFont val="Arial Narrow"/>
        <family val="2"/>
      </rPr>
      <t>sq.m</t>
    </r>
  </si>
  <si>
    <t>Unglazed Granite Tiles  60cm x 60cm (dark color) For Mini Bar.</t>
  </si>
  <si>
    <t>Granite Tile  60cm x 60cm - 278 sq.m</t>
  </si>
  <si>
    <t>Maganay, Buug, Zamboanga Sibugay</t>
  </si>
  <si>
    <r>
      <t xml:space="preserve">1.  Construction of Septic Tank </t>
    </r>
    <r>
      <rPr>
        <b/>
        <i/>
        <sz val="10"/>
        <rFont val="Arial Narrow"/>
        <family val="2"/>
      </rPr>
      <t xml:space="preserve"> 1.70m wide x 8m long x 2.00m deep.</t>
    </r>
  </si>
  <si>
    <t>1.  Installation of Pre-painted Long-span Roofing Sheets</t>
  </si>
  <si>
    <t>3.  Installation of Pre-painted Fascia Cover</t>
  </si>
  <si>
    <t>2.  Installation of Flashing</t>
  </si>
  <si>
    <t>Mesh Wire 1/8" x 36"</t>
  </si>
  <si>
    <t>D2 - (0.70m x 2.10m) Flush-type Door (with Door Knob and Hinges)</t>
  </si>
  <si>
    <t>D3 - (0.70m x 2.10m) PVC Door With Fix Louver (with Door Knob and Hinges)</t>
  </si>
  <si>
    <t>W1 - Sliding Glass Window w/ White powder coated jamb and frame 2-Panel</t>
  </si>
  <si>
    <t xml:space="preserve">            (0.60 x 0.60m)</t>
  </si>
  <si>
    <t>W2 -Decorative Block</t>
  </si>
  <si>
    <t>1.  Fabrication and installation of doors  -  24units</t>
  </si>
  <si>
    <t>2. Installation of Sliding Glass Windows  -  7 units</t>
  </si>
  <si>
    <t>Deformed Bar  9mmØ x 6m</t>
  </si>
  <si>
    <t>.</t>
  </si>
  <si>
    <t xml:space="preserve">C-Purlin  1.5mm x 2" x 6"  </t>
  </si>
  <si>
    <t>Plain Round Bar  10mmØ x 6m  (for Sag Rod)</t>
  </si>
  <si>
    <t xml:space="preserve">GI Flange 2"Ø </t>
  </si>
  <si>
    <t>Cutting disk</t>
  </si>
  <si>
    <t xml:space="preserve">C-Purlin  1.5mm x 2" x 3"  </t>
  </si>
  <si>
    <t>Square Bar 12mm</t>
  </si>
  <si>
    <t>HANDRAIL</t>
  </si>
  <si>
    <t>GI Elbow  2"Ø x 90°</t>
  </si>
  <si>
    <t>3.  Fabrication and Installation of Handrail</t>
  </si>
  <si>
    <t>1.  Installation of Rafters and Sag Rods</t>
  </si>
  <si>
    <t>4. Appliction of metal primer on all metal surfaces</t>
  </si>
  <si>
    <t xml:space="preserve">  </t>
  </si>
  <si>
    <t>Job orders</t>
  </si>
  <si>
    <t>4.  Supply and Installation of Stainless Counter Sinks  -  7 units</t>
  </si>
  <si>
    <t xml:space="preserve">2.  Supply and Installation of Wastewater Pipeline System </t>
  </si>
  <si>
    <t>Floor Slabs on Grade - all areas includ. Porch,</t>
  </si>
  <si>
    <t>2.  Erecting of CHB walls/zocallo</t>
  </si>
  <si>
    <t>3.  Cement-plastering smooth-finish of all exposed concrete walls and window jambs</t>
  </si>
  <si>
    <t>Pcs</t>
  </si>
  <si>
    <t>10mm Def. Bars=</t>
  </si>
  <si>
    <t>Cu.m</t>
  </si>
  <si>
    <t>Fine Aggregates=</t>
  </si>
  <si>
    <t>Bags</t>
  </si>
  <si>
    <t>Cement=</t>
  </si>
  <si>
    <t>CHB=</t>
  </si>
  <si>
    <t>Summary</t>
  </si>
  <si>
    <t>10mmØ x 6.0m Def. Bar =</t>
  </si>
  <si>
    <t>Vertical</t>
  </si>
  <si>
    <t>Horizontal</t>
  </si>
  <si>
    <t>Washed Sand =</t>
  </si>
  <si>
    <t>Portland Cement (40kg/bag) =</t>
  </si>
  <si>
    <t>Total</t>
  </si>
  <si>
    <t>Plaster</t>
  </si>
  <si>
    <t>Mortar</t>
  </si>
  <si>
    <t>100m thinck CHB =</t>
  </si>
  <si>
    <t>area</t>
  </si>
  <si>
    <t>height</t>
  </si>
  <si>
    <t>width</t>
  </si>
  <si>
    <t>Window's</t>
  </si>
  <si>
    <t>Door's</t>
  </si>
  <si>
    <t>Deductive</t>
  </si>
  <si>
    <t>Interior wall</t>
  </si>
  <si>
    <t>Total area</t>
  </si>
  <si>
    <t>Left Side's</t>
  </si>
  <si>
    <t>Right Side's</t>
  </si>
  <si>
    <t>total Area</t>
  </si>
  <si>
    <t>Rare</t>
  </si>
  <si>
    <t xml:space="preserve">Front </t>
  </si>
  <si>
    <t>TOTAL AREA =</t>
  </si>
  <si>
    <t>Mix Sand  (Mortar)</t>
  </si>
  <si>
    <t>Fine Sand (Paste)</t>
  </si>
  <si>
    <t>Marine Plywood 3.5mm x 4' x 8'</t>
  </si>
  <si>
    <t>2.  Installation o Roofing Air Ventilation</t>
  </si>
  <si>
    <t>1.  Installation of Interior Ceilings</t>
  </si>
  <si>
    <t>MASONRY SURFACE -  application on perimeter walls and partitions, window mouldings, and ceiling</t>
  </si>
  <si>
    <t>2.  Application of top coat paints (at least 2 coats) on stair handrails</t>
  </si>
  <si>
    <t xml:space="preserve">     c. Septic Tank</t>
  </si>
  <si>
    <t>Deformed Bar  8mmØ x 6m</t>
  </si>
  <si>
    <t>Approve by:</t>
  </si>
  <si>
    <t>Project Owner</t>
  </si>
  <si>
    <t xml:space="preserve">                  14 -  20AT, 240V, 2P, 12 KAIC</t>
  </si>
  <si>
    <t>ITEM</t>
  </si>
  <si>
    <t>ITEM DESCRIPTION</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</si>
</sst>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43" formatCode="_(* #,##0.00_);_(* \(#,##0.00\);_(* &quot;-&quot;??_);_(@_)"/>
    <numFmt numFmtId="164" formatCode="[$-3409]mmmm\ dd\,\ yyyy;@"/>
    <numFmt numFmtId="165" formatCode="_(* #,##0.00_);_(* \(#,##0.00\);_(* \-??_);_(@_)"/>
    <numFmt numFmtId="166" formatCode="_(* #,##0_);_(* \(#,##0\);_(* \-??_);_(@_)"/>
    <numFmt numFmtId="167" formatCode="#,##0\ \ "/>
    <numFmt numFmtId="168" formatCode="#,##0.0\ \ "/>
    <numFmt numFmtId="169" formatCode="0.00;[Red]0.00"/>
    <numFmt numFmtId="170" formatCode="0.0"/>
    <numFmt numFmtId="171" formatCode="#,##0.00\ \ "/>
    <numFmt numFmtId="172" formatCode="0.0%"/>
    <numFmt numFmtId="173" formatCode="0.00000"/>
  </numFmts>
  <fonts count="73" x14ac:knownFonts="1">
    <font>
      <sz val="11"/>
      <color theme="1"/>
      <name val="Calibri"/>
      <family val="2"/>
      <scheme val="minor"/>
    </font>
    <font>
      <sz val="10"/>
      <name val="Calibri"/>
      <family val="2"/>
      <scheme val="minor"/>
    </font>
    <font>
      <sz val="10"/>
      <name val="Arial"/>
      <family val="2"/>
    </font>
    <font>
      <sz val="10"/>
      <name val="Candara"/>
      <family val="2"/>
    </font>
    <font>
      <b/>
      <sz val="10"/>
      <name val="Calibri"/>
      <family val="2"/>
      <scheme val="minor"/>
    </font>
    <font>
      <sz val="8"/>
      <name val="Arial"/>
      <family val="2"/>
    </font>
    <font>
      <sz val="11"/>
      <color indexed="8"/>
      <name val="Calibri"/>
      <family val="2"/>
      <scheme val="minor"/>
    </font>
    <font>
      <sz val="11"/>
      <color theme="1"/>
      <name val="Calibri"/>
      <family val="2"/>
      <scheme val="minor"/>
    </font>
    <font>
      <sz val="10"/>
      <name val="Tahoma"/>
      <family val="2"/>
    </font>
    <font>
      <b/>
      <sz val="10"/>
      <name val="Tahoma"/>
      <family val="2"/>
    </font>
    <font>
      <b/>
      <u/>
      <sz val="10"/>
      <name val="Tahoma"/>
      <family val="2"/>
    </font>
    <font>
      <b/>
      <sz val="14"/>
      <name val="Segoe UI"/>
      <family val="2"/>
    </font>
    <font>
      <b/>
      <sz val="8"/>
      <name val="Calibri"/>
      <family val="2"/>
      <scheme val="minor"/>
    </font>
    <font>
      <i/>
      <sz val="10"/>
      <name val="Calibri"/>
      <family val="2"/>
      <scheme val="minor"/>
    </font>
    <font>
      <sz val="10"/>
      <color indexed="8"/>
      <name val="Calibri"/>
      <family val="2"/>
      <scheme val="minor"/>
    </font>
    <font>
      <b/>
      <sz val="9"/>
      <name val="Calibri"/>
      <family val="2"/>
      <scheme val="minor"/>
    </font>
    <font>
      <b/>
      <sz val="10"/>
      <color indexed="8"/>
      <name val="Calibri"/>
      <family val="2"/>
      <scheme val="minor"/>
    </font>
    <font>
      <vertAlign val="superscript"/>
      <sz val="10"/>
      <color indexed="8"/>
      <name val="Calibri"/>
      <family val="2"/>
      <scheme val="minor"/>
    </font>
    <font>
      <sz val="10"/>
      <color theme="1"/>
      <name val="Calibri"/>
      <family val="2"/>
      <scheme val="minor"/>
    </font>
    <font>
      <sz val="10"/>
      <color indexed="8"/>
      <name val="Calibri"/>
      <family val="2"/>
    </font>
    <font>
      <b/>
      <sz val="10"/>
      <name val="Arial"/>
      <family val="2"/>
    </font>
    <font>
      <b/>
      <sz val="10"/>
      <color theme="1"/>
      <name val="Calibri"/>
      <family val="2"/>
      <scheme val="minor"/>
    </font>
    <font>
      <b/>
      <sz val="9"/>
      <color indexed="81"/>
      <name val="Tahoma"/>
      <family val="2"/>
    </font>
    <font>
      <sz val="9"/>
      <color indexed="81"/>
      <name val="Tahoma"/>
      <family val="2"/>
    </font>
    <font>
      <b/>
      <sz val="10"/>
      <color rgb="FFC00000"/>
      <name val="Calibri"/>
      <family val="2"/>
      <scheme val="minor"/>
    </font>
    <font>
      <sz val="10"/>
      <color rgb="FFC00000"/>
      <name val="Calibri"/>
      <family val="2"/>
      <scheme val="minor"/>
    </font>
    <font>
      <b/>
      <sz val="11"/>
      <color theme="1"/>
      <name val="Calibri"/>
      <family val="2"/>
      <scheme val="minor"/>
    </font>
    <font>
      <b/>
      <i/>
      <sz val="10"/>
      <name val="Calibri"/>
      <family val="2"/>
      <scheme val="minor"/>
    </font>
    <font>
      <sz val="8"/>
      <color theme="1"/>
      <name val="Calibri"/>
      <family val="2"/>
      <scheme val="minor"/>
    </font>
    <font>
      <i/>
      <sz val="10"/>
      <color theme="1"/>
      <name val="Calibri"/>
      <family val="2"/>
      <scheme val="minor"/>
    </font>
    <font>
      <sz val="14"/>
      <color theme="1"/>
      <name val="Arial Black"/>
      <family val="2"/>
    </font>
    <font>
      <b/>
      <sz val="10"/>
      <name val="Cambria"/>
      <family val="1"/>
      <scheme val="major"/>
    </font>
    <font>
      <sz val="10"/>
      <name val="Stylus BT"/>
      <family val="2"/>
    </font>
    <font>
      <b/>
      <sz val="10"/>
      <name val="Stylus BT"/>
      <family val="2"/>
    </font>
    <font>
      <sz val="10"/>
      <color theme="1"/>
      <name val="Calibri"/>
      <family val="2"/>
    </font>
    <font>
      <b/>
      <sz val="12"/>
      <color rgb="FF984806"/>
      <name val="Arial"/>
      <family val="2"/>
    </font>
    <font>
      <b/>
      <sz val="10"/>
      <name val="Arial Narrow"/>
      <family val="2"/>
    </font>
    <font>
      <sz val="10"/>
      <name val="Arial Narrow"/>
      <family val="2"/>
    </font>
    <font>
      <b/>
      <sz val="8"/>
      <name val="Arial Narrow"/>
      <family val="2"/>
    </font>
    <font>
      <i/>
      <sz val="10"/>
      <name val="Arial Narrow"/>
      <family val="2"/>
    </font>
    <font>
      <sz val="10"/>
      <color rgb="FFC00000"/>
      <name val="Arial Narrow"/>
      <family val="2"/>
    </font>
    <font>
      <b/>
      <sz val="10"/>
      <color rgb="FFC00000"/>
      <name val="Arial Narrow"/>
      <family val="2"/>
    </font>
    <font>
      <b/>
      <sz val="9"/>
      <name val="Arial Narrow"/>
      <family val="2"/>
    </font>
    <font>
      <b/>
      <sz val="10"/>
      <color indexed="8"/>
      <name val="Arial Narrow"/>
      <family val="2"/>
    </font>
    <font>
      <sz val="10"/>
      <color indexed="8"/>
      <name val="Arial Narrow"/>
      <family val="2"/>
    </font>
    <font>
      <b/>
      <u/>
      <sz val="10"/>
      <name val="Arial Narrow"/>
      <family val="2"/>
    </font>
    <font>
      <b/>
      <sz val="18"/>
      <name val="Arial Narrow"/>
      <family val="2"/>
    </font>
    <font>
      <b/>
      <sz val="14"/>
      <name val="Arial Narrow"/>
      <family val="2"/>
    </font>
    <font>
      <sz val="11"/>
      <name val="Arial Narrow"/>
      <family val="2"/>
    </font>
    <font>
      <sz val="10"/>
      <color theme="1"/>
      <name val="Arial Narrow"/>
      <family val="2"/>
    </font>
    <font>
      <b/>
      <i/>
      <sz val="10"/>
      <name val="Arial Narrow"/>
      <family val="2"/>
    </font>
    <font>
      <b/>
      <sz val="11"/>
      <color theme="1"/>
      <name val="Arial Narrow"/>
      <family val="2"/>
    </font>
    <font>
      <sz val="8"/>
      <color theme="1"/>
      <name val="Arial Narrow"/>
      <family val="2"/>
    </font>
    <font>
      <sz val="11"/>
      <color theme="1"/>
      <name val="Arial Narrow"/>
      <family val="2"/>
    </font>
    <font>
      <b/>
      <sz val="16"/>
      <name val="Bell MT"/>
      <family val="1"/>
    </font>
    <font>
      <i/>
      <sz val="10"/>
      <name val="Tahoma"/>
      <family val="2"/>
    </font>
    <font>
      <b/>
      <i/>
      <sz val="10"/>
      <name val="Tahoma"/>
      <family val="2"/>
    </font>
    <font>
      <i/>
      <sz val="10"/>
      <name val="Arial"/>
      <family val="2"/>
    </font>
    <font>
      <i/>
      <sz val="11"/>
      <name val="Calibri"/>
      <family val="2"/>
      <scheme val="minor"/>
    </font>
    <font>
      <b/>
      <i/>
      <sz val="8"/>
      <name val="Arial Narrow"/>
      <family val="2"/>
    </font>
    <font>
      <i/>
      <sz val="10"/>
      <name val="Candara"/>
      <family val="2"/>
    </font>
    <font>
      <b/>
      <i/>
      <sz val="10"/>
      <color theme="5"/>
      <name val="Bookman Old Style"/>
      <family val="1"/>
    </font>
    <font>
      <i/>
      <sz val="11"/>
      <color theme="1"/>
      <name val="Calibri"/>
      <family val="2"/>
      <scheme val="minor"/>
    </font>
    <font>
      <i/>
      <sz val="11"/>
      <color indexed="8"/>
      <name val="Calibri"/>
      <family val="2"/>
      <scheme val="minor"/>
    </font>
    <font>
      <b/>
      <i/>
      <sz val="9"/>
      <name val="Arial Narrow"/>
      <family val="2"/>
    </font>
    <font>
      <b/>
      <i/>
      <sz val="10"/>
      <color indexed="8"/>
      <name val="Arial Narrow"/>
      <family val="2"/>
    </font>
    <font>
      <i/>
      <sz val="10"/>
      <color indexed="8"/>
      <name val="Arial Narrow"/>
      <family val="2"/>
    </font>
    <font>
      <b/>
      <i/>
      <sz val="11"/>
      <name val="Arial Narrow"/>
      <family val="2"/>
    </font>
    <font>
      <b/>
      <i/>
      <u/>
      <sz val="10"/>
      <name val="Arial Narrow"/>
      <family val="2"/>
    </font>
    <font>
      <b/>
      <i/>
      <u/>
      <sz val="10"/>
      <name val="Tahoma"/>
      <family val="2"/>
    </font>
    <font>
      <sz val="11"/>
      <name val="Calibri"/>
      <family val="2"/>
      <scheme val="minor"/>
    </font>
    <font>
      <b/>
      <sz val="11"/>
      <name val="Sylfaen"/>
      <family val="1"/>
    </font>
    <font>
      <b/>
      <sz val="10"/>
      <name val="Sylfaen"/>
      <family val="1"/>
    </font>
  </fonts>
  <fills count="12">
    <fill>
      <patternFill patternType="none"/>
    </fill>
    <fill>
      <patternFill patternType="gray125"/>
    </fill>
    <fill>
      <patternFill patternType="solid">
        <fgColor theme="8" tint="0.79998168889431442"/>
        <bgColor indexed="64"/>
      </patternFill>
    </fill>
    <fill>
      <patternFill patternType="solid">
        <fgColor rgb="FF6699FF"/>
        <bgColor indexed="64"/>
      </patternFill>
    </fill>
    <fill>
      <patternFill patternType="solid">
        <fgColor rgb="FFFFFF00"/>
        <bgColor indexed="64"/>
      </patternFill>
    </fill>
    <fill>
      <patternFill patternType="solid">
        <fgColor rgb="FFFFC000"/>
        <bgColor indexed="64"/>
      </patternFill>
    </fill>
    <fill>
      <patternFill patternType="solid">
        <fgColor theme="3" tint="0.79998168889431442"/>
        <bgColor indexed="64"/>
      </patternFill>
    </fill>
    <fill>
      <patternFill patternType="solid">
        <fgColor rgb="FF92D050"/>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theme="4" tint="0.59999389629810485"/>
        <bgColor indexed="64"/>
      </patternFill>
    </fill>
  </fills>
  <borders count="179">
    <border>
      <left/>
      <right/>
      <top/>
      <bottom/>
      <diagonal/>
    </border>
    <border>
      <left/>
      <right/>
      <top style="hair">
        <color indexed="8"/>
      </top>
      <bottom style="hair">
        <color indexed="8"/>
      </bottom>
      <diagonal/>
    </border>
    <border>
      <left style="thin">
        <color indexed="8"/>
      </left>
      <right style="thin">
        <color indexed="8"/>
      </right>
      <top style="double">
        <color indexed="8"/>
      </top>
      <bottom style="thin">
        <color indexed="8"/>
      </bottom>
      <diagonal/>
    </border>
    <border>
      <left style="thin">
        <color indexed="8"/>
      </left>
      <right style="thin">
        <color indexed="8"/>
      </right>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64"/>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top style="hair">
        <color indexed="8"/>
      </top>
      <bottom/>
      <diagonal/>
    </border>
    <border>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8"/>
      </right>
      <top style="medium">
        <color indexed="64"/>
      </top>
      <bottom/>
      <diagonal/>
    </border>
    <border>
      <left style="thin">
        <color indexed="8"/>
      </left>
      <right style="thin">
        <color indexed="8"/>
      </right>
      <top style="medium">
        <color indexed="64"/>
      </top>
      <bottom style="double">
        <color indexed="8"/>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style="double">
        <color indexed="8"/>
      </bottom>
      <diagonal/>
    </border>
    <border>
      <left style="medium">
        <color indexed="64"/>
      </left>
      <right style="thin">
        <color indexed="8"/>
      </right>
      <top/>
      <bottom style="medium">
        <color indexed="64"/>
      </bottom>
      <diagonal/>
    </border>
    <border>
      <left style="thin">
        <color indexed="8"/>
      </left>
      <right style="thin">
        <color indexed="8"/>
      </right>
      <top style="double">
        <color indexed="8"/>
      </top>
      <bottom style="medium">
        <color indexed="64"/>
      </bottom>
      <diagonal/>
    </border>
    <border>
      <left style="thin">
        <color indexed="8"/>
      </left>
      <right style="thin">
        <color indexed="8"/>
      </right>
      <top/>
      <bottom style="medium">
        <color indexed="64"/>
      </bottom>
      <diagonal/>
    </border>
    <border>
      <left style="thin">
        <color indexed="8"/>
      </left>
      <right style="medium">
        <color indexed="64"/>
      </right>
      <top style="double">
        <color indexed="8"/>
      </top>
      <bottom style="medium">
        <color indexed="64"/>
      </bottom>
      <diagonal/>
    </border>
    <border>
      <left/>
      <right/>
      <top/>
      <bottom style="medium">
        <color indexed="64"/>
      </bottom>
      <diagonal/>
    </border>
    <border>
      <left/>
      <right/>
      <top style="medium">
        <color indexed="64"/>
      </top>
      <bottom style="thin">
        <color theme="0" tint="-0.499984740745262"/>
      </bottom>
      <diagonal/>
    </border>
    <border>
      <left/>
      <right/>
      <top style="thin">
        <color theme="0" tint="-0.499984740745262"/>
      </top>
      <bottom style="thin">
        <color theme="0" tint="-0.499984740745262"/>
      </bottom>
      <diagonal/>
    </border>
    <border>
      <left style="thin">
        <color indexed="8"/>
      </left>
      <right style="thin">
        <color indexed="8"/>
      </right>
      <top style="thin">
        <color theme="0" tint="-0.499984740745262"/>
      </top>
      <bottom style="thin">
        <color theme="0" tint="-0.499984740745262"/>
      </bottom>
      <diagonal/>
    </border>
    <border>
      <left/>
      <right/>
      <top style="thin">
        <color theme="0" tint="-0.499984740745262"/>
      </top>
      <bottom style="thin">
        <color indexed="64"/>
      </bottom>
      <diagonal/>
    </border>
    <border>
      <left/>
      <right/>
      <top style="thin">
        <color indexed="64"/>
      </top>
      <bottom style="thin">
        <color theme="0" tint="-0.499984740745262"/>
      </bottom>
      <diagonal/>
    </border>
    <border>
      <left/>
      <right/>
      <top style="thin">
        <color theme="0" tint="-0.499984740745262"/>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theme="0" tint="-0.499984740745262"/>
      </top>
      <bottom style="thin">
        <color theme="0" tint="-0.499984740745262"/>
      </bottom>
      <diagonal/>
    </border>
    <border>
      <left/>
      <right/>
      <top/>
      <bottom style="thin">
        <color theme="0" tint="-0.499984740745262"/>
      </bottom>
      <diagonal/>
    </border>
    <border>
      <left/>
      <right/>
      <top/>
      <bottom style="double">
        <color indexed="8"/>
      </bottom>
      <diagonal/>
    </border>
    <border>
      <left/>
      <right style="thin">
        <color indexed="8"/>
      </right>
      <top style="double">
        <color indexed="8"/>
      </top>
      <bottom style="double">
        <color indexed="8"/>
      </bottom>
      <diagonal/>
    </border>
    <border>
      <left style="thin">
        <color indexed="8"/>
      </left>
      <right style="thin">
        <color indexed="8"/>
      </right>
      <top style="double">
        <color indexed="8"/>
      </top>
      <bottom style="double">
        <color indexed="8"/>
      </bottom>
      <diagonal/>
    </border>
    <border>
      <left style="thin">
        <color indexed="64"/>
      </left>
      <right style="thin">
        <color indexed="8"/>
      </right>
      <top style="double">
        <color indexed="8"/>
      </top>
      <bottom style="thin">
        <color indexed="8"/>
      </bottom>
      <diagonal/>
    </border>
    <border>
      <left style="thin">
        <color indexed="8"/>
      </left>
      <right style="thin">
        <color indexed="8"/>
      </right>
      <top style="double">
        <color indexed="8"/>
      </top>
      <bottom/>
      <diagonal/>
    </border>
    <border>
      <left style="thin">
        <color indexed="8"/>
      </left>
      <right style="thin">
        <color indexed="64"/>
      </right>
      <top style="double">
        <color indexed="8"/>
      </top>
      <bottom style="thin">
        <color indexed="8"/>
      </bottom>
      <diagonal/>
    </border>
    <border>
      <left style="thin">
        <color indexed="64"/>
      </left>
      <right style="thin">
        <color indexed="8"/>
      </right>
      <top style="thin">
        <color indexed="8"/>
      </top>
      <bottom/>
      <diagonal/>
    </border>
    <border>
      <left style="thin">
        <color indexed="8"/>
      </left>
      <right style="thin">
        <color indexed="64"/>
      </right>
      <top style="thin">
        <color indexed="8"/>
      </top>
      <bottom/>
      <diagonal/>
    </border>
    <border>
      <left style="thin">
        <color indexed="64"/>
      </left>
      <right style="thin">
        <color indexed="8"/>
      </right>
      <top/>
      <bottom style="double">
        <color indexed="64"/>
      </bottom>
      <diagonal/>
    </border>
    <border>
      <left style="thin">
        <color indexed="8"/>
      </left>
      <right style="thin">
        <color indexed="8"/>
      </right>
      <top/>
      <bottom style="double">
        <color indexed="64"/>
      </bottom>
      <diagonal/>
    </border>
    <border>
      <left style="thin">
        <color indexed="8"/>
      </left>
      <right style="thin">
        <color indexed="64"/>
      </right>
      <top/>
      <bottom style="double">
        <color indexed="64"/>
      </bottom>
      <diagonal/>
    </border>
    <border>
      <left style="thin">
        <color indexed="64"/>
      </left>
      <right style="thin">
        <color indexed="8"/>
      </right>
      <top/>
      <bottom style="thin">
        <color indexed="8"/>
      </bottom>
      <diagonal/>
    </border>
    <border>
      <left style="thin">
        <color indexed="64"/>
      </left>
      <right style="thin">
        <color indexed="8"/>
      </right>
      <top style="double">
        <color indexed="8"/>
      </top>
      <bottom style="double">
        <color indexed="8"/>
      </bottom>
      <diagonal/>
    </border>
    <border>
      <left style="thin">
        <color indexed="8"/>
      </left>
      <right/>
      <top style="double">
        <color indexed="8"/>
      </top>
      <bottom style="double">
        <color indexed="8"/>
      </bottom>
      <diagonal/>
    </border>
    <border>
      <left/>
      <right/>
      <top style="double">
        <color indexed="8"/>
      </top>
      <bottom style="double">
        <color indexed="8"/>
      </bottom>
      <diagonal/>
    </border>
    <border>
      <left style="thin">
        <color indexed="8"/>
      </left>
      <right style="thin">
        <color indexed="64"/>
      </right>
      <top style="double">
        <color indexed="8"/>
      </top>
      <bottom style="double">
        <color indexed="8"/>
      </bottom>
      <diagonal/>
    </border>
    <border>
      <left/>
      <right/>
      <top style="double">
        <color indexed="8"/>
      </top>
      <bottom/>
      <diagonal/>
    </border>
    <border>
      <left style="thin">
        <color indexed="64"/>
      </left>
      <right style="thin">
        <color indexed="8"/>
      </right>
      <top/>
      <bottom/>
      <diagonal/>
    </border>
    <border>
      <left style="thin">
        <color indexed="8"/>
      </left>
      <right/>
      <top/>
      <bottom/>
      <diagonal/>
    </border>
    <border>
      <left/>
      <right style="thin">
        <color indexed="8"/>
      </right>
      <top/>
      <bottom/>
      <diagonal/>
    </border>
    <border>
      <left style="thin">
        <color indexed="8"/>
      </left>
      <right style="thin">
        <color indexed="8"/>
      </right>
      <top/>
      <bottom/>
      <diagonal/>
    </border>
    <border>
      <left style="medium">
        <color indexed="64"/>
      </left>
      <right/>
      <top/>
      <bottom/>
      <diagonal/>
    </border>
    <border>
      <left style="thin">
        <color indexed="8"/>
      </left>
      <right/>
      <top style="hair">
        <color indexed="8"/>
      </top>
      <bottom style="hair">
        <color indexed="8"/>
      </bottom>
      <diagonal/>
    </border>
    <border>
      <left style="thin">
        <color indexed="64"/>
      </left>
      <right/>
      <top/>
      <bottom/>
      <diagonal/>
    </border>
    <border>
      <left/>
      <right/>
      <top style="thin">
        <color theme="1" tint="0.499984740745262"/>
      </top>
      <bottom style="thin">
        <color theme="1" tint="0.499984740745262"/>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bottom style="double">
        <color indexed="64"/>
      </bottom>
      <diagonal/>
    </border>
    <border>
      <left style="thin">
        <color indexed="8"/>
      </left>
      <right/>
      <top/>
      <bottom style="double">
        <color indexed="64"/>
      </bottom>
      <diagonal/>
    </border>
    <border>
      <left style="thin">
        <color indexed="8"/>
      </left>
      <right/>
      <top style="double">
        <color indexed="8"/>
      </top>
      <bottom/>
      <diagonal/>
    </border>
    <border>
      <left/>
      <right style="thin">
        <color indexed="8"/>
      </right>
      <top style="double">
        <color indexed="8"/>
      </top>
      <bottom/>
      <diagonal/>
    </border>
    <border>
      <left style="thin">
        <color indexed="8"/>
      </left>
      <right/>
      <top/>
      <bottom style="thin">
        <color indexed="8"/>
      </bottom>
      <diagonal/>
    </border>
    <border>
      <left/>
      <right style="thin">
        <color indexed="8"/>
      </right>
      <top/>
      <bottom style="thin">
        <color indexed="8"/>
      </bottom>
      <diagonal/>
    </border>
    <border>
      <left/>
      <right/>
      <top/>
      <bottom style="thin">
        <color theme="1" tint="0.499984740745262"/>
      </bottom>
      <diagonal/>
    </border>
    <border>
      <left/>
      <right style="thin">
        <color theme="1" tint="0.499984740745262"/>
      </right>
      <top style="medium">
        <color indexed="64"/>
      </top>
      <bottom style="thin">
        <color theme="0" tint="-0.499984740745262"/>
      </bottom>
      <diagonal/>
    </border>
    <border>
      <left style="thin">
        <color theme="1" tint="0.499984740745262"/>
      </left>
      <right style="thin">
        <color theme="1" tint="0.499984740745262"/>
      </right>
      <top style="medium">
        <color indexed="64"/>
      </top>
      <bottom style="thin">
        <color theme="0" tint="-0.499984740745262"/>
      </bottom>
      <diagonal/>
    </border>
    <border>
      <left style="thin">
        <color theme="1" tint="0.499984740745262"/>
      </left>
      <right style="medium">
        <color indexed="64"/>
      </right>
      <top style="medium">
        <color indexed="64"/>
      </top>
      <bottom style="thin">
        <color theme="0" tint="-0.499984740745262"/>
      </bottom>
      <diagonal/>
    </border>
    <border>
      <left/>
      <right style="thin">
        <color theme="1" tint="0.499984740745262"/>
      </right>
      <top style="thin">
        <color theme="0" tint="-0.499984740745262"/>
      </top>
      <bottom style="thin">
        <color theme="0" tint="-0.499984740745262"/>
      </bottom>
      <diagonal/>
    </border>
    <border>
      <left style="thin">
        <color theme="1" tint="0.499984740745262"/>
      </left>
      <right style="thin">
        <color theme="1" tint="0.499984740745262"/>
      </right>
      <top style="thin">
        <color theme="0" tint="-0.499984740745262"/>
      </top>
      <bottom style="thin">
        <color theme="0" tint="-0.499984740745262"/>
      </bottom>
      <diagonal/>
    </border>
    <border>
      <left style="thin">
        <color theme="1" tint="0.499984740745262"/>
      </left>
      <right style="medium">
        <color indexed="64"/>
      </right>
      <top style="thin">
        <color theme="0" tint="-0.499984740745262"/>
      </top>
      <bottom style="thin">
        <color theme="0" tint="-0.499984740745262"/>
      </bottom>
      <diagonal/>
    </border>
    <border>
      <left/>
      <right style="thin">
        <color theme="1" tint="0.499984740745262"/>
      </right>
      <top style="thin">
        <color theme="0" tint="-0.499984740745262"/>
      </top>
      <bottom/>
      <diagonal/>
    </border>
    <border>
      <left/>
      <right style="thin">
        <color theme="1" tint="0.499984740745262"/>
      </right>
      <top style="thin">
        <color theme="0" tint="-0.499984740745262"/>
      </top>
      <bottom style="thin">
        <color indexed="64"/>
      </bottom>
      <diagonal/>
    </border>
    <border>
      <left style="thin">
        <color theme="1" tint="0.499984740745262"/>
      </left>
      <right style="medium">
        <color indexed="64"/>
      </right>
      <top style="thin">
        <color theme="0" tint="-0.499984740745262"/>
      </top>
      <bottom style="thin">
        <color indexed="64"/>
      </bottom>
      <diagonal/>
    </border>
    <border>
      <left/>
      <right style="thin">
        <color theme="1" tint="0.499984740745262"/>
      </right>
      <top style="thin">
        <color indexed="64"/>
      </top>
      <bottom style="thin">
        <color theme="0" tint="-0.499984740745262"/>
      </bottom>
      <diagonal/>
    </border>
    <border>
      <left style="thin">
        <color theme="1" tint="0.499984740745262"/>
      </left>
      <right style="thin">
        <color theme="1" tint="0.499984740745262"/>
      </right>
      <top style="thin">
        <color indexed="64"/>
      </top>
      <bottom style="thin">
        <color theme="0" tint="-0.499984740745262"/>
      </bottom>
      <diagonal/>
    </border>
    <border>
      <left style="thin">
        <color theme="1" tint="0.499984740745262"/>
      </left>
      <right style="medium">
        <color indexed="64"/>
      </right>
      <top style="thin">
        <color indexed="64"/>
      </top>
      <bottom style="thin">
        <color theme="0"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1" tint="0.499984740745262"/>
      </left>
      <right style="medium">
        <color indexed="8"/>
      </right>
      <top style="thin">
        <color theme="1" tint="0.499984740745262"/>
      </top>
      <bottom style="thin">
        <color theme="1" tint="0.499984740745262"/>
      </bottom>
      <diagonal/>
    </border>
    <border>
      <left style="thin">
        <color theme="1" tint="0.499984740745262"/>
      </left>
      <right style="medium">
        <color indexed="8"/>
      </right>
      <top style="thin">
        <color indexed="64"/>
      </top>
      <bottom style="thin">
        <color theme="0" tint="-0.499984740745262"/>
      </bottom>
      <diagonal/>
    </border>
    <border>
      <left style="thin">
        <color theme="1" tint="0.499984740745262"/>
      </left>
      <right style="medium">
        <color indexed="8"/>
      </right>
      <top style="thin">
        <color theme="0" tint="-0.499984740745262"/>
      </top>
      <bottom style="thin">
        <color theme="0" tint="-0.499984740745262"/>
      </bottom>
      <diagonal/>
    </border>
    <border>
      <left/>
      <right style="thin">
        <color theme="1" tint="0.499984740745262"/>
      </right>
      <top style="hair">
        <color indexed="8"/>
      </top>
      <bottom/>
      <diagonal/>
    </border>
    <border>
      <left/>
      <right style="thin">
        <color theme="1" tint="0.499984740745262"/>
      </right>
      <top style="hair">
        <color indexed="8"/>
      </top>
      <bottom style="hair">
        <color indexed="8"/>
      </bottom>
      <diagonal/>
    </border>
    <border>
      <left style="thin">
        <color theme="1" tint="0.499984740745262"/>
      </left>
      <right style="thin">
        <color theme="1" tint="0.499984740745262"/>
      </right>
      <top style="hair">
        <color indexed="8"/>
      </top>
      <bottom style="hair">
        <color indexed="8"/>
      </bottom>
      <diagonal/>
    </border>
    <border>
      <left style="medium">
        <color indexed="64"/>
      </left>
      <right style="thin">
        <color theme="1" tint="0.499984740745262"/>
      </right>
      <top style="medium">
        <color indexed="64"/>
      </top>
      <bottom style="thin">
        <color theme="0" tint="-0.499984740745262"/>
      </bottom>
      <diagonal/>
    </border>
    <border>
      <left style="thin">
        <color theme="1" tint="0.499984740745262"/>
      </left>
      <right/>
      <top style="medium">
        <color indexed="64"/>
      </top>
      <bottom style="thin">
        <color theme="0" tint="-0.499984740745262"/>
      </bottom>
      <diagonal/>
    </border>
    <border>
      <left style="medium">
        <color indexed="64"/>
      </left>
      <right style="thin">
        <color theme="1" tint="0.499984740745262"/>
      </right>
      <top style="thin">
        <color theme="0" tint="-0.499984740745262"/>
      </top>
      <bottom style="thin">
        <color theme="0" tint="-0.499984740745262"/>
      </bottom>
      <diagonal/>
    </border>
    <border>
      <left style="thin">
        <color theme="1" tint="0.499984740745262"/>
      </left>
      <right/>
      <top style="thin">
        <color theme="0" tint="-0.499984740745262"/>
      </top>
      <bottom style="thin">
        <color theme="0" tint="-0.499984740745262"/>
      </bottom>
      <diagonal/>
    </border>
    <border>
      <left style="medium">
        <color indexed="64"/>
      </left>
      <right style="thin">
        <color theme="1" tint="0.499984740745262"/>
      </right>
      <top style="thin">
        <color theme="0" tint="-0.499984740745262"/>
      </top>
      <bottom/>
      <diagonal/>
    </border>
    <border>
      <left style="thin">
        <color theme="1" tint="0.499984740745262"/>
      </left>
      <right/>
      <top style="thin">
        <color theme="0" tint="-0.499984740745262"/>
      </top>
      <bottom/>
      <diagonal/>
    </border>
    <border>
      <left style="medium">
        <color indexed="64"/>
      </left>
      <right style="thin">
        <color theme="1" tint="0.499984740745262"/>
      </right>
      <top style="thin">
        <color theme="0" tint="-0.499984740745262"/>
      </top>
      <bottom style="thin">
        <color indexed="64"/>
      </bottom>
      <diagonal/>
    </border>
    <border>
      <left style="thin">
        <color theme="1" tint="0.499984740745262"/>
      </left>
      <right/>
      <top style="thin">
        <color theme="0" tint="-0.499984740745262"/>
      </top>
      <bottom style="thin">
        <color indexed="64"/>
      </bottom>
      <diagonal/>
    </border>
    <border>
      <left style="medium">
        <color indexed="64"/>
      </left>
      <right style="thin">
        <color theme="1" tint="0.499984740745262"/>
      </right>
      <top style="thin">
        <color indexed="64"/>
      </top>
      <bottom style="thin">
        <color theme="0" tint="-0.499984740745262"/>
      </bottom>
      <diagonal/>
    </border>
    <border>
      <left style="thin">
        <color theme="1" tint="0.499984740745262"/>
      </left>
      <right/>
      <top style="thin">
        <color indexed="64"/>
      </top>
      <bottom style="thin">
        <color theme="0" tint="-0.499984740745262"/>
      </bottom>
      <diagonal/>
    </border>
    <border>
      <left style="thin">
        <color theme="1" tint="0.499984740745262"/>
      </left>
      <right/>
      <top/>
      <bottom style="thin">
        <color theme="0" tint="-0.499984740745262"/>
      </bottom>
      <diagonal/>
    </border>
    <border>
      <left style="thin">
        <color theme="1" tint="0.499984740745262"/>
      </left>
      <right/>
      <top style="thin">
        <color theme="1" tint="0.499984740745262"/>
      </top>
      <bottom style="thin">
        <color theme="1" tint="0.499984740745262"/>
      </bottom>
      <diagonal/>
    </border>
    <border>
      <left style="thin">
        <color theme="1" tint="0.499984740745262"/>
      </left>
      <right/>
      <top style="hair">
        <color indexed="8"/>
      </top>
      <bottom style="hair">
        <color indexed="8"/>
      </bottom>
      <diagonal/>
    </border>
    <border>
      <left style="thin">
        <color theme="1" tint="0.499984740745262"/>
      </left>
      <right/>
      <top style="hair">
        <color indexed="8"/>
      </top>
      <bottom/>
      <diagonal/>
    </border>
    <border>
      <left style="thin">
        <color theme="1" tint="0.499984740745262"/>
      </left>
      <right/>
      <top/>
      <bottom/>
      <diagonal/>
    </border>
    <border>
      <left/>
      <right style="thin">
        <color theme="1" tint="0.499984740745262"/>
      </right>
      <top/>
      <bottom style="thin">
        <color theme="0" tint="-0.499984740745262"/>
      </bottom>
      <diagonal/>
    </border>
    <border>
      <left style="thin">
        <color theme="1" tint="0.499984740745262"/>
      </left>
      <right style="medium">
        <color indexed="64"/>
      </right>
      <top/>
      <bottom style="thin">
        <color theme="0" tint="-0.499984740745262"/>
      </bottom>
      <diagonal/>
    </border>
    <border>
      <left/>
      <right style="medium">
        <color indexed="64"/>
      </right>
      <top/>
      <bottom style="medium">
        <color indexed="64"/>
      </bottom>
      <diagonal/>
    </border>
    <border>
      <left style="medium">
        <color indexed="64"/>
      </left>
      <right/>
      <top/>
      <bottom style="medium">
        <color indexed="64"/>
      </bottom>
      <diagonal/>
    </border>
    <border>
      <left style="thin">
        <color theme="1" tint="0.499984740745262"/>
      </left>
      <right/>
      <top/>
      <bottom style="thin">
        <color indexed="64"/>
      </bottom>
      <diagonal/>
    </border>
    <border>
      <left/>
      <right style="thin">
        <color theme="1" tint="0.499984740745262"/>
      </right>
      <top/>
      <bottom style="thin">
        <color indexed="64"/>
      </bottom>
      <diagonal/>
    </border>
    <border>
      <left style="thin">
        <color theme="1" tint="0.499984740745262"/>
      </left>
      <right style="medium">
        <color indexed="64"/>
      </right>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theme="0" tint="-0.499984740745262"/>
      </top>
      <bottom style="thin">
        <color indexed="64"/>
      </bottom>
      <diagonal/>
    </border>
    <border>
      <left style="thin">
        <color theme="0" tint="-0.499984740745262"/>
      </left>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auto="1"/>
      </left>
      <right style="thin">
        <color auto="1"/>
      </right>
      <top style="thin">
        <color indexed="64"/>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medium">
        <color indexed="64"/>
      </bottom>
      <diagonal/>
    </border>
    <border>
      <left style="thin">
        <color auto="1"/>
      </left>
      <right style="thin">
        <color auto="1"/>
      </right>
      <top style="medium">
        <color indexed="64"/>
      </top>
      <bottom style="thin">
        <color indexed="64"/>
      </bottom>
      <diagonal/>
    </border>
    <border>
      <left/>
      <right style="medium">
        <color auto="1"/>
      </right>
      <top style="thin">
        <color theme="0" tint="-0.499984740745262"/>
      </top>
      <bottom/>
      <diagonal/>
    </border>
    <border>
      <left/>
      <right style="medium">
        <color auto="1"/>
      </right>
      <top/>
      <bottom/>
      <diagonal/>
    </border>
    <border>
      <left style="medium">
        <color auto="1"/>
      </left>
      <right/>
      <top style="thin">
        <color indexed="64"/>
      </top>
      <bottom style="double">
        <color indexed="8"/>
      </bottom>
      <diagonal/>
    </border>
    <border>
      <left/>
      <right/>
      <top style="thin">
        <color indexed="64"/>
      </top>
      <bottom style="double">
        <color indexed="8"/>
      </bottom>
      <diagonal/>
    </border>
    <border>
      <left/>
      <right style="medium">
        <color auto="1"/>
      </right>
      <top style="thin">
        <color indexed="64"/>
      </top>
      <bottom style="double">
        <color indexed="8"/>
      </bottom>
      <diagonal/>
    </border>
    <border>
      <left/>
      <right/>
      <top/>
      <bottom style="double">
        <color indexed="64"/>
      </bottom>
      <diagonal/>
    </border>
    <border>
      <left style="medium">
        <color indexed="8"/>
      </left>
      <right style="thin">
        <color indexed="8"/>
      </right>
      <top style="medium">
        <color indexed="64"/>
      </top>
      <bottom/>
      <diagonal/>
    </border>
    <border>
      <left style="thin">
        <color indexed="8"/>
      </left>
      <right style="medium">
        <color indexed="8"/>
      </right>
      <top style="medium">
        <color indexed="64"/>
      </top>
      <bottom style="double">
        <color indexed="8"/>
      </bottom>
      <diagonal/>
    </border>
    <border>
      <left style="medium">
        <color indexed="8"/>
      </left>
      <right style="thin">
        <color indexed="8"/>
      </right>
      <top/>
      <bottom style="medium">
        <color indexed="64"/>
      </bottom>
      <diagonal/>
    </border>
    <border>
      <left style="thin">
        <color indexed="8"/>
      </left>
      <right style="medium">
        <color indexed="8"/>
      </right>
      <top style="double">
        <color indexed="8"/>
      </top>
      <bottom style="medium">
        <color indexed="64"/>
      </bottom>
      <diagonal/>
    </border>
    <border>
      <left style="thin">
        <color indexed="8"/>
      </left>
      <right style="thin">
        <color indexed="8"/>
      </right>
      <top style="double">
        <color indexed="64"/>
      </top>
      <bottom/>
      <diagonal/>
    </border>
    <border>
      <left style="medium">
        <color indexed="64"/>
      </left>
      <right style="thin">
        <color theme="1" tint="0.499984740745262"/>
      </right>
      <top/>
      <bottom style="thin">
        <color theme="0" tint="-0.499984740745262"/>
      </bottom>
      <diagonal/>
    </border>
    <border>
      <left style="thin">
        <color theme="1" tint="0.499984740745262"/>
      </left>
      <right style="thin">
        <color theme="1" tint="0.499984740745262"/>
      </right>
      <top/>
      <bottom style="thin">
        <color theme="0" tint="-0.499984740745262"/>
      </bottom>
      <diagonal/>
    </border>
    <border>
      <left/>
      <right style="thin">
        <color theme="1" tint="0.499984740745262"/>
      </right>
      <top style="thin">
        <color indexed="64"/>
      </top>
      <bottom style="thin">
        <color indexed="64"/>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top/>
      <bottom style="thin">
        <color indexed="64"/>
      </bottom>
      <diagonal/>
    </border>
    <border>
      <left/>
      <right style="thin">
        <color indexed="8"/>
      </right>
      <top/>
      <bottom style="thin">
        <color indexed="64"/>
      </bottom>
      <diagonal/>
    </border>
    <border>
      <left style="thin">
        <color indexed="64"/>
      </left>
      <right style="thin">
        <color indexed="8"/>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theme="1" tint="0.499984740745262"/>
      </right>
      <top style="thin">
        <color theme="0" tint="-0.499984740745262"/>
      </top>
      <bottom style="medium">
        <color indexed="64"/>
      </bottom>
      <diagonal/>
    </border>
    <border>
      <left style="thin">
        <color theme="1" tint="0.499984740745262"/>
      </left>
      <right/>
      <top style="thin">
        <color theme="0" tint="-0.499984740745262"/>
      </top>
      <bottom style="medium">
        <color indexed="64"/>
      </bottom>
      <diagonal/>
    </border>
    <border>
      <left/>
      <right/>
      <top style="thin">
        <color theme="0" tint="-0.499984740745262"/>
      </top>
      <bottom style="medium">
        <color indexed="64"/>
      </bottom>
      <diagonal/>
    </border>
    <border>
      <left/>
      <right style="thin">
        <color theme="1" tint="0.499984740745262"/>
      </right>
      <top style="thin">
        <color theme="0" tint="-0.499984740745262"/>
      </top>
      <bottom style="medium">
        <color indexed="64"/>
      </bottom>
      <diagonal/>
    </border>
    <border>
      <left style="thin">
        <color theme="1" tint="0.499984740745262"/>
      </left>
      <right style="medium">
        <color indexed="64"/>
      </right>
      <top style="thin">
        <color theme="0" tint="-0.499984740745262"/>
      </top>
      <bottom style="medium">
        <color indexed="64"/>
      </bottom>
      <diagonal/>
    </border>
    <border>
      <left style="thin">
        <color theme="1" tint="0.499984740745262"/>
      </left>
      <right style="medium">
        <color indexed="8"/>
      </right>
      <top/>
      <bottom style="thin">
        <color theme="0" tint="-0.499984740745262"/>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theme="1" tint="0.499984740745262"/>
      </left>
      <right/>
      <top/>
      <bottom style="medium">
        <color indexed="64"/>
      </bottom>
      <diagonal/>
    </border>
    <border>
      <left style="thin">
        <color theme="1" tint="0.499984740745262"/>
      </left>
      <right style="thin">
        <color theme="1" tint="0.499984740745262"/>
      </right>
      <top style="thin">
        <color theme="0" tint="-0.499984740745262"/>
      </top>
      <bottom style="thin">
        <color theme="1" tint="0.499984740745262"/>
      </bottom>
      <diagonal/>
    </border>
    <border>
      <left style="thin">
        <color indexed="64"/>
      </left>
      <right style="medium">
        <color indexed="64"/>
      </right>
      <top style="thin">
        <color theme="0" tint="-0.499984740745262"/>
      </top>
      <bottom style="thin">
        <color theme="0" tint="-0.499984740745262"/>
      </bottom>
      <diagonal/>
    </border>
    <border>
      <left style="thin">
        <color theme="1" tint="0.499984740745262"/>
      </left>
      <right style="medium">
        <color indexed="64"/>
      </right>
      <top style="thin">
        <color theme="0" tint="-0.499984740745262"/>
      </top>
      <bottom/>
      <diagonal/>
    </border>
    <border>
      <left style="thin">
        <color theme="1" tint="0.499984740745262"/>
      </left>
      <right/>
      <top style="thin">
        <color theme="1" tint="0.499984740745262"/>
      </top>
      <bottom style="thin">
        <color indexed="64"/>
      </bottom>
      <diagonal/>
    </border>
    <border>
      <left/>
      <right style="thin">
        <color theme="1" tint="0.499984740745262"/>
      </right>
      <top style="thin">
        <color theme="1" tint="0.499984740745262"/>
      </top>
      <bottom style="thin">
        <color indexed="64"/>
      </bottom>
      <diagonal/>
    </border>
    <border>
      <left style="thin">
        <color theme="1" tint="0.499984740745262"/>
      </left>
      <right style="medium">
        <color indexed="64"/>
      </right>
      <top style="thin">
        <color theme="1" tint="0.499984740745262"/>
      </top>
      <bottom style="thin">
        <color indexed="64"/>
      </bottom>
      <diagonal/>
    </border>
    <border>
      <left/>
      <right/>
      <top style="thin">
        <color indexed="8"/>
      </top>
      <bottom/>
      <diagonal/>
    </border>
    <border>
      <left style="thin">
        <color indexed="64"/>
      </left>
      <right style="thin">
        <color indexed="8"/>
      </right>
      <top style="thin">
        <color indexed="64"/>
      </top>
      <bottom/>
      <diagonal/>
    </border>
    <border>
      <left style="thin">
        <color indexed="8"/>
      </left>
      <right/>
      <top style="thin">
        <color indexed="64"/>
      </top>
      <bottom style="thin">
        <color indexed="64"/>
      </bottom>
      <diagonal/>
    </border>
    <border>
      <left/>
      <right style="thin">
        <color indexed="8"/>
      </right>
      <top style="thin">
        <color indexed="64"/>
      </top>
      <bottom style="thin">
        <color indexed="64"/>
      </bottom>
      <diagonal/>
    </border>
    <border>
      <left style="thin">
        <color indexed="64"/>
      </left>
      <right style="thin">
        <color indexed="64"/>
      </right>
      <top style="thin">
        <color indexed="64"/>
      </top>
      <bottom/>
      <diagonal/>
    </border>
    <border>
      <left style="thin">
        <color theme="1" tint="0.499984740745262"/>
      </left>
      <right style="thin">
        <color theme="1" tint="0.499984740745262"/>
      </right>
      <top style="thin">
        <color theme="0" tint="-0.499984740745262"/>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thin">
        <color theme="0" tint="-0.499984740745262"/>
      </bottom>
      <diagonal/>
    </border>
    <border>
      <left/>
      <right style="thin">
        <color indexed="64"/>
      </right>
      <top style="thin">
        <color indexed="64"/>
      </top>
      <bottom style="thin">
        <color theme="0" tint="-0.499984740745262"/>
      </bottom>
      <diagonal/>
    </border>
    <border>
      <left style="thin">
        <color indexed="64"/>
      </left>
      <right/>
      <top style="thin">
        <color theme="0" tint="-0.499984740745262"/>
      </top>
      <bottom style="thin">
        <color theme="0" tint="-0.499984740745262"/>
      </bottom>
      <diagonal/>
    </border>
    <border>
      <left/>
      <right style="thin">
        <color indexed="64"/>
      </right>
      <top style="thin">
        <color theme="0" tint="-0.499984740745262"/>
      </top>
      <bottom style="thin">
        <color theme="0" tint="-0.499984740745262"/>
      </bottom>
      <diagonal/>
    </border>
    <border>
      <left style="thin">
        <color indexed="64"/>
      </left>
      <right/>
      <top style="thin">
        <color theme="0" tint="-0.499984740745262"/>
      </top>
      <bottom/>
      <diagonal/>
    </border>
    <border>
      <left/>
      <right style="thin">
        <color indexed="64"/>
      </right>
      <top style="thin">
        <color theme="0" tint="-0.499984740745262"/>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style="thin">
        <color theme="0" tint="-0.4999847407452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indexed="64"/>
      </right>
      <top/>
      <bottom style="thin">
        <color indexed="64"/>
      </bottom>
      <diagonal/>
    </border>
  </borders>
  <cellStyleXfs count="11">
    <xf numFmtId="0" fontId="0" fillId="0" borderId="0"/>
    <xf numFmtId="0" fontId="2" fillId="0" borderId="0"/>
    <xf numFmtId="43" fontId="2" fillId="0" borderId="0" applyFont="0" applyFill="0" applyBorder="0" applyAlignment="0" applyProtection="0"/>
    <xf numFmtId="165" fontId="2" fillId="0" borderId="0" applyFill="0" applyBorder="0" applyAlignment="0" applyProtection="0"/>
    <xf numFmtId="9" fontId="2" fillId="0" borderId="0" applyFill="0" applyBorder="0" applyAlignment="0" applyProtection="0"/>
    <xf numFmtId="43" fontId="7" fillId="0" borderId="0" applyFont="0" applyFill="0" applyBorder="0" applyAlignment="0" applyProtection="0"/>
    <xf numFmtId="165" fontId="2" fillId="0" borderId="0" applyFill="0" applyBorder="0" applyAlignment="0" applyProtection="0"/>
    <xf numFmtId="0" fontId="7" fillId="0" borderId="0"/>
    <xf numFmtId="9" fontId="2" fillId="0" borderId="0" applyFill="0" applyBorder="0" applyAlignment="0" applyProtection="0"/>
    <xf numFmtId="9" fontId="2" fillId="0" borderId="0" applyFont="0" applyFill="0" applyBorder="0" applyAlignment="0" applyProtection="0"/>
    <xf numFmtId="9" fontId="7" fillId="0" borderId="0" applyFont="0" applyFill="0" applyBorder="0" applyAlignment="0" applyProtection="0"/>
  </cellStyleXfs>
  <cellXfs count="895">
    <xf numFmtId="0" fontId="0" fillId="0" borderId="0" xfId="0"/>
    <xf numFmtId="43" fontId="2" fillId="0" borderId="0" xfId="1" applyNumberFormat="1" applyFill="1" applyBorder="1"/>
    <xf numFmtId="0" fontId="2" fillId="0" borderId="0" xfId="1"/>
    <xf numFmtId="0" fontId="5" fillId="0" borderId="0" xfId="1" applyFont="1" applyAlignment="1">
      <alignment horizontal="center" vertical="center" wrapText="1"/>
    </xf>
    <xf numFmtId="0" fontId="5" fillId="0" borderId="0" xfId="1" applyFont="1" applyAlignment="1">
      <alignment horizontal="center" vertical="center" shrinkToFit="1"/>
    </xf>
    <xf numFmtId="0" fontId="2" fillId="0" borderId="0" xfId="1" applyAlignment="1">
      <alignment horizontal="center" vertical="center"/>
    </xf>
    <xf numFmtId="165" fontId="2" fillId="0" borderId="0" xfId="3"/>
    <xf numFmtId="0" fontId="2" fillId="0" borderId="0" xfId="1" applyBorder="1"/>
    <xf numFmtId="0" fontId="1" fillId="0" borderId="0" xfId="1" applyFont="1" applyFill="1" applyBorder="1"/>
    <xf numFmtId="43" fontId="6" fillId="0" borderId="0" xfId="3" applyNumberFormat="1" applyFont="1" applyBorder="1"/>
    <xf numFmtId="0" fontId="1" fillId="0" borderId="0" xfId="1" applyFont="1" applyFill="1" applyBorder="1" applyAlignment="1">
      <alignment horizontal="left" vertical="center"/>
    </xf>
    <xf numFmtId="0" fontId="1" fillId="0" borderId="24" xfId="1" applyFont="1" applyFill="1" applyBorder="1"/>
    <xf numFmtId="0" fontId="10" fillId="0" borderId="0" xfId="1" applyFont="1" applyFill="1" applyBorder="1" applyAlignment="1"/>
    <xf numFmtId="2" fontId="2" fillId="0" borderId="0" xfId="1" applyNumberFormat="1" applyFill="1" applyBorder="1" applyAlignment="1">
      <alignment horizontal="center"/>
    </xf>
    <xf numFmtId="0" fontId="9" fillId="0" borderId="0" xfId="1" applyFont="1" applyFill="1" applyBorder="1" applyAlignment="1">
      <alignment vertical="center"/>
    </xf>
    <xf numFmtId="0" fontId="8" fillId="0" borderId="0" xfId="1" applyFont="1" applyFill="1" applyBorder="1" applyAlignment="1"/>
    <xf numFmtId="0" fontId="8" fillId="0" borderId="0" xfId="1" applyFont="1" applyFill="1" applyBorder="1" applyAlignment="1">
      <alignment vertical="center"/>
    </xf>
    <xf numFmtId="164" fontId="9" fillId="0" borderId="22" xfId="1" applyNumberFormat="1" applyFont="1" applyFill="1" applyBorder="1" applyAlignment="1">
      <alignment horizontal="left" vertical="center"/>
    </xf>
    <xf numFmtId="0" fontId="1" fillId="0" borderId="24" xfId="1" applyFont="1" applyFill="1" applyBorder="1" applyAlignment="1">
      <alignment vertical="center"/>
    </xf>
    <xf numFmtId="0" fontId="1" fillId="0" borderId="24" xfId="1" applyFont="1" applyFill="1" applyBorder="1" applyAlignment="1">
      <alignment horizontal="left" vertical="center"/>
    </xf>
    <xf numFmtId="0" fontId="1" fillId="0" borderId="24" xfId="1" applyFont="1" applyBorder="1" applyAlignment="1">
      <alignment vertical="center"/>
    </xf>
    <xf numFmtId="43" fontId="1" fillId="0" borderId="24" xfId="3" applyNumberFormat="1" applyFont="1" applyFill="1" applyBorder="1" applyAlignment="1" applyProtection="1">
      <alignment horizontal="right" vertical="center"/>
    </xf>
    <xf numFmtId="0" fontId="1" fillId="0" borderId="9" xfId="0" applyFont="1" applyFill="1" applyBorder="1"/>
    <xf numFmtId="0" fontId="14" fillId="0" borderId="24" xfId="0" applyFont="1" applyBorder="1"/>
    <xf numFmtId="0" fontId="1" fillId="0" borderId="24" xfId="0" applyFont="1" applyBorder="1"/>
    <xf numFmtId="0" fontId="1" fillId="0" borderId="24" xfId="0" applyFont="1" applyBorder="1" applyAlignment="1"/>
    <xf numFmtId="0" fontId="13" fillId="0" borderId="24" xfId="0" applyFont="1" applyBorder="1"/>
    <xf numFmtId="0" fontId="1" fillId="0" borderId="1" xfId="1" applyFont="1" applyFill="1" applyBorder="1" applyAlignment="1">
      <alignment vertical="center"/>
    </xf>
    <xf numFmtId="0" fontId="1" fillId="0" borderId="55" xfId="1" applyFont="1" applyFill="1" applyBorder="1"/>
    <xf numFmtId="0" fontId="4" fillId="0" borderId="24" xfId="1" applyFont="1" applyFill="1" applyBorder="1" applyAlignment="1">
      <alignment horizontal="left" vertical="center"/>
    </xf>
    <xf numFmtId="0" fontId="1" fillId="0" borderId="1" xfId="1" applyFont="1" applyFill="1" applyBorder="1" applyAlignment="1">
      <alignment horizontal="left" vertical="center"/>
    </xf>
    <xf numFmtId="0" fontId="19" fillId="0" borderId="1" xfId="1" applyFont="1" applyBorder="1" applyAlignment="1">
      <alignment horizontal="left"/>
    </xf>
    <xf numFmtId="0" fontId="5" fillId="0" borderId="56" xfId="1" applyFont="1" applyBorder="1" applyAlignment="1">
      <alignment horizontal="center" vertical="center" wrapText="1"/>
    </xf>
    <xf numFmtId="0" fontId="5" fillId="0" borderId="56" xfId="1" applyFont="1" applyBorder="1" applyAlignment="1">
      <alignment horizontal="center" vertical="center" shrinkToFit="1"/>
    </xf>
    <xf numFmtId="0" fontId="1" fillId="0" borderId="57" xfId="1" applyFont="1" applyFill="1" applyBorder="1" applyAlignment="1">
      <alignment vertical="center"/>
    </xf>
    <xf numFmtId="0" fontId="3" fillId="0" borderId="0" xfId="1" applyFont="1" applyFill="1" applyBorder="1" applyAlignment="1">
      <alignment horizontal="left" vertical="center"/>
    </xf>
    <xf numFmtId="0" fontId="20" fillId="0" borderId="0" xfId="1" applyFont="1" applyBorder="1"/>
    <xf numFmtId="0" fontId="18" fillId="0" borderId="0" xfId="0" applyFont="1" applyAlignment="1">
      <alignment vertical="center"/>
    </xf>
    <xf numFmtId="0" fontId="20" fillId="0" borderId="0" xfId="1" applyFont="1"/>
    <xf numFmtId="0" fontId="1" fillId="0" borderId="0" xfId="1" applyFont="1" applyBorder="1" applyAlignment="1"/>
    <xf numFmtId="0" fontId="1" fillId="0" borderId="0" xfId="1" applyFont="1" applyAlignment="1"/>
    <xf numFmtId="0" fontId="1" fillId="0" borderId="0" xfId="1" applyFont="1"/>
    <xf numFmtId="0" fontId="1" fillId="0" borderId="57" xfId="1" applyFont="1" applyFill="1" applyBorder="1" applyAlignment="1">
      <alignment horizontal="left" vertical="center"/>
    </xf>
    <xf numFmtId="0" fontId="1" fillId="0" borderId="57" xfId="1" applyFont="1" applyFill="1" applyBorder="1"/>
    <xf numFmtId="0" fontId="1" fillId="0" borderId="57" xfId="1" applyFont="1" applyBorder="1"/>
    <xf numFmtId="0" fontId="1" fillId="0" borderId="0" xfId="1" applyFont="1" applyFill="1" applyBorder="1" applyAlignment="1">
      <alignment vertical="center"/>
    </xf>
    <xf numFmtId="0" fontId="2" fillId="0" borderId="0" xfId="1" applyFill="1" applyBorder="1"/>
    <xf numFmtId="0" fontId="1" fillId="0" borderId="0" xfId="1" applyFont="1" applyAlignment="1"/>
    <xf numFmtId="0" fontId="1" fillId="6" borderId="27" xfId="1" applyFont="1" applyFill="1" applyBorder="1" applyAlignment="1">
      <alignment vertical="center"/>
    </xf>
    <xf numFmtId="0" fontId="1" fillId="6" borderId="23" xfId="1" applyFont="1" applyFill="1" applyBorder="1" applyAlignment="1">
      <alignment horizontal="center" vertical="center"/>
    </xf>
    <xf numFmtId="0" fontId="1" fillId="6" borderId="68" xfId="1" applyFont="1" applyFill="1" applyBorder="1" applyAlignment="1">
      <alignment horizontal="center" vertical="center"/>
    </xf>
    <xf numFmtId="2" fontId="4" fillId="6" borderId="69" xfId="1" applyNumberFormat="1" applyFont="1" applyFill="1" applyBorder="1" applyAlignment="1">
      <alignment horizontal="center" vertical="center"/>
    </xf>
    <xf numFmtId="0" fontId="4" fillId="6" borderId="69" xfId="1" applyFont="1" applyFill="1" applyBorder="1" applyAlignment="1">
      <alignment vertical="center"/>
    </xf>
    <xf numFmtId="43" fontId="12" fillId="6" borderId="69" xfId="1" applyNumberFormat="1" applyFont="1" applyFill="1" applyBorder="1" applyAlignment="1">
      <alignment horizontal="center" vertical="center"/>
    </xf>
    <xf numFmtId="43" fontId="12" fillId="6" borderId="70" xfId="1" applyNumberFormat="1" applyFont="1" applyFill="1" applyBorder="1" applyAlignment="1">
      <alignment horizontal="center" vertical="center"/>
    </xf>
    <xf numFmtId="0" fontId="1" fillId="0" borderId="71" xfId="1" applyFont="1" applyFill="1" applyBorder="1" applyAlignment="1">
      <alignment vertical="center"/>
    </xf>
    <xf numFmtId="2" fontId="1" fillId="0" borderId="72" xfId="1" applyNumberFormat="1" applyFont="1" applyFill="1" applyBorder="1" applyAlignment="1">
      <alignment horizontal="center" vertical="center"/>
    </xf>
    <xf numFmtId="0" fontId="1" fillId="0" borderId="72" xfId="1" applyFont="1" applyFill="1" applyBorder="1" applyAlignment="1">
      <alignment horizontal="center" vertical="center"/>
    </xf>
    <xf numFmtId="43" fontId="1" fillId="0" borderId="72" xfId="1" applyNumberFormat="1" applyFont="1" applyFill="1" applyBorder="1" applyAlignment="1">
      <alignment horizontal="center" vertical="center"/>
    </xf>
    <xf numFmtId="43" fontId="1" fillId="0" borderId="73" xfId="1" applyNumberFormat="1" applyFont="1" applyFill="1" applyBorder="1" applyAlignment="1">
      <alignment horizontal="center" vertical="center"/>
    </xf>
    <xf numFmtId="43" fontId="1" fillId="0" borderId="73" xfId="3" applyNumberFormat="1" applyFont="1" applyFill="1" applyBorder="1" applyAlignment="1">
      <alignment horizontal="center" vertical="center"/>
    </xf>
    <xf numFmtId="0" fontId="4" fillId="0" borderId="72" xfId="1" applyFont="1" applyFill="1" applyBorder="1" applyAlignment="1">
      <alignment horizontal="center" vertical="center"/>
    </xf>
    <xf numFmtId="43" fontId="4" fillId="0" borderId="72" xfId="3" applyNumberFormat="1" applyFont="1" applyFill="1" applyBorder="1" applyAlignment="1" applyProtection="1">
      <alignment horizontal="right" vertical="center"/>
    </xf>
    <xf numFmtId="43" fontId="4" fillId="0" borderId="73" xfId="3" applyNumberFormat="1" applyFont="1" applyFill="1" applyBorder="1" applyAlignment="1" applyProtection="1">
      <alignment horizontal="left" vertical="center"/>
    </xf>
    <xf numFmtId="0" fontId="1" fillId="0" borderId="71" xfId="1" applyFont="1" applyFill="1" applyBorder="1" applyAlignment="1">
      <alignment horizontal="center" vertical="center"/>
    </xf>
    <xf numFmtId="1" fontId="1" fillId="0" borderId="72" xfId="1" applyNumberFormat="1" applyFont="1" applyFill="1" applyBorder="1" applyAlignment="1">
      <alignment horizontal="center" vertical="center"/>
    </xf>
    <xf numFmtId="43" fontId="1" fillId="0" borderId="72" xfId="3" applyNumberFormat="1" applyFont="1" applyFill="1" applyBorder="1" applyAlignment="1" applyProtection="1">
      <alignment horizontal="right" vertical="center"/>
    </xf>
    <xf numFmtId="43" fontId="1" fillId="0" borderId="73" xfId="3" applyNumberFormat="1" applyFont="1" applyFill="1" applyBorder="1" applyAlignment="1" applyProtection="1">
      <alignment horizontal="left" vertical="center"/>
    </xf>
    <xf numFmtId="0" fontId="1" fillId="6" borderId="77" xfId="1" applyFont="1" applyFill="1" applyBorder="1" applyAlignment="1">
      <alignment vertical="center"/>
    </xf>
    <xf numFmtId="2" fontId="4" fillId="6" borderId="78" xfId="1" applyNumberFormat="1" applyFont="1" applyFill="1" applyBorder="1" applyAlignment="1">
      <alignment horizontal="center" vertical="center"/>
    </xf>
    <xf numFmtId="0" fontId="4" fillId="6" borderId="78" xfId="1" applyFont="1" applyFill="1" applyBorder="1" applyAlignment="1">
      <alignment horizontal="center" vertical="center"/>
    </xf>
    <xf numFmtId="43" fontId="1" fillId="6" borderId="78" xfId="3" applyNumberFormat="1" applyFont="1" applyFill="1" applyBorder="1" applyAlignment="1" applyProtection="1">
      <alignment horizontal="right" vertical="center"/>
    </xf>
    <xf numFmtId="43" fontId="1" fillId="6" borderId="79" xfId="3" applyNumberFormat="1" applyFont="1" applyFill="1" applyBorder="1" applyAlignment="1" applyProtection="1">
      <alignment horizontal="left" vertical="center"/>
    </xf>
    <xf numFmtId="0" fontId="4" fillId="6" borderId="78" xfId="1" applyFont="1" applyFill="1" applyBorder="1" applyAlignment="1">
      <alignment vertical="center"/>
    </xf>
    <xf numFmtId="0" fontId="1" fillId="0" borderId="71" xfId="1" applyFont="1" applyFill="1" applyBorder="1" applyAlignment="1">
      <alignment horizontal="left" vertical="center"/>
    </xf>
    <xf numFmtId="170" fontId="1" fillId="0" borderId="72" xfId="1" applyNumberFormat="1" applyFont="1" applyFill="1" applyBorder="1" applyAlignment="1">
      <alignment horizontal="center" vertical="center"/>
    </xf>
    <xf numFmtId="0" fontId="1" fillId="0" borderId="80" xfId="1" applyFont="1" applyFill="1" applyBorder="1" applyAlignment="1">
      <alignment vertical="center"/>
    </xf>
    <xf numFmtId="167" fontId="1" fillId="0" borderId="81" xfId="1" applyNumberFormat="1" applyFont="1" applyFill="1" applyBorder="1" applyAlignment="1">
      <alignment horizontal="center" vertical="center"/>
    </xf>
    <xf numFmtId="0" fontId="1" fillId="0" borderId="81" xfId="1" applyFont="1" applyFill="1" applyBorder="1" applyAlignment="1">
      <alignment horizontal="center" vertical="center"/>
    </xf>
    <xf numFmtId="43" fontId="1" fillId="0" borderId="81" xfId="3" applyNumberFormat="1" applyFont="1" applyFill="1" applyBorder="1" applyAlignment="1" applyProtection="1">
      <alignment horizontal="right" vertical="center"/>
    </xf>
    <xf numFmtId="43" fontId="1" fillId="0" borderId="82" xfId="3" applyNumberFormat="1" applyFont="1" applyFill="1" applyBorder="1" applyAlignment="1" applyProtection="1">
      <alignment horizontal="left" vertical="center"/>
    </xf>
    <xf numFmtId="0" fontId="1" fillId="0" borderId="71" xfId="1" applyFont="1" applyBorder="1" applyAlignment="1">
      <alignment vertical="center"/>
    </xf>
    <xf numFmtId="43" fontId="1" fillId="0" borderId="72" xfId="1" applyNumberFormat="1" applyFont="1" applyBorder="1" applyAlignment="1">
      <alignment vertical="center"/>
    </xf>
    <xf numFmtId="43" fontId="4" fillId="0" borderId="73" xfId="1" applyNumberFormat="1" applyFont="1" applyFill="1" applyBorder="1" applyAlignment="1">
      <alignment horizontal="center" vertical="center"/>
    </xf>
    <xf numFmtId="0" fontId="1" fillId="0" borderId="71" xfId="1" applyFont="1" applyBorder="1" applyAlignment="1">
      <alignment horizontal="center" vertical="center"/>
    </xf>
    <xf numFmtId="43" fontId="1" fillId="0" borderId="72" xfId="3" applyNumberFormat="1" applyFont="1" applyFill="1" applyBorder="1" applyAlignment="1" applyProtection="1">
      <alignment horizontal="center" vertical="center"/>
    </xf>
    <xf numFmtId="0" fontId="1" fillId="0" borderId="80" xfId="1" applyFont="1" applyFill="1" applyBorder="1" applyAlignment="1">
      <alignment horizontal="center" vertical="center"/>
    </xf>
    <xf numFmtId="167" fontId="1" fillId="0" borderId="72" xfId="1" applyNumberFormat="1" applyFont="1" applyFill="1" applyBorder="1" applyAlignment="1">
      <alignment horizontal="center" vertical="center"/>
    </xf>
    <xf numFmtId="0" fontId="13" fillId="0" borderId="72" xfId="1" applyFont="1" applyFill="1" applyBorder="1" applyAlignment="1">
      <alignment vertical="center"/>
    </xf>
    <xf numFmtId="0" fontId="13" fillId="0" borderId="84" xfId="1" applyFont="1" applyFill="1" applyBorder="1" applyAlignment="1">
      <alignment vertical="center"/>
    </xf>
    <xf numFmtId="0" fontId="1" fillId="0" borderId="71" xfId="1" applyFont="1" applyFill="1" applyBorder="1"/>
    <xf numFmtId="43" fontId="1" fillId="0" borderId="72" xfId="3" applyNumberFormat="1" applyFont="1" applyFill="1" applyBorder="1" applyAlignment="1" applyProtection="1">
      <alignment horizontal="right"/>
    </xf>
    <xf numFmtId="43" fontId="1" fillId="0" borderId="84" xfId="3" applyNumberFormat="1" applyFont="1" applyFill="1" applyBorder="1" applyAlignment="1" applyProtection="1">
      <alignment horizontal="left" vertical="center"/>
    </xf>
    <xf numFmtId="168" fontId="1" fillId="0" borderId="72" xfId="1" applyNumberFormat="1" applyFont="1" applyFill="1" applyBorder="1" applyAlignment="1">
      <alignment horizontal="center" vertical="center"/>
    </xf>
    <xf numFmtId="165" fontId="1" fillId="0" borderId="72" xfId="3" applyFont="1" applyFill="1" applyBorder="1" applyAlignment="1" applyProtection="1">
      <alignment horizontal="center" vertical="center"/>
    </xf>
    <xf numFmtId="43" fontId="1" fillId="0" borderId="72" xfId="3" applyNumberFormat="1" applyFont="1" applyFill="1" applyBorder="1" applyAlignment="1" applyProtection="1">
      <alignment horizontal="left" vertical="center"/>
    </xf>
    <xf numFmtId="0" fontId="1" fillId="0" borderId="85" xfId="0" applyFont="1" applyFill="1" applyBorder="1" applyAlignment="1">
      <alignment horizontal="center" vertical="center"/>
    </xf>
    <xf numFmtId="0" fontId="1" fillId="0" borderId="71" xfId="0" applyFont="1" applyFill="1" applyBorder="1" applyAlignment="1">
      <alignment horizontal="center" vertical="center"/>
    </xf>
    <xf numFmtId="0" fontId="1" fillId="0" borderId="72" xfId="0" applyFont="1" applyBorder="1" applyAlignment="1">
      <alignment horizontal="center"/>
    </xf>
    <xf numFmtId="43" fontId="1" fillId="0" borderId="72" xfId="5" applyFont="1" applyFill="1" applyBorder="1" applyAlignment="1" applyProtection="1">
      <alignment horizontal="right"/>
    </xf>
    <xf numFmtId="43" fontId="1" fillId="0" borderId="73" xfId="5" applyFont="1" applyFill="1" applyBorder="1" applyAlignment="1" applyProtection="1">
      <alignment horizontal="left" vertical="center"/>
    </xf>
    <xf numFmtId="0" fontId="1" fillId="0" borderId="86" xfId="1" applyFont="1" applyBorder="1"/>
    <xf numFmtId="0" fontId="1" fillId="0" borderId="87" xfId="1" applyFont="1" applyBorder="1" applyAlignment="1">
      <alignment horizontal="center"/>
    </xf>
    <xf numFmtId="165" fontId="1" fillId="0" borderId="87" xfId="3" applyFont="1" applyFill="1" applyBorder="1" applyAlignment="1" applyProtection="1">
      <alignment horizontal="right"/>
    </xf>
    <xf numFmtId="0" fontId="1" fillId="0" borderId="80" xfId="1" applyFont="1" applyBorder="1"/>
    <xf numFmtId="0" fontId="1" fillId="0" borderId="81" xfId="1" applyFont="1" applyBorder="1" applyAlignment="1">
      <alignment horizontal="center"/>
    </xf>
    <xf numFmtId="165" fontId="1" fillId="0" borderId="81" xfId="3" applyFont="1" applyFill="1" applyBorder="1" applyAlignment="1" applyProtection="1">
      <alignment horizontal="right"/>
    </xf>
    <xf numFmtId="43" fontId="1" fillId="0" borderId="72" xfId="5" applyFont="1" applyBorder="1"/>
    <xf numFmtId="3" fontId="1" fillId="0" borderId="72" xfId="3" applyNumberFormat="1" applyFont="1" applyFill="1" applyBorder="1" applyAlignment="1" applyProtection="1">
      <alignment horizontal="center"/>
    </xf>
    <xf numFmtId="43" fontId="1" fillId="0" borderId="72" xfId="5" applyFont="1" applyFill="1" applyBorder="1" applyAlignment="1" applyProtection="1">
      <alignment horizontal="left" vertical="center"/>
    </xf>
    <xf numFmtId="43" fontId="14" fillId="0" borderId="72" xfId="5" applyFont="1" applyBorder="1"/>
    <xf numFmtId="165" fontId="1" fillId="0" borderId="81" xfId="3" applyFont="1" applyFill="1" applyBorder="1" applyAlignment="1" applyProtection="1">
      <alignment horizontal="center" vertical="center"/>
    </xf>
    <xf numFmtId="43" fontId="1" fillId="0" borderId="81" xfId="3" applyNumberFormat="1" applyFont="1" applyFill="1" applyBorder="1" applyAlignment="1" applyProtection="1">
      <alignment horizontal="left" vertical="center"/>
    </xf>
    <xf numFmtId="0" fontId="4" fillId="0" borderId="71" xfId="1" applyFont="1" applyFill="1" applyBorder="1" applyAlignment="1">
      <alignment vertical="center"/>
    </xf>
    <xf numFmtId="169" fontId="1" fillId="0" borderId="72" xfId="3" applyNumberFormat="1" applyFont="1" applyFill="1" applyBorder="1" applyAlignment="1" applyProtection="1">
      <alignment horizontal="center" vertical="center"/>
    </xf>
    <xf numFmtId="0" fontId="4" fillId="6" borderId="88" xfId="1" applyFont="1" applyFill="1" applyBorder="1" applyAlignment="1">
      <alignment horizontal="center" vertical="center"/>
    </xf>
    <xf numFmtId="0" fontId="4" fillId="6" borderId="89" xfId="1" applyFont="1" applyFill="1" applyBorder="1" applyAlignment="1">
      <alignment horizontal="left" vertical="center"/>
    </xf>
    <xf numFmtId="0" fontId="4" fillId="0" borderId="90" xfId="1" applyFont="1" applyFill="1" applyBorder="1" applyAlignment="1">
      <alignment horizontal="center" vertical="center"/>
    </xf>
    <xf numFmtId="0" fontId="13" fillId="0" borderId="91" xfId="1" applyFont="1" applyFill="1" applyBorder="1" applyAlignment="1">
      <alignment vertical="center"/>
    </xf>
    <xf numFmtId="0" fontId="1" fillId="0" borderId="91" xfId="1" applyFont="1" applyFill="1" applyBorder="1" applyAlignment="1">
      <alignment horizontal="left" vertical="center"/>
    </xf>
    <xf numFmtId="0" fontId="13" fillId="0" borderId="91" xfId="1" applyFont="1" applyFill="1" applyBorder="1" applyAlignment="1">
      <alignment horizontal="left" vertical="center"/>
    </xf>
    <xf numFmtId="0" fontId="1" fillId="0" borderId="93" xfId="1" applyFont="1" applyFill="1" applyBorder="1" applyAlignment="1">
      <alignment horizontal="left" vertical="center"/>
    </xf>
    <xf numFmtId="0" fontId="4" fillId="6" borderId="96" xfId="1" applyFont="1" applyFill="1" applyBorder="1" applyAlignment="1">
      <alignment horizontal="center" vertical="center"/>
    </xf>
    <xf numFmtId="0" fontId="4" fillId="6" borderId="97" xfId="1" applyFont="1" applyFill="1" applyBorder="1" applyAlignment="1">
      <alignment horizontal="left" vertical="center"/>
    </xf>
    <xf numFmtId="0" fontId="4" fillId="0" borderId="91" xfId="1" applyFont="1" applyFill="1" applyBorder="1" applyAlignment="1">
      <alignment horizontal="left" vertical="center"/>
    </xf>
    <xf numFmtId="0" fontId="1" fillId="0" borderId="91" xfId="1" applyFont="1" applyFill="1" applyBorder="1" applyAlignment="1">
      <alignment vertical="center"/>
    </xf>
    <xf numFmtId="0" fontId="1" fillId="0" borderId="91" xfId="1" applyFont="1" applyFill="1" applyBorder="1" applyAlignment="1">
      <alignment horizontal="right" vertical="center"/>
    </xf>
    <xf numFmtId="0" fontId="1" fillId="0" borderId="98" xfId="1" applyFont="1" applyFill="1" applyBorder="1" applyAlignment="1">
      <alignment horizontal="right" vertical="center"/>
    </xf>
    <xf numFmtId="0" fontId="4" fillId="0" borderId="91" xfId="1" applyFont="1" applyFill="1" applyBorder="1" applyAlignment="1">
      <alignment vertical="center"/>
    </xf>
    <xf numFmtId="0" fontId="4" fillId="0" borderId="99" xfId="1" applyFont="1" applyFill="1" applyBorder="1" applyAlignment="1">
      <alignment horizontal="left" vertical="center"/>
    </xf>
    <xf numFmtId="166" fontId="4" fillId="0" borderId="90" xfId="3" applyNumberFormat="1" applyFont="1" applyFill="1" applyBorder="1" applyAlignment="1" applyProtection="1">
      <alignment horizontal="center" vertical="center"/>
    </xf>
    <xf numFmtId="0" fontId="1" fillId="0" borderId="91" xfId="1" applyFont="1" applyBorder="1" applyAlignment="1">
      <alignment vertical="center"/>
    </xf>
    <xf numFmtId="0" fontId="4" fillId="0" borderId="100" xfId="1" applyFont="1" applyFill="1" applyBorder="1"/>
    <xf numFmtId="0" fontId="13" fillId="0" borderId="90" xfId="1" applyFont="1" applyFill="1" applyBorder="1" applyAlignment="1">
      <alignment vertical="center"/>
    </xf>
    <xf numFmtId="0" fontId="13" fillId="0" borderId="91" xfId="1" applyFont="1" applyFill="1" applyBorder="1"/>
    <xf numFmtId="166" fontId="15" fillId="0" borderId="90" xfId="3" applyNumberFormat="1" applyFont="1" applyFill="1" applyBorder="1" applyAlignment="1" applyProtection="1">
      <alignment horizontal="center" vertical="center"/>
    </xf>
    <xf numFmtId="0" fontId="1" fillId="0" borderId="91" xfId="1" applyFont="1" applyBorder="1" applyAlignment="1">
      <alignment horizontal="left" vertical="center"/>
    </xf>
    <xf numFmtId="0" fontId="16" fillId="0" borderId="101" xfId="0" applyFont="1" applyBorder="1"/>
    <xf numFmtId="0" fontId="4" fillId="0" borderId="91" xfId="0" applyFont="1" applyBorder="1" applyAlignment="1">
      <alignment horizontal="left"/>
    </xf>
    <xf numFmtId="0" fontId="4" fillId="0" borderId="100" xfId="1" applyFont="1" applyBorder="1" applyAlignment="1">
      <alignment horizontal="left"/>
    </xf>
    <xf numFmtId="0" fontId="4" fillId="0" borderId="91" xfId="0" applyFont="1" applyBorder="1"/>
    <xf numFmtId="0" fontId="13" fillId="0" borderId="91" xfId="0" applyFont="1" applyBorder="1"/>
    <xf numFmtId="0" fontId="4" fillId="0" borderId="91" xfId="1" applyFont="1" applyBorder="1" applyAlignment="1">
      <alignment horizontal="left" vertical="center"/>
    </xf>
    <xf numFmtId="1" fontId="4" fillId="6" borderId="78" xfId="1" applyNumberFormat="1" applyFont="1" applyFill="1" applyBorder="1" applyAlignment="1">
      <alignment horizontal="center" vertical="center"/>
    </xf>
    <xf numFmtId="43" fontId="1" fillId="6" borderId="83" xfId="3" applyNumberFormat="1" applyFont="1" applyFill="1" applyBorder="1" applyAlignment="1" applyProtection="1">
      <alignment horizontal="left" vertical="center"/>
    </xf>
    <xf numFmtId="171" fontId="4" fillId="6" borderId="78" xfId="1" applyNumberFormat="1" applyFont="1" applyFill="1" applyBorder="1" applyAlignment="1">
      <alignment horizontal="center" vertical="center"/>
    </xf>
    <xf numFmtId="43" fontId="1" fillId="6" borderId="78" xfId="3" applyNumberFormat="1" applyFont="1" applyFill="1" applyBorder="1" applyAlignment="1" applyProtection="1">
      <alignment horizontal="right"/>
    </xf>
    <xf numFmtId="170" fontId="4" fillId="6" borderId="78" xfId="1" applyNumberFormat="1" applyFont="1" applyFill="1" applyBorder="1" applyAlignment="1">
      <alignment horizontal="center" vertical="center"/>
    </xf>
    <xf numFmtId="0" fontId="1" fillId="0" borderId="57" xfId="1" applyFont="1" applyFill="1" applyBorder="1" applyAlignment="1">
      <alignment horizontal="center" vertical="center"/>
    </xf>
    <xf numFmtId="0" fontId="4" fillId="0" borderId="57" xfId="1" applyFont="1" applyFill="1" applyBorder="1" applyAlignment="1">
      <alignment vertical="center"/>
    </xf>
    <xf numFmtId="0" fontId="4" fillId="0" borderId="24" xfId="1" applyFont="1" applyFill="1" applyBorder="1" applyAlignment="1">
      <alignment vertical="center"/>
    </xf>
    <xf numFmtId="0" fontId="4" fillId="0" borderId="57" xfId="1" applyFont="1" applyBorder="1"/>
    <xf numFmtId="0" fontId="4" fillId="0" borderId="57" xfId="1" applyFont="1" applyFill="1" applyBorder="1" applyAlignment="1">
      <alignment horizontal="left" vertical="center"/>
    </xf>
    <xf numFmtId="0" fontId="18" fillId="0" borderId="117" xfId="0" applyFont="1" applyBorder="1" applyAlignment="1">
      <alignment horizontal="center" vertical="center"/>
    </xf>
    <xf numFmtId="0" fontId="18" fillId="0" borderId="118" xfId="0" applyFont="1" applyBorder="1" applyAlignment="1">
      <alignment horizontal="center"/>
    </xf>
    <xf numFmtId="0" fontId="18" fillId="0" borderId="118" xfId="0" applyFont="1" applyBorder="1"/>
    <xf numFmtId="173" fontId="18" fillId="0" borderId="118" xfId="0" applyNumberFormat="1" applyFont="1" applyBorder="1" applyAlignment="1">
      <alignment horizontal="center"/>
    </xf>
    <xf numFmtId="0" fontId="18" fillId="0" borderId="0" xfId="0" applyFont="1"/>
    <xf numFmtId="0" fontId="18" fillId="0" borderId="116" xfId="0" applyFont="1" applyBorder="1" applyAlignment="1">
      <alignment horizontal="center"/>
    </xf>
    <xf numFmtId="0" fontId="18" fillId="0" borderId="116" xfId="0" applyFont="1" applyBorder="1"/>
    <xf numFmtId="173" fontId="18" fillId="0" borderId="116" xfId="0" applyNumberFormat="1" applyFont="1" applyBorder="1" applyAlignment="1">
      <alignment horizontal="center"/>
    </xf>
    <xf numFmtId="0" fontId="18" fillId="0" borderId="0" xfId="0" applyFont="1" applyAlignment="1">
      <alignment horizontal="center"/>
    </xf>
    <xf numFmtId="0" fontId="2" fillId="0" borderId="0" xfId="1" applyFont="1" applyBorder="1"/>
    <xf numFmtId="0" fontId="2" fillId="0" borderId="0" xfId="1" applyFont="1"/>
    <xf numFmtId="0" fontId="3" fillId="0" borderId="0" xfId="1" applyFont="1" applyFill="1" applyBorder="1"/>
    <xf numFmtId="0" fontId="1" fillId="0" borderId="0" xfId="1" applyFont="1"/>
    <xf numFmtId="0" fontId="1" fillId="0" borderId="9" xfId="1" applyFont="1" applyFill="1" applyBorder="1" applyAlignment="1">
      <alignment vertical="center"/>
    </xf>
    <xf numFmtId="0" fontId="1" fillId="0" borderId="119" xfId="1" applyFont="1" applyBorder="1"/>
    <xf numFmtId="0" fontId="1" fillId="0" borderId="102" xfId="1" applyFont="1" applyFill="1" applyBorder="1" applyAlignment="1">
      <alignment horizontal="left" vertical="center"/>
    </xf>
    <xf numFmtId="0" fontId="18" fillId="0" borderId="0" xfId="1" applyFont="1" applyBorder="1" applyAlignment="1"/>
    <xf numFmtId="0" fontId="18" fillId="0" borderId="0" xfId="1" applyFont="1" applyBorder="1" applyAlignment="1">
      <alignment horizontal="right"/>
    </xf>
    <xf numFmtId="0" fontId="1" fillId="0" borderId="120" xfId="1" applyFont="1" applyBorder="1"/>
    <xf numFmtId="0" fontId="1" fillId="0" borderId="107" xfId="1" applyFont="1" applyFill="1" applyBorder="1" applyAlignment="1">
      <alignment horizontal="left" vertical="center"/>
    </xf>
    <xf numFmtId="0" fontId="27" fillId="0" borderId="10" xfId="1" applyFont="1" applyFill="1" applyBorder="1" applyAlignment="1">
      <alignment vertical="center"/>
    </xf>
    <xf numFmtId="0" fontId="1" fillId="0" borderId="30" xfId="1" applyFont="1" applyBorder="1"/>
    <xf numFmtId="0" fontId="4" fillId="0" borderId="121" xfId="3" applyNumberFormat="1" applyFont="1" applyFill="1" applyBorder="1" applyAlignment="1" applyProtection="1">
      <alignment horizontal="center" vertical="center"/>
    </xf>
    <xf numFmtId="0" fontId="1" fillId="0" borderId="122" xfId="1" applyNumberFormat="1" applyFont="1" applyFill="1" applyBorder="1" applyAlignment="1">
      <alignment vertical="center"/>
    </xf>
    <xf numFmtId="0" fontId="4" fillId="0" borderId="122" xfId="1" applyNumberFormat="1" applyFont="1" applyFill="1" applyBorder="1" applyAlignment="1">
      <alignment vertical="center"/>
    </xf>
    <xf numFmtId="0" fontId="1" fillId="0" borderId="122" xfId="3" applyNumberFormat="1" applyFont="1" applyFill="1" applyBorder="1" applyAlignment="1" applyProtection="1">
      <alignment horizontal="center" vertical="center"/>
    </xf>
    <xf numFmtId="0" fontId="1" fillId="0" borderId="122" xfId="3" applyNumberFormat="1" applyFont="1" applyFill="1" applyBorder="1" applyAlignment="1" applyProtection="1">
      <alignment vertical="center"/>
    </xf>
    <xf numFmtId="0" fontId="4" fillId="0" borderId="122" xfId="3" applyNumberFormat="1" applyFont="1" applyFill="1" applyBorder="1" applyAlignment="1" applyProtection="1">
      <alignment horizontal="right" vertical="center"/>
    </xf>
    <xf numFmtId="43" fontId="1" fillId="0" borderId="123" xfId="3" applyNumberFormat="1" applyFont="1" applyFill="1" applyBorder="1" applyAlignment="1" applyProtection="1">
      <alignment horizontal="center" vertical="center"/>
    </xf>
    <xf numFmtId="0" fontId="1" fillId="0" borderId="0" xfId="1" applyFont="1" applyBorder="1"/>
    <xf numFmtId="0" fontId="1" fillId="0" borderId="0" xfId="1" applyFont="1" applyAlignment="1">
      <alignment horizontal="center" vertical="top"/>
    </xf>
    <xf numFmtId="0" fontId="18" fillId="0" borderId="0" xfId="1" applyFont="1" applyAlignment="1"/>
    <xf numFmtId="0" fontId="28" fillId="0" borderId="0" xfId="1" quotePrefix="1" applyFont="1" applyAlignment="1"/>
    <xf numFmtId="0" fontId="7" fillId="0" borderId="0" xfId="1" applyFont="1" applyAlignment="1"/>
    <xf numFmtId="43" fontId="1" fillId="0" borderId="10" xfId="1" applyNumberFormat="1" applyFont="1" applyFill="1" applyBorder="1" applyAlignment="1">
      <alignment horizontal="center" vertical="center"/>
    </xf>
    <xf numFmtId="0" fontId="18" fillId="0" borderId="0" xfId="1" applyFont="1" applyAlignment="1">
      <alignment horizontal="center"/>
    </xf>
    <xf numFmtId="0" fontId="7" fillId="0" borderId="0" xfId="1" applyFont="1" applyAlignment="1">
      <alignment horizontal="center"/>
    </xf>
    <xf numFmtId="0" fontId="0" fillId="0" borderId="0" xfId="1" applyFont="1" applyAlignment="1"/>
    <xf numFmtId="0" fontId="1" fillId="0" borderId="124" xfId="1" applyFont="1" applyBorder="1"/>
    <xf numFmtId="0" fontId="28" fillId="0" borderId="0" xfId="1" applyFont="1"/>
    <xf numFmtId="0" fontId="18" fillId="0" borderId="0" xfId="1" applyFont="1"/>
    <xf numFmtId="0" fontId="7" fillId="0" borderId="0" xfId="1" applyFont="1"/>
    <xf numFmtId="0" fontId="29" fillId="0" borderId="0" xfId="1" applyFont="1"/>
    <xf numFmtId="0" fontId="1" fillId="0" borderId="0" xfId="1" applyFont="1"/>
    <xf numFmtId="0" fontId="28" fillId="0" borderId="0" xfId="1" quotePrefix="1" applyFont="1" applyAlignment="1"/>
    <xf numFmtId="0" fontId="26" fillId="0" borderId="0" xfId="1" applyFont="1"/>
    <xf numFmtId="0" fontId="1" fillId="0" borderId="0" xfId="1" applyFont="1" applyAlignment="1">
      <alignment horizontal="center"/>
    </xf>
    <xf numFmtId="43" fontId="1" fillId="0" borderId="0" xfId="1" applyNumberFormat="1" applyFont="1" applyFill="1" applyBorder="1" applyAlignment="1">
      <alignment horizontal="center" vertical="center"/>
    </xf>
    <xf numFmtId="0" fontId="11" fillId="0" borderId="0" xfId="1" applyFont="1" applyAlignment="1"/>
    <xf numFmtId="0" fontId="1" fillId="0" borderId="0" xfId="1" applyFont="1" applyBorder="1" applyAlignment="1">
      <alignment vertical="center"/>
    </xf>
    <xf numFmtId="0" fontId="36" fillId="0" borderId="90" xfId="1" applyFont="1" applyFill="1" applyBorder="1" applyAlignment="1">
      <alignment horizontal="center" vertical="center"/>
    </xf>
    <xf numFmtId="0" fontId="39" fillId="0" borderId="91" xfId="1" applyFont="1" applyFill="1" applyBorder="1" applyAlignment="1">
      <alignment vertical="center"/>
    </xf>
    <xf numFmtId="0" fontId="37" fillId="0" borderId="24" xfId="1" applyFont="1" applyFill="1" applyBorder="1" applyAlignment="1">
      <alignment vertical="center"/>
    </xf>
    <xf numFmtId="0" fontId="37" fillId="0" borderId="71" xfId="1" applyFont="1" applyFill="1" applyBorder="1" applyAlignment="1">
      <alignment vertical="center"/>
    </xf>
    <xf numFmtId="1" fontId="37" fillId="0" borderId="72" xfId="1" applyNumberFormat="1" applyFont="1" applyFill="1" applyBorder="1" applyAlignment="1">
      <alignment horizontal="center" vertical="center"/>
    </xf>
    <xf numFmtId="0" fontId="37" fillId="0" borderId="72" xfId="1" applyFont="1" applyFill="1" applyBorder="1" applyAlignment="1">
      <alignment horizontal="center" vertical="center"/>
    </xf>
    <xf numFmtId="43" fontId="37" fillId="0" borderId="72" xfId="1" applyNumberFormat="1" applyFont="1" applyFill="1" applyBorder="1" applyAlignment="1">
      <alignment horizontal="center" vertical="center"/>
    </xf>
    <xf numFmtId="43" fontId="37" fillId="0" borderId="73" xfId="1" applyNumberFormat="1" applyFont="1" applyFill="1" applyBorder="1" applyAlignment="1">
      <alignment horizontal="center" vertical="center"/>
    </xf>
    <xf numFmtId="0" fontId="37" fillId="0" borderId="91" xfId="1" applyFont="1" applyFill="1" applyBorder="1" applyAlignment="1">
      <alignment horizontal="left" vertical="center"/>
    </xf>
    <xf numFmtId="0" fontId="37" fillId="0" borderId="57" xfId="1" applyFont="1" applyFill="1" applyBorder="1" applyAlignment="1">
      <alignment horizontal="left" vertical="center"/>
    </xf>
    <xf numFmtId="0" fontId="37" fillId="0" borderId="0" xfId="1" applyFont="1" applyFill="1" applyBorder="1" applyAlignment="1">
      <alignment horizontal="left" vertical="center"/>
    </xf>
    <xf numFmtId="43" fontId="37" fillId="0" borderId="73" xfId="3" applyNumberFormat="1" applyFont="1" applyFill="1" applyBorder="1" applyAlignment="1">
      <alignment horizontal="center" vertical="center"/>
    </xf>
    <xf numFmtId="43" fontId="37" fillId="0" borderId="72" xfId="3" applyNumberFormat="1" applyFont="1" applyFill="1" applyBorder="1" applyAlignment="1" applyProtection="1">
      <alignment horizontal="right" vertical="center"/>
    </xf>
    <xf numFmtId="43" fontId="36" fillId="0" borderId="73" xfId="3" applyNumberFormat="1" applyFont="1" applyFill="1" applyBorder="1" applyAlignment="1" applyProtection="1">
      <alignment horizontal="left" vertical="center"/>
    </xf>
    <xf numFmtId="0" fontId="37" fillId="0" borderId="24" xfId="1" applyFont="1" applyFill="1" applyBorder="1" applyAlignment="1">
      <alignment horizontal="left" vertical="center"/>
    </xf>
    <xf numFmtId="0" fontId="39" fillId="0" borderId="91" xfId="1" applyFont="1" applyFill="1" applyBorder="1" applyAlignment="1">
      <alignment horizontal="left" vertical="center"/>
    </xf>
    <xf numFmtId="43" fontId="37" fillId="0" borderId="72" xfId="5" applyFont="1" applyFill="1" applyBorder="1" applyAlignment="1">
      <alignment horizontal="center" vertical="center"/>
    </xf>
    <xf numFmtId="43" fontId="37" fillId="0" borderId="73" xfId="3" applyNumberFormat="1" applyFont="1" applyFill="1" applyBorder="1" applyAlignment="1" applyProtection="1">
      <alignment horizontal="left" vertical="center"/>
    </xf>
    <xf numFmtId="0" fontId="37" fillId="0" borderId="71" xfId="1" applyFont="1" applyFill="1" applyBorder="1" applyAlignment="1">
      <alignment horizontal="center" vertical="center"/>
    </xf>
    <xf numFmtId="2" fontId="37" fillId="0" borderId="72" xfId="1" applyNumberFormat="1" applyFont="1" applyFill="1" applyBorder="1" applyAlignment="1">
      <alignment horizontal="center" vertical="center"/>
    </xf>
    <xf numFmtId="0" fontId="36" fillId="0" borderId="72" xfId="1" applyFont="1" applyFill="1" applyBorder="1" applyAlignment="1">
      <alignment horizontal="center" vertical="center"/>
    </xf>
    <xf numFmtId="43" fontId="36" fillId="0" borderId="72" xfId="3" applyNumberFormat="1" applyFont="1" applyFill="1" applyBorder="1" applyAlignment="1" applyProtection="1">
      <alignment horizontal="right" vertical="center"/>
    </xf>
    <xf numFmtId="0" fontId="36" fillId="0" borderId="91" xfId="1" applyFont="1" applyFill="1" applyBorder="1" applyAlignment="1">
      <alignment horizontal="left" vertical="center"/>
    </xf>
    <xf numFmtId="0" fontId="37" fillId="0" borderId="93" xfId="1" applyFont="1" applyFill="1" applyBorder="1" applyAlignment="1">
      <alignment horizontal="left" vertical="center"/>
    </xf>
    <xf numFmtId="0" fontId="37" fillId="0" borderId="91" xfId="1" applyFont="1" applyFill="1" applyBorder="1" applyAlignment="1">
      <alignment vertical="center"/>
    </xf>
    <xf numFmtId="0" fontId="37" fillId="0" borderId="91" xfId="1" applyFont="1" applyFill="1" applyBorder="1" applyAlignment="1">
      <alignment horizontal="right" vertical="center"/>
    </xf>
    <xf numFmtId="0" fontId="37" fillId="0" borderId="24" xfId="1" applyFont="1" applyFill="1" applyBorder="1"/>
    <xf numFmtId="0" fontId="37" fillId="0" borderId="71" xfId="1" applyFont="1" applyFill="1" applyBorder="1" applyAlignment="1">
      <alignment horizontal="left" vertical="center"/>
    </xf>
    <xf numFmtId="0" fontId="37" fillId="0" borderId="57" xfId="1" applyFont="1" applyFill="1" applyBorder="1"/>
    <xf numFmtId="0" fontId="36" fillId="0" borderId="91" xfId="1" applyFont="1" applyFill="1" applyBorder="1" applyAlignment="1">
      <alignment vertical="center"/>
    </xf>
    <xf numFmtId="0" fontId="37" fillId="0" borderId="98" xfId="1" applyFont="1" applyFill="1" applyBorder="1" applyAlignment="1">
      <alignment horizontal="right" vertical="center"/>
    </xf>
    <xf numFmtId="0" fontId="36" fillId="0" borderId="24" xfId="1" applyFont="1" applyFill="1" applyBorder="1" applyAlignment="1">
      <alignment horizontal="left" vertical="center"/>
    </xf>
    <xf numFmtId="0" fontId="37" fillId="0" borderId="57" xfId="1" applyFont="1" applyFill="1" applyBorder="1" applyAlignment="1">
      <alignment vertical="center"/>
    </xf>
    <xf numFmtId="0" fontId="37" fillId="0" borderId="0" xfId="1" applyFont="1" applyFill="1" applyBorder="1" applyAlignment="1">
      <alignment vertical="center"/>
    </xf>
    <xf numFmtId="0" fontId="37" fillId="0" borderId="80" xfId="1" applyFont="1" applyFill="1" applyBorder="1" applyAlignment="1">
      <alignment vertical="center"/>
    </xf>
    <xf numFmtId="0" fontId="37" fillId="0" borderId="81" xfId="1" applyFont="1" applyFill="1" applyBorder="1" applyAlignment="1">
      <alignment horizontal="center" vertical="center"/>
    </xf>
    <xf numFmtId="43" fontId="37" fillId="0" borderId="81" xfId="3" applyNumberFormat="1" applyFont="1" applyFill="1" applyBorder="1" applyAlignment="1" applyProtection="1">
      <alignment horizontal="right" vertical="center"/>
    </xf>
    <xf numFmtId="43" fontId="37" fillId="0" borderId="82" xfId="3" applyNumberFormat="1" applyFont="1" applyFill="1" applyBorder="1" applyAlignment="1" applyProtection="1">
      <alignment horizontal="left" vertical="center"/>
    </xf>
    <xf numFmtId="0" fontId="36" fillId="0" borderId="99" xfId="1" applyFont="1" applyFill="1" applyBorder="1" applyAlignment="1">
      <alignment horizontal="left" vertical="center"/>
    </xf>
    <xf numFmtId="166" fontId="36" fillId="0" borderId="90" xfId="3" applyNumberFormat="1" applyFont="1" applyFill="1" applyBorder="1" applyAlignment="1" applyProtection="1">
      <alignment horizontal="center" vertical="center"/>
    </xf>
    <xf numFmtId="43" fontId="36" fillId="0" borderId="73" xfId="1" applyNumberFormat="1" applyFont="1" applyFill="1" applyBorder="1" applyAlignment="1">
      <alignment horizontal="center" vertical="center"/>
    </xf>
    <xf numFmtId="43" fontId="37" fillId="0" borderId="72" xfId="3" applyNumberFormat="1" applyFont="1" applyFill="1" applyBorder="1" applyAlignment="1" applyProtection="1">
      <alignment horizontal="center" vertical="center"/>
    </xf>
    <xf numFmtId="0" fontId="36" fillId="0" borderId="100" xfId="1" applyFont="1" applyFill="1" applyBorder="1"/>
    <xf numFmtId="0" fontId="37" fillId="0" borderId="80" xfId="1" applyFont="1" applyFill="1" applyBorder="1" applyAlignment="1">
      <alignment horizontal="center" vertical="center"/>
    </xf>
    <xf numFmtId="0" fontId="36" fillId="0" borderId="57" xfId="1" applyFont="1" applyFill="1" applyBorder="1" applyAlignment="1">
      <alignment vertical="center"/>
    </xf>
    <xf numFmtId="0" fontId="37" fillId="0" borderId="57" xfId="1" applyFont="1" applyFill="1" applyBorder="1" applyAlignment="1">
      <alignment horizontal="center" vertical="center"/>
    </xf>
    <xf numFmtId="0" fontId="36" fillId="0" borderId="57" xfId="1" applyFont="1" applyFill="1" applyBorder="1" applyAlignment="1">
      <alignment horizontal="left" vertical="center"/>
    </xf>
    <xf numFmtId="169" fontId="37" fillId="0" borderId="72" xfId="3" applyNumberFormat="1" applyFont="1" applyFill="1" applyBorder="1" applyAlignment="1" applyProtection="1">
      <alignment horizontal="center" vertical="center"/>
    </xf>
    <xf numFmtId="43" fontId="37" fillId="0" borderId="72" xfId="3" applyNumberFormat="1" applyFont="1" applyFill="1" applyBorder="1" applyAlignment="1" applyProtection="1">
      <alignment horizontal="left" vertical="center"/>
    </xf>
    <xf numFmtId="0" fontId="36" fillId="0" borderId="24" xfId="1" applyFont="1" applyFill="1" applyBorder="1" applyAlignment="1">
      <alignment vertical="center"/>
    </xf>
    <xf numFmtId="0" fontId="37" fillId="0" borderId="91" xfId="1" applyFont="1" applyBorder="1" applyAlignment="1">
      <alignment horizontal="left" vertical="center"/>
    </xf>
    <xf numFmtId="0" fontId="39" fillId="0" borderId="91" xfId="1" applyFont="1" applyFill="1" applyBorder="1"/>
    <xf numFmtId="0" fontId="37" fillId="0" borderId="71" xfId="1" applyFont="1" applyFill="1" applyBorder="1"/>
    <xf numFmtId="167" fontId="37" fillId="0" borderId="72" xfId="1" applyNumberFormat="1" applyFont="1" applyFill="1" applyBorder="1" applyAlignment="1">
      <alignment horizontal="center" vertical="center"/>
    </xf>
    <xf numFmtId="43" fontId="37" fillId="0" borderId="72" xfId="3" applyNumberFormat="1" applyFont="1" applyFill="1" applyBorder="1" applyAlignment="1" applyProtection="1">
      <alignment horizontal="right"/>
    </xf>
    <xf numFmtId="43" fontId="37" fillId="0" borderId="84" xfId="3" applyNumberFormat="1" applyFont="1" applyFill="1" applyBorder="1" applyAlignment="1" applyProtection="1">
      <alignment horizontal="left" vertical="center"/>
    </xf>
    <xf numFmtId="0" fontId="39" fillId="0" borderId="90" xfId="1" applyFont="1" applyFill="1" applyBorder="1" applyAlignment="1">
      <alignment vertical="center"/>
    </xf>
    <xf numFmtId="0" fontId="39" fillId="0" borderId="72" xfId="1" applyFont="1" applyFill="1" applyBorder="1" applyAlignment="1">
      <alignment vertical="center"/>
    </xf>
    <xf numFmtId="0" fontId="39" fillId="0" borderId="84" xfId="1" applyFont="1" applyFill="1" applyBorder="1" applyAlignment="1">
      <alignment vertical="center"/>
    </xf>
    <xf numFmtId="168" fontId="37" fillId="0" borderId="72" xfId="1" applyNumberFormat="1" applyFont="1" applyFill="1" applyBorder="1" applyAlignment="1">
      <alignment horizontal="center" vertical="center"/>
    </xf>
    <xf numFmtId="166" fontId="42" fillId="0" borderId="90" xfId="3" applyNumberFormat="1" applyFont="1" applyFill="1" applyBorder="1" applyAlignment="1" applyProtection="1">
      <alignment horizontal="center" vertical="center"/>
    </xf>
    <xf numFmtId="165" fontId="37" fillId="0" borderId="72" xfId="3" applyFont="1" applyFill="1" applyBorder="1" applyAlignment="1" applyProtection="1">
      <alignment horizontal="center" vertical="center"/>
    </xf>
    <xf numFmtId="0" fontId="37" fillId="0" borderId="9" xfId="0" applyFont="1" applyFill="1" applyBorder="1"/>
    <xf numFmtId="0" fontId="37" fillId="0" borderId="85" xfId="0" applyFont="1" applyFill="1" applyBorder="1" applyAlignment="1">
      <alignment horizontal="center" vertical="center"/>
    </xf>
    <xf numFmtId="0" fontId="37" fillId="0" borderId="71" xfId="0" applyFont="1" applyFill="1" applyBorder="1" applyAlignment="1">
      <alignment horizontal="center" vertical="center"/>
    </xf>
    <xf numFmtId="43" fontId="37" fillId="0" borderId="72" xfId="5" applyFont="1" applyFill="1" applyBorder="1" applyAlignment="1" applyProtection="1">
      <alignment horizontal="right"/>
    </xf>
    <xf numFmtId="43" fontId="37" fillId="0" borderId="73" xfId="5" applyFont="1" applyFill="1" applyBorder="1" applyAlignment="1" applyProtection="1">
      <alignment horizontal="left" vertical="center"/>
    </xf>
    <xf numFmtId="165" fontId="37" fillId="0" borderId="87" xfId="3" applyFont="1" applyFill="1" applyBorder="1" applyAlignment="1" applyProtection="1">
      <alignment horizontal="right"/>
    </xf>
    <xf numFmtId="0" fontId="39" fillId="0" borderId="24" xfId="0" applyFont="1" applyBorder="1"/>
    <xf numFmtId="43" fontId="37" fillId="0" borderId="72" xfId="5" applyFont="1" applyFill="1" applyBorder="1" applyAlignment="1" applyProtection="1">
      <alignment horizontal="left" vertical="center"/>
    </xf>
    <xf numFmtId="0" fontId="39" fillId="0" borderId="91" xfId="0" applyFont="1" applyBorder="1"/>
    <xf numFmtId="165" fontId="37" fillId="0" borderId="81" xfId="3" applyFont="1" applyFill="1" applyBorder="1" applyAlignment="1" applyProtection="1">
      <alignment horizontal="right"/>
    </xf>
    <xf numFmtId="3" fontId="37" fillId="0" borderId="72" xfId="3" applyNumberFormat="1" applyFont="1" applyFill="1" applyBorder="1" applyAlignment="1" applyProtection="1">
      <alignment horizontal="center"/>
    </xf>
    <xf numFmtId="0" fontId="36" fillId="0" borderId="71" xfId="1" applyFont="1" applyFill="1" applyBorder="1" applyAlignment="1">
      <alignment vertical="center"/>
    </xf>
    <xf numFmtId="0" fontId="37" fillId="0" borderId="55" xfId="1" applyFont="1" applyFill="1" applyBorder="1"/>
    <xf numFmtId="0" fontId="37" fillId="0" borderId="0" xfId="1" applyFont="1" applyFill="1" applyBorder="1"/>
    <xf numFmtId="0" fontId="37" fillId="0" borderId="1" xfId="1" applyFont="1" applyFill="1" applyBorder="1" applyAlignment="1">
      <alignment vertical="center"/>
    </xf>
    <xf numFmtId="0" fontId="46" fillId="0" borderId="0" xfId="1" applyFont="1" applyBorder="1" applyAlignment="1">
      <alignment horizontal="center" vertical="center"/>
    </xf>
    <xf numFmtId="0" fontId="37" fillId="0" borderId="0" xfId="1" applyFont="1"/>
    <xf numFmtId="0" fontId="37" fillId="0" borderId="0" xfId="1" applyFont="1" applyAlignment="1"/>
    <xf numFmtId="0" fontId="36" fillId="0" borderId="0" xfId="1" applyFont="1" applyAlignment="1">
      <alignment vertical="center"/>
    </xf>
    <xf numFmtId="0" fontId="47" fillId="0" borderId="0" xfId="1" applyFont="1" applyBorder="1" applyAlignment="1">
      <alignment vertical="center"/>
    </xf>
    <xf numFmtId="164" fontId="37" fillId="0" borderId="33" xfId="1" applyNumberFormat="1" applyFont="1" applyBorder="1" applyAlignment="1">
      <alignment vertical="center"/>
    </xf>
    <xf numFmtId="164" fontId="48" fillId="0" borderId="33" xfId="1" applyNumberFormat="1" applyFont="1" applyBorder="1" applyAlignment="1">
      <alignment vertical="top"/>
    </xf>
    <xf numFmtId="164" fontId="37" fillId="0" borderId="33" xfId="1" applyNumberFormat="1" applyFont="1" applyBorder="1" applyAlignment="1">
      <alignment horizontal="right" vertical="center"/>
    </xf>
    <xf numFmtId="164" fontId="37" fillId="0" borderId="33" xfId="1" applyNumberFormat="1" applyFont="1" applyBorder="1" applyAlignment="1">
      <alignment horizontal="center"/>
    </xf>
    <xf numFmtId="0" fontId="37" fillId="0" borderId="4" xfId="1" applyFont="1" applyBorder="1" applyAlignment="1">
      <alignment horizontal="center" vertical="center" shrinkToFit="1"/>
    </xf>
    <xf numFmtId="0" fontId="37" fillId="0" borderId="3" xfId="1" applyFont="1" applyBorder="1" applyAlignment="1">
      <alignment horizontal="center" vertical="center" shrinkToFit="1"/>
    </xf>
    <xf numFmtId="49" fontId="37" fillId="0" borderId="39" xfId="1" applyNumberFormat="1" applyFont="1" applyBorder="1" applyAlignment="1">
      <alignment horizontal="center" vertical="top"/>
    </xf>
    <xf numFmtId="49" fontId="37" fillId="0" borderId="5" xfId="1" applyNumberFormat="1" applyFont="1" applyBorder="1" applyAlignment="1">
      <alignment horizontal="center" vertical="top"/>
    </xf>
    <xf numFmtId="49" fontId="37" fillId="0" borderId="40" xfId="1" applyNumberFormat="1" applyFont="1" applyBorder="1" applyAlignment="1">
      <alignment horizontal="center" vertical="top"/>
    </xf>
    <xf numFmtId="49" fontId="37" fillId="0" borderId="41" xfId="1" applyNumberFormat="1" applyFont="1" applyBorder="1" applyAlignment="1">
      <alignment horizontal="center" vertical="top"/>
    </xf>
    <xf numFmtId="0" fontId="37" fillId="0" borderId="42" xfId="1" applyFont="1" applyBorder="1" applyAlignment="1">
      <alignment horizontal="center" vertical="top"/>
    </xf>
    <xf numFmtId="9" fontId="36" fillId="2" borderId="42" xfId="1" applyNumberFormat="1" applyFont="1" applyFill="1" applyBorder="1" applyAlignment="1">
      <alignment horizontal="center" vertical="top"/>
    </xf>
    <xf numFmtId="9" fontId="37" fillId="0" borderId="42" xfId="1" applyNumberFormat="1" applyFont="1" applyFill="1" applyBorder="1" applyAlignment="1">
      <alignment horizontal="center" vertical="top"/>
    </xf>
    <xf numFmtId="9" fontId="36" fillId="2" borderId="62" xfId="1" applyNumberFormat="1" applyFont="1" applyFill="1" applyBorder="1" applyAlignment="1">
      <alignment horizontal="right" vertical="top"/>
    </xf>
    <xf numFmtId="9" fontId="36" fillId="2" borderId="61" xfId="1" applyNumberFormat="1" applyFont="1" applyFill="1" applyBorder="1" applyAlignment="1">
      <alignment horizontal="left" vertical="top"/>
    </xf>
    <xf numFmtId="0" fontId="37" fillId="0" borderId="43" xfId="1" applyFont="1" applyBorder="1" applyAlignment="1">
      <alignment horizontal="center" vertical="top"/>
    </xf>
    <xf numFmtId="0" fontId="37" fillId="0" borderId="44" xfId="1" applyFont="1" applyBorder="1" applyAlignment="1">
      <alignment horizontal="center"/>
    </xf>
    <xf numFmtId="0" fontId="37" fillId="0" borderId="7" xfId="1" applyFont="1" applyBorder="1" applyAlignment="1"/>
    <xf numFmtId="0" fontId="37" fillId="0" borderId="0" xfId="1" applyFont="1" applyBorder="1"/>
    <xf numFmtId="165" fontId="37" fillId="0" borderId="3" xfId="3" applyFont="1" applyFill="1" applyBorder="1" applyAlignment="1" applyProtection="1"/>
    <xf numFmtId="9" fontId="37" fillId="0" borderId="6" xfId="1" applyNumberFormat="1" applyFont="1" applyBorder="1" applyAlignment="1">
      <alignment horizontal="center"/>
    </xf>
    <xf numFmtId="165" fontId="37" fillId="0" borderId="4" xfId="1" applyNumberFormat="1" applyFont="1" applyBorder="1" applyAlignment="1">
      <alignment horizontal="center"/>
    </xf>
    <xf numFmtId="165" fontId="37" fillId="0" borderId="4" xfId="3" applyFont="1" applyFill="1" applyBorder="1" applyAlignment="1" applyProtection="1"/>
    <xf numFmtId="0" fontId="37" fillId="0" borderId="58" xfId="1" applyFont="1" applyBorder="1" applyAlignment="1"/>
    <xf numFmtId="2" fontId="37" fillId="0" borderId="116" xfId="1" applyNumberFormat="1" applyFont="1" applyFill="1" applyBorder="1" applyAlignment="1">
      <alignment horizontal="center" vertical="center"/>
    </xf>
    <xf numFmtId="0" fontId="37" fillId="0" borderId="137" xfId="1" applyFont="1" applyFill="1" applyBorder="1" applyAlignment="1">
      <alignment horizontal="center" vertical="center"/>
    </xf>
    <xf numFmtId="2" fontId="37" fillId="0" borderId="138" xfId="1" applyNumberFormat="1" applyFont="1" applyFill="1" applyBorder="1" applyAlignment="1">
      <alignment horizontal="center" vertical="center"/>
    </xf>
    <xf numFmtId="1" fontId="37" fillId="0" borderId="138" xfId="1" applyNumberFormat="1" applyFont="1" applyFill="1" applyBorder="1" applyAlignment="1">
      <alignment horizontal="center" vertical="center"/>
    </xf>
    <xf numFmtId="171" fontId="37" fillId="0" borderId="138" xfId="1" applyNumberFormat="1" applyFont="1" applyFill="1" applyBorder="1" applyAlignment="1">
      <alignment horizontal="center" vertical="center"/>
    </xf>
    <xf numFmtId="0" fontId="37" fillId="0" borderId="50" xfId="1" applyFont="1" applyBorder="1" applyAlignment="1">
      <alignment horizontal="center"/>
    </xf>
    <xf numFmtId="0" fontId="37" fillId="0" borderId="51" xfId="1" applyFont="1" applyBorder="1" applyAlignment="1"/>
    <xf numFmtId="0" fontId="37" fillId="0" borderId="0" xfId="1" applyFont="1" applyBorder="1" applyAlignment="1"/>
    <xf numFmtId="0" fontId="37" fillId="0" borderId="52" xfId="1" applyFont="1" applyBorder="1" applyAlignment="1">
      <alignment horizontal="center"/>
    </xf>
    <xf numFmtId="165" fontId="37" fillId="0" borderId="53" xfId="3" applyFont="1" applyFill="1" applyBorder="1" applyAlignment="1" applyProtection="1"/>
    <xf numFmtId="165" fontId="37" fillId="0" borderId="53" xfId="1" applyNumberFormat="1" applyFont="1" applyBorder="1" applyAlignment="1">
      <alignment horizontal="center"/>
    </xf>
    <xf numFmtId="0" fontId="37" fillId="0" borderId="47" xfId="1" applyFont="1" applyBorder="1" applyAlignment="1"/>
    <xf numFmtId="0" fontId="37" fillId="0" borderId="34" xfId="1" applyFont="1" applyBorder="1" applyAlignment="1"/>
    <xf numFmtId="165" fontId="37" fillId="0" borderId="35" xfId="1" applyNumberFormat="1" applyFont="1" applyBorder="1" applyAlignment="1"/>
    <xf numFmtId="0" fontId="37" fillId="0" borderId="35" xfId="1" applyFont="1" applyBorder="1" applyAlignment="1"/>
    <xf numFmtId="165" fontId="36" fillId="0" borderId="35" xfId="1" applyNumberFormat="1" applyFont="1" applyBorder="1" applyAlignment="1"/>
    <xf numFmtId="0" fontId="37" fillId="0" borderId="48" xfId="1" applyFont="1" applyBorder="1" applyAlignment="1"/>
    <xf numFmtId="0" fontId="45" fillId="0" borderId="0" xfId="1" applyFont="1" applyBorder="1" applyAlignment="1"/>
    <xf numFmtId="0" fontId="36" fillId="0" borderId="130" xfId="1" applyFont="1" applyFill="1" applyBorder="1" applyAlignment="1">
      <alignment horizontal="center" vertical="center"/>
    </xf>
    <xf numFmtId="0" fontId="36" fillId="0" borderId="139" xfId="1" applyFont="1" applyFill="1" applyBorder="1" applyAlignment="1">
      <alignment horizontal="center" vertical="center"/>
    </xf>
    <xf numFmtId="0" fontId="37" fillId="0" borderId="103" xfId="1" applyFont="1" applyFill="1" applyBorder="1" applyAlignment="1">
      <alignment horizontal="center" vertical="center"/>
    </xf>
    <xf numFmtId="0" fontId="36" fillId="0" borderId="0" xfId="1" applyFont="1" applyBorder="1" applyAlignment="1"/>
    <xf numFmtId="0" fontId="3" fillId="0" borderId="0" xfId="1" applyFont="1" applyFill="1" applyBorder="1"/>
    <xf numFmtId="0" fontId="37" fillId="0" borderId="9" xfId="1" applyFont="1" applyFill="1" applyBorder="1" applyAlignment="1">
      <alignment vertical="center"/>
    </xf>
    <xf numFmtId="0" fontId="37" fillId="0" borderId="102" xfId="1" applyFont="1" applyFill="1" applyBorder="1" applyAlignment="1">
      <alignment horizontal="left" vertical="center"/>
    </xf>
    <xf numFmtId="0" fontId="37" fillId="0" borderId="107" xfId="1" applyFont="1" applyFill="1" applyBorder="1" applyAlignment="1">
      <alignment horizontal="left" vertical="center"/>
    </xf>
    <xf numFmtId="0" fontId="50" fillId="0" borderId="10" xfId="1" applyFont="1" applyFill="1" applyBorder="1" applyAlignment="1">
      <alignment vertical="center"/>
    </xf>
    <xf numFmtId="43" fontId="37" fillId="0" borderId="81" xfId="3" applyNumberFormat="1" applyFont="1" applyFill="1" applyBorder="1" applyAlignment="1" applyProtection="1">
      <alignment horizontal="left" vertical="center"/>
    </xf>
    <xf numFmtId="0" fontId="37" fillId="0" borderId="148" xfId="1" applyFont="1" applyFill="1" applyBorder="1" applyAlignment="1">
      <alignment horizontal="left" vertical="center"/>
    </xf>
    <xf numFmtId="0" fontId="50" fillId="0" borderId="22" xfId="1" applyFont="1" applyFill="1" applyBorder="1" applyAlignment="1">
      <alignment vertical="center"/>
    </xf>
    <xf numFmtId="43" fontId="37" fillId="0" borderId="10" xfId="1" applyNumberFormat="1" applyFont="1" applyFill="1" applyBorder="1" applyAlignment="1">
      <alignment horizontal="center" vertical="center"/>
    </xf>
    <xf numFmtId="43" fontId="37" fillId="0" borderId="0" xfId="1" applyNumberFormat="1" applyFont="1" applyFill="1" applyBorder="1" applyAlignment="1">
      <alignment horizontal="center" vertical="center"/>
    </xf>
    <xf numFmtId="43" fontId="38" fillId="0" borderId="69" xfId="1" applyNumberFormat="1" applyFont="1" applyFill="1" applyBorder="1" applyAlignment="1">
      <alignment horizontal="center" vertical="center"/>
    </xf>
    <xf numFmtId="43" fontId="38" fillId="0" borderId="70" xfId="1" applyNumberFormat="1" applyFont="1" applyFill="1" applyBorder="1" applyAlignment="1">
      <alignment horizontal="center" vertical="center"/>
    </xf>
    <xf numFmtId="0" fontId="37" fillId="0" borderId="119" xfId="1" applyFont="1" applyFill="1" applyBorder="1"/>
    <xf numFmtId="0" fontId="49" fillId="0" borderId="0" xfId="1" applyFont="1" applyFill="1" applyBorder="1" applyAlignment="1"/>
    <xf numFmtId="0" fontId="49" fillId="0" borderId="0" xfId="1" applyFont="1" applyFill="1" applyBorder="1" applyAlignment="1">
      <alignment horizontal="right"/>
    </xf>
    <xf numFmtId="0" fontId="37" fillId="0" borderId="120" xfId="1" applyFont="1" applyFill="1" applyBorder="1"/>
    <xf numFmtId="0" fontId="37" fillId="0" borderId="30" xfId="1" applyFont="1" applyFill="1" applyBorder="1"/>
    <xf numFmtId="0" fontId="36" fillId="0" borderId="98" xfId="1" applyFont="1" applyFill="1" applyBorder="1" applyAlignment="1">
      <alignment horizontal="left" vertical="center"/>
    </xf>
    <xf numFmtId="0" fontId="37" fillId="0" borderId="32" xfId="1" applyFont="1" applyFill="1" applyBorder="1" applyAlignment="1">
      <alignment horizontal="center" vertical="center"/>
    </xf>
    <xf numFmtId="2" fontId="36" fillId="0" borderId="131" xfId="1" applyNumberFormat="1" applyFont="1" applyFill="1" applyBorder="1" applyAlignment="1">
      <alignment horizontal="center" vertical="center"/>
    </xf>
    <xf numFmtId="0" fontId="36" fillId="0" borderId="131" xfId="1" applyFont="1" applyFill="1" applyBorder="1" applyAlignment="1">
      <alignment vertical="center"/>
    </xf>
    <xf numFmtId="0" fontId="36" fillId="0" borderId="96" xfId="1" applyFont="1" applyFill="1" applyBorder="1" applyAlignment="1">
      <alignment horizontal="center" vertical="center"/>
    </xf>
    <xf numFmtId="0" fontId="36" fillId="0" borderId="97" xfId="1" applyFont="1" applyFill="1" applyBorder="1" applyAlignment="1">
      <alignment horizontal="left" vertical="center"/>
    </xf>
    <xf numFmtId="0" fontId="37" fillId="0" borderId="27" xfId="1" applyFont="1" applyFill="1" applyBorder="1" applyAlignment="1">
      <alignment vertical="center"/>
    </xf>
    <xf numFmtId="0" fontId="37" fillId="0" borderId="77" xfId="1" applyFont="1" applyFill="1" applyBorder="1" applyAlignment="1">
      <alignment vertical="center"/>
    </xf>
    <xf numFmtId="2" fontId="36" fillId="0" borderId="78" xfId="1" applyNumberFormat="1" applyFont="1" applyFill="1" applyBorder="1" applyAlignment="1">
      <alignment horizontal="center" vertical="center"/>
    </xf>
    <xf numFmtId="0" fontId="36" fillId="0" borderId="78" xfId="1" applyFont="1" applyFill="1" applyBorder="1" applyAlignment="1">
      <alignment horizontal="center" vertical="center"/>
    </xf>
    <xf numFmtId="43" fontId="37" fillId="0" borderId="78" xfId="3" applyNumberFormat="1" applyFont="1" applyFill="1" applyBorder="1" applyAlignment="1" applyProtection="1">
      <alignment horizontal="right" vertical="center"/>
    </xf>
    <xf numFmtId="43" fontId="37" fillId="0" borderId="79" xfId="3" applyNumberFormat="1" applyFont="1" applyFill="1" applyBorder="1" applyAlignment="1" applyProtection="1">
      <alignment horizontal="left" vertical="center"/>
    </xf>
    <xf numFmtId="0" fontId="36" fillId="0" borderId="78" xfId="1" applyFont="1" applyFill="1" applyBorder="1" applyAlignment="1">
      <alignment vertical="center"/>
    </xf>
    <xf numFmtId="43" fontId="37" fillId="0" borderId="72" xfId="1" applyNumberFormat="1" applyFont="1" applyFill="1" applyBorder="1" applyAlignment="1">
      <alignment vertical="center"/>
    </xf>
    <xf numFmtId="1" fontId="36" fillId="0" borderId="78" xfId="1" applyNumberFormat="1" applyFont="1" applyFill="1" applyBorder="1" applyAlignment="1">
      <alignment horizontal="center" vertical="center"/>
    </xf>
    <xf numFmtId="171" fontId="36" fillId="0" borderId="78" xfId="1" applyNumberFormat="1" applyFont="1" applyFill="1" applyBorder="1" applyAlignment="1">
      <alignment horizontal="center" vertical="center"/>
    </xf>
    <xf numFmtId="43" fontId="37" fillId="0" borderId="78" xfId="3" applyNumberFormat="1" applyFont="1" applyFill="1" applyBorder="1" applyAlignment="1" applyProtection="1">
      <alignment horizontal="right"/>
    </xf>
    <xf numFmtId="43" fontId="37" fillId="0" borderId="83" xfId="3" applyNumberFormat="1" applyFont="1" applyFill="1" applyBorder="1" applyAlignment="1" applyProtection="1">
      <alignment horizontal="left" vertical="center"/>
    </xf>
    <xf numFmtId="0" fontId="43" fillId="0" borderId="101" xfId="0" applyFont="1" applyFill="1" applyBorder="1"/>
    <xf numFmtId="0" fontId="36" fillId="0" borderId="91" xfId="0" applyFont="1" applyFill="1" applyBorder="1" applyAlignment="1">
      <alignment horizontal="left"/>
    </xf>
    <xf numFmtId="0" fontId="44" fillId="0" borderId="24" xfId="0" applyFont="1" applyFill="1" applyBorder="1"/>
    <xf numFmtId="0" fontId="37" fillId="0" borderId="72" xfId="0" applyFont="1" applyFill="1" applyBorder="1" applyAlignment="1">
      <alignment horizontal="center"/>
    </xf>
    <xf numFmtId="0" fontId="44" fillId="0" borderId="1" xfId="1" applyFont="1" applyFill="1" applyBorder="1" applyAlignment="1">
      <alignment horizontal="left"/>
    </xf>
    <xf numFmtId="0" fontId="37" fillId="0" borderId="86" xfId="1" applyFont="1" applyFill="1" applyBorder="1"/>
    <xf numFmtId="0" fontId="37" fillId="0" borderId="87" xfId="1" applyFont="1" applyFill="1" applyBorder="1" applyAlignment="1">
      <alignment horizontal="center"/>
    </xf>
    <xf numFmtId="0" fontId="36" fillId="0" borderId="91" xfId="0" applyFont="1" applyFill="1" applyBorder="1"/>
    <xf numFmtId="0" fontId="39" fillId="0" borderId="24" xfId="0" applyFont="1" applyFill="1" applyBorder="1"/>
    <xf numFmtId="0" fontId="37" fillId="0" borderId="24" xfId="0" applyFont="1" applyFill="1" applyBorder="1"/>
    <xf numFmtId="0" fontId="39" fillId="0" borderId="91" xfId="0" applyFont="1" applyFill="1" applyBorder="1"/>
    <xf numFmtId="43" fontId="37" fillId="0" borderId="72" xfId="5" applyFont="1" applyFill="1" applyBorder="1"/>
    <xf numFmtId="0" fontId="37" fillId="0" borderId="80" xfId="1" applyFont="1" applyFill="1" applyBorder="1"/>
    <xf numFmtId="0" fontId="37" fillId="0" borderId="81" xfId="1" applyFont="1" applyFill="1" applyBorder="1" applyAlignment="1">
      <alignment horizontal="center"/>
    </xf>
    <xf numFmtId="0" fontId="36" fillId="0" borderId="100" xfId="1" applyFont="1" applyFill="1" applyBorder="1" applyAlignment="1">
      <alignment horizontal="left"/>
    </xf>
    <xf numFmtId="0" fontId="37" fillId="0" borderId="24" xfId="0" applyFont="1" applyFill="1" applyBorder="1" applyAlignment="1"/>
    <xf numFmtId="0" fontId="36" fillId="0" borderId="57" xfId="1" applyFont="1" applyFill="1" applyBorder="1"/>
    <xf numFmtId="43" fontId="44" fillId="0" borderId="72" xfId="5" applyFont="1" applyFill="1" applyBorder="1"/>
    <xf numFmtId="0" fontId="37" fillId="0" borderId="105" xfId="1" applyFont="1" applyFill="1" applyBorder="1"/>
    <xf numFmtId="0" fontId="37" fillId="0" borderId="0" xfId="1" applyFont="1" applyFill="1" applyAlignment="1">
      <alignment horizontal="center" vertical="top"/>
    </xf>
    <xf numFmtId="0" fontId="49" fillId="0" borderId="0" xfId="1" applyFont="1" applyFill="1" applyAlignment="1"/>
    <xf numFmtId="0" fontId="52" fillId="0" borderId="0" xfId="1" quotePrefix="1" applyFont="1" applyFill="1" applyAlignment="1"/>
    <xf numFmtId="0" fontId="53" fillId="0" borderId="0" xfId="1" applyFont="1" applyFill="1" applyAlignment="1"/>
    <xf numFmtId="0" fontId="37" fillId="0" borderId="0" xfId="1" applyFont="1" applyFill="1"/>
    <xf numFmtId="0" fontId="49" fillId="0" borderId="0" xfId="1" applyFont="1" applyFill="1" applyAlignment="1">
      <alignment horizontal="center"/>
    </xf>
    <xf numFmtId="0" fontId="53" fillId="0" borderId="0" xfId="1" applyFont="1" applyFill="1" applyAlignment="1">
      <alignment horizontal="center"/>
    </xf>
    <xf numFmtId="0" fontId="37" fillId="0" borderId="124" xfId="1" applyFont="1" applyFill="1" applyBorder="1"/>
    <xf numFmtId="0" fontId="52" fillId="0" borderId="0" xfId="1" applyFont="1" applyFill="1"/>
    <xf numFmtId="0" fontId="49" fillId="0" borderId="0" xfId="1" applyFont="1" applyFill="1"/>
    <xf numFmtId="0" fontId="52" fillId="0" borderId="0" xfId="1" quotePrefix="1" applyFont="1" applyFill="1" applyAlignment="1"/>
    <xf numFmtId="0" fontId="51" fillId="0" borderId="0" xfId="1" applyFont="1" applyFill="1"/>
    <xf numFmtId="0" fontId="53" fillId="0" borderId="0" xfId="1" applyFont="1" applyFill="1"/>
    <xf numFmtId="0" fontId="29" fillId="0" borderId="0" xfId="1" applyFont="1" applyFill="1"/>
    <xf numFmtId="0" fontId="18" fillId="0" borderId="0" xfId="1" applyFont="1" applyFill="1"/>
    <xf numFmtId="0" fontId="7" fillId="0" borderId="0" xfId="1" applyFont="1" applyFill="1"/>
    <xf numFmtId="0" fontId="1" fillId="0" borderId="0" xfId="1" applyFont="1" applyFill="1"/>
    <xf numFmtId="43" fontId="37" fillId="0" borderId="91" xfId="3" applyNumberFormat="1" applyFont="1" applyFill="1" applyBorder="1" applyAlignment="1" applyProtection="1">
      <alignment horizontal="left" vertical="center"/>
    </xf>
    <xf numFmtId="0" fontId="1" fillId="0" borderId="150" xfId="1" applyFont="1" applyFill="1" applyBorder="1"/>
    <xf numFmtId="0" fontId="1" fillId="0" borderId="149" xfId="1" applyFont="1" applyFill="1" applyBorder="1"/>
    <xf numFmtId="0" fontId="37" fillId="0" borderId="59" xfId="1" applyFont="1" applyBorder="1" applyAlignment="1"/>
    <xf numFmtId="0" fontId="37" fillId="0" borderId="155" xfId="1" applyFont="1" applyBorder="1" applyAlignment="1"/>
    <xf numFmtId="0" fontId="37" fillId="0" borderId="156" xfId="1" applyFont="1" applyFill="1" applyBorder="1" applyAlignment="1">
      <alignment horizontal="center" vertical="center"/>
    </xf>
    <xf numFmtId="0" fontId="37" fillId="0" borderId="137" xfId="1" applyFont="1" applyBorder="1" applyAlignment="1">
      <alignment horizontal="center"/>
    </xf>
    <xf numFmtId="0" fontId="37" fillId="0" borderId="157" xfId="1" applyFont="1" applyBorder="1" applyAlignment="1"/>
    <xf numFmtId="0" fontId="37" fillId="0" borderId="111" xfId="1" applyFont="1" applyBorder="1" applyAlignment="1"/>
    <xf numFmtId="2" fontId="37" fillId="0" borderId="111" xfId="1" applyNumberFormat="1" applyFont="1" applyFill="1" applyBorder="1" applyAlignment="1">
      <alignment horizontal="center" vertical="center"/>
    </xf>
    <xf numFmtId="0" fontId="37" fillId="0" borderId="158" xfId="1" applyFont="1" applyFill="1" applyBorder="1" applyAlignment="1">
      <alignment horizontal="center" vertical="center"/>
    </xf>
    <xf numFmtId="2" fontId="37" fillId="0" borderId="159" xfId="1" applyNumberFormat="1" applyFont="1" applyFill="1" applyBorder="1" applyAlignment="1">
      <alignment horizontal="center" vertical="center"/>
    </xf>
    <xf numFmtId="0" fontId="36" fillId="6" borderId="96" xfId="1" applyFont="1" applyFill="1" applyBorder="1" applyAlignment="1">
      <alignment horizontal="center" vertical="center"/>
    </xf>
    <xf numFmtId="0" fontId="36" fillId="6" borderId="97" xfId="1" applyFont="1" applyFill="1" applyBorder="1" applyAlignment="1">
      <alignment horizontal="left" vertical="center"/>
    </xf>
    <xf numFmtId="0" fontId="37" fillId="6" borderId="27" xfId="1" applyFont="1" applyFill="1" applyBorder="1" applyAlignment="1">
      <alignment vertical="center"/>
    </xf>
    <xf numFmtId="0" fontId="37" fillId="6" borderId="77" xfId="1" applyFont="1" applyFill="1" applyBorder="1" applyAlignment="1">
      <alignment vertical="center"/>
    </xf>
    <xf numFmtId="2" fontId="36" fillId="6" borderId="78" xfId="1" applyNumberFormat="1" applyFont="1" applyFill="1" applyBorder="1" applyAlignment="1">
      <alignment horizontal="center" vertical="center"/>
    </xf>
    <xf numFmtId="0" fontId="36" fillId="6" borderId="78" xfId="1" applyFont="1" applyFill="1" applyBorder="1" applyAlignment="1">
      <alignment horizontal="center" vertical="center"/>
    </xf>
    <xf numFmtId="43" fontId="37" fillId="6" borderId="78" xfId="3" applyNumberFormat="1" applyFont="1" applyFill="1" applyBorder="1" applyAlignment="1" applyProtection="1">
      <alignment horizontal="right" vertical="center"/>
    </xf>
    <xf numFmtId="43" fontId="37" fillId="6" borderId="79" xfId="3" applyNumberFormat="1" applyFont="1" applyFill="1" applyBorder="1" applyAlignment="1" applyProtection="1">
      <alignment horizontal="left" vertical="center"/>
    </xf>
    <xf numFmtId="0" fontId="36" fillId="8" borderId="96" xfId="1" applyFont="1" applyFill="1" applyBorder="1" applyAlignment="1">
      <alignment horizontal="center" vertical="center"/>
    </xf>
    <xf numFmtId="0" fontId="36" fillId="8" borderId="97" xfId="1" applyFont="1" applyFill="1" applyBorder="1" applyAlignment="1">
      <alignment horizontal="left" vertical="center"/>
    </xf>
    <xf numFmtId="0" fontId="37" fillId="8" borderId="27" xfId="1" applyFont="1" applyFill="1" applyBorder="1" applyAlignment="1">
      <alignment vertical="center"/>
    </xf>
    <xf numFmtId="0" fontId="37" fillId="8" borderId="77" xfId="1" applyFont="1" applyFill="1" applyBorder="1" applyAlignment="1">
      <alignment vertical="center"/>
    </xf>
    <xf numFmtId="0" fontId="36" fillId="8" borderId="78" xfId="1" applyFont="1" applyFill="1" applyBorder="1" applyAlignment="1">
      <alignment horizontal="center" vertical="center"/>
    </xf>
    <xf numFmtId="43" fontId="37" fillId="8" borderId="78" xfId="3" applyNumberFormat="1" applyFont="1" applyFill="1" applyBorder="1" applyAlignment="1" applyProtection="1">
      <alignment horizontal="right" vertical="center"/>
    </xf>
    <xf numFmtId="43" fontId="37" fillId="8" borderId="79" xfId="3" applyNumberFormat="1" applyFont="1" applyFill="1" applyBorder="1" applyAlignment="1" applyProtection="1">
      <alignment horizontal="left" vertical="center"/>
    </xf>
    <xf numFmtId="1" fontId="36" fillId="8" borderId="78" xfId="1" applyNumberFormat="1" applyFont="1" applyFill="1" applyBorder="1" applyAlignment="1">
      <alignment horizontal="center" vertical="center"/>
    </xf>
    <xf numFmtId="0" fontId="56" fillId="0" borderId="0" xfId="1" applyFont="1" applyFill="1" applyBorder="1" applyAlignment="1">
      <alignment vertical="center"/>
    </xf>
    <xf numFmtId="0" fontId="57" fillId="0" borderId="0" xfId="1" applyFont="1" applyFill="1" applyBorder="1"/>
    <xf numFmtId="0" fontId="13" fillId="0" borderId="0" xfId="1" applyFont="1" applyFill="1" applyBorder="1"/>
    <xf numFmtId="0" fontId="57" fillId="4" borderId="67" xfId="1" applyFont="1" applyFill="1" applyBorder="1"/>
    <xf numFmtId="4" fontId="58" fillId="4" borderId="67" xfId="5" applyNumberFormat="1" applyFont="1" applyFill="1" applyBorder="1" applyAlignment="1">
      <alignment vertical="center"/>
    </xf>
    <xf numFmtId="4" fontId="58" fillId="0" borderId="113" xfId="1" applyNumberFormat="1" applyFont="1" applyFill="1" applyBorder="1"/>
    <xf numFmtId="164" fontId="56" fillId="0" borderId="22" xfId="1" applyNumberFormat="1" applyFont="1" applyFill="1" applyBorder="1" applyAlignment="1">
      <alignment horizontal="left" vertical="center"/>
    </xf>
    <xf numFmtId="164" fontId="56" fillId="0" borderId="22" xfId="1" applyNumberFormat="1" applyFont="1" applyFill="1" applyBorder="1" applyAlignment="1">
      <alignment vertical="center"/>
    </xf>
    <xf numFmtId="0" fontId="57" fillId="4" borderId="57" xfId="1" applyFont="1" applyFill="1" applyBorder="1"/>
    <xf numFmtId="9" fontId="58" fillId="4" borderId="57" xfId="10" applyFont="1" applyFill="1" applyBorder="1" applyAlignment="1">
      <alignment horizontal="center"/>
    </xf>
    <xf numFmtId="4" fontId="58" fillId="4" borderId="113" xfId="1" applyNumberFormat="1" applyFont="1" applyFill="1" applyBorder="1"/>
    <xf numFmtId="172" fontId="58" fillId="4" borderId="57" xfId="4" applyNumberFormat="1" applyFont="1" applyFill="1" applyBorder="1" applyAlignment="1" applyProtection="1">
      <alignment horizontal="center" vertical="center"/>
    </xf>
    <xf numFmtId="4" fontId="58" fillId="4" borderId="114" xfId="1" applyNumberFormat="1" applyFont="1" applyFill="1" applyBorder="1"/>
    <xf numFmtId="9" fontId="58" fillId="4" borderId="57" xfId="4" applyFont="1" applyFill="1" applyBorder="1" applyAlignment="1" applyProtection="1">
      <alignment horizontal="center" vertical="center"/>
    </xf>
    <xf numFmtId="0" fontId="57" fillId="5" borderId="67" xfId="1" applyFont="1" applyFill="1" applyBorder="1"/>
    <xf numFmtId="4" fontId="58" fillId="5" borderId="67" xfId="5" applyNumberFormat="1" applyFont="1" applyFill="1" applyBorder="1" applyAlignment="1">
      <alignment vertical="center"/>
    </xf>
    <xf numFmtId="0" fontId="60" fillId="0" borderId="0" xfId="1" applyFont="1" applyFill="1" applyBorder="1"/>
    <xf numFmtId="0" fontId="50" fillId="0" borderId="90" xfId="1" applyFont="1" applyFill="1" applyBorder="1" applyAlignment="1">
      <alignment horizontal="center" vertical="center"/>
    </xf>
    <xf numFmtId="0" fontId="39" fillId="0" borderId="24" xfId="1" applyFont="1" applyFill="1" applyBorder="1" applyAlignment="1">
      <alignment vertical="center"/>
    </xf>
    <xf numFmtId="0" fontId="39" fillId="0" borderId="71" xfId="1" applyFont="1" applyFill="1" applyBorder="1" applyAlignment="1">
      <alignment vertical="center"/>
    </xf>
    <xf numFmtId="1" fontId="39" fillId="0" borderId="72" xfId="1" applyNumberFormat="1" applyFont="1" applyFill="1" applyBorder="1" applyAlignment="1">
      <alignment horizontal="center" vertical="center"/>
    </xf>
    <xf numFmtId="0" fontId="39" fillId="0" borderId="72" xfId="1" applyFont="1" applyFill="1" applyBorder="1" applyAlignment="1">
      <alignment horizontal="center" vertical="center"/>
    </xf>
    <xf numFmtId="43" fontId="39" fillId="0" borderId="72" xfId="1" applyNumberFormat="1" applyFont="1" applyFill="1" applyBorder="1" applyAlignment="1">
      <alignment horizontal="center" vertical="center"/>
    </xf>
    <xf numFmtId="43" fontId="39" fillId="0" borderId="73" xfId="1" applyNumberFormat="1" applyFont="1" applyFill="1" applyBorder="1" applyAlignment="1">
      <alignment horizontal="center" vertical="center"/>
    </xf>
    <xf numFmtId="0" fontId="39" fillId="0" borderId="57" xfId="1" applyFont="1" applyFill="1" applyBorder="1" applyAlignment="1">
      <alignment horizontal="left" vertical="center"/>
    </xf>
    <xf numFmtId="0" fontId="39" fillId="0" borderId="0" xfId="1" applyFont="1" applyFill="1" applyBorder="1" applyAlignment="1">
      <alignment horizontal="left" vertical="center"/>
    </xf>
    <xf numFmtId="43" fontId="39" fillId="0" borderId="73" xfId="3" applyNumberFormat="1" applyFont="1" applyFill="1" applyBorder="1" applyAlignment="1">
      <alignment horizontal="center" vertical="center"/>
    </xf>
    <xf numFmtId="0" fontId="57" fillId="5" borderId="57" xfId="1" applyFont="1" applyFill="1" applyBorder="1"/>
    <xf numFmtId="43" fontId="39" fillId="0" borderId="72" xfId="3" applyNumberFormat="1" applyFont="1" applyFill="1" applyBorder="1" applyAlignment="1" applyProtection="1">
      <alignment horizontal="right" vertical="center"/>
    </xf>
    <xf numFmtId="43" fontId="50" fillId="0" borderId="73" xfId="3" applyNumberFormat="1" applyFont="1" applyFill="1" applyBorder="1" applyAlignment="1" applyProtection="1">
      <alignment horizontal="left" vertical="center"/>
    </xf>
    <xf numFmtId="0" fontId="39" fillId="0" borderId="24" xfId="1" applyFont="1" applyFill="1" applyBorder="1" applyAlignment="1">
      <alignment horizontal="left" vertical="center"/>
    </xf>
    <xf numFmtId="43" fontId="60" fillId="0" borderId="0" xfId="5" applyFont="1" applyFill="1" applyBorder="1"/>
    <xf numFmtId="43" fontId="61" fillId="0" borderId="0" xfId="1" applyNumberFormat="1" applyFont="1" applyFill="1" applyBorder="1" applyAlignment="1"/>
    <xf numFmtId="43" fontId="39" fillId="0" borderId="72" xfId="5" applyFont="1" applyFill="1" applyBorder="1" applyAlignment="1">
      <alignment horizontal="center" vertical="center"/>
    </xf>
    <xf numFmtId="43" fontId="39" fillId="0" borderId="73" xfId="3" applyNumberFormat="1" applyFont="1" applyFill="1" applyBorder="1" applyAlignment="1" applyProtection="1">
      <alignment horizontal="left" vertical="center"/>
    </xf>
    <xf numFmtId="0" fontId="39" fillId="0" borderId="71" xfId="1" applyFont="1" applyFill="1" applyBorder="1" applyAlignment="1">
      <alignment horizontal="center" vertical="center"/>
    </xf>
    <xf numFmtId="2" fontId="39" fillId="0" borderId="91" xfId="1" applyNumberFormat="1" applyFont="1" applyFill="1" applyBorder="1" applyAlignment="1">
      <alignment horizontal="center" vertical="center"/>
    </xf>
    <xf numFmtId="0" fontId="50" fillId="0" borderId="24" xfId="1" applyFont="1" applyFill="1" applyBorder="1" applyAlignment="1">
      <alignment horizontal="center" vertical="center"/>
    </xf>
    <xf numFmtId="43" fontId="39" fillId="0" borderId="71" xfId="3" applyNumberFormat="1" applyFont="1" applyFill="1" applyBorder="1" applyAlignment="1" applyProtection="1">
      <alignment horizontal="right" vertical="center"/>
    </xf>
    <xf numFmtId="0" fontId="50" fillId="0" borderId="94" xfId="1" applyFont="1" applyFill="1" applyBorder="1" applyAlignment="1">
      <alignment horizontal="center" vertical="center"/>
    </xf>
    <xf numFmtId="0" fontId="39" fillId="0" borderId="95" xfId="1" applyFont="1" applyFill="1" applyBorder="1" applyAlignment="1">
      <alignment horizontal="left" vertical="center"/>
    </xf>
    <xf numFmtId="0" fontId="39" fillId="0" borderId="26" xfId="1" applyFont="1" applyFill="1" applyBorder="1" applyAlignment="1">
      <alignment vertical="center"/>
    </xf>
    <xf numFmtId="0" fontId="39" fillId="0" borderId="75" xfId="1" applyFont="1" applyFill="1" applyBorder="1" applyAlignment="1">
      <alignment vertical="center"/>
    </xf>
    <xf numFmtId="2" fontId="39" fillId="0" borderId="95" xfId="1" applyNumberFormat="1" applyFont="1" applyFill="1" applyBorder="1" applyAlignment="1">
      <alignment horizontal="center" vertical="center"/>
    </xf>
    <xf numFmtId="0" fontId="50" fillId="0" borderId="26" xfId="1" applyFont="1" applyFill="1" applyBorder="1" applyAlignment="1">
      <alignment horizontal="center" vertical="center"/>
    </xf>
    <xf numFmtId="43" fontId="50" fillId="0" borderId="75" xfId="3" applyNumberFormat="1" applyFont="1" applyFill="1" applyBorder="1" applyAlignment="1" applyProtection="1">
      <alignment horizontal="right" vertical="center"/>
    </xf>
    <xf numFmtId="43" fontId="50" fillId="0" borderId="76" xfId="3" applyNumberFormat="1" applyFont="1" applyFill="1" applyBorder="1" applyAlignment="1" applyProtection="1">
      <alignment horizontal="left" vertical="center"/>
    </xf>
    <xf numFmtId="0" fontId="50" fillId="7" borderId="96" xfId="1" applyFont="1" applyFill="1" applyBorder="1" applyAlignment="1">
      <alignment horizontal="center" vertical="center"/>
    </xf>
    <xf numFmtId="0" fontId="50" fillId="7" borderId="97" xfId="1" applyFont="1" applyFill="1" applyBorder="1" applyAlignment="1">
      <alignment horizontal="left" vertical="center"/>
    </xf>
    <xf numFmtId="0" fontId="39" fillId="7" borderId="27" xfId="1" applyFont="1" applyFill="1" applyBorder="1" applyAlignment="1">
      <alignment vertical="center"/>
    </xf>
    <xf numFmtId="0" fontId="39" fillId="7" borderId="77" xfId="1" applyFont="1" applyFill="1" applyBorder="1" applyAlignment="1">
      <alignment vertical="center"/>
    </xf>
    <xf numFmtId="2" fontId="50" fillId="7" borderId="78" xfId="1" applyNumberFormat="1" applyFont="1" applyFill="1" applyBorder="1" applyAlignment="1">
      <alignment horizontal="center" vertical="center"/>
    </xf>
    <xf numFmtId="0" fontId="50" fillId="7" borderId="78" xfId="1" applyFont="1" applyFill="1" applyBorder="1" applyAlignment="1">
      <alignment horizontal="center" vertical="center"/>
    </xf>
    <xf numFmtId="43" fontId="39" fillId="7" borderId="78" xfId="3" applyNumberFormat="1" applyFont="1" applyFill="1" applyBorder="1" applyAlignment="1" applyProtection="1">
      <alignment horizontal="right" vertical="center"/>
    </xf>
    <xf numFmtId="43" fontId="39" fillId="7" borderId="79" xfId="3" applyNumberFormat="1" applyFont="1" applyFill="1" applyBorder="1" applyAlignment="1" applyProtection="1">
      <alignment horizontal="left" vertical="center"/>
    </xf>
    <xf numFmtId="2" fontId="39" fillId="0" borderId="72" xfId="1" applyNumberFormat="1" applyFont="1" applyFill="1" applyBorder="1" applyAlignment="1">
      <alignment horizontal="center" vertical="center"/>
    </xf>
    <xf numFmtId="0" fontId="50" fillId="0" borderId="72" xfId="1" applyFont="1" applyFill="1" applyBorder="1" applyAlignment="1">
      <alignment horizontal="center" vertical="center"/>
    </xf>
    <xf numFmtId="43" fontId="50" fillId="0" borderId="72" xfId="3" applyNumberFormat="1" applyFont="1" applyFill="1" applyBorder="1" applyAlignment="1" applyProtection="1">
      <alignment horizontal="right" vertical="center"/>
    </xf>
    <xf numFmtId="0" fontId="50" fillId="0" borderId="91" xfId="1" applyFont="1" applyFill="1" applyBorder="1" applyAlignment="1">
      <alignment horizontal="left" vertical="center"/>
    </xf>
    <xf numFmtId="0" fontId="39" fillId="0" borderId="90" xfId="1" applyFont="1" applyFill="1" applyBorder="1" applyAlignment="1">
      <alignment horizontal="center" vertical="center"/>
    </xf>
    <xf numFmtId="0" fontId="39" fillId="0" borderId="92" xfId="1" applyFont="1" applyFill="1" applyBorder="1" applyAlignment="1">
      <alignment horizontal="center" vertical="center"/>
    </xf>
    <xf numFmtId="0" fontId="39" fillId="0" borderId="93" xfId="1" applyFont="1" applyFill="1" applyBorder="1" applyAlignment="1">
      <alignment horizontal="left" vertical="center"/>
    </xf>
    <xf numFmtId="0" fontId="39" fillId="0" borderId="28" xfId="1" applyFont="1" applyFill="1" applyBorder="1" applyAlignment="1">
      <alignment vertical="center"/>
    </xf>
    <xf numFmtId="0" fontId="39" fillId="0" borderId="74" xfId="1" applyFont="1" applyFill="1" applyBorder="1" applyAlignment="1">
      <alignment vertical="center"/>
    </xf>
    <xf numFmtId="2" fontId="39" fillId="0" borderId="93" xfId="1" applyNumberFormat="1" applyFont="1" applyFill="1" applyBorder="1" applyAlignment="1">
      <alignment horizontal="center" vertical="center"/>
    </xf>
    <xf numFmtId="0" fontId="50" fillId="0" borderId="28" xfId="1" applyFont="1" applyFill="1" applyBorder="1" applyAlignment="1">
      <alignment horizontal="center" vertical="center"/>
    </xf>
    <xf numFmtId="43" fontId="39" fillId="0" borderId="74" xfId="3" applyNumberFormat="1" applyFont="1" applyFill="1" applyBorder="1" applyAlignment="1" applyProtection="1">
      <alignment horizontal="right" vertical="center"/>
    </xf>
    <xf numFmtId="0" fontId="50" fillId="7" borderId="78" xfId="1" applyFont="1" applyFill="1" applyBorder="1" applyAlignment="1">
      <alignment vertical="center"/>
    </xf>
    <xf numFmtId="0" fontId="39" fillId="0" borderId="91" xfId="1" applyFont="1" applyFill="1" applyBorder="1" applyAlignment="1">
      <alignment horizontal="right" vertical="center"/>
    </xf>
    <xf numFmtId="0" fontId="39" fillId="0" borderId="24" xfId="1" applyFont="1" applyFill="1" applyBorder="1"/>
    <xf numFmtId="0" fontId="39" fillId="0" borderId="71" xfId="1" applyFont="1" applyFill="1" applyBorder="1" applyAlignment="1">
      <alignment horizontal="left" vertical="center"/>
    </xf>
    <xf numFmtId="0" fontId="39" fillId="0" borderId="57" xfId="1" applyFont="1" applyFill="1" applyBorder="1"/>
    <xf numFmtId="0" fontId="50" fillId="0" borderId="91" xfId="1" applyFont="1" applyFill="1" applyBorder="1" applyAlignment="1">
      <alignment vertical="center"/>
    </xf>
    <xf numFmtId="0" fontId="39" fillId="0" borderId="98" xfId="1" applyFont="1" applyFill="1" applyBorder="1" applyAlignment="1">
      <alignment horizontal="right" vertical="center"/>
    </xf>
    <xf numFmtId="0" fontId="13" fillId="0" borderId="0" xfId="1" quotePrefix="1" applyFont="1" applyFill="1" applyBorder="1"/>
    <xf numFmtId="2" fontId="13" fillId="0" borderId="0" xfId="1" applyNumberFormat="1" applyFont="1" applyFill="1" applyBorder="1"/>
    <xf numFmtId="43" fontId="13" fillId="0" borderId="24" xfId="3" applyNumberFormat="1" applyFont="1" applyFill="1" applyBorder="1" applyAlignment="1" applyProtection="1">
      <alignment horizontal="right" vertical="center"/>
    </xf>
    <xf numFmtId="0" fontId="50" fillId="0" borderId="92" xfId="1" applyFont="1" applyFill="1" applyBorder="1" applyAlignment="1">
      <alignment horizontal="center" vertical="center"/>
    </xf>
    <xf numFmtId="168" fontId="62" fillId="0" borderId="0" xfId="0" applyNumberFormat="1" applyFont="1" applyFill="1" applyAlignment="1"/>
    <xf numFmtId="43" fontId="63" fillId="0" borderId="0" xfId="3" applyNumberFormat="1" applyFont="1" applyBorder="1"/>
    <xf numFmtId="0" fontId="50" fillId="0" borderId="130" xfId="1" applyFont="1" applyFill="1" applyBorder="1" applyAlignment="1">
      <alignment horizontal="center" vertical="center"/>
    </xf>
    <xf numFmtId="0" fontId="39" fillId="0" borderId="98" xfId="1" applyFont="1" applyFill="1" applyBorder="1" applyAlignment="1">
      <alignment horizontal="left" vertical="center"/>
    </xf>
    <xf numFmtId="0" fontId="39" fillId="0" borderId="32" xfId="1" applyFont="1" applyFill="1" applyBorder="1" applyAlignment="1">
      <alignment horizontal="left" vertical="center"/>
    </xf>
    <xf numFmtId="0" fontId="39" fillId="0" borderId="103" xfId="1" applyFont="1" applyFill="1" applyBorder="1" applyAlignment="1">
      <alignment vertical="center"/>
    </xf>
    <xf numFmtId="1" fontId="39" fillId="0" borderId="131" xfId="1" applyNumberFormat="1" applyFont="1" applyFill="1" applyBorder="1" applyAlignment="1">
      <alignment horizontal="center" vertical="center"/>
    </xf>
    <xf numFmtId="0" fontId="39" fillId="0" borderId="131" xfId="1" applyFont="1" applyFill="1" applyBorder="1" applyAlignment="1">
      <alignment horizontal="center" vertical="center"/>
    </xf>
    <xf numFmtId="43" fontId="39" fillId="0" borderId="131" xfId="3" applyNumberFormat="1" applyFont="1" applyFill="1" applyBorder="1" applyAlignment="1" applyProtection="1">
      <alignment horizontal="right" vertical="center"/>
    </xf>
    <xf numFmtId="43" fontId="50" fillId="0" borderId="104" xfId="3" applyNumberFormat="1" applyFont="1" applyFill="1" applyBorder="1" applyAlignment="1" applyProtection="1">
      <alignment horizontal="left" vertical="center"/>
    </xf>
    <xf numFmtId="0" fontId="50" fillId="0" borderId="24" xfId="1" applyFont="1" applyFill="1" applyBorder="1" applyAlignment="1">
      <alignment horizontal="left" vertical="center"/>
    </xf>
    <xf numFmtId="43" fontId="13" fillId="0" borderId="0" xfId="3" applyNumberFormat="1" applyFont="1" applyFill="1" applyBorder="1" applyAlignment="1" applyProtection="1">
      <alignment horizontal="right" vertical="center"/>
    </xf>
    <xf numFmtId="0" fontId="39" fillId="0" borderId="57" xfId="1" applyFont="1" applyFill="1" applyBorder="1" applyAlignment="1">
      <alignment vertical="center"/>
    </xf>
    <xf numFmtId="0" fontId="39" fillId="0" borderId="0" xfId="1" applyFont="1" applyFill="1" applyBorder="1" applyAlignment="1">
      <alignment vertical="center"/>
    </xf>
    <xf numFmtId="0" fontId="39" fillId="0" borderId="80" xfId="1" applyFont="1" applyFill="1" applyBorder="1" applyAlignment="1">
      <alignment vertical="center"/>
    </xf>
    <xf numFmtId="0" fontId="39" fillId="0" borderId="81" xfId="1" applyFont="1" applyFill="1" applyBorder="1" applyAlignment="1">
      <alignment horizontal="center" vertical="center"/>
    </xf>
    <xf numFmtId="43" fontId="39" fillId="0" borderId="81" xfId="3" applyNumberFormat="1" applyFont="1" applyFill="1" applyBorder="1" applyAlignment="1" applyProtection="1">
      <alignment horizontal="right" vertical="center"/>
    </xf>
    <xf numFmtId="43" fontId="39" fillId="0" borderId="82" xfId="3" applyNumberFormat="1" applyFont="1" applyFill="1" applyBorder="1" applyAlignment="1" applyProtection="1">
      <alignment horizontal="left" vertical="center"/>
    </xf>
    <xf numFmtId="0" fontId="50" fillId="0" borderId="99" xfId="1" applyFont="1" applyFill="1" applyBorder="1" applyAlignment="1">
      <alignment horizontal="left" vertical="center"/>
    </xf>
    <xf numFmtId="43" fontId="63" fillId="0" borderId="0" xfId="3" applyNumberFormat="1" applyFont="1" applyBorder="1" applyAlignment="1">
      <alignment vertical="center"/>
    </xf>
    <xf numFmtId="0" fontId="13" fillId="0" borderId="0" xfId="1" applyFont="1" applyFill="1" applyBorder="1" applyAlignment="1">
      <alignment vertical="center"/>
    </xf>
    <xf numFmtId="43" fontId="39" fillId="0" borderId="72" xfId="1" applyNumberFormat="1" applyFont="1" applyBorder="1" applyAlignment="1">
      <alignment vertical="center"/>
    </xf>
    <xf numFmtId="166" fontId="50" fillId="0" borderId="90" xfId="3" applyNumberFormat="1" applyFont="1" applyFill="1" applyBorder="1" applyAlignment="1" applyProtection="1">
      <alignment horizontal="center" vertical="center"/>
    </xf>
    <xf numFmtId="0" fontId="39" fillId="0" borderId="24" xfId="1" applyFont="1" applyBorder="1" applyAlignment="1">
      <alignment vertical="center"/>
    </xf>
    <xf numFmtId="0" fontId="39" fillId="0" borderId="71" xfId="1" applyFont="1" applyBorder="1" applyAlignment="1">
      <alignment vertical="center"/>
    </xf>
    <xf numFmtId="43" fontId="50" fillId="0" borderId="73" xfId="1" applyNumberFormat="1" applyFont="1" applyFill="1" applyBorder="1" applyAlignment="1">
      <alignment horizontal="center" vertical="center"/>
    </xf>
    <xf numFmtId="0" fontId="39" fillId="0" borderId="91" xfId="1" applyFont="1" applyBorder="1" applyAlignment="1">
      <alignment vertical="center"/>
    </xf>
    <xf numFmtId="166" fontId="50" fillId="0" borderId="130" xfId="3" applyNumberFormat="1" applyFont="1" applyFill="1" applyBorder="1" applyAlignment="1" applyProtection="1">
      <alignment horizontal="center" vertical="center"/>
    </xf>
    <xf numFmtId="0" fontId="39" fillId="0" borderId="32" xfId="1" applyFont="1" applyFill="1" applyBorder="1"/>
    <xf numFmtId="0" fontId="39" fillId="0" borderId="103" xfId="1" applyFont="1" applyBorder="1" applyAlignment="1">
      <alignment horizontal="center" vertical="center"/>
    </xf>
    <xf numFmtId="43" fontId="39" fillId="0" borderId="131" xfId="5" applyFont="1" applyFill="1" applyBorder="1" applyAlignment="1">
      <alignment horizontal="center" vertical="center"/>
    </xf>
    <xf numFmtId="43" fontId="39" fillId="0" borderId="104" xfId="3" applyNumberFormat="1" applyFont="1" applyFill="1" applyBorder="1" applyAlignment="1" applyProtection="1">
      <alignment horizontal="left" vertical="center"/>
    </xf>
    <xf numFmtId="0" fontId="39" fillId="0" borderId="71" xfId="1" applyFont="1" applyBorder="1" applyAlignment="1">
      <alignment horizontal="center" vertical="center"/>
    </xf>
    <xf numFmtId="0" fontId="13" fillId="0" borderId="0" xfId="1" applyFont="1" applyBorder="1" applyAlignment="1">
      <alignment horizontal="center"/>
    </xf>
    <xf numFmtId="165" fontId="13" fillId="0" borderId="0" xfId="3" applyFont="1" applyFill="1" applyBorder="1" applyAlignment="1" applyProtection="1">
      <alignment horizontal="right"/>
    </xf>
    <xf numFmtId="43" fontId="39" fillId="0" borderId="72" xfId="3" applyNumberFormat="1" applyFont="1" applyFill="1" applyBorder="1" applyAlignment="1" applyProtection="1">
      <alignment horizontal="center" vertical="center"/>
    </xf>
    <xf numFmtId="166" fontId="50" fillId="0" borderId="92" xfId="3" applyNumberFormat="1" applyFont="1" applyFill="1" applyBorder="1" applyAlignment="1" applyProtection="1">
      <alignment horizontal="center" vertical="center"/>
    </xf>
    <xf numFmtId="0" fontId="39" fillId="0" borderId="28" xfId="1" applyFont="1" applyFill="1" applyBorder="1" applyAlignment="1">
      <alignment horizontal="left" vertical="center"/>
    </xf>
    <xf numFmtId="0" fontId="39" fillId="0" borderId="74" xfId="1" applyFont="1" applyBorder="1" applyAlignment="1">
      <alignment horizontal="center" vertical="center"/>
    </xf>
    <xf numFmtId="0" fontId="50" fillId="0" borderId="100" xfId="1" applyFont="1" applyFill="1" applyBorder="1"/>
    <xf numFmtId="0" fontId="39" fillId="0" borderId="80" xfId="1" applyFont="1" applyFill="1" applyBorder="1" applyAlignment="1">
      <alignment horizontal="center" vertical="center"/>
    </xf>
    <xf numFmtId="0" fontId="39" fillId="0" borderId="57" xfId="1" applyFont="1" applyFill="1" applyBorder="1" applyAlignment="1">
      <alignment horizontal="center" vertical="center"/>
    </xf>
    <xf numFmtId="0" fontId="50" fillId="0" borderId="57" xfId="1" applyFont="1" applyFill="1" applyBorder="1" applyAlignment="1">
      <alignment horizontal="left" vertical="center"/>
    </xf>
    <xf numFmtId="170" fontId="13" fillId="0" borderId="0" xfId="1" applyNumberFormat="1" applyFont="1" applyFill="1" applyBorder="1"/>
    <xf numFmtId="0" fontId="50" fillId="0" borderId="98" xfId="1" applyFont="1" applyFill="1" applyBorder="1" applyAlignment="1">
      <alignment vertical="center"/>
    </xf>
    <xf numFmtId="0" fontId="50" fillId="0" borderId="93" xfId="1" applyFont="1" applyFill="1" applyBorder="1" applyAlignment="1">
      <alignment vertical="center"/>
    </xf>
    <xf numFmtId="169" fontId="39" fillId="0" borderId="72" xfId="3" applyNumberFormat="1" applyFont="1" applyFill="1" applyBorder="1" applyAlignment="1" applyProtection="1">
      <alignment horizontal="center" vertical="center"/>
    </xf>
    <xf numFmtId="43" fontId="39" fillId="0" borderId="72" xfId="3" applyNumberFormat="1" applyFont="1" applyFill="1" applyBorder="1" applyAlignment="1" applyProtection="1">
      <alignment horizontal="left" vertical="center"/>
    </xf>
    <xf numFmtId="10" fontId="13" fillId="4" borderId="0" xfId="10" applyNumberFormat="1" applyFont="1" applyFill="1" applyBorder="1"/>
    <xf numFmtId="43" fontId="13" fillId="0" borderId="0" xfId="3" applyNumberFormat="1" applyFont="1" applyFill="1" applyBorder="1" applyAlignment="1" applyProtection="1">
      <alignment horizontal="left" vertical="center"/>
    </xf>
    <xf numFmtId="43" fontId="13" fillId="0" borderId="0" xfId="1" applyNumberFormat="1" applyFont="1" applyFill="1" applyBorder="1"/>
    <xf numFmtId="43" fontId="63" fillId="0" borderId="54" xfId="3" applyNumberFormat="1" applyFont="1" applyBorder="1"/>
    <xf numFmtId="0" fontId="13" fillId="0" borderId="54" xfId="1" applyFont="1" applyFill="1" applyBorder="1"/>
    <xf numFmtId="0" fontId="50" fillId="0" borderId="24" xfId="1" applyFont="1" applyFill="1" applyBorder="1" applyAlignment="1">
      <alignment vertical="center"/>
    </xf>
    <xf numFmtId="0" fontId="13" fillId="0" borderId="0" xfId="0" applyFont="1" applyFill="1" applyBorder="1" applyAlignment="1">
      <alignment horizontal="left" vertical="center"/>
    </xf>
    <xf numFmtId="0" fontId="13" fillId="0" borderId="0" xfId="0" applyFont="1" applyFill="1" applyBorder="1" applyAlignment="1">
      <alignment horizontal="center" vertical="center"/>
    </xf>
    <xf numFmtId="3" fontId="13" fillId="0" borderId="0" xfId="3" applyNumberFormat="1" applyFont="1" applyFill="1" applyBorder="1" applyAlignment="1" applyProtection="1">
      <alignment horizontal="center"/>
    </xf>
    <xf numFmtId="165" fontId="13" fillId="0" borderId="0" xfId="3" applyFont="1" applyFill="1" applyBorder="1" applyAlignment="1" applyProtection="1">
      <alignment horizontal="center" vertical="center"/>
    </xf>
    <xf numFmtId="0" fontId="39" fillId="0" borderId="93" xfId="1" applyFont="1" applyBorder="1" applyAlignment="1">
      <alignment horizontal="left" vertical="center"/>
    </xf>
    <xf numFmtId="0" fontId="39" fillId="0" borderId="74" xfId="1" applyFont="1" applyFill="1" applyBorder="1" applyAlignment="1">
      <alignment horizontal="center" vertical="center"/>
    </xf>
    <xf numFmtId="0" fontId="39" fillId="0" borderId="91" xfId="1" applyFont="1" applyBorder="1" applyAlignment="1">
      <alignment horizontal="left" vertical="center"/>
    </xf>
    <xf numFmtId="166" fontId="50" fillId="0" borderId="94" xfId="3" applyNumberFormat="1" applyFont="1" applyFill="1" applyBorder="1" applyAlignment="1" applyProtection="1">
      <alignment horizontal="center" vertical="center"/>
    </xf>
    <xf numFmtId="0" fontId="39" fillId="0" borderId="95" xfId="1" applyFont="1" applyBorder="1" applyAlignment="1">
      <alignment horizontal="left" vertical="center"/>
    </xf>
    <xf numFmtId="0" fontId="39" fillId="0" borderId="26" xfId="1" applyFont="1" applyFill="1" applyBorder="1" applyAlignment="1">
      <alignment horizontal="left" vertical="center"/>
    </xf>
    <xf numFmtId="0" fontId="39" fillId="0" borderId="75" xfId="1" applyFont="1" applyFill="1" applyBorder="1" applyAlignment="1">
      <alignment horizontal="center" vertical="center"/>
    </xf>
    <xf numFmtId="171" fontId="50" fillId="7" borderId="78" xfId="1" applyNumberFormat="1" applyFont="1" applyFill="1" applyBorder="1" applyAlignment="1">
      <alignment horizontal="center" vertical="center"/>
    </xf>
    <xf numFmtId="43" fontId="39" fillId="7" borderId="78" xfId="3" applyNumberFormat="1" applyFont="1" applyFill="1" applyBorder="1" applyAlignment="1" applyProtection="1">
      <alignment horizontal="right"/>
    </xf>
    <xf numFmtId="43" fontId="39" fillId="7" borderId="83" xfId="3" applyNumberFormat="1" applyFont="1" applyFill="1" applyBorder="1" applyAlignment="1" applyProtection="1">
      <alignment horizontal="left" vertical="center"/>
    </xf>
    <xf numFmtId="0" fontId="39" fillId="0" borderId="71" xfId="1" applyFont="1" applyFill="1" applyBorder="1"/>
    <xf numFmtId="167" fontId="39" fillId="0" borderId="72" xfId="1" applyNumberFormat="1" applyFont="1" applyFill="1" applyBorder="1" applyAlignment="1">
      <alignment horizontal="center" vertical="center"/>
    </xf>
    <xf numFmtId="43" fontId="39" fillId="0" borderId="72" xfId="3" applyNumberFormat="1" applyFont="1" applyFill="1" applyBorder="1" applyAlignment="1" applyProtection="1">
      <alignment horizontal="right"/>
    </xf>
    <xf numFmtId="43" fontId="39" fillId="0" borderId="84" xfId="3" applyNumberFormat="1" applyFont="1" applyFill="1" applyBorder="1" applyAlignment="1" applyProtection="1">
      <alignment horizontal="left" vertical="center"/>
    </xf>
    <xf numFmtId="0" fontId="13" fillId="0" borderId="0" xfId="0" quotePrefix="1" applyFont="1" applyFill="1" applyBorder="1" applyAlignment="1">
      <alignment horizontal="left" vertical="center"/>
    </xf>
    <xf numFmtId="0" fontId="13" fillId="0" borderId="0" xfId="1" applyFont="1" applyFill="1" applyBorder="1" applyAlignment="1">
      <alignment horizontal="center"/>
    </xf>
    <xf numFmtId="0" fontId="13" fillId="0" borderId="24" xfId="1" applyFont="1" applyFill="1" applyBorder="1" applyAlignment="1">
      <alignment vertical="center"/>
    </xf>
    <xf numFmtId="0" fontId="13" fillId="0" borderId="24" xfId="1" applyFont="1" applyFill="1" applyBorder="1" applyAlignment="1">
      <alignment horizontal="center" vertical="center"/>
    </xf>
    <xf numFmtId="1" fontId="13" fillId="0" borderId="25" xfId="1" applyNumberFormat="1" applyFont="1" applyFill="1" applyBorder="1" applyAlignment="1">
      <alignment horizontal="center" vertical="center"/>
    </xf>
    <xf numFmtId="169" fontId="13" fillId="0" borderId="25" xfId="3" applyNumberFormat="1" applyFont="1" applyFill="1" applyBorder="1" applyAlignment="1" applyProtection="1">
      <alignment horizontal="center" vertical="center"/>
    </xf>
    <xf numFmtId="0" fontId="39" fillId="0" borderId="32" xfId="1" applyFont="1" applyFill="1" applyBorder="1" applyAlignment="1">
      <alignment vertical="center"/>
    </xf>
    <xf numFmtId="0" fontId="39" fillId="0" borderId="103" xfId="1" applyFont="1" applyFill="1" applyBorder="1" applyAlignment="1">
      <alignment horizontal="left" vertical="center"/>
    </xf>
    <xf numFmtId="43" fontId="39" fillId="0" borderId="144" xfId="3" applyNumberFormat="1" applyFont="1" applyFill="1" applyBorder="1" applyAlignment="1" applyProtection="1">
      <alignment horizontal="left" vertical="center"/>
    </xf>
    <xf numFmtId="168" fontId="39" fillId="0" borderId="72" xfId="1" applyNumberFormat="1" applyFont="1" applyFill="1" applyBorder="1" applyAlignment="1">
      <alignment horizontal="center" vertical="center"/>
    </xf>
    <xf numFmtId="166" fontId="64" fillId="0" borderId="90" xfId="3" applyNumberFormat="1" applyFont="1" applyFill="1" applyBorder="1" applyAlignment="1" applyProtection="1">
      <alignment horizontal="center" vertical="center"/>
    </xf>
    <xf numFmtId="165" fontId="39" fillId="0" borderId="72" xfId="3" applyFont="1" applyFill="1" applyBorder="1" applyAlignment="1" applyProtection="1">
      <alignment horizontal="center" vertical="center"/>
    </xf>
    <xf numFmtId="0" fontId="65" fillId="0" borderId="101" xfId="0" applyFont="1" applyBorder="1"/>
    <xf numFmtId="0" fontId="39" fillId="0" borderId="9" xfId="0" applyFont="1" applyFill="1" applyBorder="1"/>
    <xf numFmtId="165" fontId="39" fillId="0" borderId="72" xfId="3" applyFont="1" applyFill="1" applyBorder="1" applyAlignment="1" applyProtection="1">
      <alignment horizontal="right" vertical="center"/>
    </xf>
    <xf numFmtId="0" fontId="50" fillId="0" borderId="91" xfId="0" applyFont="1" applyBorder="1" applyAlignment="1">
      <alignment horizontal="left"/>
    </xf>
    <xf numFmtId="2" fontId="39" fillId="0" borderId="72" xfId="1" applyNumberFormat="1" applyFont="1" applyFill="1" applyBorder="1" applyAlignment="1">
      <alignment horizontal="right" vertical="center"/>
    </xf>
    <xf numFmtId="43" fontId="39" fillId="0" borderId="73" xfId="3" applyNumberFormat="1" applyFont="1" applyFill="1" applyBorder="1" applyAlignment="1" applyProtection="1">
      <alignment horizontal="right" vertical="center"/>
    </xf>
    <xf numFmtId="0" fontId="50" fillId="0" borderId="91" xfId="0" applyFont="1" applyBorder="1"/>
    <xf numFmtId="0" fontId="39" fillId="0" borderId="85" xfId="0" applyFont="1" applyFill="1" applyBorder="1" applyAlignment="1">
      <alignment horizontal="center" vertical="center"/>
    </xf>
    <xf numFmtId="43" fontId="39" fillId="0" borderId="73" xfId="5" applyFont="1" applyFill="1" applyBorder="1" applyAlignment="1" applyProtection="1">
      <alignment horizontal="left" vertical="center"/>
    </xf>
    <xf numFmtId="0" fontId="39" fillId="0" borderId="71" xfId="0" applyFont="1" applyFill="1" applyBorder="1" applyAlignment="1">
      <alignment horizontal="center" vertical="center"/>
    </xf>
    <xf numFmtId="43" fontId="39" fillId="0" borderId="72" xfId="5" applyFont="1" applyFill="1" applyBorder="1" applyAlignment="1" applyProtection="1">
      <alignment horizontal="left" vertical="center"/>
    </xf>
    <xf numFmtId="43" fontId="39" fillId="0" borderId="72" xfId="5" applyFont="1" applyBorder="1"/>
    <xf numFmtId="0" fontId="66" fillId="0" borderId="24" xfId="0" applyFont="1" applyBorder="1"/>
    <xf numFmtId="0" fontId="39" fillId="0" borderId="72" xfId="0" applyFont="1" applyBorder="1" applyAlignment="1">
      <alignment horizontal="center"/>
    </xf>
    <xf numFmtId="43" fontId="39" fillId="0" borderId="72" xfId="5" applyFont="1" applyFill="1" applyBorder="1" applyAlignment="1" applyProtection="1">
      <alignment horizontal="right"/>
    </xf>
    <xf numFmtId="0" fontId="50" fillId="0" borderId="102" xfId="0" applyFont="1" applyBorder="1" applyAlignment="1">
      <alignment horizontal="left"/>
    </xf>
    <xf numFmtId="0" fontId="50" fillId="0" borderId="100" xfId="1" applyFont="1" applyBorder="1" applyAlignment="1">
      <alignment horizontal="left"/>
    </xf>
    <xf numFmtId="0" fontId="50" fillId="0" borderId="57" xfId="1" applyFont="1" applyBorder="1"/>
    <xf numFmtId="43" fontId="66" fillId="0" borderId="72" xfId="5" applyFont="1" applyBorder="1"/>
    <xf numFmtId="3" fontId="39" fillId="0" borderId="72" xfId="3" applyNumberFormat="1" applyFont="1" applyFill="1" applyBorder="1" applyAlignment="1" applyProtection="1">
      <alignment horizontal="center"/>
    </xf>
    <xf numFmtId="166" fontId="64" fillId="0" borderId="92" xfId="3" applyNumberFormat="1" applyFont="1" applyFill="1" applyBorder="1" applyAlignment="1" applyProtection="1">
      <alignment horizontal="center" vertical="center"/>
    </xf>
    <xf numFmtId="0" fontId="50" fillId="0" borderId="91" xfId="1" applyFont="1" applyBorder="1" applyAlignment="1">
      <alignment horizontal="left" vertical="center"/>
    </xf>
    <xf numFmtId="166" fontId="64" fillId="0" borderId="130" xfId="3" applyNumberFormat="1" applyFont="1" applyFill="1" applyBorder="1" applyAlignment="1" applyProtection="1">
      <alignment horizontal="center" vertical="center"/>
    </xf>
    <xf numFmtId="0" fontId="39" fillId="0" borderId="98" xfId="1" applyFont="1" applyFill="1" applyBorder="1" applyAlignment="1">
      <alignment vertical="center"/>
    </xf>
    <xf numFmtId="0" fontId="39" fillId="0" borderId="103" xfId="1" applyFont="1" applyFill="1" applyBorder="1" applyAlignment="1">
      <alignment horizontal="center" vertical="center"/>
    </xf>
    <xf numFmtId="165" fontId="39" fillId="0" borderId="131" xfId="3" applyFont="1" applyFill="1" applyBorder="1" applyAlignment="1" applyProtection="1">
      <alignment horizontal="center" vertical="center"/>
    </xf>
    <xf numFmtId="43" fontId="39" fillId="0" borderId="131" xfId="3" applyNumberFormat="1" applyFont="1" applyFill="1" applyBorder="1" applyAlignment="1" applyProtection="1">
      <alignment horizontal="left" vertical="center"/>
    </xf>
    <xf numFmtId="0" fontId="50" fillId="0" borderId="71" xfId="1" applyFont="1" applyFill="1" applyBorder="1" applyAlignment="1">
      <alignment vertical="center"/>
    </xf>
    <xf numFmtId="0" fontId="27" fillId="0" borderId="0" xfId="1" applyFont="1" applyFill="1" applyBorder="1" applyAlignment="1">
      <alignment horizontal="left"/>
    </xf>
    <xf numFmtId="0" fontId="13" fillId="0" borderId="0" xfId="1" applyFont="1" applyFill="1" applyBorder="1" applyAlignment="1">
      <alignment horizontal="left" vertical="center"/>
    </xf>
    <xf numFmtId="0" fontId="13" fillId="0" borderId="0" xfId="1" applyFont="1" applyFill="1" applyBorder="1" applyAlignment="1">
      <alignment horizontal="left"/>
    </xf>
    <xf numFmtId="0" fontId="39" fillId="0" borderId="55" xfId="1" applyFont="1" applyFill="1" applyBorder="1"/>
    <xf numFmtId="0" fontId="39" fillId="0" borderId="0" xfId="1" applyFont="1" applyFill="1" applyBorder="1"/>
    <xf numFmtId="0" fontId="39" fillId="0" borderId="1" xfId="1" applyFont="1" applyFill="1" applyBorder="1" applyAlignment="1">
      <alignment vertical="center"/>
    </xf>
    <xf numFmtId="166" fontId="50" fillId="0" borderId="139" xfId="3" applyNumberFormat="1" applyFont="1" applyFill="1" applyBorder="1" applyAlignment="1" applyProtection="1">
      <alignment horizontal="center" vertical="center"/>
    </xf>
    <xf numFmtId="0" fontId="39" fillId="0" borderId="140" xfId="1" applyFont="1" applyBorder="1" applyAlignment="1">
      <alignment horizontal="left" vertical="center"/>
    </xf>
    <xf numFmtId="0" fontId="39" fillId="0" borderId="141" xfId="1" applyFont="1" applyFill="1" applyBorder="1" applyAlignment="1">
      <alignment horizontal="left" vertical="center"/>
    </xf>
    <xf numFmtId="0" fontId="39" fillId="0" borderId="142" xfId="1" applyFont="1" applyFill="1" applyBorder="1" applyAlignment="1">
      <alignment horizontal="center" vertical="center"/>
    </xf>
    <xf numFmtId="2" fontId="39" fillId="0" borderId="140" xfId="1" applyNumberFormat="1" applyFont="1" applyFill="1" applyBorder="1" applyAlignment="1">
      <alignment horizontal="center" vertical="center"/>
    </xf>
    <xf numFmtId="0" fontId="50" fillId="0" borderId="141" xfId="1" applyFont="1" applyFill="1" applyBorder="1" applyAlignment="1">
      <alignment horizontal="center" vertical="center"/>
    </xf>
    <xf numFmtId="43" fontId="50" fillId="0" borderId="142" xfId="3" applyNumberFormat="1" applyFont="1" applyFill="1" applyBorder="1" applyAlignment="1" applyProtection="1">
      <alignment horizontal="right" vertical="center"/>
    </xf>
    <xf numFmtId="43" fontId="50" fillId="0" borderId="143" xfId="3" applyNumberFormat="1" applyFont="1" applyFill="1" applyBorder="1" applyAlignment="1" applyProtection="1">
      <alignment horizontal="left" vertical="center"/>
    </xf>
    <xf numFmtId="1" fontId="13" fillId="0" borderId="0" xfId="1" applyNumberFormat="1" applyFont="1" applyFill="1" applyBorder="1"/>
    <xf numFmtId="0" fontId="13" fillId="0" borderId="149" xfId="1" applyFont="1" applyFill="1" applyBorder="1"/>
    <xf numFmtId="0" fontId="39" fillId="0" borderId="160" xfId="1" applyFont="1" applyFill="1" applyBorder="1" applyAlignment="1">
      <alignment horizontal="center" vertical="center"/>
    </xf>
    <xf numFmtId="0" fontId="39" fillId="0" borderId="91" xfId="1" applyFont="1" applyFill="1" applyBorder="1" applyAlignment="1">
      <alignment horizontal="center" vertical="center"/>
    </xf>
    <xf numFmtId="0" fontId="39" fillId="0" borderId="29" xfId="1" applyFont="1" applyFill="1" applyBorder="1"/>
    <xf numFmtId="0" fontId="50" fillId="0" borderId="10" xfId="1" applyNumberFormat="1" applyFont="1" applyFill="1" applyBorder="1" applyAlignment="1">
      <alignment vertical="center"/>
    </xf>
    <xf numFmtId="0" fontId="39" fillId="0" borderId="10" xfId="3" applyNumberFormat="1" applyFont="1" applyFill="1" applyBorder="1" applyAlignment="1" applyProtection="1">
      <alignment vertical="center"/>
    </xf>
    <xf numFmtId="0" fontId="67" fillId="0" borderId="10" xfId="3" applyNumberFormat="1" applyFont="1" applyFill="1" applyBorder="1" applyAlignment="1" applyProtection="1">
      <alignment vertical="center"/>
    </xf>
    <xf numFmtId="43" fontId="39" fillId="0" borderId="30" xfId="3" applyNumberFormat="1" applyFont="1" applyFill="1" applyBorder="1" applyAlignment="1" applyProtection="1">
      <alignment vertical="center"/>
    </xf>
    <xf numFmtId="0" fontId="39" fillId="0" borderId="110" xfId="1" applyFont="1" applyFill="1" applyBorder="1"/>
    <xf numFmtId="0" fontId="39" fillId="0" borderId="111" xfId="3" applyNumberFormat="1" applyFont="1" applyFill="1" applyBorder="1" applyAlignment="1" applyProtection="1">
      <alignment horizontal="center" vertical="center"/>
    </xf>
    <xf numFmtId="0" fontId="39" fillId="0" borderId="111" xfId="3" applyNumberFormat="1" applyFont="1" applyFill="1" applyBorder="1" applyAlignment="1" applyProtection="1">
      <alignment horizontal="left" vertical="center"/>
    </xf>
    <xf numFmtId="0" fontId="39" fillId="0" borderId="132" xfId="3" applyNumberFormat="1" applyFont="1" applyFill="1" applyBorder="1" applyAlignment="1" applyProtection="1">
      <alignment horizontal="left" vertical="center"/>
    </xf>
    <xf numFmtId="43" fontId="50" fillId="0" borderId="107" xfId="3" applyNumberFormat="1" applyFont="1" applyFill="1" applyBorder="1" applyAlignment="1" applyProtection="1">
      <alignment vertical="center"/>
    </xf>
    <xf numFmtId="43" fontId="50" fillId="0" borderId="107" xfId="3" applyNumberFormat="1" applyFont="1" applyFill="1" applyBorder="1" applyAlignment="1" applyProtection="1">
      <alignment horizontal="center" vertical="center"/>
    </xf>
    <xf numFmtId="43" fontId="50" fillId="0" borderId="109" xfId="3" applyNumberFormat="1" applyFont="1" applyFill="1" applyBorder="1" applyAlignment="1" applyProtection="1">
      <alignment horizontal="center" vertical="center"/>
    </xf>
    <xf numFmtId="0" fontId="39" fillId="0" borderId="31" xfId="3" applyNumberFormat="1" applyFont="1" applyFill="1" applyBorder="1" applyAlignment="1" applyProtection="1">
      <alignment horizontal="center" vertical="center"/>
    </xf>
    <xf numFmtId="0" fontId="39" fillId="0" borderId="24" xfId="3" applyNumberFormat="1" applyFont="1" applyFill="1" applyBorder="1" applyAlignment="1" applyProtection="1">
      <alignment horizontal="left" vertical="center"/>
    </xf>
    <xf numFmtId="43" fontId="39" fillId="0" borderId="98" xfId="3" applyNumberFormat="1" applyFont="1" applyFill="1" applyBorder="1" applyAlignment="1" applyProtection="1">
      <alignment vertical="center"/>
    </xf>
    <xf numFmtId="0" fontId="39" fillId="0" borderId="24" xfId="3" applyNumberFormat="1" applyFont="1" applyFill="1" applyBorder="1" applyAlignment="1" applyProtection="1">
      <alignment vertical="center"/>
    </xf>
    <xf numFmtId="43" fontId="39" fillId="0" borderId="91" xfId="3" applyNumberFormat="1" applyFont="1" applyFill="1" applyBorder="1" applyAlignment="1" applyProtection="1">
      <alignment vertical="center"/>
    </xf>
    <xf numFmtId="43" fontId="39" fillId="0" borderId="93" xfId="3" applyNumberFormat="1" applyFont="1" applyFill="1" applyBorder="1" applyAlignment="1" applyProtection="1">
      <alignment vertical="center"/>
    </xf>
    <xf numFmtId="43" fontId="39" fillId="0" borderId="151" xfId="3" applyNumberFormat="1" applyFont="1" applyFill="1" applyBorder="1" applyAlignment="1" applyProtection="1">
      <alignment horizontal="left" vertical="center"/>
    </xf>
    <xf numFmtId="0" fontId="39" fillId="0" borderId="112" xfId="3" applyNumberFormat="1" applyFont="1" applyFill="1" applyBorder="1" applyAlignment="1" applyProtection="1">
      <alignment horizontal="center" vertical="center"/>
    </xf>
    <xf numFmtId="0" fontId="39" fillId="0" borderId="26" xfId="3" applyNumberFormat="1" applyFont="1" applyFill="1" applyBorder="1" applyAlignment="1" applyProtection="1">
      <alignment vertical="center"/>
    </xf>
    <xf numFmtId="43" fontId="39" fillId="0" borderId="152" xfId="3" applyNumberFormat="1" applyFont="1" applyFill="1" applyBorder="1" applyAlignment="1" applyProtection="1">
      <alignment vertical="center"/>
    </xf>
    <xf numFmtId="43" fontId="39" fillId="0" borderId="154" xfId="3" applyNumberFormat="1" applyFont="1" applyFill="1" applyBorder="1" applyAlignment="1" applyProtection="1">
      <alignment horizontal="left" vertical="center"/>
    </xf>
    <xf numFmtId="0" fontId="39" fillId="0" borderId="29" xfId="1" applyNumberFormat="1" applyFont="1" applyFill="1" applyBorder="1" applyAlignment="1">
      <alignment vertical="center"/>
    </xf>
    <xf numFmtId="0" fontId="50" fillId="0" borderId="10" xfId="3" applyNumberFormat="1" applyFont="1" applyFill="1" applyBorder="1" applyAlignment="1" applyProtection="1">
      <alignment vertical="center"/>
    </xf>
    <xf numFmtId="43" fontId="39" fillId="0" borderId="109" xfId="3" applyNumberFormat="1" applyFont="1" applyFill="1" applyBorder="1" applyAlignment="1" applyProtection="1">
      <alignment vertical="center"/>
    </xf>
    <xf numFmtId="0" fontId="50" fillId="0" borderId="106" xfId="3" applyNumberFormat="1" applyFont="1" applyFill="1" applyBorder="1" applyAlignment="1" applyProtection="1">
      <alignment vertical="center"/>
    </xf>
    <xf numFmtId="0" fontId="50" fillId="0" borderId="22" xfId="1" applyNumberFormat="1" applyFont="1" applyFill="1" applyBorder="1" applyAlignment="1">
      <alignment horizontal="left" vertical="center"/>
    </xf>
    <xf numFmtId="0" fontId="50" fillId="0" borderId="22" xfId="3" applyNumberFormat="1" applyFont="1" applyFill="1" applyBorder="1" applyAlignment="1" applyProtection="1">
      <alignment vertical="center"/>
    </xf>
    <xf numFmtId="0" fontId="39" fillId="0" borderId="22" xfId="1" applyNumberFormat="1" applyFont="1" applyFill="1" applyBorder="1" applyAlignment="1">
      <alignment vertical="center"/>
    </xf>
    <xf numFmtId="2" fontId="39" fillId="0" borderId="22" xfId="3" applyNumberFormat="1" applyFont="1" applyFill="1" applyBorder="1" applyAlignment="1" applyProtection="1">
      <alignment horizontal="center" vertical="center"/>
    </xf>
    <xf numFmtId="0" fontId="39" fillId="0" borderId="22" xfId="3" applyNumberFormat="1" applyFont="1" applyFill="1" applyBorder="1" applyAlignment="1" applyProtection="1">
      <alignment horizontal="left" vertical="center"/>
    </xf>
    <xf numFmtId="0" fontId="50" fillId="0" borderId="22" xfId="3" applyNumberFormat="1" applyFont="1" applyFill="1" applyBorder="1" applyAlignment="1" applyProtection="1">
      <alignment horizontal="right" vertical="center"/>
    </xf>
    <xf numFmtId="43" fontId="50" fillId="0" borderId="105" xfId="3" applyNumberFormat="1" applyFont="1" applyFill="1" applyBorder="1" applyAlignment="1" applyProtection="1">
      <alignment horizontal="left" vertical="center"/>
    </xf>
    <xf numFmtId="166" fontId="50" fillId="0" borderId="0" xfId="3" applyNumberFormat="1" applyFont="1" applyFill="1" applyBorder="1" applyAlignment="1" applyProtection="1">
      <alignment horizontal="center"/>
    </xf>
    <xf numFmtId="0" fontId="50" fillId="0" borderId="0" xfId="1" applyFont="1" applyFill="1" applyBorder="1" applyAlignment="1">
      <alignment vertical="center"/>
    </xf>
    <xf numFmtId="2" fontId="39" fillId="0" borderId="0" xfId="3" applyNumberFormat="1" applyFont="1" applyFill="1" applyBorder="1" applyAlignment="1" applyProtection="1">
      <alignment horizontal="center" vertical="center"/>
    </xf>
    <xf numFmtId="9" fontId="39" fillId="0" borderId="0" xfId="3" applyNumberFormat="1" applyFont="1" applyFill="1" applyBorder="1" applyAlignment="1" applyProtection="1">
      <alignment vertical="center"/>
    </xf>
    <xf numFmtId="43" fontId="50" fillId="0" borderId="0" xfId="3" applyNumberFormat="1" applyFont="1" applyFill="1" applyBorder="1" applyAlignment="1" applyProtection="1">
      <alignment horizontal="right"/>
    </xf>
    <xf numFmtId="43" fontId="39" fillId="0" borderId="0" xfId="3" applyNumberFormat="1" applyFont="1" applyFill="1" applyBorder="1" applyAlignment="1" applyProtection="1">
      <alignment horizontal="center" vertical="center"/>
    </xf>
    <xf numFmtId="0" fontId="39" fillId="0" borderId="0" xfId="1" applyFont="1" applyFill="1" applyBorder="1" applyAlignment="1"/>
    <xf numFmtId="0" fontId="39" fillId="0" borderId="0" xfId="1" applyFont="1" applyFill="1" applyBorder="1" applyAlignment="1"/>
    <xf numFmtId="3" fontId="39" fillId="0" borderId="0" xfId="1" applyNumberFormat="1" applyFont="1" applyFill="1" applyBorder="1" applyAlignment="1"/>
    <xf numFmtId="0" fontId="68" fillId="0" borderId="0" xfId="1" applyFont="1" applyFill="1" applyBorder="1" applyAlignment="1"/>
    <xf numFmtId="0" fontId="50" fillId="0" borderId="0" xfId="1" applyFont="1" applyFill="1" applyBorder="1" applyAlignment="1"/>
    <xf numFmtId="0" fontId="39" fillId="0" borderId="0" xfId="1" applyFont="1" applyFill="1" applyBorder="1" applyAlignment="1">
      <alignment horizontal="center" vertical="center"/>
    </xf>
    <xf numFmtId="0" fontId="39" fillId="0" borderId="0" xfId="1" applyFont="1" applyFill="1" applyBorder="1" applyAlignment="1">
      <alignment horizontal="left"/>
    </xf>
    <xf numFmtId="0" fontId="55" fillId="0" borderId="0" xfId="1" applyFont="1" applyFill="1" applyBorder="1" applyAlignment="1">
      <alignment horizontal="center" vertical="center"/>
    </xf>
    <xf numFmtId="0" fontId="55" fillId="0" borderId="0" xfId="1" applyFont="1" applyFill="1" applyBorder="1" applyAlignment="1"/>
    <xf numFmtId="0" fontId="55" fillId="0" borderId="0" xfId="1" applyFont="1" applyFill="1" applyBorder="1" applyAlignment="1">
      <alignment horizontal="center"/>
    </xf>
    <xf numFmtId="0" fontId="55" fillId="0" borderId="0" xfId="1" applyFont="1" applyFill="1" applyBorder="1" applyAlignment="1">
      <alignment vertical="center"/>
    </xf>
    <xf numFmtId="0" fontId="69" fillId="0" borderId="0" xfId="1" applyFont="1" applyFill="1" applyBorder="1" applyAlignment="1"/>
    <xf numFmtId="2" fontId="57" fillId="0" borderId="0" xfId="1" applyNumberFormat="1" applyFont="1" applyFill="1" applyBorder="1" applyAlignment="1">
      <alignment horizontal="center"/>
    </xf>
    <xf numFmtId="43" fontId="57" fillId="0" borderId="0" xfId="1" applyNumberFormat="1" applyFont="1" applyFill="1" applyBorder="1"/>
    <xf numFmtId="0" fontId="50" fillId="3" borderId="130" xfId="1" applyFont="1" applyFill="1" applyBorder="1" applyAlignment="1">
      <alignment horizontal="center" vertical="center"/>
    </xf>
    <xf numFmtId="0" fontId="50" fillId="3" borderId="98" xfId="1" applyFont="1" applyFill="1" applyBorder="1" applyAlignment="1">
      <alignment horizontal="left" vertical="center"/>
    </xf>
    <xf numFmtId="0" fontId="39" fillId="3" borderId="32" xfId="1" applyFont="1" applyFill="1" applyBorder="1" applyAlignment="1">
      <alignment horizontal="center" vertical="center"/>
    </xf>
    <xf numFmtId="0" fontId="39" fillId="3" borderId="103" xfId="1" applyFont="1" applyFill="1" applyBorder="1" applyAlignment="1">
      <alignment horizontal="center" vertical="center"/>
    </xf>
    <xf numFmtId="2" fontId="50" fillId="3" borderId="131" xfId="1" applyNumberFormat="1" applyFont="1" applyFill="1" applyBorder="1" applyAlignment="1">
      <alignment horizontal="center" vertical="center"/>
    </xf>
    <xf numFmtId="0" fontId="50" fillId="3" borderId="131" xfId="1" applyFont="1" applyFill="1" applyBorder="1" applyAlignment="1">
      <alignment vertical="center"/>
    </xf>
    <xf numFmtId="43" fontId="59" fillId="3" borderId="131" xfId="1" applyNumberFormat="1" applyFont="1" applyFill="1" applyBorder="1" applyAlignment="1">
      <alignment horizontal="center" vertical="center"/>
    </xf>
    <xf numFmtId="43" fontId="59" fillId="3" borderId="104" xfId="1" applyNumberFormat="1" applyFont="1" applyFill="1" applyBorder="1" applyAlignment="1">
      <alignment horizontal="center" vertical="center"/>
    </xf>
    <xf numFmtId="0" fontId="50" fillId="3" borderId="96" xfId="1" applyFont="1" applyFill="1" applyBorder="1" applyAlignment="1">
      <alignment horizontal="center" vertical="center"/>
    </xf>
    <xf numFmtId="0" fontId="50" fillId="3" borderId="97" xfId="1" applyFont="1" applyFill="1" applyBorder="1" applyAlignment="1">
      <alignment horizontal="left" vertical="center"/>
    </xf>
    <xf numFmtId="0" fontId="39" fillId="3" borderId="27" xfId="1" applyFont="1" applyFill="1" applyBorder="1" applyAlignment="1">
      <alignment vertical="center"/>
    </xf>
    <xf numFmtId="0" fontId="39" fillId="3" borderId="77" xfId="1" applyFont="1" applyFill="1" applyBorder="1" applyAlignment="1">
      <alignment vertical="center"/>
    </xf>
    <xf numFmtId="2" fontId="50" fillId="3" borderId="78" xfId="1" applyNumberFormat="1" applyFont="1" applyFill="1" applyBorder="1" applyAlignment="1">
      <alignment horizontal="center" vertical="center"/>
    </xf>
    <xf numFmtId="0" fontId="50" fillId="3" borderId="78" xfId="1" applyFont="1" applyFill="1" applyBorder="1" applyAlignment="1">
      <alignment horizontal="center" vertical="center"/>
    </xf>
    <xf numFmtId="43" fontId="39" fillId="3" borderId="78" xfId="3" applyNumberFormat="1" applyFont="1" applyFill="1" applyBorder="1" applyAlignment="1" applyProtection="1">
      <alignment horizontal="right" vertical="center"/>
    </xf>
    <xf numFmtId="43" fontId="39" fillId="3" borderId="79" xfId="3" applyNumberFormat="1" applyFont="1" applyFill="1" applyBorder="1" applyAlignment="1" applyProtection="1">
      <alignment horizontal="left" vertical="center"/>
    </xf>
    <xf numFmtId="166" fontId="39" fillId="0" borderId="90" xfId="3" applyNumberFormat="1" applyFont="1" applyFill="1" applyBorder="1" applyAlignment="1" applyProtection="1">
      <alignment horizontal="center" vertical="center"/>
    </xf>
    <xf numFmtId="0" fontId="39" fillId="3" borderId="96" xfId="1" applyFont="1" applyFill="1" applyBorder="1" applyAlignment="1">
      <alignment horizontal="center" vertical="center"/>
    </xf>
    <xf numFmtId="0" fontId="39" fillId="3" borderId="97" xfId="1" applyFont="1" applyFill="1" applyBorder="1" applyAlignment="1">
      <alignment horizontal="left" vertical="center"/>
    </xf>
    <xf numFmtId="0" fontId="50" fillId="3" borderId="78" xfId="1" applyFont="1" applyFill="1" applyBorder="1" applyAlignment="1">
      <alignment vertical="center"/>
    </xf>
    <xf numFmtId="171" fontId="50" fillId="3" borderId="78" xfId="1" applyNumberFormat="1" applyFont="1" applyFill="1" applyBorder="1" applyAlignment="1">
      <alignment horizontal="center" vertical="center"/>
    </xf>
    <xf numFmtId="43" fontId="39" fillId="3" borderId="78" xfId="3" applyNumberFormat="1" applyFont="1" applyFill="1" applyBorder="1" applyAlignment="1" applyProtection="1">
      <alignment horizontal="right"/>
    </xf>
    <xf numFmtId="43" fontId="39" fillId="3" borderId="83" xfId="3" applyNumberFormat="1" applyFont="1" applyFill="1" applyBorder="1" applyAlignment="1" applyProtection="1">
      <alignment horizontal="left" vertical="center"/>
    </xf>
    <xf numFmtId="2" fontId="39" fillId="0" borderId="0" xfId="1" applyNumberFormat="1" applyFont="1" applyFill="1" applyBorder="1"/>
    <xf numFmtId="0" fontId="2" fillId="0" borderId="10" xfId="1" applyBorder="1"/>
    <xf numFmtId="2" fontId="2" fillId="0" borderId="10" xfId="1" applyNumberFormat="1" applyBorder="1" applyAlignment="1">
      <alignment horizontal="left"/>
    </xf>
    <xf numFmtId="0" fontId="2" fillId="0" borderId="111" xfId="1" applyBorder="1"/>
    <xf numFmtId="2" fontId="2" fillId="0" borderId="111" xfId="1" applyNumberFormat="1" applyBorder="1" applyAlignment="1">
      <alignment horizontal="left"/>
    </xf>
    <xf numFmtId="0" fontId="2" fillId="0" borderId="10" xfId="1" applyBorder="1" applyAlignment="1">
      <alignment horizontal="left"/>
    </xf>
    <xf numFmtId="2" fontId="2" fillId="4" borderId="0" xfId="1" applyNumberFormat="1" applyFill="1"/>
    <xf numFmtId="1" fontId="2" fillId="0" borderId="0" xfId="1" applyNumberFormat="1" applyAlignment="1">
      <alignment horizontal="center"/>
    </xf>
    <xf numFmtId="2" fontId="2" fillId="0" borderId="0" xfId="1" applyNumberFormat="1"/>
    <xf numFmtId="0" fontId="2" fillId="0" borderId="0" xfId="1" applyAlignment="1"/>
    <xf numFmtId="2" fontId="2" fillId="0" borderId="0" xfId="1" applyNumberFormat="1" applyAlignment="1">
      <alignment horizontal="center"/>
    </xf>
    <xf numFmtId="0" fontId="2" fillId="0" borderId="0" xfId="1" applyFont="1" applyAlignment="1">
      <alignment horizontal="center"/>
    </xf>
    <xf numFmtId="0" fontId="2" fillId="4" borderId="0" xfId="1" applyFill="1"/>
    <xf numFmtId="0" fontId="2" fillId="9" borderId="0" xfId="1" applyFill="1"/>
    <xf numFmtId="0" fontId="2" fillId="4" borderId="0" xfId="1" applyFill="1" applyAlignment="1">
      <alignment horizontal="center"/>
    </xf>
    <xf numFmtId="43" fontId="39" fillId="0" borderId="172" xfId="3" applyNumberFormat="1" applyFont="1" applyFill="1" applyBorder="1" applyAlignment="1" applyProtection="1">
      <alignment horizontal="center" vertical="center"/>
    </xf>
    <xf numFmtId="43" fontId="39" fillId="0" borderId="30" xfId="3" applyNumberFormat="1" applyFont="1" applyFill="1" applyBorder="1" applyAlignment="1" applyProtection="1">
      <alignment horizontal="center" vertical="center"/>
    </xf>
    <xf numFmtId="43" fontId="50" fillId="0" borderId="30" xfId="3" applyNumberFormat="1" applyFont="1" applyFill="1" applyBorder="1" applyAlignment="1" applyProtection="1">
      <alignment horizontal="center" vertical="center"/>
    </xf>
    <xf numFmtId="0" fontId="50" fillId="0" borderId="138" xfId="1" applyFont="1" applyFill="1" applyBorder="1" applyAlignment="1">
      <alignment horizontal="center" vertical="center"/>
    </xf>
    <xf numFmtId="0" fontId="39" fillId="0" borderId="164" xfId="3" applyNumberFormat="1" applyFont="1" applyFill="1" applyBorder="1" applyAlignment="1" applyProtection="1">
      <alignment horizontal="left" vertical="center"/>
    </xf>
    <xf numFmtId="0" fontId="39" fillId="0" borderId="27" xfId="3" applyNumberFormat="1" applyFont="1" applyFill="1" applyBorder="1" applyAlignment="1" applyProtection="1">
      <alignment horizontal="left" vertical="center"/>
    </xf>
    <xf numFmtId="0" fontId="39" fillId="0" borderId="165" xfId="3" applyNumberFormat="1" applyFont="1" applyFill="1" applyBorder="1" applyAlignment="1" applyProtection="1">
      <alignment horizontal="left" vertical="center"/>
    </xf>
    <xf numFmtId="0" fontId="39" fillId="0" borderId="166" xfId="3" applyNumberFormat="1" applyFont="1" applyFill="1" applyBorder="1" applyAlignment="1" applyProtection="1">
      <alignment vertical="center"/>
    </xf>
    <xf numFmtId="0" fontId="39" fillId="0" borderId="167" xfId="3" applyNumberFormat="1" applyFont="1" applyFill="1" applyBorder="1" applyAlignment="1" applyProtection="1">
      <alignment vertical="center"/>
    </xf>
    <xf numFmtId="0" fontId="50" fillId="0" borderId="170" xfId="3" applyNumberFormat="1" applyFont="1" applyFill="1" applyBorder="1" applyAlignment="1" applyProtection="1">
      <alignment vertical="center"/>
    </xf>
    <xf numFmtId="0" fontId="39" fillId="0" borderId="171" xfId="3" applyNumberFormat="1" applyFont="1" applyFill="1" applyBorder="1" applyAlignment="1" applyProtection="1">
      <alignment vertical="center"/>
    </xf>
    <xf numFmtId="0" fontId="39" fillId="0" borderId="177" xfId="3" applyNumberFormat="1" applyFont="1" applyFill="1" applyBorder="1" applyAlignment="1" applyProtection="1">
      <alignment horizontal="center" vertical="center"/>
    </xf>
    <xf numFmtId="0" fontId="39" fillId="0" borderId="178" xfId="1" applyNumberFormat="1" applyFont="1" applyFill="1" applyBorder="1" applyAlignment="1">
      <alignment vertical="center"/>
    </xf>
    <xf numFmtId="0" fontId="71" fillId="0" borderId="0" xfId="1" applyFont="1" applyFill="1" applyBorder="1" applyAlignment="1">
      <alignment vertical="center"/>
    </xf>
    <xf numFmtId="43" fontId="50" fillId="0" borderId="0" xfId="3" applyNumberFormat="1" applyFont="1" applyFill="1" applyBorder="1" applyAlignment="1" applyProtection="1">
      <alignment horizontal="left" vertical="center"/>
    </xf>
    <xf numFmtId="0" fontId="50" fillId="0" borderId="0" xfId="3" applyNumberFormat="1" applyFont="1" applyFill="1" applyBorder="1" applyAlignment="1" applyProtection="1">
      <alignment vertical="center"/>
    </xf>
    <xf numFmtId="0" fontId="50" fillId="0" borderId="0" xfId="1" applyNumberFormat="1" applyFont="1" applyFill="1" applyBorder="1" applyAlignment="1">
      <alignment horizontal="left" vertical="center"/>
    </xf>
    <xf numFmtId="0" fontId="39" fillId="0" borderId="0" xfId="1" applyNumberFormat="1" applyFont="1" applyFill="1" applyBorder="1" applyAlignment="1">
      <alignment vertical="center"/>
    </xf>
    <xf numFmtId="0" fontId="39" fillId="0" borderId="0" xfId="3" applyNumberFormat="1" applyFont="1" applyFill="1" applyBorder="1" applyAlignment="1" applyProtection="1">
      <alignment horizontal="left" vertical="center"/>
    </xf>
    <xf numFmtId="0" fontId="50" fillId="0" borderId="0" xfId="3" applyNumberFormat="1" applyFont="1" applyFill="1" applyBorder="1" applyAlignment="1" applyProtection="1">
      <alignment horizontal="right" vertical="center"/>
    </xf>
    <xf numFmtId="0" fontId="72" fillId="0" borderId="0" xfId="1" applyFont="1" applyFill="1" applyBorder="1" applyAlignment="1">
      <alignment vertical="center"/>
    </xf>
    <xf numFmtId="0" fontId="54" fillId="0" borderId="11" xfId="1" applyFont="1" applyFill="1" applyBorder="1" applyAlignment="1">
      <alignment horizontal="center" vertical="center"/>
    </xf>
    <xf numFmtId="0" fontId="54" fillId="0" borderId="12" xfId="1" applyFont="1" applyFill="1" applyBorder="1" applyAlignment="1">
      <alignment horizontal="center" vertical="center"/>
    </xf>
    <xf numFmtId="0" fontId="54" fillId="0" borderId="13" xfId="1" applyFont="1" applyFill="1" applyBorder="1" applyAlignment="1">
      <alignment horizontal="center" vertical="center"/>
    </xf>
    <xf numFmtId="0" fontId="55" fillId="0" borderId="0" xfId="1" applyFont="1" applyFill="1" applyBorder="1" applyAlignment="1">
      <alignment horizontal="right" vertical="center"/>
    </xf>
    <xf numFmtId="0" fontId="27" fillId="0" borderId="14" xfId="1" applyFont="1" applyFill="1" applyBorder="1" applyAlignment="1">
      <alignment horizontal="center" vertical="center" wrapText="1"/>
    </xf>
    <xf numFmtId="0" fontId="27" fillId="0" borderId="18" xfId="1" applyFont="1" applyFill="1" applyBorder="1" applyAlignment="1">
      <alignment horizontal="center" vertical="center" wrapText="1"/>
    </xf>
    <xf numFmtId="43" fontId="50" fillId="0" borderId="107" xfId="3" applyNumberFormat="1" applyFont="1" applyFill="1" applyBorder="1" applyAlignment="1" applyProtection="1">
      <alignment horizontal="center" vertical="center"/>
    </xf>
    <xf numFmtId="43" fontId="50" fillId="0" borderId="108" xfId="3" applyNumberFormat="1" applyFont="1" applyFill="1" applyBorder="1" applyAlignment="1" applyProtection="1">
      <alignment horizontal="center" vertical="center"/>
    </xf>
    <xf numFmtId="43" fontId="39" fillId="0" borderId="98" xfId="3" applyNumberFormat="1" applyFont="1" applyFill="1" applyBorder="1" applyAlignment="1" applyProtection="1">
      <alignment vertical="center"/>
    </xf>
    <xf numFmtId="43" fontId="39" fillId="0" borderId="103" xfId="3" applyNumberFormat="1" applyFont="1" applyFill="1" applyBorder="1" applyAlignment="1" applyProtection="1">
      <alignment vertical="center"/>
    </xf>
    <xf numFmtId="43" fontId="39" fillId="0" borderId="91" xfId="3" applyNumberFormat="1" applyFont="1" applyFill="1" applyBorder="1" applyAlignment="1" applyProtection="1">
      <alignment vertical="center"/>
    </xf>
    <xf numFmtId="43" fontId="39" fillId="0" borderId="71" xfId="3" applyNumberFormat="1" applyFont="1" applyFill="1" applyBorder="1" applyAlignment="1" applyProtection="1">
      <alignment vertical="center"/>
    </xf>
    <xf numFmtId="2" fontId="67" fillId="0" borderId="10" xfId="3" applyNumberFormat="1" applyFont="1" applyFill="1" applyBorder="1" applyAlignment="1" applyProtection="1">
      <alignment horizontal="center" vertical="center"/>
    </xf>
    <xf numFmtId="166" fontId="54" fillId="3" borderId="145" xfId="3" applyNumberFormat="1" applyFont="1" applyFill="1" applyBorder="1" applyAlignment="1" applyProtection="1">
      <alignment horizontal="center" vertical="center"/>
    </xf>
    <xf numFmtId="166" fontId="54" fillId="3" borderId="146" xfId="3" applyNumberFormat="1" applyFont="1" applyFill="1" applyBorder="1" applyAlignment="1" applyProtection="1">
      <alignment horizontal="center" vertical="center"/>
    </xf>
    <xf numFmtId="166" fontId="54" fillId="3" borderId="147" xfId="3" applyNumberFormat="1" applyFont="1" applyFill="1" applyBorder="1" applyAlignment="1" applyProtection="1">
      <alignment horizontal="center" vertical="center"/>
    </xf>
    <xf numFmtId="166" fontId="54" fillId="3" borderId="106" xfId="3" applyNumberFormat="1" applyFont="1" applyFill="1" applyBorder="1" applyAlignment="1" applyProtection="1">
      <alignment horizontal="center" vertical="center"/>
    </xf>
    <xf numFmtId="166" fontId="54" fillId="3" borderId="22" xfId="3" applyNumberFormat="1" applyFont="1" applyFill="1" applyBorder="1" applyAlignment="1" applyProtection="1">
      <alignment horizontal="center" vertical="center"/>
    </xf>
    <xf numFmtId="166" fontId="54" fillId="3" borderId="105" xfId="3" applyNumberFormat="1" applyFont="1" applyFill="1" applyBorder="1" applyAlignment="1" applyProtection="1">
      <alignment horizontal="center" vertical="center"/>
    </xf>
    <xf numFmtId="43" fontId="27" fillId="0" borderId="17" xfId="1" applyNumberFormat="1" applyFont="1" applyFill="1" applyBorder="1" applyAlignment="1">
      <alignment horizontal="center" vertical="center"/>
    </xf>
    <xf numFmtId="43" fontId="27" fillId="0" borderId="21" xfId="1" applyNumberFormat="1" applyFont="1" applyFill="1" applyBorder="1" applyAlignment="1">
      <alignment horizontal="center" vertical="center"/>
    </xf>
    <xf numFmtId="43" fontId="27" fillId="0" borderId="16" xfId="1" applyNumberFormat="1" applyFont="1" applyFill="1" applyBorder="1" applyAlignment="1">
      <alignment horizontal="center" vertical="center"/>
    </xf>
    <xf numFmtId="43" fontId="27" fillId="0" borderId="20" xfId="1" applyNumberFormat="1" applyFont="1" applyFill="1" applyBorder="1" applyAlignment="1">
      <alignment horizontal="center" vertical="center"/>
    </xf>
    <xf numFmtId="0" fontId="27" fillId="0" borderId="15" xfId="1" applyFont="1" applyFill="1" applyBorder="1" applyAlignment="1">
      <alignment horizontal="center" vertical="center"/>
    </xf>
    <xf numFmtId="0" fontId="27" fillId="0" borderId="19" xfId="1" applyFont="1" applyFill="1" applyBorder="1" applyAlignment="1">
      <alignment horizontal="center" vertical="center"/>
    </xf>
    <xf numFmtId="2" fontId="27" fillId="0" borderId="15" xfId="1" applyNumberFormat="1" applyFont="1" applyFill="1" applyBorder="1" applyAlignment="1">
      <alignment horizontal="center" vertical="center"/>
    </xf>
    <xf numFmtId="2" fontId="27" fillId="0" borderId="19" xfId="1" applyNumberFormat="1" applyFont="1" applyFill="1" applyBorder="1" applyAlignment="1">
      <alignment horizontal="center" vertical="center"/>
    </xf>
    <xf numFmtId="0" fontId="50" fillId="0" borderId="0" xfId="1" applyFont="1" applyFill="1" applyBorder="1" applyAlignment="1">
      <alignment horizontal="center"/>
    </xf>
    <xf numFmtId="0" fontId="39" fillId="0" borderId="0" xfId="1" applyFont="1" applyFill="1" applyBorder="1" applyAlignment="1"/>
    <xf numFmtId="43" fontId="39" fillId="0" borderId="93" xfId="3" applyNumberFormat="1" applyFont="1" applyFill="1" applyBorder="1" applyAlignment="1" applyProtection="1">
      <alignment vertical="center"/>
    </xf>
    <xf numFmtId="43" fontId="39" fillId="0" borderId="74" xfId="3" applyNumberFormat="1" applyFont="1" applyFill="1" applyBorder="1" applyAlignment="1" applyProtection="1">
      <alignment vertical="center"/>
    </xf>
    <xf numFmtId="43" fontId="50" fillId="0" borderId="107" xfId="3" applyNumberFormat="1" applyFont="1" applyFill="1" applyBorder="1" applyAlignment="1" applyProtection="1">
      <alignment vertical="center"/>
    </xf>
    <xf numFmtId="43" fontId="50" fillId="0" borderId="108" xfId="3" applyNumberFormat="1" applyFont="1" applyFill="1" applyBorder="1" applyAlignment="1" applyProtection="1">
      <alignment vertical="center"/>
    </xf>
    <xf numFmtId="0" fontId="39" fillId="0" borderId="26" xfId="3" applyNumberFormat="1" applyFont="1" applyFill="1" applyBorder="1" applyAlignment="1" applyProtection="1">
      <alignment horizontal="left" vertical="center"/>
    </xf>
    <xf numFmtId="43" fontId="39" fillId="0" borderId="152" xfId="3" applyNumberFormat="1" applyFont="1" applyFill="1" applyBorder="1" applyAlignment="1" applyProtection="1">
      <alignment horizontal="center" vertical="center"/>
    </xf>
    <xf numFmtId="43" fontId="39" fillId="0" borderId="153" xfId="3" applyNumberFormat="1" applyFont="1" applyFill="1" applyBorder="1" applyAlignment="1" applyProtection="1">
      <alignment horizontal="center" vertical="center"/>
    </xf>
    <xf numFmtId="0" fontId="39" fillId="0" borderId="0" xfId="1" applyFont="1" applyFill="1" applyBorder="1" applyAlignment="1">
      <alignment horizontal="center" vertical="center"/>
    </xf>
    <xf numFmtId="0" fontId="39" fillId="0" borderId="0" xfId="1" applyFont="1" applyFill="1" applyBorder="1" applyAlignment="1">
      <alignment horizontal="center"/>
    </xf>
    <xf numFmtId="0" fontId="37" fillId="0" borderId="38" xfId="1" applyFont="1" applyBorder="1" applyAlignment="1">
      <alignment horizontal="center" vertical="center" wrapText="1"/>
    </xf>
    <xf numFmtId="0" fontId="37" fillId="0" borderId="2" xfId="1" applyFont="1" applyBorder="1" applyAlignment="1">
      <alignment horizontal="center" vertical="center" wrapText="1"/>
    </xf>
    <xf numFmtId="0" fontId="37" fillId="0" borderId="63" xfId="1" applyFont="1" applyBorder="1" applyAlignment="1">
      <alignment horizontal="center" vertical="center" wrapText="1"/>
    </xf>
    <xf numFmtId="0" fontId="37" fillId="0" borderId="64" xfId="1" applyFont="1" applyBorder="1" applyAlignment="1">
      <alignment horizontal="center" vertical="center" wrapText="1"/>
    </xf>
    <xf numFmtId="0" fontId="37" fillId="0" borderId="65" xfId="1" applyFont="1" applyBorder="1" applyAlignment="1">
      <alignment horizontal="center" vertical="center" wrapText="1"/>
    </xf>
    <xf numFmtId="0" fontId="37" fillId="0" borderId="66" xfId="1" applyFont="1" applyBorder="1" applyAlignment="1">
      <alignment horizontal="center" vertical="center" wrapText="1"/>
    </xf>
    <xf numFmtId="0" fontId="34" fillId="0" borderId="0" xfId="0" applyFont="1" applyAlignment="1">
      <alignment horizontal="center" vertical="center"/>
    </xf>
    <xf numFmtId="0" fontId="35" fillId="0" borderId="0" xfId="0" applyFont="1" applyAlignment="1">
      <alignment horizontal="center" vertical="center"/>
    </xf>
    <xf numFmtId="0" fontId="47" fillId="0" borderId="0" xfId="1" applyFont="1" applyBorder="1" applyAlignment="1">
      <alignment horizontal="center" vertical="center"/>
    </xf>
    <xf numFmtId="0" fontId="46" fillId="0" borderId="0" xfId="1" applyFont="1" applyBorder="1" applyAlignment="1">
      <alignment horizontal="center" vertical="center"/>
    </xf>
    <xf numFmtId="0" fontId="37" fillId="0" borderId="0" xfId="1" applyFont="1" applyBorder="1" applyAlignment="1">
      <alignment horizontal="center" vertical="center"/>
    </xf>
    <xf numFmtId="0" fontId="37" fillId="0" borderId="36" xfId="1" applyFont="1" applyBorder="1" applyAlignment="1">
      <alignment horizontal="center" vertical="center" wrapText="1"/>
    </xf>
    <xf numFmtId="0" fontId="37" fillId="0" borderId="37" xfId="1" applyFont="1" applyBorder="1" applyAlignment="1">
      <alignment horizontal="center" vertical="center" wrapText="1"/>
    </xf>
    <xf numFmtId="0" fontId="37" fillId="0" borderId="3" xfId="1" applyFont="1" applyBorder="1" applyAlignment="1">
      <alignment horizontal="center" vertical="center" wrapText="1"/>
    </xf>
    <xf numFmtId="0" fontId="37" fillId="0" borderId="42" xfId="1" applyFont="1" applyBorder="1" applyAlignment="1">
      <alignment horizontal="center" vertical="top"/>
    </xf>
    <xf numFmtId="0" fontId="36" fillId="0" borderId="45" xfId="1" applyFont="1" applyBorder="1" applyAlignment="1">
      <alignment horizontal="center"/>
    </xf>
    <xf numFmtId="0" fontId="36" fillId="0" borderId="35" xfId="1" applyFont="1" applyBorder="1" applyAlignment="1">
      <alignment horizontal="center"/>
    </xf>
    <xf numFmtId="0" fontId="36" fillId="0" borderId="46" xfId="1" applyFont="1" applyBorder="1" applyAlignment="1">
      <alignment horizontal="center"/>
    </xf>
    <xf numFmtId="49" fontId="37" fillId="0" borderId="59" xfId="1" applyNumberFormat="1" applyFont="1" applyBorder="1" applyAlignment="1">
      <alignment horizontal="center" vertical="top"/>
    </xf>
    <xf numFmtId="49" fontId="37" fillId="0" borderId="60" xfId="1" applyNumberFormat="1" applyFont="1" applyBorder="1" applyAlignment="1">
      <alignment horizontal="center" vertical="top"/>
    </xf>
    <xf numFmtId="165" fontId="37" fillId="0" borderId="135" xfId="1" applyNumberFormat="1" applyFont="1" applyBorder="1" applyAlignment="1">
      <alignment horizontal="center"/>
    </xf>
    <xf numFmtId="165" fontId="37" fillId="0" borderId="136" xfId="1" applyNumberFormat="1" applyFont="1" applyBorder="1" applyAlignment="1">
      <alignment horizontal="center"/>
    </xf>
    <xf numFmtId="0" fontId="1" fillId="0" borderId="0" xfId="1" applyFont="1" applyBorder="1" applyAlignment="1"/>
    <xf numFmtId="0" fontId="37" fillId="0" borderId="0" xfId="1" applyFont="1" applyBorder="1" applyAlignment="1">
      <alignment horizontal="center"/>
    </xf>
    <xf numFmtId="0" fontId="37" fillId="0" borderId="0" xfId="1" applyFont="1" applyAlignment="1"/>
    <xf numFmtId="0" fontId="36" fillId="0" borderId="0" xfId="1" applyFont="1" applyBorder="1" applyAlignment="1">
      <alignment horizontal="center"/>
    </xf>
    <xf numFmtId="0" fontId="37" fillId="0" borderId="49" xfId="1" applyFont="1" applyBorder="1"/>
    <xf numFmtId="0" fontId="37" fillId="0" borderId="0" xfId="1" applyFont="1"/>
    <xf numFmtId="165" fontId="37" fillId="0" borderId="7" xfId="1" applyNumberFormat="1" applyFont="1" applyBorder="1" applyAlignment="1">
      <alignment horizontal="center"/>
    </xf>
    <xf numFmtId="165" fontId="37" fillId="0" borderId="8" xfId="1" applyNumberFormat="1" applyFont="1" applyBorder="1" applyAlignment="1">
      <alignment horizontal="center"/>
    </xf>
    <xf numFmtId="49" fontId="37" fillId="0" borderId="5" xfId="1" applyNumberFormat="1" applyFont="1" applyBorder="1" applyAlignment="1">
      <alignment horizontal="center" vertical="top"/>
    </xf>
    <xf numFmtId="165" fontId="37" fillId="0" borderId="133" xfId="1" applyNumberFormat="1" applyFont="1" applyBorder="1" applyAlignment="1">
      <alignment horizontal="center"/>
    </xf>
    <xf numFmtId="165" fontId="37" fillId="0" borderId="134" xfId="1" applyNumberFormat="1" applyFont="1" applyBorder="1" applyAlignment="1">
      <alignment horizontal="center"/>
    </xf>
    <xf numFmtId="165" fontId="37" fillId="0" borderId="46" xfId="1" applyNumberFormat="1" applyFont="1" applyBorder="1" applyAlignment="1"/>
    <xf numFmtId="165" fontId="37" fillId="0" borderId="34" xfId="1" applyNumberFormat="1" applyFont="1" applyBorder="1" applyAlignment="1"/>
    <xf numFmtId="0" fontId="37" fillId="0" borderId="0" xfId="1" applyFont="1" applyFill="1" applyBorder="1" applyAlignment="1">
      <alignment vertical="center"/>
    </xf>
    <xf numFmtId="0" fontId="36" fillId="0" borderId="0" xfId="1" applyFont="1" applyFill="1" applyBorder="1" applyAlignment="1">
      <alignment vertical="center"/>
    </xf>
    <xf numFmtId="0" fontId="28" fillId="0" borderId="0" xfId="1" applyFont="1" applyFill="1" applyAlignment="1"/>
    <xf numFmtId="0" fontId="30" fillId="0" borderId="0" xfId="1" applyFont="1" applyFill="1" applyBorder="1" applyAlignment="1">
      <alignment horizontal="center" vertical="center"/>
    </xf>
    <xf numFmtId="0" fontId="37" fillId="0" borderId="124" xfId="1" applyFont="1" applyFill="1" applyBorder="1" applyAlignment="1"/>
    <xf numFmtId="164" fontId="36" fillId="0" borderId="124" xfId="1" applyNumberFormat="1" applyFont="1" applyFill="1" applyBorder="1" applyAlignment="1">
      <alignment vertical="center"/>
    </xf>
    <xf numFmtId="0" fontId="36" fillId="0" borderId="125" xfId="1" applyFont="1" applyFill="1" applyBorder="1" applyAlignment="1">
      <alignment horizontal="center" vertical="center" wrapText="1"/>
    </xf>
    <xf numFmtId="0" fontId="36" fillId="0" borderId="127" xfId="1" applyFont="1" applyFill="1" applyBorder="1" applyAlignment="1">
      <alignment horizontal="center" vertical="center" wrapText="1"/>
    </xf>
    <xf numFmtId="0" fontId="36" fillId="0" borderId="15" xfId="1" applyFont="1" applyFill="1" applyBorder="1" applyAlignment="1">
      <alignment horizontal="center" vertical="center"/>
    </xf>
    <xf numFmtId="0" fontId="36" fillId="0" borderId="19" xfId="1" applyFont="1" applyFill="1" applyBorder="1" applyAlignment="1">
      <alignment horizontal="center" vertical="center"/>
    </xf>
    <xf numFmtId="2" fontId="36" fillId="0" borderId="129" xfId="1" applyNumberFormat="1" applyFont="1" applyFill="1" applyBorder="1" applyAlignment="1">
      <alignment horizontal="center" vertical="center"/>
    </xf>
    <xf numFmtId="2" fontId="36" fillId="0" borderId="20" xfId="1" applyNumberFormat="1" applyFont="1" applyFill="1" applyBorder="1" applyAlignment="1">
      <alignment horizontal="center" vertical="center"/>
    </xf>
    <xf numFmtId="0" fontId="36" fillId="0" borderId="129" xfId="1" applyFont="1" applyFill="1" applyBorder="1" applyAlignment="1">
      <alignment horizontal="center" vertical="center"/>
    </xf>
    <xf numFmtId="0" fontId="36" fillId="0" borderId="20" xfId="1" applyFont="1" applyFill="1" applyBorder="1" applyAlignment="1">
      <alignment horizontal="center" vertical="center"/>
    </xf>
    <xf numFmtId="43" fontId="36" fillId="0" borderId="16" xfId="1" applyNumberFormat="1" applyFont="1" applyFill="1" applyBorder="1" applyAlignment="1">
      <alignment horizontal="center" vertical="center"/>
    </xf>
    <xf numFmtId="43" fontId="36" fillId="0" borderId="20" xfId="1" applyNumberFormat="1" applyFont="1" applyFill="1" applyBorder="1" applyAlignment="1">
      <alignment horizontal="center" vertical="center"/>
    </xf>
    <xf numFmtId="43" fontId="36" fillId="0" borderId="126" xfId="1" applyNumberFormat="1" applyFont="1" applyFill="1" applyBorder="1" applyAlignment="1">
      <alignment horizontal="center" vertical="center"/>
    </xf>
    <xf numFmtId="43" fontId="36" fillId="0" borderId="128" xfId="1" applyNumberFormat="1" applyFont="1" applyFill="1" applyBorder="1" applyAlignment="1">
      <alignment horizontal="center" vertical="center"/>
    </xf>
    <xf numFmtId="0" fontId="52" fillId="0" borderId="0" xfId="1" quotePrefix="1" applyFont="1" applyFill="1" applyAlignment="1"/>
    <xf numFmtId="0" fontId="51" fillId="0" borderId="0" xfId="1" applyFont="1" applyFill="1"/>
    <xf numFmtId="0" fontId="28" fillId="0" borderId="0" xfId="1" applyFont="1" applyAlignment="1"/>
    <xf numFmtId="0" fontId="32" fillId="0" borderId="124" xfId="1" applyFont="1" applyFill="1" applyBorder="1" applyAlignment="1"/>
    <xf numFmtId="164" fontId="33" fillId="0" borderId="124" xfId="1" applyNumberFormat="1" applyFont="1" applyFill="1" applyBorder="1" applyAlignment="1">
      <alignment vertical="center"/>
    </xf>
    <xf numFmtId="0" fontId="28" fillId="0" borderId="0" xfId="1" quotePrefix="1" applyFont="1" applyAlignment="1"/>
    <xf numFmtId="0" fontId="30" fillId="0" borderId="0" xfId="1" applyFont="1" applyBorder="1" applyAlignment="1">
      <alignment horizontal="center" vertical="center"/>
    </xf>
    <xf numFmtId="0" fontId="1" fillId="0" borderId="0" xfId="1" applyFont="1" applyFill="1" applyBorder="1" applyAlignment="1">
      <alignment vertical="center"/>
    </xf>
    <xf numFmtId="0" fontId="31" fillId="0" borderId="0" xfId="1" applyFont="1" applyFill="1" applyBorder="1" applyAlignment="1">
      <alignment vertical="center"/>
    </xf>
    <xf numFmtId="0" fontId="26" fillId="0" borderId="0" xfId="1" applyFont="1"/>
    <xf numFmtId="43" fontId="4" fillId="0" borderId="126" xfId="1" applyNumberFormat="1" applyFont="1" applyFill="1" applyBorder="1" applyAlignment="1">
      <alignment horizontal="center" vertical="center"/>
    </xf>
    <xf numFmtId="43" fontId="4" fillId="0" borderId="128" xfId="1" applyNumberFormat="1" applyFont="1" applyFill="1" applyBorder="1" applyAlignment="1">
      <alignment horizontal="center" vertical="center"/>
    </xf>
    <xf numFmtId="0" fontId="4" fillId="0" borderId="125" xfId="1" applyFont="1" applyFill="1" applyBorder="1" applyAlignment="1">
      <alignment horizontal="center" vertical="center" wrapText="1"/>
    </xf>
    <xf numFmtId="0" fontId="4" fillId="0" borderId="127" xfId="1" applyFont="1" applyFill="1" applyBorder="1" applyAlignment="1">
      <alignment horizontal="center" vertical="center" wrapText="1"/>
    </xf>
    <xf numFmtId="0" fontId="4" fillId="0" borderId="15" xfId="1" applyFont="1" applyFill="1" applyBorder="1" applyAlignment="1">
      <alignment horizontal="center" vertical="center"/>
    </xf>
    <xf numFmtId="0" fontId="4" fillId="0" borderId="19" xfId="1" applyFont="1" applyFill="1" applyBorder="1" applyAlignment="1">
      <alignment horizontal="center" vertical="center"/>
    </xf>
    <xf numFmtId="2" fontId="4" fillId="0" borderId="129" xfId="1" applyNumberFormat="1" applyFont="1" applyFill="1" applyBorder="1" applyAlignment="1">
      <alignment horizontal="center" vertical="center"/>
    </xf>
    <xf numFmtId="2" fontId="4" fillId="0" borderId="20" xfId="1" applyNumberFormat="1" applyFont="1" applyFill="1" applyBorder="1" applyAlignment="1">
      <alignment horizontal="center" vertical="center"/>
    </xf>
    <xf numFmtId="0" fontId="4" fillId="0" borderId="129" xfId="1" applyFont="1" applyFill="1" applyBorder="1" applyAlignment="1">
      <alignment horizontal="center" vertical="center"/>
    </xf>
    <xf numFmtId="0" fontId="4" fillId="0" borderId="20" xfId="1" applyFont="1" applyFill="1" applyBorder="1" applyAlignment="1">
      <alignment horizontal="center" vertical="center"/>
    </xf>
    <xf numFmtId="43" fontId="4" fillId="0" borderId="16" xfId="1" applyNumberFormat="1" applyFont="1" applyFill="1" applyBorder="1" applyAlignment="1">
      <alignment horizontal="center" vertical="center"/>
    </xf>
    <xf numFmtId="43" fontId="4" fillId="0" borderId="20" xfId="1" applyNumberFormat="1" applyFont="1" applyFill="1" applyBorder="1" applyAlignment="1">
      <alignment horizontal="center" vertical="center"/>
    </xf>
    <xf numFmtId="0" fontId="18" fillId="0" borderId="115" xfId="0" applyFont="1" applyBorder="1" applyAlignment="1">
      <alignment horizontal="center" vertical="center"/>
    </xf>
    <xf numFmtId="0" fontId="18" fillId="0" borderId="117" xfId="0" applyFont="1" applyBorder="1" applyAlignment="1">
      <alignment horizontal="center" vertical="center"/>
    </xf>
    <xf numFmtId="0" fontId="18" fillId="0" borderId="115" xfId="0" applyFont="1" applyBorder="1" applyAlignment="1">
      <alignment horizontal="center" vertical="center" wrapText="1"/>
    </xf>
    <xf numFmtId="0" fontId="18" fillId="0" borderId="117" xfId="0" applyFont="1" applyBorder="1" applyAlignment="1">
      <alignment horizontal="center" vertical="center" wrapText="1"/>
    </xf>
    <xf numFmtId="0" fontId="18" fillId="0" borderId="116" xfId="0" applyFont="1" applyBorder="1" applyAlignment="1">
      <alignment horizontal="center" vertical="center"/>
    </xf>
    <xf numFmtId="0" fontId="50" fillId="0" borderId="161" xfId="1" applyNumberFormat="1" applyFont="1" applyFill="1" applyBorder="1" applyAlignment="1">
      <alignment horizontal="center" vertical="center"/>
    </xf>
    <xf numFmtId="0" fontId="50" fillId="0" borderId="162" xfId="1" applyNumberFormat="1" applyFont="1" applyFill="1" applyBorder="1" applyAlignment="1">
      <alignment horizontal="center" vertical="center"/>
    </xf>
    <xf numFmtId="0" fontId="50" fillId="0" borderId="163" xfId="1" applyNumberFormat="1" applyFont="1" applyFill="1" applyBorder="1" applyAlignment="1">
      <alignment horizontal="center" vertical="center"/>
    </xf>
    <xf numFmtId="0" fontId="68" fillId="0" borderId="0" xfId="1" applyFont="1" applyFill="1" applyBorder="1" applyAlignment="1">
      <alignment horizontal="center"/>
    </xf>
    <xf numFmtId="43" fontId="39" fillId="0" borderId="166" xfId="3" applyNumberFormat="1" applyFont="1" applyFill="1" applyBorder="1" applyAlignment="1" applyProtection="1">
      <alignment horizontal="center" vertical="center"/>
    </xf>
    <xf numFmtId="43" fontId="39" fillId="0" borderId="167" xfId="3" applyNumberFormat="1" applyFont="1" applyFill="1" applyBorder="1" applyAlignment="1" applyProtection="1">
      <alignment horizontal="center" vertical="center"/>
    </xf>
    <xf numFmtId="43" fontId="39" fillId="0" borderId="164" xfId="3" applyNumberFormat="1" applyFont="1" applyFill="1" applyBorder="1" applyAlignment="1" applyProtection="1">
      <alignment horizontal="center" vertical="center"/>
    </xf>
    <xf numFmtId="43" fontId="39" fillId="0" borderId="165" xfId="3" applyNumberFormat="1" applyFont="1" applyFill="1" applyBorder="1" applyAlignment="1" applyProtection="1">
      <alignment horizontal="center" vertical="center"/>
    </xf>
    <xf numFmtId="43" fontId="39" fillId="0" borderId="168" xfId="3" applyNumberFormat="1" applyFont="1" applyFill="1" applyBorder="1" applyAlignment="1" applyProtection="1">
      <alignment horizontal="center" vertical="center"/>
    </xf>
    <xf numFmtId="43" fontId="39" fillId="0" borderId="169" xfId="3" applyNumberFormat="1" applyFont="1" applyFill="1" applyBorder="1" applyAlignment="1" applyProtection="1">
      <alignment horizontal="center" vertical="center"/>
    </xf>
    <xf numFmtId="43" fontId="50" fillId="0" borderId="170" xfId="3" applyNumberFormat="1" applyFont="1" applyFill="1" applyBorder="1" applyAlignment="1" applyProtection="1">
      <alignment horizontal="center" vertical="center"/>
    </xf>
    <xf numFmtId="43" fontId="50" fillId="0" borderId="171" xfId="3" applyNumberFormat="1" applyFont="1" applyFill="1" applyBorder="1" applyAlignment="1" applyProtection="1">
      <alignment horizontal="center" vertical="center"/>
    </xf>
    <xf numFmtId="0" fontId="50" fillId="0" borderId="111" xfId="3" applyNumberFormat="1" applyFont="1" applyFill="1" applyBorder="1" applyAlignment="1" applyProtection="1">
      <alignment horizontal="center" vertical="center"/>
    </xf>
    <xf numFmtId="43" fontId="50" fillId="0" borderId="173" xfId="3" applyNumberFormat="1" applyFont="1" applyFill="1" applyBorder="1" applyAlignment="1" applyProtection="1">
      <alignment horizontal="center" vertical="center"/>
    </xf>
    <xf numFmtId="43" fontId="50" fillId="0" borderId="174" xfId="3" applyNumberFormat="1" applyFont="1" applyFill="1" applyBorder="1" applyAlignment="1" applyProtection="1">
      <alignment horizontal="center" vertical="center"/>
    </xf>
    <xf numFmtId="43" fontId="50" fillId="0" borderId="175" xfId="3" applyNumberFormat="1" applyFont="1" applyFill="1" applyBorder="1" applyAlignment="1" applyProtection="1">
      <alignment horizontal="center" vertical="center"/>
    </xf>
    <xf numFmtId="43" fontId="50" fillId="0" borderId="176" xfId="3" applyNumberFormat="1" applyFont="1" applyFill="1" applyBorder="1" applyAlignment="1" applyProtection="1">
      <alignment horizontal="center" vertical="center"/>
    </xf>
    <xf numFmtId="0" fontId="2" fillId="0" borderId="10" xfId="1" applyBorder="1" applyAlignment="1">
      <alignment horizontal="right"/>
    </xf>
    <xf numFmtId="0" fontId="2" fillId="0" borderId="0" xfId="1" applyAlignment="1">
      <alignment horizontal="center"/>
    </xf>
    <xf numFmtId="0" fontId="2" fillId="0" borderId="0" xfId="1" applyFont="1" applyAlignment="1">
      <alignment horizontal="right"/>
    </xf>
    <xf numFmtId="0" fontId="2" fillId="0" borderId="0" xfId="1" applyAlignment="1">
      <alignment horizontal="right"/>
    </xf>
    <xf numFmtId="0" fontId="70" fillId="0" borderId="0" xfId="1" applyFont="1" applyFill="1" applyBorder="1" applyAlignment="1">
      <alignment horizontal="right"/>
    </xf>
    <xf numFmtId="0" fontId="70" fillId="0" borderId="0" xfId="1" applyFont="1" applyAlignment="1">
      <alignment horizontal="right"/>
    </xf>
    <xf numFmtId="0" fontId="2" fillId="10" borderId="0" xfId="1" applyFill="1" applyBorder="1" applyAlignment="1">
      <alignment horizontal="center"/>
    </xf>
    <xf numFmtId="0" fontId="2" fillId="11" borderId="0" xfId="1" applyFill="1" applyAlignment="1">
      <alignment horizontal="center"/>
    </xf>
    <xf numFmtId="0" fontId="2" fillId="0" borderId="111" xfId="1" applyBorder="1" applyAlignment="1">
      <alignment horizontal="right"/>
    </xf>
  </cellXfs>
  <cellStyles count="11">
    <cellStyle name="Comma" xfId="5" builtinId="3"/>
    <cellStyle name="Comma 2" xfId="2"/>
    <cellStyle name="Comma 2 2" xfId="6"/>
    <cellStyle name="Comma 3" xfId="3"/>
    <cellStyle name="Normal" xfId="0" builtinId="0"/>
    <cellStyle name="Normal 2" xfId="1"/>
    <cellStyle name="Normal 3" xfId="7"/>
    <cellStyle name="Percent" xfId="10" builtinId="5"/>
    <cellStyle name="Percent 2" xfId="4"/>
    <cellStyle name="Percent 2 2" xfId="8"/>
    <cellStyle name="Percent 3" xfId="9"/>
  </cellStyles>
  <dxfs count="2">
    <dxf>
      <font>
        <b/>
        <i val="0"/>
        <strike val="0"/>
        <color rgb="FFFFFF00"/>
      </font>
      <fill>
        <patternFill>
          <bgColor rgb="FFFF0000"/>
        </patternFill>
      </fill>
      <border>
        <left/>
        <right/>
        <top/>
        <bottom/>
      </border>
    </dxf>
    <dxf>
      <font>
        <b/>
        <i val="0"/>
        <strike val="0"/>
        <color rgb="FFFFFF00"/>
      </font>
      <fill>
        <patternFill>
          <bgColor rgb="FFFF0000"/>
        </patternFill>
      </fill>
      <border>
        <left/>
        <right/>
        <top/>
        <bottom/>
      </border>
    </dxf>
  </dxfs>
  <tableStyles count="0" defaultTableStyle="TableStyleMedium2" defaultPivotStyle="PivotStyleLight16"/>
  <colors>
    <mruColors>
      <color rgb="FF6699FF"/>
      <color rgb="FF33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11</xdr:col>
      <xdr:colOff>151064</xdr:colOff>
      <xdr:row>11</xdr:row>
      <xdr:rowOff>104670</xdr:rowOff>
    </xdr:from>
    <xdr:to>
      <xdr:col>12</xdr:col>
      <xdr:colOff>215336</xdr:colOff>
      <xdr:row>17</xdr:row>
      <xdr:rowOff>116349</xdr:rowOff>
    </xdr:to>
    <xdr:pic>
      <xdr:nvPicPr>
        <xdr:cNvPr id="4" name="Picture 3"/>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32994" y="2099122"/>
          <a:ext cx="1071438" cy="1005592"/>
        </a:xfrm>
        <a:prstGeom prst="rect">
          <a:avLst/>
        </a:prstGeom>
      </xdr:spPr>
    </xdr:pic>
    <xdr:clientData/>
  </xdr:twoCellAnchor>
  <xdr:twoCellAnchor>
    <xdr:from>
      <xdr:col>12</xdr:col>
      <xdr:colOff>823501</xdr:colOff>
      <xdr:row>9</xdr:row>
      <xdr:rowOff>11905</xdr:rowOff>
    </xdr:from>
    <xdr:to>
      <xdr:col>14</xdr:col>
      <xdr:colOff>367108</xdr:colOff>
      <xdr:row>13</xdr:row>
      <xdr:rowOff>136228</xdr:rowOff>
    </xdr:to>
    <xdr:pic>
      <xdr:nvPicPr>
        <xdr:cNvPr id="5" name="Picture 4" descr="RO9 almost Final ;-) 12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312597" y="1509401"/>
          <a:ext cx="1074233" cy="10055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783447</xdr:colOff>
      <xdr:row>0</xdr:row>
      <xdr:rowOff>0</xdr:rowOff>
    </xdr:from>
    <xdr:to>
      <xdr:col>3</xdr:col>
      <xdr:colOff>104791</xdr:colOff>
      <xdr:row>6</xdr:row>
      <xdr:rowOff>141410</xdr:rowOff>
    </xdr:to>
    <xdr:pic>
      <xdr:nvPicPr>
        <xdr:cNvPr id="5"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64447" y="0"/>
          <a:ext cx="1143000" cy="11415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13</xdr:col>
      <xdr:colOff>90467</xdr:colOff>
      <xdr:row>0</xdr:row>
      <xdr:rowOff>0</xdr:rowOff>
    </xdr:from>
    <xdr:to>
      <xdr:col>14</xdr:col>
      <xdr:colOff>257155</xdr:colOff>
      <xdr:row>6</xdr:row>
      <xdr:rowOff>146067</xdr:rowOff>
    </xdr:to>
    <xdr:pic>
      <xdr:nvPicPr>
        <xdr:cNvPr id="7" name="Picture 6" descr="RO9 almost Final ;-) 12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9222561" y="0"/>
          <a:ext cx="1143000" cy="114619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151064</xdr:colOff>
      <xdr:row>11</xdr:row>
      <xdr:rowOff>104670</xdr:rowOff>
    </xdr:from>
    <xdr:to>
      <xdr:col>12</xdr:col>
      <xdr:colOff>215336</xdr:colOff>
      <xdr:row>17</xdr:row>
      <xdr:rowOff>9669</xdr:rowOff>
    </xdr:to>
    <xdr:pic>
      <xdr:nvPicPr>
        <xdr:cNvPr id="2" name="Picture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622724" y="2184930"/>
          <a:ext cx="1070112" cy="1002279"/>
        </a:xfrm>
        <a:prstGeom prst="rect">
          <a:avLst/>
        </a:prstGeom>
      </xdr:spPr>
    </xdr:pic>
    <xdr:clientData/>
  </xdr:twoCellAnchor>
  <xdr:twoCellAnchor>
    <xdr:from>
      <xdr:col>12</xdr:col>
      <xdr:colOff>814535</xdr:colOff>
      <xdr:row>11</xdr:row>
      <xdr:rowOff>101551</xdr:rowOff>
    </xdr:from>
    <xdr:to>
      <xdr:col>14</xdr:col>
      <xdr:colOff>358142</xdr:colOff>
      <xdr:row>17</xdr:row>
      <xdr:rowOff>109333</xdr:rowOff>
    </xdr:to>
    <xdr:pic>
      <xdr:nvPicPr>
        <xdr:cNvPr id="3" name="Picture 2" descr="RO9 almost Final ;-) 123"/>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1276347" y="2181363"/>
          <a:ext cx="1076571" cy="100286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431260</xdr:colOff>
      <xdr:row>365</xdr:row>
      <xdr:rowOff>126460</xdr:rowOff>
    </xdr:from>
    <xdr:to>
      <xdr:col>2</xdr:col>
      <xdr:colOff>1741251</xdr:colOff>
      <xdr:row>365</xdr:row>
      <xdr:rowOff>132945</xdr:rowOff>
    </xdr:to>
    <xdr:cxnSp macro="">
      <xdr:nvCxnSpPr>
        <xdr:cNvPr id="5" name="Straight Connector 4"/>
        <xdr:cNvCxnSpPr/>
      </xdr:nvCxnSpPr>
      <xdr:spPr>
        <a:xfrm>
          <a:off x="1209473" y="55807583"/>
          <a:ext cx="1309991" cy="6485"/>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6.bin"/><Relationship Id="rId4" Type="http://schemas.openxmlformats.org/officeDocument/2006/relationships/comments" Target="../comments3.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A1:V997"/>
  <sheetViews>
    <sheetView showRowColHeaders="0" zoomScale="115" zoomScaleNormal="115" zoomScaleSheetLayoutView="115" zoomScalePageLayoutView="70" workbookViewId="0">
      <selection activeCell="C12" sqref="C12"/>
    </sheetView>
  </sheetViews>
  <sheetFormatPr defaultRowHeight="13.2" x14ac:dyDescent="0.25"/>
  <cols>
    <col min="1" max="2" width="5.6640625" style="431" customWidth="1"/>
    <col min="3" max="3" width="40.6640625" style="431" customWidth="1"/>
    <col min="4" max="4" width="5.6640625" style="431" customWidth="1"/>
    <col min="5" max="5" width="14.6640625" style="431" customWidth="1"/>
    <col min="6" max="6" width="8.6640625" style="690" customWidth="1"/>
    <col min="7" max="7" width="7.6640625" style="431" customWidth="1"/>
    <col min="8" max="8" width="12.6640625" style="691" customWidth="1"/>
    <col min="9" max="9" width="14.6640625" style="691" customWidth="1"/>
    <col min="10" max="10" width="10.44140625" style="431" customWidth="1"/>
    <col min="11" max="11" width="11.6640625" style="431" customWidth="1"/>
    <col min="12" max="12" width="14.6640625" style="431" customWidth="1"/>
    <col min="13" max="13" width="12.6640625" style="431" customWidth="1"/>
    <col min="14" max="16" width="9.6640625" style="431" customWidth="1"/>
    <col min="17" max="240" width="9.109375" style="431"/>
    <col min="241" max="241" width="5.5546875" style="431" customWidth="1"/>
    <col min="242" max="242" width="4.88671875" style="431" customWidth="1"/>
    <col min="243" max="243" width="2.6640625" style="431" customWidth="1"/>
    <col min="244" max="245" width="2.88671875" style="431" customWidth="1"/>
    <col min="246" max="246" width="2.6640625" style="431" customWidth="1"/>
    <col min="247" max="247" width="3.88671875" style="431" customWidth="1"/>
    <col min="248" max="248" width="25.6640625" style="431" customWidth="1"/>
    <col min="249" max="249" width="6.5546875" style="431" customWidth="1"/>
    <col min="250" max="250" width="7.33203125" style="431" customWidth="1"/>
    <col min="251" max="251" width="13.88671875" style="431" customWidth="1"/>
    <col min="252" max="252" width="16.5546875" style="431" customWidth="1"/>
    <col min="253" max="253" width="13.88671875" style="431" customWidth="1"/>
    <col min="254" max="254" width="11.109375" style="431" bestFit="1" customWidth="1"/>
    <col min="255" max="257" width="9.109375" style="431"/>
    <col min="258" max="258" width="10.88671875" style="431" customWidth="1"/>
    <col min="259" max="496" width="9.109375" style="431"/>
    <col min="497" max="497" width="5.5546875" style="431" customWidth="1"/>
    <col min="498" max="498" width="4.88671875" style="431" customWidth="1"/>
    <col min="499" max="499" width="2.6640625" style="431" customWidth="1"/>
    <col min="500" max="501" width="2.88671875" style="431" customWidth="1"/>
    <col min="502" max="502" width="2.6640625" style="431" customWidth="1"/>
    <col min="503" max="503" width="3.88671875" style="431" customWidth="1"/>
    <col min="504" max="504" width="25.6640625" style="431" customWidth="1"/>
    <col min="505" max="505" width="6.5546875" style="431" customWidth="1"/>
    <col min="506" max="506" width="7.33203125" style="431" customWidth="1"/>
    <col min="507" max="507" width="13.88671875" style="431" customWidth="1"/>
    <col min="508" max="508" width="16.5546875" style="431" customWidth="1"/>
    <col min="509" max="509" width="13.88671875" style="431" customWidth="1"/>
    <col min="510" max="510" width="11.109375" style="431" bestFit="1" customWidth="1"/>
    <col min="511" max="513" width="9.109375" style="431"/>
    <col min="514" max="514" width="10.88671875" style="431" customWidth="1"/>
    <col min="515" max="752" width="9.109375" style="431"/>
    <col min="753" max="753" width="5.5546875" style="431" customWidth="1"/>
    <col min="754" max="754" width="4.88671875" style="431" customWidth="1"/>
    <col min="755" max="755" width="2.6640625" style="431" customWidth="1"/>
    <col min="756" max="757" width="2.88671875" style="431" customWidth="1"/>
    <col min="758" max="758" width="2.6640625" style="431" customWidth="1"/>
    <col min="759" max="759" width="3.88671875" style="431" customWidth="1"/>
    <col min="760" max="760" width="25.6640625" style="431" customWidth="1"/>
    <col min="761" max="761" width="6.5546875" style="431" customWidth="1"/>
    <col min="762" max="762" width="7.33203125" style="431" customWidth="1"/>
    <col min="763" max="763" width="13.88671875" style="431" customWidth="1"/>
    <col min="764" max="764" width="16.5546875" style="431" customWidth="1"/>
    <col min="765" max="765" width="13.88671875" style="431" customWidth="1"/>
    <col min="766" max="766" width="11.109375" style="431" bestFit="1" customWidth="1"/>
    <col min="767" max="769" width="9.109375" style="431"/>
    <col min="770" max="770" width="10.88671875" style="431" customWidth="1"/>
    <col min="771" max="1008" width="9.109375" style="431"/>
    <col min="1009" max="1009" width="5.5546875" style="431" customWidth="1"/>
    <col min="1010" max="1010" width="4.88671875" style="431" customWidth="1"/>
    <col min="1011" max="1011" width="2.6640625" style="431" customWidth="1"/>
    <col min="1012" max="1013" width="2.88671875" style="431" customWidth="1"/>
    <col min="1014" max="1014" width="2.6640625" style="431" customWidth="1"/>
    <col min="1015" max="1015" width="3.88671875" style="431" customWidth="1"/>
    <col min="1016" max="1016" width="25.6640625" style="431" customWidth="1"/>
    <col min="1017" max="1017" width="6.5546875" style="431" customWidth="1"/>
    <col min="1018" max="1018" width="7.33203125" style="431" customWidth="1"/>
    <col min="1019" max="1019" width="13.88671875" style="431" customWidth="1"/>
    <col min="1020" max="1020" width="16.5546875" style="431" customWidth="1"/>
    <col min="1021" max="1021" width="13.88671875" style="431" customWidth="1"/>
    <col min="1022" max="1022" width="11.109375" style="431" bestFit="1" customWidth="1"/>
    <col min="1023" max="1025" width="9.109375" style="431"/>
    <col min="1026" max="1026" width="10.88671875" style="431" customWidth="1"/>
    <col min="1027" max="1264" width="9.109375" style="431"/>
    <col min="1265" max="1265" width="5.5546875" style="431" customWidth="1"/>
    <col min="1266" max="1266" width="4.88671875" style="431" customWidth="1"/>
    <col min="1267" max="1267" width="2.6640625" style="431" customWidth="1"/>
    <col min="1268" max="1269" width="2.88671875" style="431" customWidth="1"/>
    <col min="1270" max="1270" width="2.6640625" style="431" customWidth="1"/>
    <col min="1271" max="1271" width="3.88671875" style="431" customWidth="1"/>
    <col min="1272" max="1272" width="25.6640625" style="431" customWidth="1"/>
    <col min="1273" max="1273" width="6.5546875" style="431" customWidth="1"/>
    <col min="1274" max="1274" width="7.33203125" style="431" customWidth="1"/>
    <col min="1275" max="1275" width="13.88671875" style="431" customWidth="1"/>
    <col min="1276" max="1276" width="16.5546875" style="431" customWidth="1"/>
    <col min="1277" max="1277" width="13.88671875" style="431" customWidth="1"/>
    <col min="1278" max="1278" width="11.109375" style="431" bestFit="1" customWidth="1"/>
    <col min="1279" max="1281" width="9.109375" style="431"/>
    <col min="1282" max="1282" width="10.88671875" style="431" customWidth="1"/>
    <col min="1283" max="1520" width="9.109375" style="431"/>
    <col min="1521" max="1521" width="5.5546875" style="431" customWidth="1"/>
    <col min="1522" max="1522" width="4.88671875" style="431" customWidth="1"/>
    <col min="1523" max="1523" width="2.6640625" style="431" customWidth="1"/>
    <col min="1524" max="1525" width="2.88671875" style="431" customWidth="1"/>
    <col min="1526" max="1526" width="2.6640625" style="431" customWidth="1"/>
    <col min="1527" max="1527" width="3.88671875" style="431" customWidth="1"/>
    <col min="1528" max="1528" width="25.6640625" style="431" customWidth="1"/>
    <col min="1529" max="1529" width="6.5546875" style="431" customWidth="1"/>
    <col min="1530" max="1530" width="7.33203125" style="431" customWidth="1"/>
    <col min="1531" max="1531" width="13.88671875" style="431" customWidth="1"/>
    <col min="1532" max="1532" width="16.5546875" style="431" customWidth="1"/>
    <col min="1533" max="1533" width="13.88671875" style="431" customWidth="1"/>
    <col min="1534" max="1534" width="11.109375" style="431" bestFit="1" customWidth="1"/>
    <col min="1535" max="1537" width="9.109375" style="431"/>
    <col min="1538" max="1538" width="10.88671875" style="431" customWidth="1"/>
    <col min="1539" max="1776" width="9.109375" style="431"/>
    <col min="1777" max="1777" width="5.5546875" style="431" customWidth="1"/>
    <col min="1778" max="1778" width="4.88671875" style="431" customWidth="1"/>
    <col min="1779" max="1779" width="2.6640625" style="431" customWidth="1"/>
    <col min="1780" max="1781" width="2.88671875" style="431" customWidth="1"/>
    <col min="1782" max="1782" width="2.6640625" style="431" customWidth="1"/>
    <col min="1783" max="1783" width="3.88671875" style="431" customWidth="1"/>
    <col min="1784" max="1784" width="25.6640625" style="431" customWidth="1"/>
    <col min="1785" max="1785" width="6.5546875" style="431" customWidth="1"/>
    <col min="1786" max="1786" width="7.33203125" style="431" customWidth="1"/>
    <col min="1787" max="1787" width="13.88671875" style="431" customWidth="1"/>
    <col min="1788" max="1788" width="16.5546875" style="431" customWidth="1"/>
    <col min="1789" max="1789" width="13.88671875" style="431" customWidth="1"/>
    <col min="1790" max="1790" width="11.109375" style="431" bestFit="1" customWidth="1"/>
    <col min="1791" max="1793" width="9.109375" style="431"/>
    <col min="1794" max="1794" width="10.88671875" style="431" customWidth="1"/>
    <col min="1795" max="2032" width="9.109375" style="431"/>
    <col min="2033" max="2033" width="5.5546875" style="431" customWidth="1"/>
    <col min="2034" max="2034" width="4.88671875" style="431" customWidth="1"/>
    <col min="2035" max="2035" width="2.6640625" style="431" customWidth="1"/>
    <col min="2036" max="2037" width="2.88671875" style="431" customWidth="1"/>
    <col min="2038" max="2038" width="2.6640625" style="431" customWidth="1"/>
    <col min="2039" max="2039" width="3.88671875" style="431" customWidth="1"/>
    <col min="2040" max="2040" width="25.6640625" style="431" customWidth="1"/>
    <col min="2041" max="2041" width="6.5546875" style="431" customWidth="1"/>
    <col min="2042" max="2042" width="7.33203125" style="431" customWidth="1"/>
    <col min="2043" max="2043" width="13.88671875" style="431" customWidth="1"/>
    <col min="2044" max="2044" width="16.5546875" style="431" customWidth="1"/>
    <col min="2045" max="2045" width="13.88671875" style="431" customWidth="1"/>
    <col min="2046" max="2046" width="11.109375" style="431" bestFit="1" customWidth="1"/>
    <col min="2047" max="2049" width="9.109375" style="431"/>
    <col min="2050" max="2050" width="10.88671875" style="431" customWidth="1"/>
    <col min="2051" max="2288" width="9.109375" style="431"/>
    <col min="2289" max="2289" width="5.5546875" style="431" customWidth="1"/>
    <col min="2290" max="2290" width="4.88671875" style="431" customWidth="1"/>
    <col min="2291" max="2291" width="2.6640625" style="431" customWidth="1"/>
    <col min="2292" max="2293" width="2.88671875" style="431" customWidth="1"/>
    <col min="2294" max="2294" width="2.6640625" style="431" customWidth="1"/>
    <col min="2295" max="2295" width="3.88671875" style="431" customWidth="1"/>
    <col min="2296" max="2296" width="25.6640625" style="431" customWidth="1"/>
    <col min="2297" max="2297" width="6.5546875" style="431" customWidth="1"/>
    <col min="2298" max="2298" width="7.33203125" style="431" customWidth="1"/>
    <col min="2299" max="2299" width="13.88671875" style="431" customWidth="1"/>
    <col min="2300" max="2300" width="16.5546875" style="431" customWidth="1"/>
    <col min="2301" max="2301" width="13.88671875" style="431" customWidth="1"/>
    <col min="2302" max="2302" width="11.109375" style="431" bestFit="1" customWidth="1"/>
    <col min="2303" max="2305" width="9.109375" style="431"/>
    <col min="2306" max="2306" width="10.88671875" style="431" customWidth="1"/>
    <col min="2307" max="2544" width="9.109375" style="431"/>
    <col min="2545" max="2545" width="5.5546875" style="431" customWidth="1"/>
    <col min="2546" max="2546" width="4.88671875" style="431" customWidth="1"/>
    <col min="2547" max="2547" width="2.6640625" style="431" customWidth="1"/>
    <col min="2548" max="2549" width="2.88671875" style="431" customWidth="1"/>
    <col min="2550" max="2550" width="2.6640625" style="431" customWidth="1"/>
    <col min="2551" max="2551" width="3.88671875" style="431" customWidth="1"/>
    <col min="2552" max="2552" width="25.6640625" style="431" customWidth="1"/>
    <col min="2553" max="2553" width="6.5546875" style="431" customWidth="1"/>
    <col min="2554" max="2554" width="7.33203125" style="431" customWidth="1"/>
    <col min="2555" max="2555" width="13.88671875" style="431" customWidth="1"/>
    <col min="2556" max="2556" width="16.5546875" style="431" customWidth="1"/>
    <col min="2557" max="2557" width="13.88671875" style="431" customWidth="1"/>
    <col min="2558" max="2558" width="11.109375" style="431" bestFit="1" customWidth="1"/>
    <col min="2559" max="2561" width="9.109375" style="431"/>
    <col min="2562" max="2562" width="10.88671875" style="431" customWidth="1"/>
    <col min="2563" max="2800" width="9.109375" style="431"/>
    <col min="2801" max="2801" width="5.5546875" style="431" customWidth="1"/>
    <col min="2802" max="2802" width="4.88671875" style="431" customWidth="1"/>
    <col min="2803" max="2803" width="2.6640625" style="431" customWidth="1"/>
    <col min="2804" max="2805" width="2.88671875" style="431" customWidth="1"/>
    <col min="2806" max="2806" width="2.6640625" style="431" customWidth="1"/>
    <col min="2807" max="2807" width="3.88671875" style="431" customWidth="1"/>
    <col min="2808" max="2808" width="25.6640625" style="431" customWidth="1"/>
    <col min="2809" max="2809" width="6.5546875" style="431" customWidth="1"/>
    <col min="2810" max="2810" width="7.33203125" style="431" customWidth="1"/>
    <col min="2811" max="2811" width="13.88671875" style="431" customWidth="1"/>
    <col min="2812" max="2812" width="16.5546875" style="431" customWidth="1"/>
    <col min="2813" max="2813" width="13.88671875" style="431" customWidth="1"/>
    <col min="2814" max="2814" width="11.109375" style="431" bestFit="1" customWidth="1"/>
    <col min="2815" max="2817" width="9.109375" style="431"/>
    <col min="2818" max="2818" width="10.88671875" style="431" customWidth="1"/>
    <col min="2819" max="3056" width="9.109375" style="431"/>
    <col min="3057" max="3057" width="5.5546875" style="431" customWidth="1"/>
    <col min="3058" max="3058" width="4.88671875" style="431" customWidth="1"/>
    <col min="3059" max="3059" width="2.6640625" style="431" customWidth="1"/>
    <col min="3060" max="3061" width="2.88671875" style="431" customWidth="1"/>
    <col min="3062" max="3062" width="2.6640625" style="431" customWidth="1"/>
    <col min="3063" max="3063" width="3.88671875" style="431" customWidth="1"/>
    <col min="3064" max="3064" width="25.6640625" style="431" customWidth="1"/>
    <col min="3065" max="3065" width="6.5546875" style="431" customWidth="1"/>
    <col min="3066" max="3066" width="7.33203125" style="431" customWidth="1"/>
    <col min="3067" max="3067" width="13.88671875" style="431" customWidth="1"/>
    <col min="3068" max="3068" width="16.5546875" style="431" customWidth="1"/>
    <col min="3069" max="3069" width="13.88671875" style="431" customWidth="1"/>
    <col min="3070" max="3070" width="11.109375" style="431" bestFit="1" customWidth="1"/>
    <col min="3071" max="3073" width="9.109375" style="431"/>
    <col min="3074" max="3074" width="10.88671875" style="431" customWidth="1"/>
    <col min="3075" max="3312" width="9.109375" style="431"/>
    <col min="3313" max="3313" width="5.5546875" style="431" customWidth="1"/>
    <col min="3314" max="3314" width="4.88671875" style="431" customWidth="1"/>
    <col min="3315" max="3315" width="2.6640625" style="431" customWidth="1"/>
    <col min="3316" max="3317" width="2.88671875" style="431" customWidth="1"/>
    <col min="3318" max="3318" width="2.6640625" style="431" customWidth="1"/>
    <col min="3319" max="3319" width="3.88671875" style="431" customWidth="1"/>
    <col min="3320" max="3320" width="25.6640625" style="431" customWidth="1"/>
    <col min="3321" max="3321" width="6.5546875" style="431" customWidth="1"/>
    <col min="3322" max="3322" width="7.33203125" style="431" customWidth="1"/>
    <col min="3323" max="3323" width="13.88671875" style="431" customWidth="1"/>
    <col min="3324" max="3324" width="16.5546875" style="431" customWidth="1"/>
    <col min="3325" max="3325" width="13.88671875" style="431" customWidth="1"/>
    <col min="3326" max="3326" width="11.109375" style="431" bestFit="1" customWidth="1"/>
    <col min="3327" max="3329" width="9.109375" style="431"/>
    <col min="3330" max="3330" width="10.88671875" style="431" customWidth="1"/>
    <col min="3331" max="3568" width="9.109375" style="431"/>
    <col min="3569" max="3569" width="5.5546875" style="431" customWidth="1"/>
    <col min="3570" max="3570" width="4.88671875" style="431" customWidth="1"/>
    <col min="3571" max="3571" width="2.6640625" style="431" customWidth="1"/>
    <col min="3572" max="3573" width="2.88671875" style="431" customWidth="1"/>
    <col min="3574" max="3574" width="2.6640625" style="431" customWidth="1"/>
    <col min="3575" max="3575" width="3.88671875" style="431" customWidth="1"/>
    <col min="3576" max="3576" width="25.6640625" style="431" customWidth="1"/>
    <col min="3577" max="3577" width="6.5546875" style="431" customWidth="1"/>
    <col min="3578" max="3578" width="7.33203125" style="431" customWidth="1"/>
    <col min="3579" max="3579" width="13.88671875" style="431" customWidth="1"/>
    <col min="3580" max="3580" width="16.5546875" style="431" customWidth="1"/>
    <col min="3581" max="3581" width="13.88671875" style="431" customWidth="1"/>
    <col min="3582" max="3582" width="11.109375" style="431" bestFit="1" customWidth="1"/>
    <col min="3583" max="3585" width="9.109375" style="431"/>
    <col min="3586" max="3586" width="10.88671875" style="431" customWidth="1"/>
    <col min="3587" max="3824" width="9.109375" style="431"/>
    <col min="3825" max="3825" width="5.5546875" style="431" customWidth="1"/>
    <col min="3826" max="3826" width="4.88671875" style="431" customWidth="1"/>
    <col min="3827" max="3827" width="2.6640625" style="431" customWidth="1"/>
    <col min="3828" max="3829" width="2.88671875" style="431" customWidth="1"/>
    <col min="3830" max="3830" width="2.6640625" style="431" customWidth="1"/>
    <col min="3831" max="3831" width="3.88671875" style="431" customWidth="1"/>
    <col min="3832" max="3832" width="25.6640625" style="431" customWidth="1"/>
    <col min="3833" max="3833" width="6.5546875" style="431" customWidth="1"/>
    <col min="3834" max="3834" width="7.33203125" style="431" customWidth="1"/>
    <col min="3835" max="3835" width="13.88671875" style="431" customWidth="1"/>
    <col min="3836" max="3836" width="16.5546875" style="431" customWidth="1"/>
    <col min="3837" max="3837" width="13.88671875" style="431" customWidth="1"/>
    <col min="3838" max="3838" width="11.109375" style="431" bestFit="1" customWidth="1"/>
    <col min="3839" max="3841" width="9.109375" style="431"/>
    <col min="3842" max="3842" width="10.88671875" style="431" customWidth="1"/>
    <col min="3843" max="4080" width="9.109375" style="431"/>
    <col min="4081" max="4081" width="5.5546875" style="431" customWidth="1"/>
    <col min="4082" max="4082" width="4.88671875" style="431" customWidth="1"/>
    <col min="4083" max="4083" width="2.6640625" style="431" customWidth="1"/>
    <col min="4084" max="4085" width="2.88671875" style="431" customWidth="1"/>
    <col min="4086" max="4086" width="2.6640625" style="431" customWidth="1"/>
    <col min="4087" max="4087" width="3.88671875" style="431" customWidth="1"/>
    <col min="4088" max="4088" width="25.6640625" style="431" customWidth="1"/>
    <col min="4089" max="4089" width="6.5546875" style="431" customWidth="1"/>
    <col min="4090" max="4090" width="7.33203125" style="431" customWidth="1"/>
    <col min="4091" max="4091" width="13.88671875" style="431" customWidth="1"/>
    <col min="4092" max="4092" width="16.5546875" style="431" customWidth="1"/>
    <col min="4093" max="4093" width="13.88671875" style="431" customWidth="1"/>
    <col min="4094" max="4094" width="11.109375" style="431" bestFit="1" customWidth="1"/>
    <col min="4095" max="4097" width="9.109375" style="431"/>
    <col min="4098" max="4098" width="10.88671875" style="431" customWidth="1"/>
    <col min="4099" max="4336" width="9.109375" style="431"/>
    <col min="4337" max="4337" width="5.5546875" style="431" customWidth="1"/>
    <col min="4338" max="4338" width="4.88671875" style="431" customWidth="1"/>
    <col min="4339" max="4339" width="2.6640625" style="431" customWidth="1"/>
    <col min="4340" max="4341" width="2.88671875" style="431" customWidth="1"/>
    <col min="4342" max="4342" width="2.6640625" style="431" customWidth="1"/>
    <col min="4343" max="4343" width="3.88671875" style="431" customWidth="1"/>
    <col min="4344" max="4344" width="25.6640625" style="431" customWidth="1"/>
    <col min="4345" max="4345" width="6.5546875" style="431" customWidth="1"/>
    <col min="4346" max="4346" width="7.33203125" style="431" customWidth="1"/>
    <col min="4347" max="4347" width="13.88671875" style="431" customWidth="1"/>
    <col min="4348" max="4348" width="16.5546875" style="431" customWidth="1"/>
    <col min="4349" max="4349" width="13.88671875" style="431" customWidth="1"/>
    <col min="4350" max="4350" width="11.109375" style="431" bestFit="1" customWidth="1"/>
    <col min="4351" max="4353" width="9.109375" style="431"/>
    <col min="4354" max="4354" width="10.88671875" style="431" customWidth="1"/>
    <col min="4355" max="4592" width="9.109375" style="431"/>
    <col min="4593" max="4593" width="5.5546875" style="431" customWidth="1"/>
    <col min="4594" max="4594" width="4.88671875" style="431" customWidth="1"/>
    <col min="4595" max="4595" width="2.6640625" style="431" customWidth="1"/>
    <col min="4596" max="4597" width="2.88671875" style="431" customWidth="1"/>
    <col min="4598" max="4598" width="2.6640625" style="431" customWidth="1"/>
    <col min="4599" max="4599" width="3.88671875" style="431" customWidth="1"/>
    <col min="4600" max="4600" width="25.6640625" style="431" customWidth="1"/>
    <col min="4601" max="4601" width="6.5546875" style="431" customWidth="1"/>
    <col min="4602" max="4602" width="7.33203125" style="431" customWidth="1"/>
    <col min="4603" max="4603" width="13.88671875" style="431" customWidth="1"/>
    <col min="4604" max="4604" width="16.5546875" style="431" customWidth="1"/>
    <col min="4605" max="4605" width="13.88671875" style="431" customWidth="1"/>
    <col min="4606" max="4606" width="11.109375" style="431" bestFit="1" customWidth="1"/>
    <col min="4607" max="4609" width="9.109375" style="431"/>
    <col min="4610" max="4610" width="10.88671875" style="431" customWidth="1"/>
    <col min="4611" max="4848" width="9.109375" style="431"/>
    <col min="4849" max="4849" width="5.5546875" style="431" customWidth="1"/>
    <col min="4850" max="4850" width="4.88671875" style="431" customWidth="1"/>
    <col min="4851" max="4851" width="2.6640625" style="431" customWidth="1"/>
    <col min="4852" max="4853" width="2.88671875" style="431" customWidth="1"/>
    <col min="4854" max="4854" width="2.6640625" style="431" customWidth="1"/>
    <col min="4855" max="4855" width="3.88671875" style="431" customWidth="1"/>
    <col min="4856" max="4856" width="25.6640625" style="431" customWidth="1"/>
    <col min="4857" max="4857" width="6.5546875" style="431" customWidth="1"/>
    <col min="4858" max="4858" width="7.33203125" style="431" customWidth="1"/>
    <col min="4859" max="4859" width="13.88671875" style="431" customWidth="1"/>
    <col min="4860" max="4860" width="16.5546875" style="431" customWidth="1"/>
    <col min="4861" max="4861" width="13.88671875" style="431" customWidth="1"/>
    <col min="4862" max="4862" width="11.109375" style="431" bestFit="1" customWidth="1"/>
    <col min="4863" max="4865" width="9.109375" style="431"/>
    <col min="4866" max="4866" width="10.88671875" style="431" customWidth="1"/>
    <col min="4867" max="5104" width="9.109375" style="431"/>
    <col min="5105" max="5105" width="5.5546875" style="431" customWidth="1"/>
    <col min="5106" max="5106" width="4.88671875" style="431" customWidth="1"/>
    <col min="5107" max="5107" width="2.6640625" style="431" customWidth="1"/>
    <col min="5108" max="5109" width="2.88671875" style="431" customWidth="1"/>
    <col min="5110" max="5110" width="2.6640625" style="431" customWidth="1"/>
    <col min="5111" max="5111" width="3.88671875" style="431" customWidth="1"/>
    <col min="5112" max="5112" width="25.6640625" style="431" customWidth="1"/>
    <col min="5113" max="5113" width="6.5546875" style="431" customWidth="1"/>
    <col min="5114" max="5114" width="7.33203125" style="431" customWidth="1"/>
    <col min="5115" max="5115" width="13.88671875" style="431" customWidth="1"/>
    <col min="5116" max="5116" width="16.5546875" style="431" customWidth="1"/>
    <col min="5117" max="5117" width="13.88671875" style="431" customWidth="1"/>
    <col min="5118" max="5118" width="11.109375" style="431" bestFit="1" customWidth="1"/>
    <col min="5119" max="5121" width="9.109375" style="431"/>
    <col min="5122" max="5122" width="10.88671875" style="431" customWidth="1"/>
    <col min="5123" max="5360" width="9.109375" style="431"/>
    <col min="5361" max="5361" width="5.5546875" style="431" customWidth="1"/>
    <col min="5362" max="5362" width="4.88671875" style="431" customWidth="1"/>
    <col min="5363" max="5363" width="2.6640625" style="431" customWidth="1"/>
    <col min="5364" max="5365" width="2.88671875" style="431" customWidth="1"/>
    <col min="5366" max="5366" width="2.6640625" style="431" customWidth="1"/>
    <col min="5367" max="5367" width="3.88671875" style="431" customWidth="1"/>
    <col min="5368" max="5368" width="25.6640625" style="431" customWidth="1"/>
    <col min="5369" max="5369" width="6.5546875" style="431" customWidth="1"/>
    <col min="5370" max="5370" width="7.33203125" style="431" customWidth="1"/>
    <col min="5371" max="5371" width="13.88671875" style="431" customWidth="1"/>
    <col min="5372" max="5372" width="16.5546875" style="431" customWidth="1"/>
    <col min="5373" max="5373" width="13.88671875" style="431" customWidth="1"/>
    <col min="5374" max="5374" width="11.109375" style="431" bestFit="1" customWidth="1"/>
    <col min="5375" max="5377" width="9.109375" style="431"/>
    <col min="5378" max="5378" width="10.88671875" style="431" customWidth="1"/>
    <col min="5379" max="5616" width="9.109375" style="431"/>
    <col min="5617" max="5617" width="5.5546875" style="431" customWidth="1"/>
    <col min="5618" max="5618" width="4.88671875" style="431" customWidth="1"/>
    <col min="5619" max="5619" width="2.6640625" style="431" customWidth="1"/>
    <col min="5620" max="5621" width="2.88671875" style="431" customWidth="1"/>
    <col min="5622" max="5622" width="2.6640625" style="431" customWidth="1"/>
    <col min="5623" max="5623" width="3.88671875" style="431" customWidth="1"/>
    <col min="5624" max="5624" width="25.6640625" style="431" customWidth="1"/>
    <col min="5625" max="5625" width="6.5546875" style="431" customWidth="1"/>
    <col min="5626" max="5626" width="7.33203125" style="431" customWidth="1"/>
    <col min="5627" max="5627" width="13.88671875" style="431" customWidth="1"/>
    <col min="5628" max="5628" width="16.5546875" style="431" customWidth="1"/>
    <col min="5629" max="5629" width="13.88671875" style="431" customWidth="1"/>
    <col min="5630" max="5630" width="11.109375" style="431" bestFit="1" customWidth="1"/>
    <col min="5631" max="5633" width="9.109375" style="431"/>
    <col min="5634" max="5634" width="10.88671875" style="431" customWidth="1"/>
    <col min="5635" max="5872" width="9.109375" style="431"/>
    <col min="5873" max="5873" width="5.5546875" style="431" customWidth="1"/>
    <col min="5874" max="5874" width="4.88671875" style="431" customWidth="1"/>
    <col min="5875" max="5875" width="2.6640625" style="431" customWidth="1"/>
    <col min="5876" max="5877" width="2.88671875" style="431" customWidth="1"/>
    <col min="5878" max="5878" width="2.6640625" style="431" customWidth="1"/>
    <col min="5879" max="5879" width="3.88671875" style="431" customWidth="1"/>
    <col min="5880" max="5880" width="25.6640625" style="431" customWidth="1"/>
    <col min="5881" max="5881" width="6.5546875" style="431" customWidth="1"/>
    <col min="5882" max="5882" width="7.33203125" style="431" customWidth="1"/>
    <col min="5883" max="5883" width="13.88671875" style="431" customWidth="1"/>
    <col min="5884" max="5884" width="16.5546875" style="431" customWidth="1"/>
    <col min="5885" max="5885" width="13.88671875" style="431" customWidth="1"/>
    <col min="5886" max="5886" width="11.109375" style="431" bestFit="1" customWidth="1"/>
    <col min="5887" max="5889" width="9.109375" style="431"/>
    <col min="5890" max="5890" width="10.88671875" style="431" customWidth="1"/>
    <col min="5891" max="6128" width="9.109375" style="431"/>
    <col min="6129" max="6129" width="5.5546875" style="431" customWidth="1"/>
    <col min="6130" max="6130" width="4.88671875" style="431" customWidth="1"/>
    <col min="6131" max="6131" width="2.6640625" style="431" customWidth="1"/>
    <col min="6132" max="6133" width="2.88671875" style="431" customWidth="1"/>
    <col min="6134" max="6134" width="2.6640625" style="431" customWidth="1"/>
    <col min="6135" max="6135" width="3.88671875" style="431" customWidth="1"/>
    <col min="6136" max="6136" width="25.6640625" style="431" customWidth="1"/>
    <col min="6137" max="6137" width="6.5546875" style="431" customWidth="1"/>
    <col min="6138" max="6138" width="7.33203125" style="431" customWidth="1"/>
    <col min="6139" max="6139" width="13.88671875" style="431" customWidth="1"/>
    <col min="6140" max="6140" width="16.5546875" style="431" customWidth="1"/>
    <col min="6141" max="6141" width="13.88671875" style="431" customWidth="1"/>
    <col min="6142" max="6142" width="11.109375" style="431" bestFit="1" customWidth="1"/>
    <col min="6143" max="6145" width="9.109375" style="431"/>
    <col min="6146" max="6146" width="10.88671875" style="431" customWidth="1"/>
    <col min="6147" max="6384" width="9.109375" style="431"/>
    <col min="6385" max="6385" width="5.5546875" style="431" customWidth="1"/>
    <col min="6386" max="6386" width="4.88671875" style="431" customWidth="1"/>
    <col min="6387" max="6387" width="2.6640625" style="431" customWidth="1"/>
    <col min="6388" max="6389" width="2.88671875" style="431" customWidth="1"/>
    <col min="6390" max="6390" width="2.6640625" style="431" customWidth="1"/>
    <col min="6391" max="6391" width="3.88671875" style="431" customWidth="1"/>
    <col min="6392" max="6392" width="25.6640625" style="431" customWidth="1"/>
    <col min="6393" max="6393" width="6.5546875" style="431" customWidth="1"/>
    <col min="6394" max="6394" width="7.33203125" style="431" customWidth="1"/>
    <col min="6395" max="6395" width="13.88671875" style="431" customWidth="1"/>
    <col min="6396" max="6396" width="16.5546875" style="431" customWidth="1"/>
    <col min="6397" max="6397" width="13.88671875" style="431" customWidth="1"/>
    <col min="6398" max="6398" width="11.109375" style="431" bestFit="1" customWidth="1"/>
    <col min="6399" max="6401" width="9.109375" style="431"/>
    <col min="6402" max="6402" width="10.88671875" style="431" customWidth="1"/>
    <col min="6403" max="6640" width="9.109375" style="431"/>
    <col min="6641" max="6641" width="5.5546875" style="431" customWidth="1"/>
    <col min="6642" max="6642" width="4.88671875" style="431" customWidth="1"/>
    <col min="6643" max="6643" width="2.6640625" style="431" customWidth="1"/>
    <col min="6644" max="6645" width="2.88671875" style="431" customWidth="1"/>
    <col min="6646" max="6646" width="2.6640625" style="431" customWidth="1"/>
    <col min="6647" max="6647" width="3.88671875" style="431" customWidth="1"/>
    <col min="6648" max="6648" width="25.6640625" style="431" customWidth="1"/>
    <col min="6649" max="6649" width="6.5546875" style="431" customWidth="1"/>
    <col min="6650" max="6650" width="7.33203125" style="431" customWidth="1"/>
    <col min="6651" max="6651" width="13.88671875" style="431" customWidth="1"/>
    <col min="6652" max="6652" width="16.5546875" style="431" customWidth="1"/>
    <col min="6653" max="6653" width="13.88671875" style="431" customWidth="1"/>
    <col min="6654" max="6654" width="11.109375" style="431" bestFit="1" customWidth="1"/>
    <col min="6655" max="6657" width="9.109375" style="431"/>
    <col min="6658" max="6658" width="10.88671875" style="431" customWidth="1"/>
    <col min="6659" max="6896" width="9.109375" style="431"/>
    <col min="6897" max="6897" width="5.5546875" style="431" customWidth="1"/>
    <col min="6898" max="6898" width="4.88671875" style="431" customWidth="1"/>
    <col min="6899" max="6899" width="2.6640625" style="431" customWidth="1"/>
    <col min="6900" max="6901" width="2.88671875" style="431" customWidth="1"/>
    <col min="6902" max="6902" width="2.6640625" style="431" customWidth="1"/>
    <col min="6903" max="6903" width="3.88671875" style="431" customWidth="1"/>
    <col min="6904" max="6904" width="25.6640625" style="431" customWidth="1"/>
    <col min="6905" max="6905" width="6.5546875" style="431" customWidth="1"/>
    <col min="6906" max="6906" width="7.33203125" style="431" customWidth="1"/>
    <col min="6907" max="6907" width="13.88671875" style="431" customWidth="1"/>
    <col min="6908" max="6908" width="16.5546875" style="431" customWidth="1"/>
    <col min="6909" max="6909" width="13.88671875" style="431" customWidth="1"/>
    <col min="6910" max="6910" width="11.109375" style="431" bestFit="1" customWidth="1"/>
    <col min="6911" max="6913" width="9.109375" style="431"/>
    <col min="6914" max="6914" width="10.88671875" style="431" customWidth="1"/>
    <col min="6915" max="7152" width="9.109375" style="431"/>
    <col min="7153" max="7153" width="5.5546875" style="431" customWidth="1"/>
    <col min="7154" max="7154" width="4.88671875" style="431" customWidth="1"/>
    <col min="7155" max="7155" width="2.6640625" style="431" customWidth="1"/>
    <col min="7156" max="7157" width="2.88671875" style="431" customWidth="1"/>
    <col min="7158" max="7158" width="2.6640625" style="431" customWidth="1"/>
    <col min="7159" max="7159" width="3.88671875" style="431" customWidth="1"/>
    <col min="7160" max="7160" width="25.6640625" style="431" customWidth="1"/>
    <col min="7161" max="7161" width="6.5546875" style="431" customWidth="1"/>
    <col min="7162" max="7162" width="7.33203125" style="431" customWidth="1"/>
    <col min="7163" max="7163" width="13.88671875" style="431" customWidth="1"/>
    <col min="7164" max="7164" width="16.5546875" style="431" customWidth="1"/>
    <col min="7165" max="7165" width="13.88671875" style="431" customWidth="1"/>
    <col min="7166" max="7166" width="11.109375" style="431" bestFit="1" customWidth="1"/>
    <col min="7167" max="7169" width="9.109375" style="431"/>
    <col min="7170" max="7170" width="10.88671875" style="431" customWidth="1"/>
    <col min="7171" max="7408" width="9.109375" style="431"/>
    <col min="7409" max="7409" width="5.5546875" style="431" customWidth="1"/>
    <col min="7410" max="7410" width="4.88671875" style="431" customWidth="1"/>
    <col min="7411" max="7411" width="2.6640625" style="431" customWidth="1"/>
    <col min="7412" max="7413" width="2.88671875" style="431" customWidth="1"/>
    <col min="7414" max="7414" width="2.6640625" style="431" customWidth="1"/>
    <col min="7415" max="7415" width="3.88671875" style="431" customWidth="1"/>
    <col min="7416" max="7416" width="25.6640625" style="431" customWidth="1"/>
    <col min="7417" max="7417" width="6.5546875" style="431" customWidth="1"/>
    <col min="7418" max="7418" width="7.33203125" style="431" customWidth="1"/>
    <col min="7419" max="7419" width="13.88671875" style="431" customWidth="1"/>
    <col min="7420" max="7420" width="16.5546875" style="431" customWidth="1"/>
    <col min="7421" max="7421" width="13.88671875" style="431" customWidth="1"/>
    <col min="7422" max="7422" width="11.109375" style="431" bestFit="1" customWidth="1"/>
    <col min="7423" max="7425" width="9.109375" style="431"/>
    <col min="7426" max="7426" width="10.88671875" style="431" customWidth="1"/>
    <col min="7427" max="7664" width="9.109375" style="431"/>
    <col min="7665" max="7665" width="5.5546875" style="431" customWidth="1"/>
    <col min="7666" max="7666" width="4.88671875" style="431" customWidth="1"/>
    <col min="7667" max="7667" width="2.6640625" style="431" customWidth="1"/>
    <col min="7668" max="7669" width="2.88671875" style="431" customWidth="1"/>
    <col min="7670" max="7670" width="2.6640625" style="431" customWidth="1"/>
    <col min="7671" max="7671" width="3.88671875" style="431" customWidth="1"/>
    <col min="7672" max="7672" width="25.6640625" style="431" customWidth="1"/>
    <col min="7673" max="7673" width="6.5546875" style="431" customWidth="1"/>
    <col min="7674" max="7674" width="7.33203125" style="431" customWidth="1"/>
    <col min="7675" max="7675" width="13.88671875" style="431" customWidth="1"/>
    <col min="7676" max="7676" width="16.5546875" style="431" customWidth="1"/>
    <col min="7677" max="7677" width="13.88671875" style="431" customWidth="1"/>
    <col min="7678" max="7678" width="11.109375" style="431" bestFit="1" customWidth="1"/>
    <col min="7679" max="7681" width="9.109375" style="431"/>
    <col min="7682" max="7682" width="10.88671875" style="431" customWidth="1"/>
    <col min="7683" max="7920" width="9.109375" style="431"/>
    <col min="7921" max="7921" width="5.5546875" style="431" customWidth="1"/>
    <col min="7922" max="7922" width="4.88671875" style="431" customWidth="1"/>
    <col min="7923" max="7923" width="2.6640625" style="431" customWidth="1"/>
    <col min="7924" max="7925" width="2.88671875" style="431" customWidth="1"/>
    <col min="7926" max="7926" width="2.6640625" style="431" customWidth="1"/>
    <col min="7927" max="7927" width="3.88671875" style="431" customWidth="1"/>
    <col min="7928" max="7928" width="25.6640625" style="431" customWidth="1"/>
    <col min="7929" max="7929" width="6.5546875" style="431" customWidth="1"/>
    <col min="7930" max="7930" width="7.33203125" style="431" customWidth="1"/>
    <col min="7931" max="7931" width="13.88671875" style="431" customWidth="1"/>
    <col min="7932" max="7932" width="16.5546875" style="431" customWidth="1"/>
    <col min="7933" max="7933" width="13.88671875" style="431" customWidth="1"/>
    <col min="7934" max="7934" width="11.109375" style="431" bestFit="1" customWidth="1"/>
    <col min="7935" max="7937" width="9.109375" style="431"/>
    <col min="7938" max="7938" width="10.88671875" style="431" customWidth="1"/>
    <col min="7939" max="8176" width="9.109375" style="431"/>
    <col min="8177" max="8177" width="5.5546875" style="431" customWidth="1"/>
    <col min="8178" max="8178" width="4.88671875" style="431" customWidth="1"/>
    <col min="8179" max="8179" width="2.6640625" style="431" customWidth="1"/>
    <col min="8180" max="8181" width="2.88671875" style="431" customWidth="1"/>
    <col min="8182" max="8182" width="2.6640625" style="431" customWidth="1"/>
    <col min="8183" max="8183" width="3.88671875" style="431" customWidth="1"/>
    <col min="8184" max="8184" width="25.6640625" style="431" customWidth="1"/>
    <col min="8185" max="8185" width="6.5546875" style="431" customWidth="1"/>
    <col min="8186" max="8186" width="7.33203125" style="431" customWidth="1"/>
    <col min="8187" max="8187" width="13.88671875" style="431" customWidth="1"/>
    <col min="8188" max="8188" width="16.5546875" style="431" customWidth="1"/>
    <col min="8189" max="8189" width="13.88671875" style="431" customWidth="1"/>
    <col min="8190" max="8190" width="11.109375" style="431" bestFit="1" customWidth="1"/>
    <col min="8191" max="8193" width="9.109375" style="431"/>
    <col min="8194" max="8194" width="10.88671875" style="431" customWidth="1"/>
    <col min="8195" max="8432" width="9.109375" style="431"/>
    <col min="8433" max="8433" width="5.5546875" style="431" customWidth="1"/>
    <col min="8434" max="8434" width="4.88671875" style="431" customWidth="1"/>
    <col min="8435" max="8435" width="2.6640625" style="431" customWidth="1"/>
    <col min="8436" max="8437" width="2.88671875" style="431" customWidth="1"/>
    <col min="8438" max="8438" width="2.6640625" style="431" customWidth="1"/>
    <col min="8439" max="8439" width="3.88671875" style="431" customWidth="1"/>
    <col min="8440" max="8440" width="25.6640625" style="431" customWidth="1"/>
    <col min="8441" max="8441" width="6.5546875" style="431" customWidth="1"/>
    <col min="8442" max="8442" width="7.33203125" style="431" customWidth="1"/>
    <col min="8443" max="8443" width="13.88671875" style="431" customWidth="1"/>
    <col min="8444" max="8444" width="16.5546875" style="431" customWidth="1"/>
    <col min="8445" max="8445" width="13.88671875" style="431" customWidth="1"/>
    <col min="8446" max="8446" width="11.109375" style="431" bestFit="1" customWidth="1"/>
    <col min="8447" max="8449" width="9.109375" style="431"/>
    <col min="8450" max="8450" width="10.88671875" style="431" customWidth="1"/>
    <col min="8451" max="8688" width="9.109375" style="431"/>
    <col min="8689" max="8689" width="5.5546875" style="431" customWidth="1"/>
    <col min="8690" max="8690" width="4.88671875" style="431" customWidth="1"/>
    <col min="8691" max="8691" width="2.6640625" style="431" customWidth="1"/>
    <col min="8692" max="8693" width="2.88671875" style="431" customWidth="1"/>
    <col min="8694" max="8694" width="2.6640625" style="431" customWidth="1"/>
    <col min="8695" max="8695" width="3.88671875" style="431" customWidth="1"/>
    <col min="8696" max="8696" width="25.6640625" style="431" customWidth="1"/>
    <col min="8697" max="8697" width="6.5546875" style="431" customWidth="1"/>
    <col min="8698" max="8698" width="7.33203125" style="431" customWidth="1"/>
    <col min="8699" max="8699" width="13.88671875" style="431" customWidth="1"/>
    <col min="8700" max="8700" width="16.5546875" style="431" customWidth="1"/>
    <col min="8701" max="8701" width="13.88671875" style="431" customWidth="1"/>
    <col min="8702" max="8702" width="11.109375" style="431" bestFit="1" customWidth="1"/>
    <col min="8703" max="8705" width="9.109375" style="431"/>
    <col min="8706" max="8706" width="10.88671875" style="431" customWidth="1"/>
    <col min="8707" max="8944" width="9.109375" style="431"/>
    <col min="8945" max="8945" width="5.5546875" style="431" customWidth="1"/>
    <col min="8946" max="8946" width="4.88671875" style="431" customWidth="1"/>
    <col min="8947" max="8947" width="2.6640625" style="431" customWidth="1"/>
    <col min="8948" max="8949" width="2.88671875" style="431" customWidth="1"/>
    <col min="8950" max="8950" width="2.6640625" style="431" customWidth="1"/>
    <col min="8951" max="8951" width="3.88671875" style="431" customWidth="1"/>
    <col min="8952" max="8952" width="25.6640625" style="431" customWidth="1"/>
    <col min="8953" max="8953" width="6.5546875" style="431" customWidth="1"/>
    <col min="8954" max="8954" width="7.33203125" style="431" customWidth="1"/>
    <col min="8955" max="8955" width="13.88671875" style="431" customWidth="1"/>
    <col min="8956" max="8956" width="16.5546875" style="431" customWidth="1"/>
    <col min="8957" max="8957" width="13.88671875" style="431" customWidth="1"/>
    <col min="8958" max="8958" width="11.109375" style="431" bestFit="1" customWidth="1"/>
    <col min="8959" max="8961" width="9.109375" style="431"/>
    <col min="8962" max="8962" width="10.88671875" style="431" customWidth="1"/>
    <col min="8963" max="9200" width="9.109375" style="431"/>
    <col min="9201" max="9201" width="5.5546875" style="431" customWidth="1"/>
    <col min="9202" max="9202" width="4.88671875" style="431" customWidth="1"/>
    <col min="9203" max="9203" width="2.6640625" style="431" customWidth="1"/>
    <col min="9204" max="9205" width="2.88671875" style="431" customWidth="1"/>
    <col min="9206" max="9206" width="2.6640625" style="431" customWidth="1"/>
    <col min="9207" max="9207" width="3.88671875" style="431" customWidth="1"/>
    <col min="9208" max="9208" width="25.6640625" style="431" customWidth="1"/>
    <col min="9209" max="9209" width="6.5546875" style="431" customWidth="1"/>
    <col min="9210" max="9210" width="7.33203125" style="431" customWidth="1"/>
    <col min="9211" max="9211" width="13.88671875" style="431" customWidth="1"/>
    <col min="9212" max="9212" width="16.5546875" style="431" customWidth="1"/>
    <col min="9213" max="9213" width="13.88671875" style="431" customWidth="1"/>
    <col min="9214" max="9214" width="11.109375" style="431" bestFit="1" customWidth="1"/>
    <col min="9215" max="9217" width="9.109375" style="431"/>
    <col min="9218" max="9218" width="10.88671875" style="431" customWidth="1"/>
    <col min="9219" max="9456" width="9.109375" style="431"/>
    <col min="9457" max="9457" width="5.5546875" style="431" customWidth="1"/>
    <col min="9458" max="9458" width="4.88671875" style="431" customWidth="1"/>
    <col min="9459" max="9459" width="2.6640625" style="431" customWidth="1"/>
    <col min="9460" max="9461" width="2.88671875" style="431" customWidth="1"/>
    <col min="9462" max="9462" width="2.6640625" style="431" customWidth="1"/>
    <col min="9463" max="9463" width="3.88671875" style="431" customWidth="1"/>
    <col min="9464" max="9464" width="25.6640625" style="431" customWidth="1"/>
    <col min="9465" max="9465" width="6.5546875" style="431" customWidth="1"/>
    <col min="9466" max="9466" width="7.33203125" style="431" customWidth="1"/>
    <col min="9467" max="9467" width="13.88671875" style="431" customWidth="1"/>
    <col min="9468" max="9468" width="16.5546875" style="431" customWidth="1"/>
    <col min="9469" max="9469" width="13.88671875" style="431" customWidth="1"/>
    <col min="9470" max="9470" width="11.109375" style="431" bestFit="1" customWidth="1"/>
    <col min="9471" max="9473" width="9.109375" style="431"/>
    <col min="9474" max="9474" width="10.88671875" style="431" customWidth="1"/>
    <col min="9475" max="9712" width="9.109375" style="431"/>
    <col min="9713" max="9713" width="5.5546875" style="431" customWidth="1"/>
    <col min="9714" max="9714" width="4.88671875" style="431" customWidth="1"/>
    <col min="9715" max="9715" width="2.6640625" style="431" customWidth="1"/>
    <col min="9716" max="9717" width="2.88671875" style="431" customWidth="1"/>
    <col min="9718" max="9718" width="2.6640625" style="431" customWidth="1"/>
    <col min="9719" max="9719" width="3.88671875" style="431" customWidth="1"/>
    <col min="9720" max="9720" width="25.6640625" style="431" customWidth="1"/>
    <col min="9721" max="9721" width="6.5546875" style="431" customWidth="1"/>
    <col min="9722" max="9722" width="7.33203125" style="431" customWidth="1"/>
    <col min="9723" max="9723" width="13.88671875" style="431" customWidth="1"/>
    <col min="9724" max="9724" width="16.5546875" style="431" customWidth="1"/>
    <col min="9725" max="9725" width="13.88671875" style="431" customWidth="1"/>
    <col min="9726" max="9726" width="11.109375" style="431" bestFit="1" customWidth="1"/>
    <col min="9727" max="9729" width="9.109375" style="431"/>
    <col min="9730" max="9730" width="10.88671875" style="431" customWidth="1"/>
    <col min="9731" max="9968" width="9.109375" style="431"/>
    <col min="9969" max="9969" width="5.5546875" style="431" customWidth="1"/>
    <col min="9970" max="9970" width="4.88671875" style="431" customWidth="1"/>
    <col min="9971" max="9971" width="2.6640625" style="431" customWidth="1"/>
    <col min="9972" max="9973" width="2.88671875" style="431" customWidth="1"/>
    <col min="9974" max="9974" width="2.6640625" style="431" customWidth="1"/>
    <col min="9975" max="9975" width="3.88671875" style="431" customWidth="1"/>
    <col min="9976" max="9976" width="25.6640625" style="431" customWidth="1"/>
    <col min="9977" max="9977" width="6.5546875" style="431" customWidth="1"/>
    <col min="9978" max="9978" width="7.33203125" style="431" customWidth="1"/>
    <col min="9979" max="9979" width="13.88671875" style="431" customWidth="1"/>
    <col min="9980" max="9980" width="16.5546875" style="431" customWidth="1"/>
    <col min="9981" max="9981" width="13.88671875" style="431" customWidth="1"/>
    <col min="9982" max="9982" width="11.109375" style="431" bestFit="1" customWidth="1"/>
    <col min="9983" max="9985" width="9.109375" style="431"/>
    <col min="9986" max="9986" width="10.88671875" style="431" customWidth="1"/>
    <col min="9987" max="10224" width="9.109375" style="431"/>
    <col min="10225" max="10225" width="5.5546875" style="431" customWidth="1"/>
    <col min="10226" max="10226" width="4.88671875" style="431" customWidth="1"/>
    <col min="10227" max="10227" width="2.6640625" style="431" customWidth="1"/>
    <col min="10228" max="10229" width="2.88671875" style="431" customWidth="1"/>
    <col min="10230" max="10230" width="2.6640625" style="431" customWidth="1"/>
    <col min="10231" max="10231" width="3.88671875" style="431" customWidth="1"/>
    <col min="10232" max="10232" width="25.6640625" style="431" customWidth="1"/>
    <col min="10233" max="10233" width="6.5546875" style="431" customWidth="1"/>
    <col min="10234" max="10234" width="7.33203125" style="431" customWidth="1"/>
    <col min="10235" max="10235" width="13.88671875" style="431" customWidth="1"/>
    <col min="10236" max="10236" width="16.5546875" style="431" customWidth="1"/>
    <col min="10237" max="10237" width="13.88671875" style="431" customWidth="1"/>
    <col min="10238" max="10238" width="11.109375" style="431" bestFit="1" customWidth="1"/>
    <col min="10239" max="10241" width="9.109375" style="431"/>
    <col min="10242" max="10242" width="10.88671875" style="431" customWidth="1"/>
    <col min="10243" max="10480" width="9.109375" style="431"/>
    <col min="10481" max="10481" width="5.5546875" style="431" customWidth="1"/>
    <col min="10482" max="10482" width="4.88671875" style="431" customWidth="1"/>
    <col min="10483" max="10483" width="2.6640625" style="431" customWidth="1"/>
    <col min="10484" max="10485" width="2.88671875" style="431" customWidth="1"/>
    <col min="10486" max="10486" width="2.6640625" style="431" customWidth="1"/>
    <col min="10487" max="10487" width="3.88671875" style="431" customWidth="1"/>
    <col min="10488" max="10488" width="25.6640625" style="431" customWidth="1"/>
    <col min="10489" max="10489" width="6.5546875" style="431" customWidth="1"/>
    <col min="10490" max="10490" width="7.33203125" style="431" customWidth="1"/>
    <col min="10491" max="10491" width="13.88671875" style="431" customWidth="1"/>
    <col min="10492" max="10492" width="16.5546875" style="431" customWidth="1"/>
    <col min="10493" max="10493" width="13.88671875" style="431" customWidth="1"/>
    <col min="10494" max="10494" width="11.109375" style="431" bestFit="1" customWidth="1"/>
    <col min="10495" max="10497" width="9.109375" style="431"/>
    <col min="10498" max="10498" width="10.88671875" style="431" customWidth="1"/>
    <col min="10499" max="10736" width="9.109375" style="431"/>
    <col min="10737" max="10737" width="5.5546875" style="431" customWidth="1"/>
    <col min="10738" max="10738" width="4.88671875" style="431" customWidth="1"/>
    <col min="10739" max="10739" width="2.6640625" style="431" customWidth="1"/>
    <col min="10740" max="10741" width="2.88671875" style="431" customWidth="1"/>
    <col min="10742" max="10742" width="2.6640625" style="431" customWidth="1"/>
    <col min="10743" max="10743" width="3.88671875" style="431" customWidth="1"/>
    <col min="10744" max="10744" width="25.6640625" style="431" customWidth="1"/>
    <col min="10745" max="10745" width="6.5546875" style="431" customWidth="1"/>
    <col min="10746" max="10746" width="7.33203125" style="431" customWidth="1"/>
    <col min="10747" max="10747" width="13.88671875" style="431" customWidth="1"/>
    <col min="10748" max="10748" width="16.5546875" style="431" customWidth="1"/>
    <col min="10749" max="10749" width="13.88671875" style="431" customWidth="1"/>
    <col min="10750" max="10750" width="11.109375" style="431" bestFit="1" customWidth="1"/>
    <col min="10751" max="10753" width="9.109375" style="431"/>
    <col min="10754" max="10754" width="10.88671875" style="431" customWidth="1"/>
    <col min="10755" max="10992" width="9.109375" style="431"/>
    <col min="10993" max="10993" width="5.5546875" style="431" customWidth="1"/>
    <col min="10994" max="10994" width="4.88671875" style="431" customWidth="1"/>
    <col min="10995" max="10995" width="2.6640625" style="431" customWidth="1"/>
    <col min="10996" max="10997" width="2.88671875" style="431" customWidth="1"/>
    <col min="10998" max="10998" width="2.6640625" style="431" customWidth="1"/>
    <col min="10999" max="10999" width="3.88671875" style="431" customWidth="1"/>
    <col min="11000" max="11000" width="25.6640625" style="431" customWidth="1"/>
    <col min="11001" max="11001" width="6.5546875" style="431" customWidth="1"/>
    <col min="11002" max="11002" width="7.33203125" style="431" customWidth="1"/>
    <col min="11003" max="11003" width="13.88671875" style="431" customWidth="1"/>
    <col min="11004" max="11004" width="16.5546875" style="431" customWidth="1"/>
    <col min="11005" max="11005" width="13.88671875" style="431" customWidth="1"/>
    <col min="11006" max="11006" width="11.109375" style="431" bestFit="1" customWidth="1"/>
    <col min="11007" max="11009" width="9.109375" style="431"/>
    <col min="11010" max="11010" width="10.88671875" style="431" customWidth="1"/>
    <col min="11011" max="11248" width="9.109375" style="431"/>
    <col min="11249" max="11249" width="5.5546875" style="431" customWidth="1"/>
    <col min="11250" max="11250" width="4.88671875" style="431" customWidth="1"/>
    <col min="11251" max="11251" width="2.6640625" style="431" customWidth="1"/>
    <col min="11252" max="11253" width="2.88671875" style="431" customWidth="1"/>
    <col min="11254" max="11254" width="2.6640625" style="431" customWidth="1"/>
    <col min="11255" max="11255" width="3.88671875" style="431" customWidth="1"/>
    <col min="11256" max="11256" width="25.6640625" style="431" customWidth="1"/>
    <col min="11257" max="11257" width="6.5546875" style="431" customWidth="1"/>
    <col min="11258" max="11258" width="7.33203125" style="431" customWidth="1"/>
    <col min="11259" max="11259" width="13.88671875" style="431" customWidth="1"/>
    <col min="11260" max="11260" width="16.5546875" style="431" customWidth="1"/>
    <col min="11261" max="11261" width="13.88671875" style="431" customWidth="1"/>
    <col min="11262" max="11262" width="11.109375" style="431" bestFit="1" customWidth="1"/>
    <col min="11263" max="11265" width="9.109375" style="431"/>
    <col min="11266" max="11266" width="10.88671875" style="431" customWidth="1"/>
    <col min="11267" max="11504" width="9.109375" style="431"/>
    <col min="11505" max="11505" width="5.5546875" style="431" customWidth="1"/>
    <col min="11506" max="11506" width="4.88671875" style="431" customWidth="1"/>
    <col min="11507" max="11507" width="2.6640625" style="431" customWidth="1"/>
    <col min="11508" max="11509" width="2.88671875" style="431" customWidth="1"/>
    <col min="11510" max="11510" width="2.6640625" style="431" customWidth="1"/>
    <col min="11511" max="11511" width="3.88671875" style="431" customWidth="1"/>
    <col min="11512" max="11512" width="25.6640625" style="431" customWidth="1"/>
    <col min="11513" max="11513" width="6.5546875" style="431" customWidth="1"/>
    <col min="11514" max="11514" width="7.33203125" style="431" customWidth="1"/>
    <col min="11515" max="11515" width="13.88671875" style="431" customWidth="1"/>
    <col min="11516" max="11516" width="16.5546875" style="431" customWidth="1"/>
    <col min="11517" max="11517" width="13.88671875" style="431" customWidth="1"/>
    <col min="11518" max="11518" width="11.109375" style="431" bestFit="1" customWidth="1"/>
    <col min="11519" max="11521" width="9.109375" style="431"/>
    <col min="11522" max="11522" width="10.88671875" style="431" customWidth="1"/>
    <col min="11523" max="11760" width="9.109375" style="431"/>
    <col min="11761" max="11761" width="5.5546875" style="431" customWidth="1"/>
    <col min="11762" max="11762" width="4.88671875" style="431" customWidth="1"/>
    <col min="11763" max="11763" width="2.6640625" style="431" customWidth="1"/>
    <col min="11764" max="11765" width="2.88671875" style="431" customWidth="1"/>
    <col min="11766" max="11766" width="2.6640625" style="431" customWidth="1"/>
    <col min="11767" max="11767" width="3.88671875" style="431" customWidth="1"/>
    <col min="11768" max="11768" width="25.6640625" style="431" customWidth="1"/>
    <col min="11769" max="11769" width="6.5546875" style="431" customWidth="1"/>
    <col min="11770" max="11770" width="7.33203125" style="431" customWidth="1"/>
    <col min="11771" max="11771" width="13.88671875" style="431" customWidth="1"/>
    <col min="11772" max="11772" width="16.5546875" style="431" customWidth="1"/>
    <col min="11773" max="11773" width="13.88671875" style="431" customWidth="1"/>
    <col min="11774" max="11774" width="11.109375" style="431" bestFit="1" customWidth="1"/>
    <col min="11775" max="11777" width="9.109375" style="431"/>
    <col min="11778" max="11778" width="10.88671875" style="431" customWidth="1"/>
    <col min="11779" max="12016" width="9.109375" style="431"/>
    <col min="12017" max="12017" width="5.5546875" style="431" customWidth="1"/>
    <col min="12018" max="12018" width="4.88671875" style="431" customWidth="1"/>
    <col min="12019" max="12019" width="2.6640625" style="431" customWidth="1"/>
    <col min="12020" max="12021" width="2.88671875" style="431" customWidth="1"/>
    <col min="12022" max="12022" width="2.6640625" style="431" customWidth="1"/>
    <col min="12023" max="12023" width="3.88671875" style="431" customWidth="1"/>
    <col min="12024" max="12024" width="25.6640625" style="431" customWidth="1"/>
    <col min="12025" max="12025" width="6.5546875" style="431" customWidth="1"/>
    <col min="12026" max="12026" width="7.33203125" style="431" customWidth="1"/>
    <col min="12027" max="12027" width="13.88671875" style="431" customWidth="1"/>
    <col min="12028" max="12028" width="16.5546875" style="431" customWidth="1"/>
    <col min="12029" max="12029" width="13.88671875" style="431" customWidth="1"/>
    <col min="12030" max="12030" width="11.109375" style="431" bestFit="1" customWidth="1"/>
    <col min="12031" max="12033" width="9.109375" style="431"/>
    <col min="12034" max="12034" width="10.88671875" style="431" customWidth="1"/>
    <col min="12035" max="12272" width="9.109375" style="431"/>
    <col min="12273" max="12273" width="5.5546875" style="431" customWidth="1"/>
    <col min="12274" max="12274" width="4.88671875" style="431" customWidth="1"/>
    <col min="12275" max="12275" width="2.6640625" style="431" customWidth="1"/>
    <col min="12276" max="12277" width="2.88671875" style="431" customWidth="1"/>
    <col min="12278" max="12278" width="2.6640625" style="431" customWidth="1"/>
    <col min="12279" max="12279" width="3.88671875" style="431" customWidth="1"/>
    <col min="12280" max="12280" width="25.6640625" style="431" customWidth="1"/>
    <col min="12281" max="12281" width="6.5546875" style="431" customWidth="1"/>
    <col min="12282" max="12282" width="7.33203125" style="431" customWidth="1"/>
    <col min="12283" max="12283" width="13.88671875" style="431" customWidth="1"/>
    <col min="12284" max="12284" width="16.5546875" style="431" customWidth="1"/>
    <col min="12285" max="12285" width="13.88671875" style="431" customWidth="1"/>
    <col min="12286" max="12286" width="11.109375" style="431" bestFit="1" customWidth="1"/>
    <col min="12287" max="12289" width="9.109375" style="431"/>
    <col min="12290" max="12290" width="10.88671875" style="431" customWidth="1"/>
    <col min="12291" max="12528" width="9.109375" style="431"/>
    <col min="12529" max="12529" width="5.5546875" style="431" customWidth="1"/>
    <col min="12530" max="12530" width="4.88671875" style="431" customWidth="1"/>
    <col min="12531" max="12531" width="2.6640625" style="431" customWidth="1"/>
    <col min="12532" max="12533" width="2.88671875" style="431" customWidth="1"/>
    <col min="12534" max="12534" width="2.6640625" style="431" customWidth="1"/>
    <col min="12535" max="12535" width="3.88671875" style="431" customWidth="1"/>
    <col min="12536" max="12536" width="25.6640625" style="431" customWidth="1"/>
    <col min="12537" max="12537" width="6.5546875" style="431" customWidth="1"/>
    <col min="12538" max="12538" width="7.33203125" style="431" customWidth="1"/>
    <col min="12539" max="12539" width="13.88671875" style="431" customWidth="1"/>
    <col min="12540" max="12540" width="16.5546875" style="431" customWidth="1"/>
    <col min="12541" max="12541" width="13.88671875" style="431" customWidth="1"/>
    <col min="12542" max="12542" width="11.109375" style="431" bestFit="1" customWidth="1"/>
    <col min="12543" max="12545" width="9.109375" style="431"/>
    <col min="12546" max="12546" width="10.88671875" style="431" customWidth="1"/>
    <col min="12547" max="12784" width="9.109375" style="431"/>
    <col min="12785" max="12785" width="5.5546875" style="431" customWidth="1"/>
    <col min="12786" max="12786" width="4.88671875" style="431" customWidth="1"/>
    <col min="12787" max="12787" width="2.6640625" style="431" customWidth="1"/>
    <col min="12788" max="12789" width="2.88671875" style="431" customWidth="1"/>
    <col min="12790" max="12790" width="2.6640625" style="431" customWidth="1"/>
    <col min="12791" max="12791" width="3.88671875" style="431" customWidth="1"/>
    <col min="12792" max="12792" width="25.6640625" style="431" customWidth="1"/>
    <col min="12793" max="12793" width="6.5546875" style="431" customWidth="1"/>
    <col min="12794" max="12794" width="7.33203125" style="431" customWidth="1"/>
    <col min="12795" max="12795" width="13.88671875" style="431" customWidth="1"/>
    <col min="12796" max="12796" width="16.5546875" style="431" customWidth="1"/>
    <col min="12797" max="12797" width="13.88671875" style="431" customWidth="1"/>
    <col min="12798" max="12798" width="11.109375" style="431" bestFit="1" customWidth="1"/>
    <col min="12799" max="12801" width="9.109375" style="431"/>
    <col min="12802" max="12802" width="10.88671875" style="431" customWidth="1"/>
    <col min="12803" max="13040" width="9.109375" style="431"/>
    <col min="13041" max="13041" width="5.5546875" style="431" customWidth="1"/>
    <col min="13042" max="13042" width="4.88671875" style="431" customWidth="1"/>
    <col min="13043" max="13043" width="2.6640625" style="431" customWidth="1"/>
    <col min="13044" max="13045" width="2.88671875" style="431" customWidth="1"/>
    <col min="13046" max="13046" width="2.6640625" style="431" customWidth="1"/>
    <col min="13047" max="13047" width="3.88671875" style="431" customWidth="1"/>
    <col min="13048" max="13048" width="25.6640625" style="431" customWidth="1"/>
    <col min="13049" max="13049" width="6.5546875" style="431" customWidth="1"/>
    <col min="13050" max="13050" width="7.33203125" style="431" customWidth="1"/>
    <col min="13051" max="13051" width="13.88671875" style="431" customWidth="1"/>
    <col min="13052" max="13052" width="16.5546875" style="431" customWidth="1"/>
    <col min="13053" max="13053" width="13.88671875" style="431" customWidth="1"/>
    <col min="13054" max="13054" width="11.109375" style="431" bestFit="1" customWidth="1"/>
    <col min="13055" max="13057" width="9.109375" style="431"/>
    <col min="13058" max="13058" width="10.88671875" style="431" customWidth="1"/>
    <col min="13059" max="13296" width="9.109375" style="431"/>
    <col min="13297" max="13297" width="5.5546875" style="431" customWidth="1"/>
    <col min="13298" max="13298" width="4.88671875" style="431" customWidth="1"/>
    <col min="13299" max="13299" width="2.6640625" style="431" customWidth="1"/>
    <col min="13300" max="13301" width="2.88671875" style="431" customWidth="1"/>
    <col min="13302" max="13302" width="2.6640625" style="431" customWidth="1"/>
    <col min="13303" max="13303" width="3.88671875" style="431" customWidth="1"/>
    <col min="13304" max="13304" width="25.6640625" style="431" customWidth="1"/>
    <col min="13305" max="13305" width="6.5546875" style="431" customWidth="1"/>
    <col min="13306" max="13306" width="7.33203125" style="431" customWidth="1"/>
    <col min="13307" max="13307" width="13.88671875" style="431" customWidth="1"/>
    <col min="13308" max="13308" width="16.5546875" style="431" customWidth="1"/>
    <col min="13309" max="13309" width="13.88671875" style="431" customWidth="1"/>
    <col min="13310" max="13310" width="11.109375" style="431" bestFit="1" customWidth="1"/>
    <col min="13311" max="13313" width="9.109375" style="431"/>
    <col min="13314" max="13314" width="10.88671875" style="431" customWidth="1"/>
    <col min="13315" max="13552" width="9.109375" style="431"/>
    <col min="13553" max="13553" width="5.5546875" style="431" customWidth="1"/>
    <col min="13554" max="13554" width="4.88671875" style="431" customWidth="1"/>
    <col min="13555" max="13555" width="2.6640625" style="431" customWidth="1"/>
    <col min="13556" max="13557" width="2.88671875" style="431" customWidth="1"/>
    <col min="13558" max="13558" width="2.6640625" style="431" customWidth="1"/>
    <col min="13559" max="13559" width="3.88671875" style="431" customWidth="1"/>
    <col min="13560" max="13560" width="25.6640625" style="431" customWidth="1"/>
    <col min="13561" max="13561" width="6.5546875" style="431" customWidth="1"/>
    <col min="13562" max="13562" width="7.33203125" style="431" customWidth="1"/>
    <col min="13563" max="13563" width="13.88671875" style="431" customWidth="1"/>
    <col min="13564" max="13564" width="16.5546875" style="431" customWidth="1"/>
    <col min="13565" max="13565" width="13.88671875" style="431" customWidth="1"/>
    <col min="13566" max="13566" width="11.109375" style="431" bestFit="1" customWidth="1"/>
    <col min="13567" max="13569" width="9.109375" style="431"/>
    <col min="13570" max="13570" width="10.88671875" style="431" customWidth="1"/>
    <col min="13571" max="13808" width="9.109375" style="431"/>
    <col min="13809" max="13809" width="5.5546875" style="431" customWidth="1"/>
    <col min="13810" max="13810" width="4.88671875" style="431" customWidth="1"/>
    <col min="13811" max="13811" width="2.6640625" style="431" customWidth="1"/>
    <col min="13812" max="13813" width="2.88671875" style="431" customWidth="1"/>
    <col min="13814" max="13814" width="2.6640625" style="431" customWidth="1"/>
    <col min="13815" max="13815" width="3.88671875" style="431" customWidth="1"/>
    <col min="13816" max="13816" width="25.6640625" style="431" customWidth="1"/>
    <col min="13817" max="13817" width="6.5546875" style="431" customWidth="1"/>
    <col min="13818" max="13818" width="7.33203125" style="431" customWidth="1"/>
    <col min="13819" max="13819" width="13.88671875" style="431" customWidth="1"/>
    <col min="13820" max="13820" width="16.5546875" style="431" customWidth="1"/>
    <col min="13821" max="13821" width="13.88671875" style="431" customWidth="1"/>
    <col min="13822" max="13822" width="11.109375" style="431" bestFit="1" customWidth="1"/>
    <col min="13823" max="13825" width="9.109375" style="431"/>
    <col min="13826" max="13826" width="10.88671875" style="431" customWidth="1"/>
    <col min="13827" max="14064" width="9.109375" style="431"/>
    <col min="14065" max="14065" width="5.5546875" style="431" customWidth="1"/>
    <col min="14066" max="14066" width="4.88671875" style="431" customWidth="1"/>
    <col min="14067" max="14067" width="2.6640625" style="431" customWidth="1"/>
    <col min="14068" max="14069" width="2.88671875" style="431" customWidth="1"/>
    <col min="14070" max="14070" width="2.6640625" style="431" customWidth="1"/>
    <col min="14071" max="14071" width="3.88671875" style="431" customWidth="1"/>
    <col min="14072" max="14072" width="25.6640625" style="431" customWidth="1"/>
    <col min="14073" max="14073" width="6.5546875" style="431" customWidth="1"/>
    <col min="14074" max="14074" width="7.33203125" style="431" customWidth="1"/>
    <col min="14075" max="14075" width="13.88671875" style="431" customWidth="1"/>
    <col min="14076" max="14076" width="16.5546875" style="431" customWidth="1"/>
    <col min="14077" max="14077" width="13.88671875" style="431" customWidth="1"/>
    <col min="14078" max="14078" width="11.109375" style="431" bestFit="1" customWidth="1"/>
    <col min="14079" max="14081" width="9.109375" style="431"/>
    <col min="14082" max="14082" width="10.88671875" style="431" customWidth="1"/>
    <col min="14083" max="14320" width="9.109375" style="431"/>
    <col min="14321" max="14321" width="5.5546875" style="431" customWidth="1"/>
    <col min="14322" max="14322" width="4.88671875" style="431" customWidth="1"/>
    <col min="14323" max="14323" width="2.6640625" style="431" customWidth="1"/>
    <col min="14324" max="14325" width="2.88671875" style="431" customWidth="1"/>
    <col min="14326" max="14326" width="2.6640625" style="431" customWidth="1"/>
    <col min="14327" max="14327" width="3.88671875" style="431" customWidth="1"/>
    <col min="14328" max="14328" width="25.6640625" style="431" customWidth="1"/>
    <col min="14329" max="14329" width="6.5546875" style="431" customWidth="1"/>
    <col min="14330" max="14330" width="7.33203125" style="431" customWidth="1"/>
    <col min="14331" max="14331" width="13.88671875" style="431" customWidth="1"/>
    <col min="14332" max="14332" width="16.5546875" style="431" customWidth="1"/>
    <col min="14333" max="14333" width="13.88671875" style="431" customWidth="1"/>
    <col min="14334" max="14334" width="11.109375" style="431" bestFit="1" customWidth="1"/>
    <col min="14335" max="14337" width="9.109375" style="431"/>
    <col min="14338" max="14338" width="10.88671875" style="431" customWidth="1"/>
    <col min="14339" max="14576" width="9.109375" style="431"/>
    <col min="14577" max="14577" width="5.5546875" style="431" customWidth="1"/>
    <col min="14578" max="14578" width="4.88671875" style="431" customWidth="1"/>
    <col min="14579" max="14579" width="2.6640625" style="431" customWidth="1"/>
    <col min="14580" max="14581" width="2.88671875" style="431" customWidth="1"/>
    <col min="14582" max="14582" width="2.6640625" style="431" customWidth="1"/>
    <col min="14583" max="14583" width="3.88671875" style="431" customWidth="1"/>
    <col min="14584" max="14584" width="25.6640625" style="431" customWidth="1"/>
    <col min="14585" max="14585" width="6.5546875" style="431" customWidth="1"/>
    <col min="14586" max="14586" width="7.33203125" style="431" customWidth="1"/>
    <col min="14587" max="14587" width="13.88671875" style="431" customWidth="1"/>
    <col min="14588" max="14588" width="16.5546875" style="431" customWidth="1"/>
    <col min="14589" max="14589" width="13.88671875" style="431" customWidth="1"/>
    <col min="14590" max="14590" width="11.109375" style="431" bestFit="1" customWidth="1"/>
    <col min="14591" max="14593" width="9.109375" style="431"/>
    <col min="14594" max="14594" width="10.88671875" style="431" customWidth="1"/>
    <col min="14595" max="14832" width="9.109375" style="431"/>
    <col min="14833" max="14833" width="5.5546875" style="431" customWidth="1"/>
    <col min="14834" max="14834" width="4.88671875" style="431" customWidth="1"/>
    <col min="14835" max="14835" width="2.6640625" style="431" customWidth="1"/>
    <col min="14836" max="14837" width="2.88671875" style="431" customWidth="1"/>
    <col min="14838" max="14838" width="2.6640625" style="431" customWidth="1"/>
    <col min="14839" max="14839" width="3.88671875" style="431" customWidth="1"/>
    <col min="14840" max="14840" width="25.6640625" style="431" customWidth="1"/>
    <col min="14841" max="14841" width="6.5546875" style="431" customWidth="1"/>
    <col min="14842" max="14842" width="7.33203125" style="431" customWidth="1"/>
    <col min="14843" max="14843" width="13.88671875" style="431" customWidth="1"/>
    <col min="14844" max="14844" width="16.5546875" style="431" customWidth="1"/>
    <col min="14845" max="14845" width="13.88671875" style="431" customWidth="1"/>
    <col min="14846" max="14846" width="11.109375" style="431" bestFit="1" customWidth="1"/>
    <col min="14847" max="14849" width="9.109375" style="431"/>
    <col min="14850" max="14850" width="10.88671875" style="431" customWidth="1"/>
    <col min="14851" max="15088" width="9.109375" style="431"/>
    <col min="15089" max="15089" width="5.5546875" style="431" customWidth="1"/>
    <col min="15090" max="15090" width="4.88671875" style="431" customWidth="1"/>
    <col min="15091" max="15091" width="2.6640625" style="431" customWidth="1"/>
    <col min="15092" max="15093" width="2.88671875" style="431" customWidth="1"/>
    <col min="15094" max="15094" width="2.6640625" style="431" customWidth="1"/>
    <col min="15095" max="15095" width="3.88671875" style="431" customWidth="1"/>
    <col min="15096" max="15096" width="25.6640625" style="431" customWidth="1"/>
    <col min="15097" max="15097" width="6.5546875" style="431" customWidth="1"/>
    <col min="15098" max="15098" width="7.33203125" style="431" customWidth="1"/>
    <col min="15099" max="15099" width="13.88671875" style="431" customWidth="1"/>
    <col min="15100" max="15100" width="16.5546875" style="431" customWidth="1"/>
    <col min="15101" max="15101" width="13.88671875" style="431" customWidth="1"/>
    <col min="15102" max="15102" width="11.109375" style="431" bestFit="1" customWidth="1"/>
    <col min="15103" max="15105" width="9.109375" style="431"/>
    <col min="15106" max="15106" width="10.88671875" style="431" customWidth="1"/>
    <col min="15107" max="15344" width="9.109375" style="431"/>
    <col min="15345" max="15345" width="5.5546875" style="431" customWidth="1"/>
    <col min="15346" max="15346" width="4.88671875" style="431" customWidth="1"/>
    <col min="15347" max="15347" width="2.6640625" style="431" customWidth="1"/>
    <col min="15348" max="15349" width="2.88671875" style="431" customWidth="1"/>
    <col min="15350" max="15350" width="2.6640625" style="431" customWidth="1"/>
    <col min="15351" max="15351" width="3.88671875" style="431" customWidth="1"/>
    <col min="15352" max="15352" width="25.6640625" style="431" customWidth="1"/>
    <col min="15353" max="15353" width="6.5546875" style="431" customWidth="1"/>
    <col min="15354" max="15354" width="7.33203125" style="431" customWidth="1"/>
    <col min="15355" max="15355" width="13.88671875" style="431" customWidth="1"/>
    <col min="15356" max="15356" width="16.5546875" style="431" customWidth="1"/>
    <col min="15357" max="15357" width="13.88671875" style="431" customWidth="1"/>
    <col min="15358" max="15358" width="11.109375" style="431" bestFit="1" customWidth="1"/>
    <col min="15359" max="15361" width="9.109375" style="431"/>
    <col min="15362" max="15362" width="10.88671875" style="431" customWidth="1"/>
    <col min="15363" max="15600" width="9.109375" style="431"/>
    <col min="15601" max="15601" width="5.5546875" style="431" customWidth="1"/>
    <col min="15602" max="15602" width="4.88671875" style="431" customWidth="1"/>
    <col min="15603" max="15603" width="2.6640625" style="431" customWidth="1"/>
    <col min="15604" max="15605" width="2.88671875" style="431" customWidth="1"/>
    <col min="15606" max="15606" width="2.6640625" style="431" customWidth="1"/>
    <col min="15607" max="15607" width="3.88671875" style="431" customWidth="1"/>
    <col min="15608" max="15608" width="25.6640625" style="431" customWidth="1"/>
    <col min="15609" max="15609" width="6.5546875" style="431" customWidth="1"/>
    <col min="15610" max="15610" width="7.33203125" style="431" customWidth="1"/>
    <col min="15611" max="15611" width="13.88671875" style="431" customWidth="1"/>
    <col min="15612" max="15612" width="16.5546875" style="431" customWidth="1"/>
    <col min="15613" max="15613" width="13.88671875" style="431" customWidth="1"/>
    <col min="15614" max="15614" width="11.109375" style="431" bestFit="1" customWidth="1"/>
    <col min="15615" max="15617" width="9.109375" style="431"/>
    <col min="15618" max="15618" width="10.88671875" style="431" customWidth="1"/>
    <col min="15619" max="15856" width="9.109375" style="431"/>
    <col min="15857" max="15857" width="5.5546875" style="431" customWidth="1"/>
    <col min="15858" max="15858" width="4.88671875" style="431" customWidth="1"/>
    <col min="15859" max="15859" width="2.6640625" style="431" customWidth="1"/>
    <col min="15860" max="15861" width="2.88671875" style="431" customWidth="1"/>
    <col min="15862" max="15862" width="2.6640625" style="431" customWidth="1"/>
    <col min="15863" max="15863" width="3.88671875" style="431" customWidth="1"/>
    <col min="15864" max="15864" width="25.6640625" style="431" customWidth="1"/>
    <col min="15865" max="15865" width="6.5546875" style="431" customWidth="1"/>
    <col min="15866" max="15866" width="7.33203125" style="431" customWidth="1"/>
    <col min="15867" max="15867" width="13.88671875" style="431" customWidth="1"/>
    <col min="15868" max="15868" width="16.5546875" style="431" customWidth="1"/>
    <col min="15869" max="15869" width="13.88671875" style="431" customWidth="1"/>
    <col min="15870" max="15870" width="11.109375" style="431" bestFit="1" customWidth="1"/>
    <col min="15871" max="15873" width="9.109375" style="431"/>
    <col min="15874" max="15874" width="10.88671875" style="431" customWidth="1"/>
    <col min="15875" max="16112" width="9.109375" style="431"/>
    <col min="16113" max="16113" width="5.5546875" style="431" customWidth="1"/>
    <col min="16114" max="16114" width="4.88671875" style="431" customWidth="1"/>
    <col min="16115" max="16115" width="2.6640625" style="431" customWidth="1"/>
    <col min="16116" max="16117" width="2.88671875" style="431" customWidth="1"/>
    <col min="16118" max="16118" width="2.6640625" style="431" customWidth="1"/>
    <col min="16119" max="16119" width="3.88671875" style="431" customWidth="1"/>
    <col min="16120" max="16120" width="25.6640625" style="431" customWidth="1"/>
    <col min="16121" max="16121" width="6.5546875" style="431" customWidth="1"/>
    <col min="16122" max="16122" width="7.33203125" style="431" customWidth="1"/>
    <col min="16123" max="16123" width="13.88671875" style="431" customWidth="1"/>
    <col min="16124" max="16124" width="16.5546875" style="431" customWidth="1"/>
    <col min="16125" max="16125" width="13.88671875" style="431" customWidth="1"/>
    <col min="16126" max="16126" width="11.109375" style="431" bestFit="1" customWidth="1"/>
    <col min="16127" max="16129" width="9.109375" style="431"/>
    <col min="16130" max="16130" width="10.88671875" style="431" customWidth="1"/>
    <col min="16131" max="16384" width="9.109375" style="431"/>
  </cols>
  <sheetData>
    <row r="1" spans="1:22" ht="12.75" customHeight="1" x14ac:dyDescent="0.3">
      <c r="A1" s="754" t="s">
        <v>15</v>
      </c>
      <c r="B1" s="754"/>
      <c r="C1" s="14" t="s">
        <v>680</v>
      </c>
      <c r="D1" s="430"/>
      <c r="E1" s="430"/>
      <c r="F1" s="430"/>
      <c r="G1" s="430"/>
      <c r="H1" s="430"/>
      <c r="I1" s="430"/>
      <c r="M1" s="432"/>
      <c r="N1" s="432"/>
      <c r="O1" s="432"/>
      <c r="P1" s="432"/>
      <c r="Q1" s="432"/>
      <c r="R1" s="432"/>
      <c r="S1" s="432"/>
      <c r="T1" s="432"/>
      <c r="U1" s="432"/>
    </row>
    <row r="2" spans="1:22" ht="12.75" customHeight="1" x14ac:dyDescent="0.3">
      <c r="A2" s="754" t="s">
        <v>16</v>
      </c>
      <c r="B2" s="754"/>
      <c r="C2" s="14" t="s">
        <v>691</v>
      </c>
      <c r="D2" s="430"/>
      <c r="E2" s="430"/>
      <c r="F2" s="430"/>
      <c r="G2" s="430"/>
      <c r="H2" s="430"/>
      <c r="I2" s="430"/>
      <c r="K2" s="433" t="s">
        <v>358</v>
      </c>
      <c r="L2" s="434">
        <v>1200000</v>
      </c>
      <c r="M2" s="435"/>
      <c r="N2" s="432"/>
      <c r="O2" s="432" t="s">
        <v>472</v>
      </c>
      <c r="P2" s="432"/>
      <c r="Q2" s="432"/>
      <c r="R2" s="432"/>
      <c r="S2" s="432"/>
      <c r="T2" s="432"/>
      <c r="U2" s="432"/>
    </row>
    <row r="3" spans="1:22" ht="12.75" customHeight="1" thickBot="1" x14ac:dyDescent="0.35">
      <c r="A3" s="754" t="s">
        <v>17</v>
      </c>
      <c r="B3" s="754"/>
      <c r="C3" s="17"/>
      <c r="D3" s="436"/>
      <c r="E3" s="437"/>
      <c r="F3" s="437"/>
      <c r="G3" s="437"/>
      <c r="H3" s="437"/>
      <c r="I3" s="437"/>
      <c r="K3" s="438" t="s">
        <v>357</v>
      </c>
      <c r="L3" s="439">
        <v>0</v>
      </c>
      <c r="M3" s="440">
        <f>E430</f>
        <v>857193.83333333326</v>
      </c>
      <c r="N3" s="432"/>
      <c r="O3" s="432" t="s">
        <v>473</v>
      </c>
      <c r="P3" s="432"/>
      <c r="Q3" s="432"/>
      <c r="R3" s="432"/>
      <c r="S3" s="432"/>
      <c r="T3" s="432"/>
      <c r="U3" s="432"/>
    </row>
    <row r="4" spans="1:22" ht="19.2" customHeight="1" thickBot="1" x14ac:dyDescent="0.35">
      <c r="A4" s="751" t="s">
        <v>18</v>
      </c>
      <c r="B4" s="752"/>
      <c r="C4" s="752"/>
      <c r="D4" s="752"/>
      <c r="E4" s="752"/>
      <c r="F4" s="752"/>
      <c r="G4" s="752"/>
      <c r="H4" s="752"/>
      <c r="I4" s="753"/>
      <c r="K4" s="438" t="s">
        <v>362</v>
      </c>
      <c r="L4" s="441">
        <v>0.01</v>
      </c>
      <c r="M4" s="442">
        <f>H430</f>
        <v>7840.2050000000008</v>
      </c>
      <c r="N4" s="432"/>
      <c r="O4" s="432" t="s">
        <v>474</v>
      </c>
      <c r="P4" s="432"/>
      <c r="Q4" s="432"/>
      <c r="R4" s="432"/>
      <c r="S4" s="432"/>
      <c r="T4" s="432"/>
      <c r="U4" s="432"/>
    </row>
    <row r="5" spans="1:22" ht="12.75" customHeight="1" thickBot="1" x14ac:dyDescent="0.35">
      <c r="A5" s="755" t="s">
        <v>35</v>
      </c>
      <c r="B5" s="774" t="s">
        <v>53</v>
      </c>
      <c r="C5" s="774"/>
      <c r="D5" s="774"/>
      <c r="E5" s="774"/>
      <c r="F5" s="776" t="s">
        <v>13</v>
      </c>
      <c r="G5" s="774" t="s">
        <v>19</v>
      </c>
      <c r="H5" s="772" t="s">
        <v>52</v>
      </c>
      <c r="I5" s="770" t="s">
        <v>11</v>
      </c>
      <c r="J5" s="432"/>
      <c r="K5" s="438" t="s">
        <v>360</v>
      </c>
      <c r="L5" s="443">
        <v>0.3</v>
      </c>
      <c r="M5" s="442">
        <f>F430</f>
        <v>246942.15000000002</v>
      </c>
      <c r="N5" s="432"/>
      <c r="O5" s="432"/>
      <c r="P5" s="432"/>
      <c r="Q5" s="432"/>
      <c r="R5" s="432"/>
      <c r="S5" s="432"/>
      <c r="T5" s="432"/>
      <c r="U5" s="432"/>
      <c r="V5" s="432"/>
    </row>
    <row r="6" spans="1:22" ht="12.75" customHeight="1" thickTop="1" thickBot="1" x14ac:dyDescent="0.35">
      <c r="A6" s="756"/>
      <c r="B6" s="775"/>
      <c r="C6" s="775"/>
      <c r="D6" s="775"/>
      <c r="E6" s="775"/>
      <c r="F6" s="777"/>
      <c r="G6" s="775"/>
      <c r="H6" s="773"/>
      <c r="I6" s="771"/>
      <c r="J6" s="432"/>
      <c r="K6" s="444" t="s">
        <v>352</v>
      </c>
      <c r="L6" s="445">
        <f>ABC!G33</f>
        <v>1220214.2833333332</v>
      </c>
      <c r="M6" s="432"/>
      <c r="N6" s="432"/>
      <c r="O6" s="432"/>
      <c r="P6" s="432"/>
      <c r="Q6" s="432"/>
      <c r="R6" s="432"/>
      <c r="S6" s="432"/>
      <c r="T6" s="432"/>
      <c r="U6" s="432"/>
      <c r="V6" s="432"/>
    </row>
    <row r="7" spans="1:22" s="446" customFormat="1" ht="12.75" customHeight="1" x14ac:dyDescent="0.3">
      <c r="A7" s="692" t="s">
        <v>20</v>
      </c>
      <c r="B7" s="693" t="s">
        <v>83</v>
      </c>
      <c r="C7" s="694"/>
      <c r="D7" s="694"/>
      <c r="E7" s="695"/>
      <c r="F7" s="696">
        <f>F10+F11+F12</f>
        <v>58.68</v>
      </c>
      <c r="G7" s="697" t="s">
        <v>137</v>
      </c>
      <c r="H7" s="698"/>
      <c r="I7" s="699"/>
      <c r="J7" s="432"/>
      <c r="K7" s="438" t="s">
        <v>41</v>
      </c>
      <c r="L7" s="443">
        <f>5%+0.5%+0.5%</f>
        <v>0.06</v>
      </c>
      <c r="M7" s="432"/>
      <c r="N7" s="432"/>
      <c r="O7" s="432"/>
      <c r="P7" s="432"/>
      <c r="Q7" s="432"/>
      <c r="R7" s="432"/>
      <c r="S7" s="432"/>
      <c r="T7" s="432"/>
      <c r="U7" s="432"/>
      <c r="V7" s="432"/>
    </row>
    <row r="8" spans="1:22" s="446" customFormat="1" ht="15" customHeight="1" x14ac:dyDescent="0.3">
      <c r="A8" s="447"/>
      <c r="B8" s="204" t="s">
        <v>22</v>
      </c>
      <c r="C8" s="448"/>
      <c r="D8" s="448"/>
      <c r="E8" s="449"/>
      <c r="F8" s="450"/>
      <c r="G8" s="451"/>
      <c r="H8" s="452"/>
      <c r="I8" s="453"/>
      <c r="J8" s="432"/>
      <c r="K8" s="438" t="s">
        <v>363</v>
      </c>
      <c r="L8" s="443">
        <v>0.1</v>
      </c>
      <c r="M8" s="432"/>
      <c r="N8" s="432"/>
      <c r="O8" s="432"/>
      <c r="P8" s="432"/>
      <c r="Q8" s="432"/>
      <c r="R8" s="432"/>
      <c r="S8" s="432"/>
      <c r="T8" s="432"/>
      <c r="U8" s="432"/>
      <c r="V8" s="432"/>
    </row>
    <row r="9" spans="1:22" s="446" customFormat="1" ht="15" customHeight="1" x14ac:dyDescent="0.3">
      <c r="A9" s="447"/>
      <c r="B9" s="218"/>
      <c r="C9" s="454" t="s">
        <v>507</v>
      </c>
      <c r="D9" s="455"/>
      <c r="E9" s="449"/>
      <c r="F9" s="450"/>
      <c r="G9" s="451"/>
      <c r="H9" s="452"/>
      <c r="I9" s="456"/>
      <c r="J9" s="432"/>
      <c r="K9" s="457" t="s">
        <v>359</v>
      </c>
      <c r="L9" s="445">
        <f>ABC!N33</f>
        <v>266006.71376666671</v>
      </c>
      <c r="M9" s="432"/>
      <c r="N9" s="432"/>
      <c r="O9" s="432"/>
      <c r="P9" s="432"/>
      <c r="Q9" s="432"/>
      <c r="R9" s="432"/>
      <c r="S9" s="432"/>
      <c r="T9" s="432"/>
      <c r="U9" s="432"/>
      <c r="V9" s="432"/>
    </row>
    <row r="10" spans="1:22" s="446" customFormat="1" ht="15" customHeight="1" x14ac:dyDescent="0.3">
      <c r="A10" s="447"/>
      <c r="B10" s="218"/>
      <c r="C10" s="448" t="s">
        <v>508</v>
      </c>
      <c r="D10" s="448"/>
      <c r="E10" s="449"/>
      <c r="F10" s="450">
        <v>10.68</v>
      </c>
      <c r="G10" s="451"/>
      <c r="H10" s="458"/>
      <c r="I10" s="459"/>
      <c r="J10" s="432"/>
      <c r="K10" s="457" t="s">
        <v>51</v>
      </c>
      <c r="L10" s="445">
        <f>ABC!O33</f>
        <v>1486220.9970999998</v>
      </c>
      <c r="M10" s="432"/>
      <c r="N10" s="432"/>
      <c r="O10" s="432"/>
      <c r="P10" s="432"/>
      <c r="Q10" s="432"/>
      <c r="R10" s="432"/>
      <c r="S10" s="432"/>
      <c r="T10" s="432"/>
      <c r="U10" s="432"/>
      <c r="V10" s="432"/>
    </row>
    <row r="11" spans="1:22" s="446" customFormat="1" ht="24" customHeight="1" x14ac:dyDescent="0.3">
      <c r="A11" s="447"/>
      <c r="B11" s="218"/>
      <c r="C11" s="460" t="s">
        <v>509</v>
      </c>
      <c r="D11" s="460"/>
      <c r="E11" s="449"/>
      <c r="F11" s="450">
        <v>21</v>
      </c>
      <c r="G11" s="451"/>
      <c r="H11" s="458"/>
      <c r="I11" s="459"/>
      <c r="L11" s="461"/>
    </row>
    <row r="12" spans="1:22" s="446" customFormat="1" ht="12" customHeight="1" x14ac:dyDescent="0.3">
      <c r="A12" s="447"/>
      <c r="B12" s="218"/>
      <c r="C12" s="448" t="s">
        <v>592</v>
      </c>
      <c r="D12" s="448"/>
      <c r="E12" s="449"/>
      <c r="F12" s="450">
        <v>27</v>
      </c>
      <c r="G12" s="451"/>
      <c r="H12" s="458"/>
      <c r="I12" s="459"/>
      <c r="K12" s="462"/>
      <c r="L12" s="462"/>
    </row>
    <row r="13" spans="1:22" s="446" customFormat="1" ht="18" customHeight="1" x14ac:dyDescent="0.3">
      <c r="A13" s="447"/>
      <c r="B13" s="218" t="s">
        <v>365</v>
      </c>
      <c r="C13" s="448"/>
      <c r="D13" s="448"/>
      <c r="E13" s="449"/>
      <c r="F13" s="450"/>
      <c r="G13" s="451"/>
      <c r="H13" s="458"/>
      <c r="I13" s="459"/>
    </row>
    <row r="14" spans="1:22" s="432" customFormat="1" ht="12" customHeight="1" x14ac:dyDescent="0.3">
      <c r="A14" s="447"/>
      <c r="B14" s="218"/>
      <c r="C14" s="448" t="s">
        <v>538</v>
      </c>
      <c r="D14" s="448"/>
      <c r="E14" s="449"/>
      <c r="F14" s="463">
        <f>F7</f>
        <v>58.68</v>
      </c>
      <c r="G14" s="451" t="s">
        <v>4</v>
      </c>
      <c r="H14" s="458">
        <v>200</v>
      </c>
      <c r="I14" s="464">
        <f>H14*F14</f>
        <v>11736</v>
      </c>
    </row>
    <row r="15" spans="1:22" s="432" customFormat="1" ht="12" customHeight="1" x14ac:dyDescent="0.3">
      <c r="A15" s="447"/>
      <c r="B15" s="218" t="s">
        <v>25</v>
      </c>
      <c r="C15" s="448"/>
      <c r="D15" s="448"/>
      <c r="E15" s="449"/>
      <c r="F15" s="463"/>
      <c r="G15" s="451"/>
      <c r="H15" s="458"/>
      <c r="I15" s="459"/>
    </row>
    <row r="16" spans="1:22" s="432" customFormat="1" ht="12" customHeight="1" x14ac:dyDescent="0.3">
      <c r="A16" s="447"/>
      <c r="B16" s="218"/>
      <c r="C16" s="460" t="s">
        <v>107</v>
      </c>
      <c r="D16" s="460"/>
      <c r="E16" s="465"/>
      <c r="F16" s="463">
        <f>2*2*10/12*50</f>
        <v>166.66666666666669</v>
      </c>
      <c r="G16" s="451" t="s">
        <v>69</v>
      </c>
      <c r="H16" s="458">
        <v>23</v>
      </c>
      <c r="I16" s="464">
        <f>H16*F16</f>
        <v>3833.3333333333339</v>
      </c>
    </row>
    <row r="17" spans="1:11" s="432" customFormat="1" ht="12" customHeight="1" x14ac:dyDescent="0.3">
      <c r="A17" s="447"/>
      <c r="B17" s="218"/>
      <c r="C17" s="448" t="s">
        <v>84</v>
      </c>
      <c r="D17" s="448"/>
      <c r="E17" s="449"/>
      <c r="F17" s="463">
        <v>3</v>
      </c>
      <c r="G17" s="451" t="s">
        <v>0</v>
      </c>
      <c r="H17" s="458">
        <v>80</v>
      </c>
      <c r="I17" s="464">
        <f>H17*F17</f>
        <v>240</v>
      </c>
    </row>
    <row r="18" spans="1:11" s="432" customFormat="1" ht="12" customHeight="1" x14ac:dyDescent="0.3">
      <c r="A18" s="447"/>
      <c r="B18" s="218"/>
      <c r="C18" s="448" t="s">
        <v>85</v>
      </c>
      <c r="D18" s="448"/>
      <c r="E18" s="449"/>
      <c r="F18" s="463">
        <v>3</v>
      </c>
      <c r="G18" s="451" t="s">
        <v>81</v>
      </c>
      <c r="H18" s="458">
        <v>50</v>
      </c>
      <c r="I18" s="464">
        <f>H18*F18</f>
        <v>150</v>
      </c>
    </row>
    <row r="19" spans="1:11" s="432" customFormat="1" ht="12" customHeight="1" x14ac:dyDescent="0.3">
      <c r="A19" s="447"/>
      <c r="B19" s="218"/>
      <c r="C19" s="448"/>
      <c r="D19" s="448"/>
      <c r="E19" s="449"/>
      <c r="F19" s="450"/>
      <c r="G19" s="451"/>
      <c r="H19" s="458"/>
      <c r="I19" s="464"/>
    </row>
    <row r="20" spans="1:11" s="432" customFormat="1" ht="12" customHeight="1" x14ac:dyDescent="0.3">
      <c r="A20" s="447"/>
      <c r="B20" s="218"/>
      <c r="C20" s="448"/>
      <c r="D20" s="448"/>
      <c r="E20" s="449"/>
      <c r="F20" s="466"/>
      <c r="G20" s="467"/>
      <c r="H20" s="468" t="s">
        <v>26</v>
      </c>
      <c r="I20" s="464">
        <f>SUM(I16:I18)</f>
        <v>4223.3333333333339</v>
      </c>
    </row>
    <row r="21" spans="1:11" s="432" customFormat="1" ht="12" customHeight="1" x14ac:dyDescent="0.3">
      <c r="A21" s="447"/>
      <c r="B21" s="218"/>
      <c r="C21" s="448"/>
      <c r="D21" s="448"/>
      <c r="E21" s="449"/>
      <c r="F21" s="466"/>
      <c r="G21" s="467"/>
      <c r="H21" s="468" t="s">
        <v>9</v>
      </c>
      <c r="I21" s="464">
        <f>I14</f>
        <v>11736</v>
      </c>
    </row>
    <row r="22" spans="1:11" s="432" customFormat="1" ht="12" customHeight="1" x14ac:dyDescent="0.3">
      <c r="A22" s="469"/>
      <c r="B22" s="470"/>
      <c r="C22" s="471"/>
      <c r="D22" s="471"/>
      <c r="E22" s="472"/>
      <c r="F22" s="473"/>
      <c r="G22" s="474"/>
      <c r="H22" s="475" t="s">
        <v>23</v>
      </c>
      <c r="I22" s="476">
        <f>I20+I21</f>
        <v>15959.333333333334</v>
      </c>
      <c r="K22" s="432" t="s">
        <v>34</v>
      </c>
    </row>
    <row r="23" spans="1:11" s="432" customFormat="1" ht="12" customHeight="1" x14ac:dyDescent="0.3">
      <c r="A23" s="700" t="s">
        <v>24</v>
      </c>
      <c r="B23" s="701" t="s">
        <v>435</v>
      </c>
      <c r="C23" s="702"/>
      <c r="D23" s="702"/>
      <c r="E23" s="703"/>
      <c r="F23" s="704">
        <v>14</v>
      </c>
      <c r="G23" s="705" t="s">
        <v>4</v>
      </c>
      <c r="H23" s="706"/>
      <c r="I23" s="707"/>
    </row>
    <row r="24" spans="1:11" s="432" customFormat="1" ht="12" customHeight="1" x14ac:dyDescent="0.3">
      <c r="A24" s="447"/>
      <c r="B24" s="218" t="s">
        <v>22</v>
      </c>
      <c r="C24" s="448"/>
      <c r="D24" s="448"/>
      <c r="E24" s="449"/>
      <c r="F24" s="485"/>
      <c r="G24" s="486"/>
      <c r="H24" s="487"/>
      <c r="I24" s="459"/>
    </row>
    <row r="25" spans="1:11" s="432" customFormat="1" ht="12" customHeight="1" x14ac:dyDescent="0.3">
      <c r="A25" s="447"/>
      <c r="B25" s="218"/>
      <c r="C25" s="448" t="s">
        <v>106</v>
      </c>
      <c r="D25" s="448"/>
      <c r="E25" s="449"/>
      <c r="F25" s="485"/>
      <c r="G25" s="486"/>
      <c r="H25" s="487"/>
      <c r="I25" s="459"/>
    </row>
    <row r="26" spans="1:11" s="432" customFormat="1" ht="12" customHeight="1" x14ac:dyDescent="0.3">
      <c r="A26" s="447"/>
      <c r="B26" s="218"/>
      <c r="C26" s="448" t="s">
        <v>111</v>
      </c>
      <c r="D26" s="448"/>
      <c r="E26" s="449"/>
      <c r="F26" s="485"/>
      <c r="G26" s="486"/>
      <c r="H26" s="487"/>
      <c r="I26" s="459"/>
    </row>
    <row r="27" spans="1:11" s="432" customFormat="1" ht="12" customHeight="1" x14ac:dyDescent="0.3">
      <c r="A27" s="447"/>
      <c r="B27" s="218"/>
      <c r="C27" s="448"/>
      <c r="D27" s="448"/>
      <c r="E27" s="449"/>
      <c r="F27" s="485"/>
      <c r="G27" s="486"/>
      <c r="H27" s="487"/>
      <c r="I27" s="459"/>
    </row>
    <row r="28" spans="1:11" s="432" customFormat="1" ht="12" customHeight="1" x14ac:dyDescent="0.3">
      <c r="A28" s="447"/>
      <c r="B28" s="218" t="s">
        <v>25</v>
      </c>
      <c r="C28" s="448"/>
      <c r="D28" s="448"/>
      <c r="E28" s="449"/>
      <c r="F28" s="485"/>
      <c r="G28" s="486"/>
      <c r="H28" s="487"/>
      <c r="I28" s="459"/>
    </row>
    <row r="29" spans="1:11" s="432" customFormat="1" ht="12" customHeight="1" x14ac:dyDescent="0.3">
      <c r="A29" s="447"/>
      <c r="B29" s="218"/>
      <c r="C29" s="448" t="s">
        <v>681</v>
      </c>
      <c r="D29" s="448"/>
      <c r="E29" s="449"/>
      <c r="F29" s="463">
        <f>F23</f>
        <v>14</v>
      </c>
      <c r="G29" s="451" t="s">
        <v>4</v>
      </c>
      <c r="H29" s="458">
        <v>250</v>
      </c>
      <c r="I29" s="464">
        <f>H29*F29</f>
        <v>3500</v>
      </c>
    </row>
    <row r="30" spans="1:11" s="432" customFormat="1" ht="12" customHeight="1" x14ac:dyDescent="0.3">
      <c r="A30" s="447"/>
      <c r="B30" s="218"/>
      <c r="C30" s="448"/>
      <c r="D30" s="448"/>
      <c r="E30" s="449"/>
      <c r="F30" s="450"/>
      <c r="G30" s="451"/>
      <c r="H30" s="458"/>
      <c r="I30" s="464"/>
    </row>
    <row r="31" spans="1:11" s="432" customFormat="1" ht="12" customHeight="1" x14ac:dyDescent="0.3">
      <c r="A31" s="489"/>
      <c r="B31" s="218"/>
      <c r="C31" s="448"/>
      <c r="D31" s="448"/>
      <c r="E31" s="449"/>
      <c r="F31" s="466"/>
      <c r="G31" s="467"/>
      <c r="H31" s="468" t="s">
        <v>26</v>
      </c>
      <c r="I31" s="464">
        <f>SUM(I29:I30)</f>
        <v>3500</v>
      </c>
    </row>
    <row r="32" spans="1:11" s="432" customFormat="1" ht="12" customHeight="1" x14ac:dyDescent="0.3">
      <c r="A32" s="490"/>
      <c r="B32" s="491"/>
      <c r="C32" s="492"/>
      <c r="D32" s="492"/>
      <c r="E32" s="493"/>
      <c r="F32" s="494"/>
      <c r="G32" s="495"/>
      <c r="H32" s="496" t="str">
        <f>"Hauling/Handling Cost "&amp;TEXT(L$4,"#%")&amp;" of MC"</f>
        <v>Hauling/Handling Cost 1% of MC</v>
      </c>
      <c r="I32" s="464">
        <f>L$4*I31</f>
        <v>35</v>
      </c>
    </row>
    <row r="33" spans="1:9" s="432" customFormat="1" ht="12" customHeight="1" x14ac:dyDescent="0.3">
      <c r="A33" s="489"/>
      <c r="B33" s="218"/>
      <c r="C33" s="448"/>
      <c r="D33" s="448"/>
      <c r="E33" s="449"/>
      <c r="F33" s="466"/>
      <c r="G33" s="467"/>
      <c r="H33" s="468" t="str">
        <f>"Labor Cost "&amp;TEXT(L$5,"#%")&amp;" of MC"</f>
        <v>Labor Cost 30% of MC</v>
      </c>
      <c r="I33" s="464">
        <f>L$5*I31</f>
        <v>1050</v>
      </c>
    </row>
    <row r="34" spans="1:9" s="432" customFormat="1" ht="12" customHeight="1" x14ac:dyDescent="0.3">
      <c r="A34" s="469"/>
      <c r="B34" s="470"/>
      <c r="C34" s="471"/>
      <c r="D34" s="471"/>
      <c r="E34" s="472"/>
      <c r="F34" s="473"/>
      <c r="G34" s="474"/>
      <c r="H34" s="475" t="s">
        <v>23</v>
      </c>
      <c r="I34" s="476">
        <f>I31+I32+I33</f>
        <v>4585</v>
      </c>
    </row>
    <row r="35" spans="1:9" s="432" customFormat="1" ht="12" customHeight="1" x14ac:dyDescent="0.3">
      <c r="A35" s="477" t="s">
        <v>27</v>
      </c>
      <c r="B35" s="478" t="s">
        <v>370</v>
      </c>
      <c r="C35" s="479"/>
      <c r="D35" s="479"/>
      <c r="E35" s="480"/>
      <c r="F35" s="481"/>
      <c r="G35" s="497" t="s">
        <v>112</v>
      </c>
      <c r="H35" s="483"/>
      <c r="I35" s="484"/>
    </row>
    <row r="36" spans="1:9" s="432" customFormat="1" ht="12" customHeight="1" x14ac:dyDescent="0.3">
      <c r="A36" s="447"/>
      <c r="B36" s="204" t="s">
        <v>22</v>
      </c>
      <c r="C36" s="448"/>
      <c r="D36" s="448"/>
      <c r="E36" s="449"/>
      <c r="F36" s="485"/>
      <c r="G36" s="451"/>
      <c r="H36" s="458"/>
      <c r="I36" s="464"/>
    </row>
    <row r="37" spans="1:9" s="432" customFormat="1" ht="12" customHeight="1" x14ac:dyDescent="0.3">
      <c r="A37" s="447"/>
      <c r="B37" s="204" t="s">
        <v>177</v>
      </c>
      <c r="C37" s="448"/>
      <c r="D37" s="448"/>
      <c r="E37" s="449"/>
      <c r="F37" s="485"/>
      <c r="G37" s="451"/>
      <c r="H37" s="458"/>
      <c r="I37" s="464"/>
    </row>
    <row r="38" spans="1:9" s="432" customFormat="1" ht="12" customHeight="1" x14ac:dyDescent="0.3">
      <c r="A38" s="447"/>
      <c r="B38" s="204" t="s">
        <v>178</v>
      </c>
      <c r="C38" s="448"/>
      <c r="D38" s="448"/>
      <c r="E38" s="449"/>
      <c r="F38" s="485"/>
      <c r="G38" s="451"/>
      <c r="H38" s="458"/>
      <c r="I38" s="464"/>
    </row>
    <row r="39" spans="1:9" s="432" customFormat="1" ht="12" customHeight="1" x14ac:dyDescent="0.3">
      <c r="A39" s="447"/>
      <c r="B39" s="498" t="s">
        <v>171</v>
      </c>
      <c r="C39" s="499" t="s">
        <v>555</v>
      </c>
      <c r="D39" s="448"/>
      <c r="E39" s="500"/>
      <c r="F39" s="485"/>
      <c r="G39" s="451"/>
      <c r="H39" s="458"/>
      <c r="I39" s="464"/>
    </row>
    <row r="40" spans="1:9" s="432" customFormat="1" ht="12" customHeight="1" x14ac:dyDescent="0.3">
      <c r="A40" s="447"/>
      <c r="B40" s="498" t="s">
        <v>172</v>
      </c>
      <c r="C40" s="499" t="s">
        <v>556</v>
      </c>
      <c r="D40" s="448"/>
      <c r="E40" s="500"/>
      <c r="F40" s="485"/>
      <c r="G40" s="451"/>
      <c r="H40" s="458"/>
      <c r="I40" s="464"/>
    </row>
    <row r="41" spans="1:9" s="432" customFormat="1" ht="12" customHeight="1" x14ac:dyDescent="0.3">
      <c r="A41" s="447"/>
      <c r="B41" s="498" t="s">
        <v>173</v>
      </c>
      <c r="C41" s="501" t="s">
        <v>543</v>
      </c>
      <c r="D41" s="448"/>
      <c r="E41" s="500"/>
      <c r="F41" s="485"/>
      <c r="G41" s="451"/>
      <c r="H41" s="458"/>
      <c r="I41" s="464"/>
    </row>
    <row r="42" spans="1:9" s="432" customFormat="1" ht="12" customHeight="1" x14ac:dyDescent="0.3">
      <c r="A42" s="447"/>
      <c r="B42" s="498"/>
      <c r="C42" s="501" t="s">
        <v>531</v>
      </c>
      <c r="D42" s="448"/>
      <c r="E42" s="500"/>
      <c r="F42" s="485"/>
      <c r="G42" s="451"/>
      <c r="H42" s="458"/>
      <c r="I42" s="464"/>
    </row>
    <row r="43" spans="1:9" s="432" customFormat="1" ht="12" customHeight="1" x14ac:dyDescent="0.3">
      <c r="A43" s="447"/>
      <c r="B43" s="502" t="s">
        <v>79</v>
      </c>
      <c r="C43" s="454" t="s">
        <v>401</v>
      </c>
      <c r="D43" s="448"/>
      <c r="E43" s="500"/>
      <c r="F43" s="485"/>
      <c r="G43" s="451"/>
      <c r="H43" s="458"/>
      <c r="I43" s="464"/>
    </row>
    <row r="44" spans="1:9" s="432" customFormat="1" ht="12" customHeight="1" x14ac:dyDescent="0.3">
      <c r="A44" s="447"/>
      <c r="B44" s="498" t="s">
        <v>174</v>
      </c>
      <c r="C44" s="499" t="s">
        <v>557</v>
      </c>
      <c r="D44" s="448"/>
      <c r="E44" s="500"/>
      <c r="F44" s="485"/>
      <c r="G44" s="451"/>
      <c r="H44" s="458"/>
      <c r="I44" s="464"/>
    </row>
    <row r="45" spans="1:9" s="432" customFormat="1" ht="12" customHeight="1" x14ac:dyDescent="0.3">
      <c r="A45" s="447"/>
      <c r="B45" s="503" t="s">
        <v>175</v>
      </c>
      <c r="C45" s="501" t="s">
        <v>328</v>
      </c>
      <c r="D45" s="448"/>
      <c r="E45" s="500"/>
      <c r="F45" s="485"/>
      <c r="G45" s="451"/>
      <c r="H45" s="458"/>
      <c r="I45" s="464"/>
    </row>
    <row r="46" spans="1:9" s="432" customFormat="1" ht="12" customHeight="1" x14ac:dyDescent="0.3">
      <c r="A46" s="447"/>
      <c r="B46" s="503" t="s">
        <v>558</v>
      </c>
      <c r="C46" s="501" t="s">
        <v>559</v>
      </c>
      <c r="D46" s="448"/>
      <c r="E46" s="500"/>
      <c r="F46" s="485"/>
      <c r="G46" s="451"/>
      <c r="H46" s="458"/>
      <c r="I46" s="464"/>
    </row>
    <row r="47" spans="1:9" s="432" customFormat="1" ht="12" customHeight="1" x14ac:dyDescent="0.3">
      <c r="A47" s="447"/>
      <c r="B47" s="502" t="s">
        <v>79</v>
      </c>
      <c r="C47" s="448" t="s">
        <v>108</v>
      </c>
      <c r="D47" s="448"/>
      <c r="E47" s="449"/>
      <c r="F47" s="485"/>
      <c r="G47" s="451"/>
      <c r="H47" s="458"/>
      <c r="I47" s="464"/>
    </row>
    <row r="48" spans="1:9" s="432" customFormat="1" ht="12" customHeight="1" x14ac:dyDescent="0.3">
      <c r="A48" s="447"/>
      <c r="B48" s="204"/>
      <c r="C48" s="448" t="s">
        <v>138</v>
      </c>
      <c r="D48" s="448"/>
      <c r="E48" s="449"/>
      <c r="F48" s="485"/>
      <c r="G48" s="451"/>
      <c r="H48" s="458"/>
      <c r="I48" s="464"/>
    </row>
    <row r="49" spans="1:15" s="432" customFormat="1" ht="12" customHeight="1" x14ac:dyDescent="0.3">
      <c r="A49" s="447"/>
      <c r="B49" s="204"/>
      <c r="C49" s="448" t="s">
        <v>469</v>
      </c>
      <c r="D49" s="448"/>
      <c r="E49" s="449"/>
      <c r="F49" s="485"/>
      <c r="G49" s="451"/>
      <c r="H49" s="458"/>
      <c r="I49" s="464"/>
    </row>
    <row r="50" spans="1:15" s="432" customFormat="1" ht="12" customHeight="1" x14ac:dyDescent="0.3">
      <c r="A50" s="447"/>
      <c r="B50" s="204" t="s">
        <v>25</v>
      </c>
      <c r="C50" s="460"/>
      <c r="D50" s="448"/>
      <c r="E50" s="500"/>
      <c r="F50" s="485"/>
      <c r="G50" s="451"/>
      <c r="H50" s="458"/>
      <c r="I50" s="464"/>
    </row>
    <row r="51" spans="1:15" s="432" customFormat="1" ht="12" customHeight="1" x14ac:dyDescent="0.3">
      <c r="A51" s="447"/>
      <c r="B51" s="204"/>
      <c r="C51" s="448" t="s">
        <v>3</v>
      </c>
      <c r="D51" s="448"/>
      <c r="E51" s="449"/>
      <c r="F51" s="463">
        <v>103</v>
      </c>
      <c r="G51" s="451" t="s">
        <v>2</v>
      </c>
      <c r="H51" s="458">
        <f>L61</f>
        <v>265</v>
      </c>
      <c r="I51" s="464">
        <f t="shared" ref="I51:I54" si="0">H51*F51</f>
        <v>27295</v>
      </c>
    </row>
    <row r="52" spans="1:15" s="432" customFormat="1" ht="12" customHeight="1" x14ac:dyDescent="0.3">
      <c r="A52" s="447"/>
      <c r="B52" s="204"/>
      <c r="C52" s="448" t="s">
        <v>73</v>
      </c>
      <c r="D52" s="448"/>
      <c r="E52" s="449"/>
      <c r="F52" s="463">
        <v>5.75</v>
      </c>
      <c r="G52" s="451" t="s">
        <v>4</v>
      </c>
      <c r="H52" s="458">
        <v>950</v>
      </c>
      <c r="I52" s="464">
        <f t="shared" si="0"/>
        <v>5462.5</v>
      </c>
    </row>
    <row r="53" spans="1:15" s="432" customFormat="1" ht="12" customHeight="1" x14ac:dyDescent="0.3">
      <c r="A53" s="447"/>
      <c r="B53" s="204"/>
      <c r="C53" s="448" t="s">
        <v>67</v>
      </c>
      <c r="D53" s="448"/>
      <c r="E53" s="449"/>
      <c r="F53" s="463">
        <v>11.5</v>
      </c>
      <c r="G53" s="451" t="s">
        <v>4</v>
      </c>
      <c r="H53" s="458">
        <v>950</v>
      </c>
      <c r="I53" s="464">
        <f t="shared" si="0"/>
        <v>10925</v>
      </c>
    </row>
    <row r="54" spans="1:15" s="432" customFormat="1" ht="12" customHeight="1" x14ac:dyDescent="0.3">
      <c r="A54" s="447"/>
      <c r="B54" s="204"/>
      <c r="C54" s="448" t="s">
        <v>70</v>
      </c>
      <c r="D54" s="448"/>
      <c r="E54" s="449"/>
      <c r="F54" s="463">
        <v>22</v>
      </c>
      <c r="G54" s="451" t="s">
        <v>0</v>
      </c>
      <c r="H54" s="458">
        <f t="shared" ref="H54:H58" si="1">CEILING(L64,0.5)</f>
        <v>67</v>
      </c>
      <c r="I54" s="464">
        <f t="shared" si="0"/>
        <v>1474</v>
      </c>
      <c r="K54" s="432">
        <f>6.8+8+6.8+8+6.8</f>
        <v>36.4</v>
      </c>
    </row>
    <row r="55" spans="1:15" s="432" customFormat="1" ht="12" customHeight="1" x14ac:dyDescent="0.3">
      <c r="A55" s="447"/>
      <c r="B55" s="218"/>
      <c r="C55" s="448" t="s">
        <v>189</v>
      </c>
      <c r="D55" s="448"/>
      <c r="E55" s="449"/>
      <c r="F55" s="463">
        <v>273</v>
      </c>
      <c r="G55" s="451" t="s">
        <v>179</v>
      </c>
      <c r="H55" s="458">
        <f t="shared" si="1"/>
        <v>154.5</v>
      </c>
      <c r="I55" s="464">
        <f t="shared" ref="I55" si="2">H55*F55</f>
        <v>42178.5</v>
      </c>
      <c r="O55" s="504"/>
    </row>
    <row r="56" spans="1:15" s="432" customFormat="1" ht="12" customHeight="1" x14ac:dyDescent="0.3">
      <c r="A56" s="447"/>
      <c r="B56" s="218"/>
      <c r="C56" s="448" t="s">
        <v>188</v>
      </c>
      <c r="D56" s="448"/>
      <c r="E56" s="449"/>
      <c r="F56" s="463">
        <v>36</v>
      </c>
      <c r="G56" s="451" t="s">
        <v>179</v>
      </c>
      <c r="H56" s="458">
        <f t="shared" si="1"/>
        <v>223.5</v>
      </c>
      <c r="I56" s="464">
        <f>H56*F56</f>
        <v>8046</v>
      </c>
      <c r="O56" s="504"/>
    </row>
    <row r="57" spans="1:15" s="432" customFormat="1" ht="12" customHeight="1" x14ac:dyDescent="0.3">
      <c r="A57" s="447"/>
      <c r="B57" s="218"/>
      <c r="C57" s="448" t="s">
        <v>367</v>
      </c>
      <c r="D57" s="448"/>
      <c r="E57" s="449"/>
      <c r="F57" s="463">
        <v>45</v>
      </c>
      <c r="G57" s="451" t="s">
        <v>179</v>
      </c>
      <c r="H57" s="458">
        <f t="shared" si="1"/>
        <v>396</v>
      </c>
      <c r="I57" s="464">
        <f>H57*F57</f>
        <v>17820</v>
      </c>
      <c r="O57" s="504"/>
    </row>
    <row r="58" spans="1:15" s="432" customFormat="1" ht="12" customHeight="1" x14ac:dyDescent="0.3">
      <c r="A58" s="447"/>
      <c r="B58" s="218"/>
      <c r="C58" s="448" t="s">
        <v>74</v>
      </c>
      <c r="D58" s="448"/>
      <c r="E58" s="500"/>
      <c r="F58" s="463">
        <v>3</v>
      </c>
      <c r="G58" s="451" t="s">
        <v>1</v>
      </c>
      <c r="H58" s="458">
        <f t="shared" si="1"/>
        <v>55</v>
      </c>
      <c r="I58" s="464">
        <f>H58*F58</f>
        <v>165</v>
      </c>
      <c r="O58" s="504"/>
    </row>
    <row r="59" spans="1:15" s="432" customFormat="1" ht="12" customHeight="1" x14ac:dyDescent="0.3">
      <c r="A59" s="447"/>
      <c r="B59" s="218"/>
      <c r="C59" s="448"/>
      <c r="D59" s="448"/>
      <c r="E59" s="500"/>
      <c r="F59" s="450"/>
      <c r="G59" s="451"/>
      <c r="H59" s="458"/>
      <c r="I59" s="464"/>
      <c r="O59" s="504"/>
    </row>
    <row r="60" spans="1:15" s="432" customFormat="1" ht="12" customHeight="1" x14ac:dyDescent="0.3">
      <c r="A60" s="447"/>
      <c r="B60" s="218"/>
      <c r="C60" s="448"/>
      <c r="D60" s="448"/>
      <c r="E60" s="449"/>
      <c r="F60" s="466"/>
      <c r="G60" s="467"/>
      <c r="H60" s="468" t="s">
        <v>26</v>
      </c>
      <c r="I60" s="464">
        <f>SUM(I51:I59)</f>
        <v>113366</v>
      </c>
      <c r="K60" s="505"/>
      <c r="L60" s="505"/>
    </row>
    <row r="61" spans="1:15" s="432" customFormat="1" ht="12" customHeight="1" x14ac:dyDescent="0.3">
      <c r="A61" s="507"/>
      <c r="B61" s="491"/>
      <c r="C61" s="492"/>
      <c r="D61" s="492"/>
      <c r="E61" s="493"/>
      <c r="F61" s="494"/>
      <c r="G61" s="495"/>
      <c r="H61" s="496" t="str">
        <f>"Hauling/Handling Cost "&amp;TEXT(L$4,"#%")&amp;" of MC"</f>
        <v>Hauling/Handling Cost 1% of MC</v>
      </c>
      <c r="I61" s="464">
        <f>L$4*I60</f>
        <v>1133.6600000000001</v>
      </c>
      <c r="K61" s="506">
        <v>255</v>
      </c>
      <c r="L61" s="506">
        <f>K61*(1+L$3)+10</f>
        <v>265</v>
      </c>
      <c r="N61" s="432" t="s">
        <v>3</v>
      </c>
      <c r="O61" s="432">
        <v>128</v>
      </c>
    </row>
    <row r="62" spans="1:15" s="432" customFormat="1" ht="12" customHeight="1" x14ac:dyDescent="0.3">
      <c r="A62" s="447"/>
      <c r="B62" s="218"/>
      <c r="C62" s="448"/>
      <c r="D62" s="448"/>
      <c r="E62" s="449"/>
      <c r="F62" s="466"/>
      <c r="G62" s="467"/>
      <c r="H62" s="468" t="str">
        <f>"Labor Cost "&amp;TEXT(L$5,"#%")&amp;" of MC"</f>
        <v>Labor Cost 30% of MC</v>
      </c>
      <c r="I62" s="464">
        <f>L$5*I60</f>
        <v>34009.799999999996</v>
      </c>
      <c r="K62" s="506">
        <v>900</v>
      </c>
      <c r="L62" s="506">
        <f t="shared" ref="L62:L68" si="3">K62*(1+L$3)</f>
        <v>900</v>
      </c>
      <c r="N62" s="432" t="s">
        <v>73</v>
      </c>
      <c r="O62" s="432">
        <v>8.5</v>
      </c>
    </row>
    <row r="63" spans="1:15" s="432" customFormat="1" ht="12" customHeight="1" x14ac:dyDescent="0.3">
      <c r="A63" s="469"/>
      <c r="B63" s="470"/>
      <c r="C63" s="471"/>
      <c r="D63" s="471"/>
      <c r="E63" s="472"/>
      <c r="F63" s="473"/>
      <c r="G63" s="474"/>
      <c r="H63" s="475" t="s">
        <v>23</v>
      </c>
      <c r="I63" s="476">
        <f>I60+I61+I62</f>
        <v>148509.46</v>
      </c>
      <c r="K63" s="506">
        <v>900</v>
      </c>
      <c r="L63" s="506">
        <f t="shared" si="3"/>
        <v>900</v>
      </c>
      <c r="N63" s="432" t="s">
        <v>67</v>
      </c>
      <c r="O63" s="432">
        <v>12</v>
      </c>
    </row>
    <row r="64" spans="1:15" s="432" customFormat="1" ht="12" customHeight="1" x14ac:dyDescent="0.3">
      <c r="A64" s="477" t="s">
        <v>28</v>
      </c>
      <c r="B64" s="478" t="s">
        <v>368</v>
      </c>
      <c r="C64" s="479"/>
      <c r="D64" s="479"/>
      <c r="E64" s="480"/>
      <c r="F64" s="481"/>
      <c r="G64" s="497" t="s">
        <v>371</v>
      </c>
      <c r="H64" s="483"/>
      <c r="I64" s="484"/>
      <c r="K64" s="506">
        <v>58</v>
      </c>
      <c r="L64" s="506">
        <f>K64*(1+L$3)+8.7</f>
        <v>66.7</v>
      </c>
      <c r="N64" s="432" t="s">
        <v>70</v>
      </c>
      <c r="O64" s="432">
        <v>16</v>
      </c>
    </row>
    <row r="65" spans="1:15" s="432" customFormat="1" ht="12" customHeight="1" x14ac:dyDescent="0.3">
      <c r="A65" s="447"/>
      <c r="B65" s="204" t="s">
        <v>22</v>
      </c>
      <c r="C65" s="448"/>
      <c r="D65" s="448"/>
      <c r="E65" s="449"/>
      <c r="F65" s="485"/>
      <c r="G65" s="451"/>
      <c r="H65" s="458"/>
      <c r="I65" s="464"/>
      <c r="K65" s="506">
        <v>134</v>
      </c>
      <c r="L65" s="506">
        <f>K65*(1+L$3)+20.1</f>
        <v>154.1</v>
      </c>
      <c r="N65" s="432" t="s">
        <v>332</v>
      </c>
      <c r="O65" s="432">
        <v>113</v>
      </c>
    </row>
    <row r="66" spans="1:15" s="432" customFormat="1" ht="12" customHeight="1" x14ac:dyDescent="0.3">
      <c r="A66" s="447"/>
      <c r="B66" s="218" t="s">
        <v>475</v>
      </c>
      <c r="C66" s="460"/>
      <c r="D66" s="460"/>
      <c r="E66" s="449"/>
      <c r="F66" s="450"/>
      <c r="G66" s="451"/>
      <c r="H66" s="458"/>
      <c r="I66" s="459"/>
      <c r="K66" s="506">
        <v>194</v>
      </c>
      <c r="L66" s="506">
        <f>K66*(1+L$3)+29.1</f>
        <v>223.1</v>
      </c>
      <c r="N66" s="432" t="s">
        <v>333</v>
      </c>
      <c r="O66" s="432">
        <v>23</v>
      </c>
    </row>
    <row r="67" spans="1:15" s="432" customFormat="1" ht="12" customHeight="1" x14ac:dyDescent="0.3">
      <c r="A67" s="447"/>
      <c r="B67" s="498" t="s">
        <v>171</v>
      </c>
      <c r="C67" s="460" t="s">
        <v>560</v>
      </c>
      <c r="D67" s="460"/>
      <c r="E67" s="449"/>
      <c r="F67" s="485">
        <f>(0.3*0.15)*40</f>
        <v>1.7999999999999998</v>
      </c>
      <c r="G67" s="451" t="s">
        <v>4</v>
      </c>
      <c r="H67" s="458"/>
      <c r="I67" s="459"/>
      <c r="K67" s="506">
        <v>344</v>
      </c>
      <c r="L67" s="506">
        <f>K67*(1+L$3)+51.6</f>
        <v>395.6</v>
      </c>
      <c r="N67" s="432" t="s">
        <v>334</v>
      </c>
      <c r="O67" s="432">
        <v>52</v>
      </c>
    </row>
    <row r="68" spans="1:15" s="432" customFormat="1" ht="12" customHeight="1" x14ac:dyDescent="0.3">
      <c r="A68" s="447"/>
      <c r="B68" s="498" t="s">
        <v>172</v>
      </c>
      <c r="C68" s="460" t="s">
        <v>561</v>
      </c>
      <c r="D68" s="460"/>
      <c r="E68" s="449"/>
      <c r="F68" s="485">
        <f>(0.3*0.1)*14.1</f>
        <v>0.42299999999999999</v>
      </c>
      <c r="G68" s="451" t="s">
        <v>4</v>
      </c>
      <c r="H68" s="458"/>
      <c r="I68" s="459"/>
      <c r="K68" s="506">
        <v>55</v>
      </c>
      <c r="L68" s="506">
        <f t="shared" si="3"/>
        <v>55</v>
      </c>
      <c r="N68" s="432" t="s">
        <v>74</v>
      </c>
      <c r="O68" s="432">
        <v>3</v>
      </c>
    </row>
    <row r="69" spans="1:15" s="432" customFormat="1" ht="12" customHeight="1" x14ac:dyDescent="0.3">
      <c r="A69" s="447"/>
      <c r="B69" s="218" t="s">
        <v>677</v>
      </c>
      <c r="C69" s="460"/>
      <c r="D69" s="460"/>
      <c r="E69" s="449"/>
      <c r="F69" s="450"/>
      <c r="G69" s="451"/>
      <c r="H69" s="458"/>
      <c r="I69" s="459"/>
      <c r="K69" s="508"/>
      <c r="L69" s="508" t="s">
        <v>671</v>
      </c>
    </row>
    <row r="70" spans="1:15" s="432" customFormat="1" ht="12" customHeight="1" x14ac:dyDescent="0.3">
      <c r="A70" s="510"/>
      <c r="B70" s="511" t="s">
        <v>678</v>
      </c>
      <c r="C70" s="512"/>
      <c r="D70" s="512"/>
      <c r="E70" s="513"/>
      <c r="F70" s="514"/>
      <c r="G70" s="515"/>
      <c r="H70" s="516"/>
      <c r="I70" s="517"/>
      <c r="J70" s="509"/>
    </row>
    <row r="71" spans="1:15" s="432" customFormat="1" ht="12" customHeight="1" x14ac:dyDescent="0.3">
      <c r="A71" s="447"/>
      <c r="B71" s="488" t="s">
        <v>79</v>
      </c>
      <c r="C71" s="518" t="s">
        <v>375</v>
      </c>
      <c r="D71" s="460"/>
      <c r="E71" s="449"/>
      <c r="F71" s="450"/>
      <c r="G71" s="451"/>
      <c r="H71" s="458"/>
      <c r="I71" s="459"/>
      <c r="J71" s="509"/>
    </row>
    <row r="72" spans="1:15" s="432" customFormat="1" ht="12" customHeight="1" x14ac:dyDescent="0.3">
      <c r="A72" s="447"/>
      <c r="B72" s="218"/>
      <c r="C72" s="518"/>
      <c r="D72" s="460"/>
      <c r="E72" s="449"/>
      <c r="F72" s="450"/>
      <c r="G72" s="451"/>
      <c r="H72" s="458"/>
      <c r="I72" s="459"/>
      <c r="J72" s="509"/>
    </row>
    <row r="73" spans="1:15" s="432" customFormat="1" ht="12" customHeight="1" x14ac:dyDescent="0.3">
      <c r="A73" s="447"/>
      <c r="B73" s="204" t="s">
        <v>25</v>
      </c>
      <c r="C73" s="460"/>
      <c r="D73" s="460"/>
      <c r="E73" s="449"/>
      <c r="F73" s="450"/>
      <c r="G73" s="451"/>
      <c r="H73" s="458"/>
      <c r="I73" s="459"/>
      <c r="J73" s="509"/>
    </row>
    <row r="74" spans="1:15" s="432" customFormat="1" ht="12" customHeight="1" x14ac:dyDescent="0.3">
      <c r="A74" s="447"/>
      <c r="B74" s="204"/>
      <c r="C74" s="448" t="s">
        <v>3</v>
      </c>
      <c r="D74" s="460"/>
      <c r="E74" s="449"/>
      <c r="F74" s="463">
        <v>204</v>
      </c>
      <c r="G74" s="451" t="s">
        <v>2</v>
      </c>
      <c r="H74" s="458">
        <f>L84</f>
        <v>265</v>
      </c>
      <c r="I74" s="464">
        <f t="shared" ref="I74:I82" si="4">H74*F74</f>
        <v>54060</v>
      </c>
      <c r="J74" s="509"/>
    </row>
    <row r="75" spans="1:15" s="432" customFormat="1" ht="12" customHeight="1" x14ac:dyDescent="0.3">
      <c r="A75" s="447"/>
      <c r="B75" s="204"/>
      <c r="C75" s="448" t="s">
        <v>73</v>
      </c>
      <c r="D75" s="460"/>
      <c r="E75" s="449"/>
      <c r="F75" s="463">
        <v>8</v>
      </c>
      <c r="G75" s="451" t="s">
        <v>4</v>
      </c>
      <c r="H75" s="458">
        <f t="shared" ref="H75:H82" si="5">CEILING(L85,0.5)</f>
        <v>900</v>
      </c>
      <c r="I75" s="464">
        <f t="shared" si="4"/>
        <v>7200</v>
      </c>
      <c r="J75" s="509"/>
    </row>
    <row r="76" spans="1:15" s="432" customFormat="1" ht="12" customHeight="1" x14ac:dyDescent="0.3">
      <c r="A76" s="447"/>
      <c r="B76" s="204"/>
      <c r="C76" s="448" t="s">
        <v>67</v>
      </c>
      <c r="D76" s="460"/>
      <c r="E76" s="449"/>
      <c r="F76" s="463">
        <v>2.25</v>
      </c>
      <c r="G76" s="451" t="s">
        <v>4</v>
      </c>
      <c r="H76" s="458">
        <f t="shared" si="5"/>
        <v>900</v>
      </c>
      <c r="I76" s="464">
        <f t="shared" si="4"/>
        <v>2025</v>
      </c>
      <c r="J76" s="509"/>
    </row>
    <row r="77" spans="1:15" s="432" customFormat="1" ht="12" customHeight="1" x14ac:dyDescent="0.3">
      <c r="A77" s="447"/>
      <c r="B77" s="204"/>
      <c r="C77" s="448" t="s">
        <v>65</v>
      </c>
      <c r="D77" s="460"/>
      <c r="E77" s="449"/>
      <c r="F77" s="463">
        <v>3.5</v>
      </c>
      <c r="G77" s="451" t="s">
        <v>4</v>
      </c>
      <c r="H77" s="458">
        <v>1200</v>
      </c>
      <c r="I77" s="464">
        <f t="shared" ref="I77" si="6">H77*F77</f>
        <v>4200</v>
      </c>
      <c r="K77" s="432">
        <f>6.8*2+8*2+3.7+2.9+2.6+1.65+1.9+3.7+3.2</f>
        <v>49.250000000000007</v>
      </c>
      <c r="L77" s="432">
        <f>6.8*2+8*2+2.45+2.9+1.65</f>
        <v>36.6</v>
      </c>
      <c r="N77" s="432" t="s">
        <v>374</v>
      </c>
    </row>
    <row r="78" spans="1:15" s="432" customFormat="1" ht="12" customHeight="1" x14ac:dyDescent="0.3">
      <c r="A78" s="447"/>
      <c r="B78" s="218"/>
      <c r="C78" s="448" t="s">
        <v>70</v>
      </c>
      <c r="D78" s="460"/>
      <c r="E78" s="449"/>
      <c r="F78" s="463">
        <f>4.5+2</f>
        <v>6.5</v>
      </c>
      <c r="G78" s="451" t="s">
        <v>0</v>
      </c>
      <c r="H78" s="458">
        <f t="shared" si="5"/>
        <v>67</v>
      </c>
      <c r="I78" s="464">
        <f t="shared" si="4"/>
        <v>435.5</v>
      </c>
      <c r="K78" s="432">
        <f>(2.2+2)+(1.6+4)+(1.1+1.8)</f>
        <v>12.700000000000001</v>
      </c>
      <c r="N78" s="432" t="s">
        <v>372</v>
      </c>
    </row>
    <row r="79" spans="1:15" s="432" customFormat="1" ht="12" customHeight="1" x14ac:dyDescent="0.3">
      <c r="A79" s="447"/>
      <c r="B79" s="218"/>
      <c r="C79" s="448" t="s">
        <v>189</v>
      </c>
      <c r="D79" s="460"/>
      <c r="E79" s="449"/>
      <c r="F79" s="463">
        <v>16</v>
      </c>
      <c r="G79" s="451" t="s">
        <v>179</v>
      </c>
      <c r="H79" s="458">
        <f t="shared" si="5"/>
        <v>154.5</v>
      </c>
      <c r="I79" s="464">
        <f t="shared" si="4"/>
        <v>2472</v>
      </c>
      <c r="J79" s="509"/>
      <c r="N79" s="432" t="s">
        <v>373</v>
      </c>
    </row>
    <row r="80" spans="1:15" s="432" customFormat="1" ht="12" customHeight="1" x14ac:dyDescent="0.3">
      <c r="A80" s="447"/>
      <c r="B80" s="218"/>
      <c r="C80" s="448" t="s">
        <v>188</v>
      </c>
      <c r="D80" s="460"/>
      <c r="E80" s="449"/>
      <c r="F80" s="463">
        <v>116</v>
      </c>
      <c r="G80" s="451" t="s">
        <v>179</v>
      </c>
      <c r="H80" s="458">
        <f t="shared" si="5"/>
        <v>223.5</v>
      </c>
      <c r="I80" s="464">
        <f t="shared" si="4"/>
        <v>25926</v>
      </c>
      <c r="J80" s="509"/>
    </row>
    <row r="81" spans="1:15" s="432" customFormat="1" ht="12" customHeight="1" x14ac:dyDescent="0.3">
      <c r="A81" s="447"/>
      <c r="B81" s="218"/>
      <c r="C81" s="448" t="s">
        <v>74</v>
      </c>
      <c r="D81" s="460"/>
      <c r="E81" s="449"/>
      <c r="F81" s="463">
        <v>1</v>
      </c>
      <c r="G81" s="451" t="s">
        <v>1</v>
      </c>
      <c r="H81" s="458">
        <f t="shared" si="5"/>
        <v>55</v>
      </c>
      <c r="I81" s="464">
        <f t="shared" si="4"/>
        <v>55</v>
      </c>
      <c r="J81" s="509"/>
    </row>
    <row r="82" spans="1:15" s="432" customFormat="1" ht="12" customHeight="1" x14ac:dyDescent="0.3">
      <c r="A82" s="447"/>
      <c r="B82" s="218"/>
      <c r="C82" s="448" t="s">
        <v>148</v>
      </c>
      <c r="D82" s="460"/>
      <c r="E82" s="449"/>
      <c r="F82" s="463">
        <v>1494</v>
      </c>
      <c r="G82" s="451" t="s">
        <v>1</v>
      </c>
      <c r="H82" s="458">
        <f t="shared" si="5"/>
        <v>14</v>
      </c>
      <c r="I82" s="464">
        <f t="shared" si="4"/>
        <v>20916</v>
      </c>
      <c r="J82" s="509"/>
    </row>
    <row r="83" spans="1:15" s="432" customFormat="1" ht="12" customHeight="1" x14ac:dyDescent="0.3">
      <c r="A83" s="447"/>
      <c r="B83" s="218"/>
      <c r="C83" s="448" t="s">
        <v>562</v>
      </c>
      <c r="D83" s="460"/>
      <c r="E83" s="449"/>
      <c r="F83" s="463">
        <v>284</v>
      </c>
      <c r="G83" s="451" t="s">
        <v>1</v>
      </c>
      <c r="H83" s="458">
        <v>18</v>
      </c>
      <c r="I83" s="464">
        <f t="shared" ref="I83" si="7">H83*F83</f>
        <v>5112</v>
      </c>
      <c r="J83" s="509"/>
      <c r="O83" s="432" t="s">
        <v>451</v>
      </c>
    </row>
    <row r="84" spans="1:15" s="432" customFormat="1" ht="12" customHeight="1" x14ac:dyDescent="0.3">
      <c r="A84" s="447"/>
      <c r="B84" s="218"/>
      <c r="C84" s="448"/>
      <c r="D84" s="448"/>
      <c r="E84" s="500"/>
      <c r="F84" s="450"/>
      <c r="G84" s="451"/>
      <c r="H84" s="458"/>
      <c r="I84" s="464"/>
      <c r="J84" s="509"/>
      <c r="K84" s="506">
        <v>255</v>
      </c>
      <c r="L84" s="506">
        <f>K84*(1+L$3)+10</f>
        <v>265</v>
      </c>
      <c r="N84" s="432" t="s">
        <v>3</v>
      </c>
      <c r="O84" s="432">
        <v>244</v>
      </c>
    </row>
    <row r="85" spans="1:15" s="432" customFormat="1" ht="12" customHeight="1" x14ac:dyDescent="0.3">
      <c r="A85" s="447"/>
      <c r="B85" s="218"/>
      <c r="C85" s="448"/>
      <c r="D85" s="448"/>
      <c r="E85" s="449"/>
      <c r="F85" s="466"/>
      <c r="G85" s="467"/>
      <c r="H85" s="468" t="s">
        <v>26</v>
      </c>
      <c r="I85" s="464">
        <f>SUM(I74:I84)</f>
        <v>122401.5</v>
      </c>
      <c r="J85" s="509"/>
      <c r="K85" s="506">
        <v>900</v>
      </c>
      <c r="L85" s="506">
        <f t="shared" ref="L85:L92" si="8">K85*(1+L$3)</f>
        <v>900</v>
      </c>
      <c r="N85" s="432" t="s">
        <v>73</v>
      </c>
      <c r="O85" s="432">
        <v>18</v>
      </c>
    </row>
    <row r="86" spans="1:15" s="432" customFormat="1" ht="12" customHeight="1" x14ac:dyDescent="0.3">
      <c r="A86" s="507"/>
      <c r="B86" s="491"/>
      <c r="C86" s="492"/>
      <c r="D86" s="492"/>
      <c r="E86" s="493"/>
      <c r="F86" s="494"/>
      <c r="G86" s="495"/>
      <c r="H86" s="496" t="str">
        <f>"Hauling/Handling Cost "&amp;TEXT(L$4,"#%")&amp;" of MC"</f>
        <v>Hauling/Handling Cost 1% of MC</v>
      </c>
      <c r="I86" s="464">
        <f>L$4*I85</f>
        <v>1224.0150000000001</v>
      </c>
      <c r="J86" s="509"/>
      <c r="K86" s="506">
        <v>900</v>
      </c>
      <c r="L86" s="506">
        <f t="shared" si="8"/>
        <v>900</v>
      </c>
      <c r="N86" s="432" t="s">
        <v>67</v>
      </c>
      <c r="O86" s="432">
        <v>3</v>
      </c>
    </row>
    <row r="87" spans="1:15" s="432" customFormat="1" ht="12" customHeight="1" x14ac:dyDescent="0.3">
      <c r="A87" s="447"/>
      <c r="B87" s="218"/>
      <c r="C87" s="448"/>
      <c r="D87" s="448"/>
      <c r="E87" s="449"/>
      <c r="F87" s="466"/>
      <c r="G87" s="467"/>
      <c r="H87" s="468" t="str">
        <f>"Labor Cost "&amp;TEXT(L$5,"#%")&amp;" of MC"</f>
        <v>Labor Cost 30% of MC</v>
      </c>
      <c r="I87" s="464">
        <f>L$5*I85</f>
        <v>36720.449999999997</v>
      </c>
      <c r="J87" s="509"/>
      <c r="K87" s="506"/>
      <c r="L87" s="506"/>
    </row>
    <row r="88" spans="1:15" s="432" customFormat="1" ht="12" customHeight="1" x14ac:dyDescent="0.3">
      <c r="A88" s="469"/>
      <c r="B88" s="470"/>
      <c r="C88" s="471"/>
      <c r="D88" s="471"/>
      <c r="E88" s="472"/>
      <c r="F88" s="473"/>
      <c r="G88" s="474"/>
      <c r="H88" s="475" t="s">
        <v>23</v>
      </c>
      <c r="I88" s="476">
        <f>I85+I86+I87</f>
        <v>160345.965</v>
      </c>
      <c r="J88" s="509"/>
      <c r="K88" s="506">
        <v>58</v>
      </c>
      <c r="L88" s="506">
        <f>K88*(1+L$3)+8.7</f>
        <v>66.7</v>
      </c>
      <c r="N88" s="432" t="s">
        <v>70</v>
      </c>
      <c r="O88" s="432">
        <v>6.5</v>
      </c>
    </row>
    <row r="89" spans="1:15" s="432" customFormat="1" ht="12" customHeight="1" x14ac:dyDescent="0.3">
      <c r="A89" s="477" t="s">
        <v>29</v>
      </c>
      <c r="B89" s="478" t="s">
        <v>77</v>
      </c>
      <c r="C89" s="479"/>
      <c r="D89" s="479"/>
      <c r="E89" s="480"/>
      <c r="F89" s="481"/>
      <c r="G89" s="497" t="s">
        <v>113</v>
      </c>
      <c r="H89" s="483"/>
      <c r="I89" s="484"/>
      <c r="J89" s="509"/>
      <c r="K89" s="506">
        <v>134</v>
      </c>
      <c r="L89" s="506">
        <f>K89*(1+L$3)+20.1</f>
        <v>154.1</v>
      </c>
      <c r="N89" s="432" t="s">
        <v>332</v>
      </c>
      <c r="O89" s="432">
        <v>125</v>
      </c>
    </row>
    <row r="90" spans="1:15" s="432" customFormat="1" ht="12" customHeight="1" x14ac:dyDescent="0.3">
      <c r="A90" s="447"/>
      <c r="B90" s="204" t="s">
        <v>22</v>
      </c>
      <c r="C90" s="448"/>
      <c r="D90" s="448"/>
      <c r="E90" s="449"/>
      <c r="F90" s="485"/>
      <c r="G90" s="486"/>
      <c r="H90" s="487"/>
      <c r="I90" s="459"/>
      <c r="J90" s="509"/>
      <c r="K90" s="506">
        <v>194</v>
      </c>
      <c r="L90" s="506">
        <f>K90*(1+L$3)+29.1</f>
        <v>223.1</v>
      </c>
      <c r="N90" s="432" t="s">
        <v>333</v>
      </c>
      <c r="O90" s="432">
        <v>17</v>
      </c>
    </row>
    <row r="91" spans="1:15" s="432" customFormat="1" ht="12" customHeight="1" x14ac:dyDescent="0.3">
      <c r="A91" s="447"/>
      <c r="B91" s="218"/>
      <c r="C91" s="520" t="s">
        <v>415</v>
      </c>
      <c r="D91" s="448"/>
      <c r="E91" s="449"/>
      <c r="F91" s="485"/>
      <c r="G91" s="486"/>
      <c r="H91" s="487"/>
      <c r="I91" s="459"/>
      <c r="J91" s="509"/>
      <c r="K91" s="506">
        <v>55</v>
      </c>
      <c r="L91" s="506">
        <f t="shared" si="8"/>
        <v>55</v>
      </c>
      <c r="N91" s="432" t="s">
        <v>74</v>
      </c>
      <c r="O91" s="432">
        <v>1</v>
      </c>
    </row>
    <row r="92" spans="1:15" s="432" customFormat="1" ht="12" customHeight="1" x14ac:dyDescent="0.3">
      <c r="A92" s="447"/>
      <c r="B92" s="218"/>
      <c r="C92" s="520" t="s">
        <v>672</v>
      </c>
      <c r="D92" s="521"/>
      <c r="E92" s="449"/>
      <c r="F92" s="485"/>
      <c r="G92" s="486"/>
      <c r="H92" s="487"/>
      <c r="I92" s="459"/>
      <c r="J92" s="509"/>
      <c r="K92" s="506">
        <v>14</v>
      </c>
      <c r="L92" s="506">
        <f t="shared" si="8"/>
        <v>14</v>
      </c>
      <c r="N92" s="432" t="s">
        <v>335</v>
      </c>
      <c r="O92" s="432">
        <v>1832</v>
      </c>
    </row>
    <row r="93" spans="1:15" s="432" customFormat="1" ht="12" customHeight="1" x14ac:dyDescent="0.3">
      <c r="A93" s="447"/>
      <c r="B93" s="218"/>
      <c r="C93" s="448" t="s">
        <v>673</v>
      </c>
      <c r="D93" s="448"/>
      <c r="E93" s="449"/>
      <c r="F93" s="485"/>
      <c r="G93" s="486"/>
      <c r="H93" s="487"/>
      <c r="I93" s="459"/>
      <c r="J93" s="509"/>
      <c r="K93" s="519"/>
      <c r="L93" s="519"/>
    </row>
    <row r="94" spans="1:15" s="432" customFormat="1" ht="12" customHeight="1" x14ac:dyDescent="0.3">
      <c r="A94" s="447"/>
      <c r="B94" s="218"/>
      <c r="D94" s="448"/>
      <c r="E94" s="449"/>
      <c r="F94" s="485"/>
      <c r="G94" s="486"/>
      <c r="H94" s="487"/>
      <c r="I94" s="459"/>
      <c r="J94" s="509"/>
    </row>
    <row r="95" spans="1:15" s="432" customFormat="1" ht="12" customHeight="1" x14ac:dyDescent="0.3">
      <c r="A95" s="447"/>
      <c r="B95" s="204" t="s">
        <v>25</v>
      </c>
      <c r="C95" s="448"/>
      <c r="D95" s="448"/>
      <c r="E95" s="449"/>
      <c r="F95" s="485"/>
      <c r="G95" s="486"/>
      <c r="H95" s="487"/>
      <c r="I95" s="459"/>
      <c r="J95" s="509"/>
    </row>
    <row r="96" spans="1:15" s="432" customFormat="1" ht="12" customHeight="1" x14ac:dyDescent="0.3">
      <c r="A96" s="447"/>
      <c r="B96" s="488" t="s">
        <v>563</v>
      </c>
      <c r="C96" s="448"/>
      <c r="D96" s="448"/>
      <c r="E96" s="449"/>
      <c r="F96" s="485"/>
      <c r="G96" s="451"/>
      <c r="H96" s="458"/>
      <c r="I96" s="464"/>
      <c r="J96" s="509"/>
    </row>
    <row r="97" spans="1:18" s="432" customFormat="1" ht="12" customHeight="1" x14ac:dyDescent="0.3">
      <c r="A97" s="447"/>
      <c r="B97" s="218"/>
      <c r="C97" s="520" t="s">
        <v>382</v>
      </c>
      <c r="D97" s="520"/>
      <c r="E97" s="522"/>
      <c r="F97" s="463">
        <v>47</v>
      </c>
      <c r="G97" s="523" t="s">
        <v>147</v>
      </c>
      <c r="H97" s="524">
        <f t="shared" ref="H97:H104" si="9">CEILING(L108,0.5)</f>
        <v>368</v>
      </c>
      <c r="I97" s="525">
        <f>H97*F97</f>
        <v>17296</v>
      </c>
      <c r="J97" s="509"/>
      <c r="R97" s="432">
        <v>6</v>
      </c>
    </row>
    <row r="98" spans="1:18" s="432" customFormat="1" ht="12" customHeight="1" x14ac:dyDescent="0.3">
      <c r="A98" s="447"/>
      <c r="B98" s="218"/>
      <c r="C98" s="520" t="s">
        <v>383</v>
      </c>
      <c r="D98" s="520"/>
      <c r="E98" s="522"/>
      <c r="F98" s="463">
        <v>43</v>
      </c>
      <c r="G98" s="523" t="s">
        <v>179</v>
      </c>
      <c r="H98" s="524">
        <f t="shared" si="9"/>
        <v>135</v>
      </c>
      <c r="I98" s="525">
        <f t="shared" ref="I98:I104" si="10">H98*F98</f>
        <v>5805</v>
      </c>
      <c r="J98" s="509"/>
      <c r="R98" s="432">
        <v>6</v>
      </c>
    </row>
    <row r="99" spans="1:18" s="432" customFormat="1" ht="12" customHeight="1" x14ac:dyDescent="0.3">
      <c r="A99" s="447"/>
      <c r="B99" s="218"/>
      <c r="C99" s="520" t="s">
        <v>384</v>
      </c>
      <c r="D99" s="520"/>
      <c r="E99" s="522"/>
      <c r="F99" s="463">
        <v>37</v>
      </c>
      <c r="G99" s="523" t="s">
        <v>179</v>
      </c>
      <c r="H99" s="524">
        <f t="shared" si="9"/>
        <v>155</v>
      </c>
      <c r="I99" s="525">
        <f t="shared" si="10"/>
        <v>5735</v>
      </c>
      <c r="J99" s="509"/>
    </row>
    <row r="100" spans="1:18" s="432" customFormat="1" ht="12" customHeight="1" x14ac:dyDescent="0.3">
      <c r="A100" s="447"/>
      <c r="B100" s="218"/>
      <c r="C100" s="448" t="s">
        <v>385</v>
      </c>
      <c r="D100" s="448"/>
      <c r="E100" s="449"/>
      <c r="F100" s="463">
        <v>53</v>
      </c>
      <c r="G100" s="451" t="s">
        <v>179</v>
      </c>
      <c r="H100" s="458">
        <f t="shared" si="9"/>
        <v>65</v>
      </c>
      <c r="I100" s="464">
        <f>H100*F100</f>
        <v>3445</v>
      </c>
      <c r="J100" s="509"/>
    </row>
    <row r="101" spans="1:18" s="432" customFormat="1" ht="12" customHeight="1" x14ac:dyDescent="0.3">
      <c r="A101" s="447"/>
      <c r="B101" s="218"/>
      <c r="C101" s="520" t="s">
        <v>386</v>
      </c>
      <c r="D101" s="520"/>
      <c r="E101" s="522"/>
      <c r="F101" s="463">
        <v>250</v>
      </c>
      <c r="G101" s="523" t="s">
        <v>1</v>
      </c>
      <c r="H101" s="524">
        <f t="shared" si="9"/>
        <v>5</v>
      </c>
      <c r="I101" s="525">
        <f t="shared" si="10"/>
        <v>1250</v>
      </c>
      <c r="J101" s="509"/>
    </row>
    <row r="102" spans="1:18" s="432" customFormat="1" ht="12" customHeight="1" x14ac:dyDescent="0.3">
      <c r="A102" s="447"/>
      <c r="B102" s="218"/>
      <c r="C102" s="520" t="s">
        <v>241</v>
      </c>
      <c r="D102" s="520"/>
      <c r="E102" s="522"/>
      <c r="F102" s="463">
        <v>1</v>
      </c>
      <c r="G102" s="523" t="s">
        <v>1</v>
      </c>
      <c r="H102" s="524">
        <f t="shared" si="9"/>
        <v>139</v>
      </c>
      <c r="I102" s="525">
        <f t="shared" si="10"/>
        <v>139</v>
      </c>
      <c r="J102" s="509"/>
    </row>
    <row r="103" spans="1:18" s="432" customFormat="1" ht="12" customHeight="1" x14ac:dyDescent="0.3">
      <c r="A103" s="447"/>
      <c r="B103" s="218"/>
      <c r="C103" s="520" t="s">
        <v>74</v>
      </c>
      <c r="D103" s="520"/>
      <c r="E103" s="522"/>
      <c r="F103" s="463">
        <v>3</v>
      </c>
      <c r="G103" s="523" t="s">
        <v>1</v>
      </c>
      <c r="H103" s="524">
        <f t="shared" si="9"/>
        <v>55</v>
      </c>
      <c r="I103" s="525">
        <f>H103*F103</f>
        <v>165</v>
      </c>
      <c r="J103" s="509"/>
    </row>
    <row r="104" spans="1:18" s="432" customFormat="1" ht="12" customHeight="1" x14ac:dyDescent="0.3">
      <c r="A104" s="447"/>
      <c r="B104" s="218"/>
      <c r="C104" s="520" t="s">
        <v>229</v>
      </c>
      <c r="D104" s="520"/>
      <c r="E104" s="522"/>
      <c r="F104" s="463">
        <v>1200</v>
      </c>
      <c r="G104" s="523" t="s">
        <v>1</v>
      </c>
      <c r="H104" s="524">
        <f t="shared" si="9"/>
        <v>1</v>
      </c>
      <c r="I104" s="525">
        <f t="shared" si="10"/>
        <v>1200</v>
      </c>
      <c r="J104" s="509"/>
    </row>
    <row r="105" spans="1:18" s="432" customFormat="1" ht="12" customHeight="1" x14ac:dyDescent="0.3">
      <c r="A105" s="447"/>
      <c r="B105" s="218"/>
      <c r="C105" s="520" t="s">
        <v>387</v>
      </c>
      <c r="D105" s="520"/>
      <c r="E105" s="522"/>
      <c r="F105" s="463">
        <v>585</v>
      </c>
      <c r="G105" s="523" t="s">
        <v>1</v>
      </c>
      <c r="H105" s="524">
        <f t="shared" ref="H105:H108" si="11">CEILING(L116,0.5)</f>
        <v>1.5</v>
      </c>
      <c r="I105" s="525">
        <f t="shared" ref="I105:I108" si="12">H105*F105</f>
        <v>877.5</v>
      </c>
      <c r="J105" s="509"/>
    </row>
    <row r="106" spans="1:18" s="432" customFormat="1" ht="12" customHeight="1" x14ac:dyDescent="0.3">
      <c r="A106" s="447"/>
      <c r="B106" s="218"/>
      <c r="C106" s="520" t="s">
        <v>388</v>
      </c>
      <c r="D106" s="520"/>
      <c r="E106" s="522"/>
      <c r="F106" s="463">
        <v>2</v>
      </c>
      <c r="G106" s="523" t="s">
        <v>0</v>
      </c>
      <c r="H106" s="524">
        <f t="shared" si="11"/>
        <v>60</v>
      </c>
      <c r="I106" s="525">
        <f t="shared" si="12"/>
        <v>120</v>
      </c>
      <c r="J106" s="509"/>
    </row>
    <row r="107" spans="1:18" s="432" customFormat="1" ht="12" customHeight="1" x14ac:dyDescent="0.3">
      <c r="A107" s="447"/>
      <c r="B107" s="218"/>
      <c r="C107" s="520" t="s">
        <v>389</v>
      </c>
      <c r="D107" s="520"/>
      <c r="E107" s="522"/>
      <c r="F107" s="463">
        <v>2</v>
      </c>
      <c r="G107" s="523" t="s">
        <v>1</v>
      </c>
      <c r="H107" s="524">
        <f t="shared" si="11"/>
        <v>95</v>
      </c>
      <c r="I107" s="525">
        <f t="shared" si="12"/>
        <v>190</v>
      </c>
      <c r="J107" s="509"/>
      <c r="M107" s="432">
        <f>((6.8*8)+(3.2*1.3+1*1.3+6.8*1+1*1+3.2*1+1*1+6.8*1+1*1.3)+(4.8*1.3+1*1.3+6.8*1+1*1+4.8*1))</f>
        <v>100.10000000000001</v>
      </c>
    </row>
    <row r="108" spans="1:18" s="432" customFormat="1" ht="12" customHeight="1" x14ac:dyDescent="0.3">
      <c r="A108" s="447"/>
      <c r="B108" s="218"/>
      <c r="C108" s="520" t="s">
        <v>390</v>
      </c>
      <c r="D108" s="520"/>
      <c r="E108" s="522"/>
      <c r="F108" s="463">
        <v>51</v>
      </c>
      <c r="G108" s="523" t="s">
        <v>1</v>
      </c>
      <c r="H108" s="524">
        <f t="shared" si="11"/>
        <v>2</v>
      </c>
      <c r="I108" s="525">
        <f t="shared" si="12"/>
        <v>102</v>
      </c>
      <c r="J108" s="509"/>
      <c r="K108" s="506">
        <v>368</v>
      </c>
      <c r="L108" s="506">
        <f t="shared" ref="L108:L119" si="13">K108*(1+L$3)</f>
        <v>368</v>
      </c>
      <c r="M108" s="432">
        <f>((6.8*8)+(3.2*1.3+1*1.3+6.8*1+1*1+3.2*1+1*1+6.8*1+1*1.3)+(4.8*1.3+1*1.3+6.8*1+1*1+4.8*1))/(1.2*2.4)</f>
        <v>34.75694444444445</v>
      </c>
      <c r="N108" s="432" t="s">
        <v>382</v>
      </c>
      <c r="O108" s="432">
        <v>37</v>
      </c>
      <c r="P108" s="432" t="s">
        <v>147</v>
      </c>
    </row>
    <row r="109" spans="1:18" s="432" customFormat="1" ht="12" customHeight="1" x14ac:dyDescent="0.3">
      <c r="A109" s="447"/>
      <c r="B109" s="488" t="s">
        <v>674</v>
      </c>
      <c r="C109" s="520"/>
      <c r="D109" s="520"/>
      <c r="E109" s="522"/>
      <c r="F109" s="463"/>
      <c r="G109" s="523"/>
      <c r="H109" s="524"/>
      <c r="I109" s="525"/>
      <c r="J109" s="509"/>
      <c r="K109" s="506">
        <v>135</v>
      </c>
      <c r="L109" s="506">
        <f t="shared" si="13"/>
        <v>135</v>
      </c>
      <c r="N109" s="432" t="s">
        <v>383</v>
      </c>
      <c r="O109" s="432">
        <v>72</v>
      </c>
      <c r="P109" s="432" t="s">
        <v>179</v>
      </c>
    </row>
    <row r="110" spans="1:18" s="432" customFormat="1" ht="12" customHeight="1" x14ac:dyDescent="0.3">
      <c r="A110" s="447"/>
      <c r="B110" s="218"/>
      <c r="C110" s="520" t="s">
        <v>696</v>
      </c>
      <c r="D110" s="520"/>
      <c r="E110" s="522"/>
      <c r="F110" s="463">
        <v>5</v>
      </c>
      <c r="G110" s="523" t="s">
        <v>80</v>
      </c>
      <c r="H110" s="524">
        <f>CEILING(L122,0.5)</f>
        <v>75</v>
      </c>
      <c r="I110" s="525">
        <f t="shared" ref="I110" si="14">H110*F110</f>
        <v>375</v>
      </c>
      <c r="J110" s="509"/>
      <c r="K110" s="506">
        <v>155</v>
      </c>
      <c r="L110" s="506">
        <f t="shared" si="13"/>
        <v>155</v>
      </c>
      <c r="N110" s="432" t="s">
        <v>384</v>
      </c>
      <c r="O110" s="432">
        <v>37</v>
      </c>
      <c r="P110" s="432" t="s">
        <v>179</v>
      </c>
    </row>
    <row r="111" spans="1:18" s="432" customFormat="1" ht="12" customHeight="1" x14ac:dyDescent="0.3">
      <c r="A111" s="447"/>
      <c r="B111" s="526" t="s">
        <v>306</v>
      </c>
      <c r="C111" s="448"/>
      <c r="D111" s="448"/>
      <c r="E111" s="449"/>
      <c r="F111" s="463"/>
      <c r="G111" s="486"/>
      <c r="H111" s="487"/>
      <c r="I111" s="459"/>
      <c r="J111" s="509"/>
      <c r="K111" s="506">
        <v>65</v>
      </c>
      <c r="L111" s="506">
        <f t="shared" si="13"/>
        <v>65</v>
      </c>
      <c r="N111" s="432" t="s">
        <v>385</v>
      </c>
      <c r="O111" s="432">
        <v>34</v>
      </c>
      <c r="P111" s="432" t="s">
        <v>179</v>
      </c>
    </row>
    <row r="112" spans="1:18" s="432" customFormat="1" ht="12" customHeight="1" x14ac:dyDescent="0.3">
      <c r="A112" s="447"/>
      <c r="B112" s="218"/>
      <c r="C112" s="448" t="s">
        <v>397</v>
      </c>
      <c r="D112" s="448"/>
      <c r="E112" s="449"/>
      <c r="F112" s="463">
        <f>100*2*2*10/12</f>
        <v>333.33333333333331</v>
      </c>
      <c r="G112" s="451" t="s">
        <v>69</v>
      </c>
      <c r="H112" s="458">
        <v>15</v>
      </c>
      <c r="I112" s="464">
        <f>H112*F112</f>
        <v>5000</v>
      </c>
      <c r="J112" s="509"/>
      <c r="K112" s="506">
        <v>5</v>
      </c>
      <c r="L112" s="506">
        <f t="shared" si="13"/>
        <v>5</v>
      </c>
      <c r="N112" s="432" t="s">
        <v>386</v>
      </c>
      <c r="O112" s="432">
        <v>111</v>
      </c>
      <c r="P112" s="432" t="s">
        <v>1</v>
      </c>
    </row>
    <row r="113" spans="1:16" s="432" customFormat="1" ht="12" customHeight="1" x14ac:dyDescent="0.3">
      <c r="A113" s="447"/>
      <c r="B113" s="218"/>
      <c r="C113" s="448" t="s">
        <v>398</v>
      </c>
      <c r="D113" s="448"/>
      <c r="E113" s="449"/>
      <c r="F113" s="463">
        <f>40*2*3*10/12</f>
        <v>200</v>
      </c>
      <c r="G113" s="451" t="s">
        <v>69</v>
      </c>
      <c r="H113" s="458">
        <v>15</v>
      </c>
      <c r="I113" s="464">
        <f>H113*F113</f>
        <v>3000</v>
      </c>
      <c r="J113" s="509"/>
      <c r="K113" s="506">
        <v>138.75</v>
      </c>
      <c r="L113" s="506">
        <f t="shared" si="13"/>
        <v>138.75</v>
      </c>
      <c r="N113" s="432" t="s">
        <v>241</v>
      </c>
      <c r="O113" s="432">
        <v>1</v>
      </c>
      <c r="P113" s="432" t="s">
        <v>1</v>
      </c>
    </row>
    <row r="114" spans="1:16" s="432" customFormat="1" ht="12" customHeight="1" x14ac:dyDescent="0.3">
      <c r="A114" s="447"/>
      <c r="B114" s="218"/>
      <c r="C114" s="448" t="s">
        <v>675</v>
      </c>
      <c r="D114" s="448"/>
      <c r="E114" s="449"/>
      <c r="F114" s="463">
        <v>47</v>
      </c>
      <c r="G114" s="451" t="s">
        <v>147</v>
      </c>
      <c r="H114" s="458">
        <f t="shared" ref="H114" si="15">CEILING(L131,0.5)</f>
        <v>325</v>
      </c>
      <c r="I114" s="464">
        <f>H114*F114</f>
        <v>15275</v>
      </c>
      <c r="J114" s="509"/>
      <c r="K114" s="506">
        <v>55</v>
      </c>
      <c r="L114" s="506">
        <f t="shared" si="13"/>
        <v>55</v>
      </c>
      <c r="N114" s="432" t="s">
        <v>74</v>
      </c>
      <c r="O114" s="432">
        <v>3</v>
      </c>
      <c r="P114" s="432" t="s">
        <v>1</v>
      </c>
    </row>
    <row r="115" spans="1:16" s="432" customFormat="1" ht="12" customHeight="1" x14ac:dyDescent="0.3">
      <c r="A115" s="447"/>
      <c r="B115" s="488"/>
      <c r="C115" s="448" t="s">
        <v>145</v>
      </c>
      <c r="D115" s="448"/>
      <c r="E115" s="449"/>
      <c r="F115" s="463">
        <v>2</v>
      </c>
      <c r="G115" s="451" t="s">
        <v>0</v>
      </c>
      <c r="H115" s="458">
        <v>70</v>
      </c>
      <c r="I115" s="464">
        <f>H115*F115</f>
        <v>140</v>
      </c>
      <c r="J115" s="509"/>
      <c r="K115" s="506">
        <v>0.75</v>
      </c>
      <c r="L115" s="506">
        <f t="shared" si="13"/>
        <v>0.75</v>
      </c>
      <c r="N115" s="432" t="s">
        <v>229</v>
      </c>
      <c r="O115" s="432">
        <v>1202</v>
      </c>
      <c r="P115" s="432" t="s">
        <v>1</v>
      </c>
    </row>
    <row r="116" spans="1:16" s="432" customFormat="1" ht="12" customHeight="1" x14ac:dyDescent="0.3">
      <c r="A116" s="447"/>
      <c r="B116" s="218"/>
      <c r="C116" s="448" t="s">
        <v>151</v>
      </c>
      <c r="D116" s="448"/>
      <c r="E116" s="449"/>
      <c r="F116" s="463">
        <v>20</v>
      </c>
      <c r="G116" s="451" t="s">
        <v>0</v>
      </c>
      <c r="H116" s="458">
        <v>70</v>
      </c>
      <c r="I116" s="464">
        <f t="shared" ref="I116:I118" si="16">H116*F116</f>
        <v>1400</v>
      </c>
      <c r="J116" s="509"/>
      <c r="K116" s="506">
        <v>1.5</v>
      </c>
      <c r="L116" s="506">
        <f t="shared" si="13"/>
        <v>1.5</v>
      </c>
      <c r="N116" s="432" t="s">
        <v>387</v>
      </c>
      <c r="O116" s="432">
        <v>585</v>
      </c>
      <c r="P116" s="432" t="s">
        <v>1</v>
      </c>
    </row>
    <row r="117" spans="1:16" s="432" customFormat="1" ht="12" customHeight="1" x14ac:dyDescent="0.3">
      <c r="A117" s="447"/>
      <c r="B117" s="218"/>
      <c r="C117" s="448" t="s">
        <v>110</v>
      </c>
      <c r="D117" s="448"/>
      <c r="E117" s="449"/>
      <c r="F117" s="463">
        <v>15</v>
      </c>
      <c r="G117" s="451" t="s">
        <v>0</v>
      </c>
      <c r="H117" s="458">
        <v>70</v>
      </c>
      <c r="I117" s="464">
        <f t="shared" si="16"/>
        <v>1050</v>
      </c>
      <c r="J117" s="509"/>
      <c r="K117" s="506">
        <v>60</v>
      </c>
      <c r="L117" s="506">
        <f t="shared" si="13"/>
        <v>60</v>
      </c>
      <c r="N117" s="432" t="s">
        <v>388</v>
      </c>
      <c r="O117" s="432">
        <v>2</v>
      </c>
      <c r="P117" s="432" t="s">
        <v>0</v>
      </c>
    </row>
    <row r="118" spans="1:16" s="432" customFormat="1" ht="12" customHeight="1" x14ac:dyDescent="0.3">
      <c r="A118" s="447"/>
      <c r="B118" s="218"/>
      <c r="C118" s="448" t="s">
        <v>266</v>
      </c>
      <c r="D118" s="448"/>
      <c r="E118" s="449"/>
      <c r="F118" s="463">
        <v>3</v>
      </c>
      <c r="G118" s="451" t="s">
        <v>0</v>
      </c>
      <c r="H118" s="458">
        <v>70</v>
      </c>
      <c r="I118" s="464">
        <f t="shared" si="16"/>
        <v>210</v>
      </c>
      <c r="J118" s="509"/>
      <c r="K118" s="506">
        <v>95</v>
      </c>
      <c r="L118" s="506">
        <f t="shared" si="13"/>
        <v>95</v>
      </c>
      <c r="N118" s="432" t="s">
        <v>389</v>
      </c>
      <c r="O118" s="432">
        <v>2</v>
      </c>
      <c r="P118" s="432" t="s">
        <v>1</v>
      </c>
    </row>
    <row r="119" spans="1:16" s="432" customFormat="1" ht="12" customHeight="1" x14ac:dyDescent="0.3">
      <c r="A119" s="447"/>
      <c r="B119" s="218"/>
      <c r="C119" s="448"/>
      <c r="D119" s="448"/>
      <c r="E119" s="449"/>
      <c r="F119" s="485"/>
      <c r="G119" s="451"/>
      <c r="H119" s="529"/>
      <c r="I119" s="464"/>
      <c r="J119" s="509"/>
      <c r="K119" s="506">
        <v>2</v>
      </c>
      <c r="L119" s="506">
        <f t="shared" si="13"/>
        <v>2</v>
      </c>
      <c r="N119" s="432" t="s">
        <v>390</v>
      </c>
      <c r="O119" s="432">
        <v>51</v>
      </c>
      <c r="P119" s="432" t="s">
        <v>1</v>
      </c>
    </row>
    <row r="120" spans="1:16" s="432" customFormat="1" ht="12" customHeight="1" x14ac:dyDescent="0.3">
      <c r="A120" s="447"/>
      <c r="B120" s="218"/>
      <c r="C120" s="448"/>
      <c r="D120" s="448"/>
      <c r="E120" s="449"/>
      <c r="F120" s="466"/>
      <c r="G120" s="467"/>
      <c r="H120" s="468" t="s">
        <v>26</v>
      </c>
      <c r="I120" s="464">
        <f>SUM(I97:I119)</f>
        <v>62774.5</v>
      </c>
      <c r="J120" s="527"/>
      <c r="K120" s="528"/>
      <c r="L120" s="528"/>
    </row>
    <row r="121" spans="1:16" s="432" customFormat="1" ht="12" customHeight="1" x14ac:dyDescent="0.3">
      <c r="A121" s="507"/>
      <c r="B121" s="491"/>
      <c r="C121" s="492"/>
      <c r="D121" s="492"/>
      <c r="E121" s="493"/>
      <c r="F121" s="494"/>
      <c r="G121" s="495"/>
      <c r="H121" s="496" t="str">
        <f>"Hauling/Handling Cost "&amp;TEXT(L$4,"#%")&amp;" of MC"</f>
        <v>Hauling/Handling Cost 1% of MC</v>
      </c>
      <c r="I121" s="464">
        <f>L$4*I120</f>
        <v>627.745</v>
      </c>
      <c r="J121" s="527"/>
      <c r="K121" s="506">
        <v>450</v>
      </c>
      <c r="L121" s="506">
        <f>K121*(1+L$3)</f>
        <v>450</v>
      </c>
    </row>
    <row r="122" spans="1:16" s="432" customFormat="1" ht="12" customHeight="1" x14ac:dyDescent="0.3">
      <c r="A122" s="447"/>
      <c r="B122" s="218"/>
      <c r="C122" s="448"/>
      <c r="D122" s="448"/>
      <c r="E122" s="449"/>
      <c r="F122" s="466"/>
      <c r="G122" s="467"/>
      <c r="H122" s="468" t="str">
        <f>"Labor Cost "&amp;TEXT(L$5,"#%")&amp;" of MC"</f>
        <v>Labor Cost 30% of MC</v>
      </c>
      <c r="I122" s="464">
        <f>L$5*I120</f>
        <v>18832.349999999999</v>
      </c>
      <c r="J122" s="527"/>
      <c r="K122" s="506">
        <v>75</v>
      </c>
      <c r="L122" s="506">
        <f>K122*(1+L$3)</f>
        <v>75</v>
      </c>
    </row>
    <row r="123" spans="1:16" s="432" customFormat="1" ht="12" customHeight="1" x14ac:dyDescent="0.3">
      <c r="A123" s="469"/>
      <c r="B123" s="470"/>
      <c r="C123" s="471"/>
      <c r="D123" s="471"/>
      <c r="E123" s="472"/>
      <c r="F123" s="473"/>
      <c r="G123" s="474"/>
      <c r="H123" s="475" t="s">
        <v>23</v>
      </c>
      <c r="I123" s="476">
        <f>I120+I121+I122</f>
        <v>82234.595000000001</v>
      </c>
      <c r="J123" s="527"/>
      <c r="K123" s="506">
        <v>90</v>
      </c>
      <c r="L123" s="506">
        <f>K123*(1+L$3)</f>
        <v>90</v>
      </c>
    </row>
    <row r="124" spans="1:16" s="432" customFormat="1" ht="12" customHeight="1" x14ac:dyDescent="0.3">
      <c r="A124" s="700" t="s">
        <v>31</v>
      </c>
      <c r="B124" s="701" t="s">
        <v>71</v>
      </c>
      <c r="C124" s="702"/>
      <c r="D124" s="702"/>
      <c r="E124" s="703"/>
      <c r="F124" s="704">
        <f>SUM(F131:F136)</f>
        <v>31</v>
      </c>
      <c r="G124" s="711" t="s">
        <v>87</v>
      </c>
      <c r="H124" s="706"/>
      <c r="I124" s="707"/>
      <c r="J124" s="509"/>
    </row>
    <row r="125" spans="1:16" s="432" customFormat="1" ht="12" customHeight="1" x14ac:dyDescent="0.3">
      <c r="A125" s="530"/>
      <c r="B125" s="204" t="s">
        <v>22</v>
      </c>
      <c r="C125" s="531"/>
      <c r="D125" s="531"/>
      <c r="E125" s="532"/>
      <c r="F125" s="485"/>
      <c r="G125" s="451"/>
      <c r="H125" s="452"/>
      <c r="I125" s="533"/>
      <c r="J125" s="509"/>
      <c r="K125" s="506"/>
      <c r="L125" s="506"/>
    </row>
    <row r="126" spans="1:16" s="432" customFormat="1" ht="12" customHeight="1" x14ac:dyDescent="0.3">
      <c r="A126" s="530"/>
      <c r="B126" s="534"/>
      <c r="C126" s="499" t="s">
        <v>702</v>
      </c>
      <c r="D126" s="499"/>
      <c r="E126" s="532"/>
      <c r="F126" s="485"/>
      <c r="G126" s="451"/>
      <c r="H126" s="452"/>
      <c r="I126" s="533"/>
      <c r="J126" s="509"/>
      <c r="K126" s="506"/>
      <c r="L126" s="506"/>
    </row>
    <row r="127" spans="1:16" s="432" customFormat="1" ht="12" customHeight="1" x14ac:dyDescent="0.3">
      <c r="A127" s="530"/>
      <c r="B127" s="534"/>
      <c r="C127" s="499" t="s">
        <v>703</v>
      </c>
      <c r="D127" s="499"/>
      <c r="E127" s="532"/>
      <c r="F127" s="485"/>
      <c r="G127" s="451"/>
      <c r="H127" s="452"/>
      <c r="I127" s="533"/>
      <c r="J127" s="509"/>
      <c r="K127" s="506">
        <v>44</v>
      </c>
      <c r="L127" s="506">
        <f>K127*(1+L$3)</f>
        <v>44</v>
      </c>
    </row>
    <row r="128" spans="1:16" s="432" customFormat="1" ht="12" customHeight="1" x14ac:dyDescent="0.3">
      <c r="A128" s="530"/>
      <c r="B128" s="534"/>
      <c r="C128" s="499"/>
      <c r="D128" s="499"/>
      <c r="E128" s="532"/>
      <c r="F128" s="485"/>
      <c r="G128" s="451"/>
      <c r="H128" s="452"/>
      <c r="I128" s="533"/>
      <c r="J128" s="509"/>
    </row>
    <row r="129" spans="1:15" s="432" customFormat="1" ht="12" customHeight="1" x14ac:dyDescent="0.3">
      <c r="A129" s="530"/>
      <c r="B129" s="218" t="s">
        <v>25</v>
      </c>
      <c r="C129" s="531"/>
      <c r="D129" s="531"/>
      <c r="E129" s="532"/>
      <c r="F129" s="485"/>
      <c r="G129" s="451"/>
      <c r="H129" s="452"/>
      <c r="I129" s="533"/>
      <c r="J129" s="509"/>
      <c r="K129" s="506"/>
      <c r="L129" s="506"/>
    </row>
    <row r="130" spans="1:15" s="432" customFormat="1" ht="12" customHeight="1" x14ac:dyDescent="0.3">
      <c r="A130" s="530"/>
      <c r="B130" s="488" t="s">
        <v>72</v>
      </c>
      <c r="C130" s="531"/>
      <c r="D130" s="531"/>
      <c r="E130" s="532"/>
      <c r="F130" s="485"/>
      <c r="G130" s="451"/>
      <c r="H130" s="452"/>
      <c r="I130" s="533"/>
      <c r="J130" s="509"/>
      <c r="K130" s="506"/>
      <c r="L130" s="506"/>
    </row>
    <row r="131" spans="1:15" s="432" customFormat="1" ht="12" customHeight="1" x14ac:dyDescent="0.3">
      <c r="A131" s="535"/>
      <c r="B131" s="511" t="s">
        <v>571</v>
      </c>
      <c r="C131" s="536"/>
      <c r="D131" s="536"/>
      <c r="E131" s="537"/>
      <c r="F131" s="538">
        <v>9</v>
      </c>
      <c r="G131" s="515" t="s">
        <v>10</v>
      </c>
      <c r="H131" s="516">
        <v>2300</v>
      </c>
      <c r="I131" s="539">
        <f t="shared" ref="I131" si="17">H131*F131</f>
        <v>20700</v>
      </c>
      <c r="J131" s="509"/>
      <c r="K131" s="506">
        <v>325</v>
      </c>
      <c r="L131" s="506">
        <f>K131*(1+L$3)</f>
        <v>325</v>
      </c>
    </row>
    <row r="132" spans="1:15" s="432" customFormat="1" ht="12" customHeight="1" x14ac:dyDescent="0.3">
      <c r="A132" s="530"/>
      <c r="B132" s="218" t="s">
        <v>697</v>
      </c>
      <c r="C132" s="499"/>
      <c r="D132" s="499"/>
      <c r="E132" s="540"/>
      <c r="F132" s="463">
        <v>6</v>
      </c>
      <c r="G132" s="451" t="s">
        <v>6</v>
      </c>
      <c r="H132" s="458">
        <v>2000</v>
      </c>
      <c r="I132" s="464">
        <f t="shared" ref="I132" si="18">H132*F132</f>
        <v>12000</v>
      </c>
      <c r="J132" s="509"/>
      <c r="K132" s="506">
        <v>55.75</v>
      </c>
      <c r="L132" s="506">
        <f>K132*(1+L$3)</f>
        <v>55.75</v>
      </c>
    </row>
    <row r="133" spans="1:15" s="432" customFormat="1" ht="12" customHeight="1" x14ac:dyDescent="0.3">
      <c r="A133" s="530"/>
      <c r="B133" s="218" t="s">
        <v>698</v>
      </c>
      <c r="C133" s="499"/>
      <c r="D133" s="499"/>
      <c r="E133" s="540"/>
      <c r="F133" s="463">
        <v>9</v>
      </c>
      <c r="G133" s="451" t="s">
        <v>10</v>
      </c>
      <c r="H133" s="458">
        <v>1800</v>
      </c>
      <c r="I133" s="464">
        <f t="shared" ref="I133" si="19">H133*F133</f>
        <v>16200</v>
      </c>
      <c r="J133" s="509"/>
      <c r="K133" s="506">
        <v>48</v>
      </c>
      <c r="L133" s="506">
        <f>K133*(1+L$3)</f>
        <v>48</v>
      </c>
    </row>
    <row r="134" spans="1:15" s="432" customFormat="1" ht="12" customHeight="1" x14ac:dyDescent="0.3">
      <c r="A134" s="530"/>
      <c r="B134" s="218"/>
      <c r="C134" s="499"/>
      <c r="D134" s="499"/>
      <c r="E134" s="540"/>
      <c r="F134" s="463"/>
      <c r="G134" s="451"/>
      <c r="H134" s="543"/>
      <c r="I134" s="464"/>
      <c r="J134" s="509"/>
      <c r="K134" s="506">
        <v>44</v>
      </c>
      <c r="L134" s="506">
        <f>K134*(1+L$3)</f>
        <v>44</v>
      </c>
    </row>
    <row r="135" spans="1:15" s="432" customFormat="1" ht="12" customHeight="1" x14ac:dyDescent="0.3">
      <c r="A135" s="530"/>
      <c r="B135" s="488" t="s">
        <v>136</v>
      </c>
      <c r="C135" s="460"/>
      <c r="D135" s="460"/>
      <c r="E135" s="540"/>
      <c r="F135" s="463"/>
      <c r="G135" s="451"/>
      <c r="H135" s="543"/>
      <c r="I135" s="464"/>
      <c r="J135" s="509"/>
      <c r="K135" s="506">
        <v>60</v>
      </c>
      <c r="L135" s="506">
        <f>K135*(1+L$3)</f>
        <v>60</v>
      </c>
    </row>
    <row r="136" spans="1:15" s="432" customFormat="1" ht="12" customHeight="1" x14ac:dyDescent="0.3">
      <c r="A136" s="530"/>
      <c r="B136" s="218" t="s">
        <v>699</v>
      </c>
      <c r="C136" s="499"/>
      <c r="D136" s="499"/>
      <c r="E136" s="540"/>
      <c r="F136" s="463">
        <v>7</v>
      </c>
      <c r="G136" s="451" t="s">
        <v>6</v>
      </c>
      <c r="H136" s="458">
        <v>2800</v>
      </c>
      <c r="I136" s="464">
        <f>H136*F136</f>
        <v>19600</v>
      </c>
      <c r="J136" s="509"/>
      <c r="K136" s="519"/>
      <c r="L136" s="519"/>
    </row>
    <row r="137" spans="1:15" s="432" customFormat="1" ht="12" customHeight="1" x14ac:dyDescent="0.3">
      <c r="A137" s="530"/>
      <c r="B137" s="204" t="s">
        <v>192</v>
      </c>
      <c r="C137" s="499"/>
      <c r="D137" s="499"/>
      <c r="E137" s="449"/>
      <c r="F137" s="463"/>
      <c r="G137" s="451"/>
      <c r="H137" s="543"/>
      <c r="I137" s="464"/>
      <c r="J137" s="509"/>
      <c r="N137" s="541"/>
      <c r="O137" s="542"/>
    </row>
    <row r="138" spans="1:15" s="432" customFormat="1" ht="12" customHeight="1" x14ac:dyDescent="0.3">
      <c r="A138" s="530"/>
      <c r="B138" s="218" t="s">
        <v>701</v>
      </c>
      <c r="C138" s="499"/>
      <c r="D138" s="499"/>
      <c r="E138" s="449"/>
      <c r="F138" s="463">
        <v>9</v>
      </c>
      <c r="G138" s="451" t="s">
        <v>10</v>
      </c>
      <c r="H138" s="458">
        <v>50</v>
      </c>
      <c r="I138" s="464">
        <f>H138*F138</f>
        <v>450</v>
      </c>
      <c r="J138" s="509"/>
      <c r="N138" s="541"/>
      <c r="O138" s="542"/>
    </row>
    <row r="139" spans="1:15" s="432" customFormat="1" ht="12" customHeight="1" x14ac:dyDescent="0.3">
      <c r="A139" s="530"/>
      <c r="B139" s="204" t="s">
        <v>700</v>
      </c>
      <c r="D139" s="499"/>
      <c r="E139" s="449"/>
      <c r="F139" s="463"/>
      <c r="G139" s="451"/>
      <c r="H139" s="543"/>
      <c r="I139" s="464"/>
      <c r="J139" s="509"/>
      <c r="N139" s="541"/>
      <c r="O139" s="542"/>
    </row>
    <row r="140" spans="1:15" s="432" customFormat="1" ht="12" customHeight="1" x14ac:dyDescent="0.3">
      <c r="A140" s="530"/>
      <c r="B140" s="204"/>
      <c r="C140" s="499"/>
      <c r="D140" s="499"/>
      <c r="E140" s="449"/>
      <c r="F140" s="485"/>
      <c r="G140" s="451"/>
      <c r="H140" s="543"/>
      <c r="I140" s="464"/>
      <c r="J140" s="509"/>
      <c r="N140" s="541"/>
      <c r="O140" s="542"/>
    </row>
    <row r="141" spans="1:15" s="432" customFormat="1" ht="12" customHeight="1" x14ac:dyDescent="0.3">
      <c r="A141" s="530"/>
      <c r="B141" s="218"/>
      <c r="C141" s="460"/>
      <c r="D141" s="460"/>
      <c r="E141" s="540"/>
      <c r="F141" s="466"/>
      <c r="G141" s="467"/>
      <c r="H141" s="468" t="s">
        <v>26</v>
      </c>
      <c r="I141" s="464">
        <f>SUM(I131:I139)</f>
        <v>68950</v>
      </c>
      <c r="J141" s="509"/>
    </row>
    <row r="142" spans="1:15" s="432" customFormat="1" ht="12" customHeight="1" x14ac:dyDescent="0.3">
      <c r="A142" s="544"/>
      <c r="B142" s="491"/>
      <c r="C142" s="545"/>
      <c r="D142" s="545"/>
      <c r="E142" s="546"/>
      <c r="F142" s="494"/>
      <c r="G142" s="495"/>
      <c r="H142" s="496" t="str">
        <f>"Hauling/Handling Cost "&amp;TEXT(L$4,"#%")&amp;" of MC"</f>
        <v>Hauling/Handling Cost 1% of MC</v>
      </c>
      <c r="I142" s="464"/>
      <c r="J142" s="509"/>
    </row>
    <row r="143" spans="1:15" s="432" customFormat="1" ht="12" customHeight="1" x14ac:dyDescent="0.3">
      <c r="A143" s="530"/>
      <c r="B143" s="218"/>
      <c r="C143" s="460"/>
      <c r="D143" s="460"/>
      <c r="E143" s="540"/>
      <c r="F143" s="466"/>
      <c r="G143" s="467"/>
      <c r="H143" s="468" t="str">
        <f>"Labor Cost "&amp;TEXT(L$5,"#%")&amp;" of MC"</f>
        <v>Labor Cost 30% of MC</v>
      </c>
      <c r="I143" s="464"/>
      <c r="J143" s="509"/>
    </row>
    <row r="144" spans="1:15" s="432" customFormat="1" ht="12" customHeight="1" x14ac:dyDescent="0.3">
      <c r="A144" s="469"/>
      <c r="B144" s="470"/>
      <c r="C144" s="471"/>
      <c r="D144" s="471"/>
      <c r="E144" s="472"/>
      <c r="F144" s="473"/>
      <c r="G144" s="474"/>
      <c r="H144" s="475" t="s">
        <v>23</v>
      </c>
      <c r="I144" s="476">
        <f>I141+I142+I143</f>
        <v>68950</v>
      </c>
      <c r="J144" s="509"/>
    </row>
    <row r="145" spans="1:14" s="432" customFormat="1" ht="12" customHeight="1" x14ac:dyDescent="0.3">
      <c r="A145" s="477" t="s">
        <v>32</v>
      </c>
      <c r="B145" s="478" t="s">
        <v>676</v>
      </c>
      <c r="C145" s="479"/>
      <c r="D145" s="479"/>
      <c r="E145" s="480"/>
      <c r="F145" s="481"/>
      <c r="G145" s="482" t="s">
        <v>21</v>
      </c>
      <c r="H145" s="483"/>
      <c r="I145" s="484"/>
      <c r="J145" s="509"/>
    </row>
    <row r="146" spans="1:14" s="432" customFormat="1" ht="12" customHeight="1" x14ac:dyDescent="0.3">
      <c r="A146" s="530"/>
      <c r="B146" s="204" t="s">
        <v>22</v>
      </c>
      <c r="C146" s="460"/>
      <c r="D146" s="460"/>
      <c r="E146" s="540"/>
      <c r="F146" s="485"/>
      <c r="G146" s="451"/>
      <c r="H146" s="487"/>
      <c r="I146" s="459"/>
      <c r="J146" s="509"/>
    </row>
    <row r="147" spans="1:14" s="432" customFormat="1" ht="12" customHeight="1" x14ac:dyDescent="0.3">
      <c r="A147" s="530"/>
      <c r="B147" s="204"/>
      <c r="C147" s="460" t="s">
        <v>419</v>
      </c>
      <c r="D147" s="460"/>
      <c r="E147" s="540"/>
      <c r="F147" s="485"/>
      <c r="G147" s="451"/>
      <c r="H147" s="487"/>
      <c r="I147" s="459"/>
      <c r="J147" s="509"/>
    </row>
    <row r="148" spans="1:14" s="432" customFormat="1" ht="12" customHeight="1" x14ac:dyDescent="0.3">
      <c r="A148" s="530"/>
      <c r="B148" s="204"/>
      <c r="C148" s="460" t="s">
        <v>420</v>
      </c>
      <c r="D148" s="460"/>
      <c r="E148" s="540"/>
      <c r="F148" s="485"/>
      <c r="G148" s="451"/>
      <c r="H148" s="487"/>
      <c r="I148" s="459"/>
      <c r="J148" s="509"/>
    </row>
    <row r="149" spans="1:14" s="432" customFormat="1" ht="12" customHeight="1" x14ac:dyDescent="0.3">
      <c r="A149" s="530"/>
      <c r="B149" s="204"/>
      <c r="C149" s="460" t="s">
        <v>573</v>
      </c>
      <c r="D149" s="460"/>
      <c r="E149" s="540"/>
      <c r="F149" s="485"/>
      <c r="G149" s="451"/>
      <c r="H149" s="487"/>
      <c r="I149" s="459"/>
      <c r="J149" s="509"/>
    </row>
    <row r="150" spans="1:14" s="432" customFormat="1" ht="12" customHeight="1" x14ac:dyDescent="0.3">
      <c r="A150" s="530"/>
      <c r="B150" s="204"/>
      <c r="C150" s="460" t="s">
        <v>574</v>
      </c>
      <c r="D150" s="460"/>
      <c r="E150" s="540"/>
      <c r="F150" s="485"/>
      <c r="G150" s="451"/>
      <c r="H150" s="487"/>
      <c r="I150" s="459"/>
      <c r="J150" s="509"/>
    </row>
    <row r="151" spans="1:14" s="432" customFormat="1" ht="12" customHeight="1" x14ac:dyDescent="0.3">
      <c r="A151" s="530"/>
      <c r="B151" s="204"/>
      <c r="C151" s="460" t="s">
        <v>679</v>
      </c>
      <c r="D151" s="460"/>
      <c r="E151" s="540"/>
      <c r="F151" s="485"/>
      <c r="G151" s="451"/>
      <c r="H151" s="487">
        <v>17.5</v>
      </c>
      <c r="I151" s="459">
        <v>70</v>
      </c>
      <c r="J151" s="509"/>
    </row>
    <row r="152" spans="1:14" s="432" customFormat="1" ht="12" customHeight="1" x14ac:dyDescent="0.3">
      <c r="A152" s="530"/>
      <c r="B152" s="204"/>
      <c r="C152" s="460"/>
      <c r="D152" s="460"/>
      <c r="E152" s="540"/>
      <c r="F152" s="485"/>
      <c r="G152" s="451"/>
      <c r="H152" s="487">
        <v>7.2</v>
      </c>
      <c r="I152" s="459">
        <v>28.8</v>
      </c>
      <c r="J152" s="509"/>
    </row>
    <row r="153" spans="1:14" s="432" customFormat="1" ht="12" customHeight="1" x14ac:dyDescent="0.3">
      <c r="A153" s="530"/>
      <c r="B153" s="204" t="s">
        <v>25</v>
      </c>
      <c r="C153" s="460"/>
      <c r="D153" s="460"/>
      <c r="E153" s="540"/>
      <c r="F153" s="485"/>
      <c r="G153" s="451"/>
      <c r="H153" s="487"/>
      <c r="I153" s="459"/>
      <c r="J153" s="509"/>
    </row>
    <row r="154" spans="1:14" s="432" customFormat="1" ht="12" customHeight="1" x14ac:dyDescent="0.3">
      <c r="A154" s="530"/>
      <c r="B154" s="547" t="s">
        <v>418</v>
      </c>
      <c r="C154" s="460"/>
      <c r="D154" s="460"/>
      <c r="E154" s="540"/>
      <c r="F154" s="485"/>
      <c r="G154" s="451"/>
      <c r="H154" s="487"/>
      <c r="I154" s="459"/>
      <c r="J154" s="509"/>
      <c r="K154" s="506">
        <f>1235*2*110%</f>
        <v>2717</v>
      </c>
      <c r="L154" s="506">
        <f>K154*(1+L$3)</f>
        <v>2717</v>
      </c>
      <c r="M154" s="432" t="s">
        <v>302</v>
      </c>
    </row>
    <row r="155" spans="1:14" s="432" customFormat="1" ht="12" customHeight="1" x14ac:dyDescent="0.3">
      <c r="A155" s="530"/>
      <c r="B155" s="502"/>
      <c r="C155" s="460" t="s">
        <v>575</v>
      </c>
      <c r="D155" s="460"/>
      <c r="E155" s="540"/>
      <c r="F155" s="463">
        <v>11</v>
      </c>
      <c r="G155" s="451" t="s">
        <v>179</v>
      </c>
      <c r="H155" s="458">
        <v>750</v>
      </c>
      <c r="I155" s="464">
        <f t="shared" ref="I155:I160" si="20">H155*F155</f>
        <v>8250</v>
      </c>
      <c r="J155" s="509"/>
      <c r="M155" s="432">
        <f>165+35*13</f>
        <v>620</v>
      </c>
      <c r="N155" s="432">
        <f>120+35*6</f>
        <v>330</v>
      </c>
    </row>
    <row r="156" spans="1:14" s="432" customFormat="1" ht="12" customHeight="1" x14ac:dyDescent="0.3">
      <c r="A156" s="530"/>
      <c r="B156" s="502"/>
      <c r="C156" s="460" t="s">
        <v>576</v>
      </c>
      <c r="D156" s="460"/>
      <c r="E156" s="540"/>
      <c r="F156" s="463">
        <v>11</v>
      </c>
      <c r="G156" s="451" t="s">
        <v>179</v>
      </c>
      <c r="H156" s="458">
        <v>525</v>
      </c>
      <c r="I156" s="464">
        <f t="shared" ref="I156" si="21">H156*F156</f>
        <v>5775</v>
      </c>
      <c r="J156" s="509"/>
      <c r="K156" s="506">
        <f>1235*110%</f>
        <v>1358.5</v>
      </c>
      <c r="L156" s="506">
        <f>K156*(1+L$3)</f>
        <v>1358.5</v>
      </c>
      <c r="M156" s="432" t="s">
        <v>303</v>
      </c>
    </row>
    <row r="157" spans="1:14" s="432" customFormat="1" ht="12" customHeight="1" x14ac:dyDescent="0.3">
      <c r="A157" s="530"/>
      <c r="B157" s="502"/>
      <c r="C157" s="460" t="s">
        <v>399</v>
      </c>
      <c r="D157" s="460"/>
      <c r="E157" s="540"/>
      <c r="F157" s="463">
        <v>32</v>
      </c>
      <c r="G157" s="451" t="s">
        <v>179</v>
      </c>
      <c r="H157" s="458">
        <f t="shared" ref="H157:H164" si="22">CEILING(L177,0.5)</f>
        <v>713</v>
      </c>
      <c r="I157" s="464">
        <f t="shared" si="20"/>
        <v>22816</v>
      </c>
      <c r="J157" s="509"/>
      <c r="M157" s="432">
        <f>715+40*13</f>
        <v>1235</v>
      </c>
      <c r="N157" s="432">
        <f>435+40*6</f>
        <v>675</v>
      </c>
    </row>
    <row r="158" spans="1:14" s="432" customFormat="1" ht="12" customHeight="1" x14ac:dyDescent="0.3">
      <c r="A158" s="530"/>
      <c r="B158" s="502"/>
      <c r="C158" s="460" t="s">
        <v>309</v>
      </c>
      <c r="D158" s="460"/>
      <c r="E158" s="540"/>
      <c r="F158" s="463">
        <v>4</v>
      </c>
      <c r="G158" s="451" t="s">
        <v>179</v>
      </c>
      <c r="H158" s="458">
        <f>CEILING(L178,0.5)</f>
        <v>223.5</v>
      </c>
      <c r="I158" s="464">
        <f>H158*F158</f>
        <v>894</v>
      </c>
      <c r="J158" s="509"/>
      <c r="K158" s="506">
        <f>675*110%</f>
        <v>742.50000000000011</v>
      </c>
      <c r="L158" s="506">
        <f>K158*(1+L$3)</f>
        <v>742.50000000000011</v>
      </c>
    </row>
    <row r="159" spans="1:14" s="432" customFormat="1" ht="12" customHeight="1" x14ac:dyDescent="0.3">
      <c r="A159" s="530"/>
      <c r="B159" s="502"/>
      <c r="C159" s="460" t="s">
        <v>307</v>
      </c>
      <c r="D159" s="460"/>
      <c r="E159" s="540"/>
      <c r="F159" s="463">
        <v>21</v>
      </c>
      <c r="G159" s="451" t="s">
        <v>179</v>
      </c>
      <c r="H159" s="458">
        <f t="shared" si="22"/>
        <v>499</v>
      </c>
      <c r="I159" s="464">
        <f t="shared" si="20"/>
        <v>10479</v>
      </c>
      <c r="J159" s="509"/>
    </row>
    <row r="160" spans="1:14" s="432" customFormat="1" ht="12" customHeight="1" x14ac:dyDescent="0.3">
      <c r="A160" s="530"/>
      <c r="B160" s="502"/>
      <c r="C160" s="460" t="s">
        <v>308</v>
      </c>
      <c r="D160" s="460"/>
      <c r="E160" s="540"/>
      <c r="F160" s="463">
        <v>10</v>
      </c>
      <c r="G160" s="451" t="s">
        <v>179</v>
      </c>
      <c r="H160" s="458">
        <f t="shared" si="22"/>
        <v>155.5</v>
      </c>
      <c r="I160" s="464">
        <f t="shared" si="20"/>
        <v>1555</v>
      </c>
      <c r="J160" s="509"/>
    </row>
    <row r="161" spans="1:13" s="432" customFormat="1" ht="12" customHeight="1" x14ac:dyDescent="0.3">
      <c r="A161" s="530"/>
      <c r="B161" s="502" t="s">
        <v>465</v>
      </c>
      <c r="C161" s="460"/>
      <c r="D161" s="460"/>
      <c r="E161" s="540"/>
      <c r="F161" s="463"/>
      <c r="G161" s="451"/>
      <c r="H161" s="458"/>
      <c r="I161" s="464"/>
      <c r="J161" s="509"/>
    </row>
    <row r="162" spans="1:13" s="432" customFormat="1" ht="12" customHeight="1" x14ac:dyDescent="0.3">
      <c r="A162" s="530"/>
      <c r="B162" s="502"/>
      <c r="C162" s="460" t="s">
        <v>342</v>
      </c>
      <c r="D162" s="460"/>
      <c r="E162" s="548"/>
      <c r="F162" s="463">
        <v>5</v>
      </c>
      <c r="G162" s="523" t="s">
        <v>179</v>
      </c>
      <c r="H162" s="458">
        <f t="shared" si="22"/>
        <v>1600</v>
      </c>
      <c r="I162" s="464">
        <f>H162*F162</f>
        <v>8000</v>
      </c>
      <c r="J162" s="509"/>
    </row>
    <row r="163" spans="1:13" s="432" customFormat="1" ht="12" customHeight="1" x14ac:dyDescent="0.3">
      <c r="A163" s="530"/>
      <c r="B163" s="502"/>
      <c r="C163" s="460" t="s">
        <v>343</v>
      </c>
      <c r="D163" s="460"/>
      <c r="E163" s="548"/>
      <c r="F163" s="463">
        <v>4</v>
      </c>
      <c r="G163" s="523" t="s">
        <v>1</v>
      </c>
      <c r="H163" s="458">
        <f t="shared" si="22"/>
        <v>120</v>
      </c>
      <c r="I163" s="464">
        <f>H163*F163</f>
        <v>480</v>
      </c>
      <c r="J163" s="509"/>
    </row>
    <row r="164" spans="1:13" s="432" customFormat="1" ht="12" customHeight="1" x14ac:dyDescent="0.3">
      <c r="A164" s="530"/>
      <c r="B164" s="502"/>
      <c r="C164" s="460" t="s">
        <v>464</v>
      </c>
      <c r="D164" s="460"/>
      <c r="E164" s="548"/>
      <c r="F164" s="463">
        <f>(3+3+2+1)+4</f>
        <v>13</v>
      </c>
      <c r="G164" s="523" t="s">
        <v>1</v>
      </c>
      <c r="H164" s="458">
        <f t="shared" si="22"/>
        <v>90</v>
      </c>
      <c r="I164" s="464">
        <f>H164*F164</f>
        <v>1170</v>
      </c>
      <c r="J164" s="509"/>
    </row>
    <row r="165" spans="1:13" s="432" customFormat="1" ht="12" customHeight="1" x14ac:dyDescent="0.3">
      <c r="A165" s="530"/>
      <c r="B165" s="502" t="s">
        <v>79</v>
      </c>
      <c r="C165" s="550" t="s">
        <v>409</v>
      </c>
      <c r="D165" s="520"/>
      <c r="E165" s="549"/>
      <c r="F165" s="463"/>
      <c r="G165" s="523"/>
      <c r="H165" s="458"/>
      <c r="I165" s="464"/>
      <c r="J165" s="509"/>
      <c r="K165" s="432">
        <f>5.4*9.3+5.85*9.3</f>
        <v>104.625</v>
      </c>
    </row>
    <row r="166" spans="1:13" s="432" customFormat="1" ht="12" customHeight="1" x14ac:dyDescent="0.3">
      <c r="A166" s="530"/>
      <c r="B166" s="502" t="s">
        <v>467</v>
      </c>
      <c r="C166" s="454"/>
      <c r="D166" s="520"/>
      <c r="E166" s="549"/>
      <c r="F166" s="463"/>
      <c r="G166" s="523"/>
      <c r="H166" s="458"/>
      <c r="I166" s="464"/>
      <c r="J166" s="509"/>
    </row>
    <row r="167" spans="1:13" s="432" customFormat="1" ht="12" customHeight="1" x14ac:dyDescent="0.3">
      <c r="A167" s="530"/>
      <c r="B167" s="502"/>
      <c r="C167" s="460" t="s">
        <v>98</v>
      </c>
      <c r="D167" s="460"/>
      <c r="E167" s="540"/>
      <c r="F167" s="463">
        <v>5</v>
      </c>
      <c r="G167" s="451" t="s">
        <v>7</v>
      </c>
      <c r="H167" s="458">
        <f>CEILING(L192,0.5)</f>
        <v>440</v>
      </c>
      <c r="I167" s="464">
        <f>H167*F167</f>
        <v>2200</v>
      </c>
      <c r="J167" s="509"/>
    </row>
    <row r="168" spans="1:13" s="432" customFormat="1" ht="12" customHeight="1" x14ac:dyDescent="0.3">
      <c r="A168" s="530"/>
      <c r="B168" s="502"/>
      <c r="C168" s="460" t="s">
        <v>8</v>
      </c>
      <c r="D168" s="460"/>
      <c r="E168" s="540"/>
      <c r="F168" s="463">
        <v>2</v>
      </c>
      <c r="G168" s="451" t="s">
        <v>7</v>
      </c>
      <c r="H168" s="458">
        <f>CEILING(L193,0.5)</f>
        <v>160</v>
      </c>
      <c r="I168" s="464">
        <f>H168*F168</f>
        <v>320</v>
      </c>
      <c r="J168" s="509"/>
    </row>
    <row r="169" spans="1:13" s="432" customFormat="1" ht="12" customHeight="1" x14ac:dyDescent="0.3">
      <c r="A169" s="530"/>
      <c r="B169" s="502"/>
      <c r="C169" s="454" t="s">
        <v>105</v>
      </c>
      <c r="D169" s="520"/>
      <c r="E169" s="549"/>
      <c r="F169" s="463">
        <v>3</v>
      </c>
      <c r="G169" s="523" t="s">
        <v>1</v>
      </c>
      <c r="H169" s="458">
        <f>CEILING(L194,0.5)</f>
        <v>30</v>
      </c>
      <c r="I169" s="464">
        <f>H169*F169</f>
        <v>90</v>
      </c>
      <c r="J169" s="509"/>
    </row>
    <row r="170" spans="1:13" s="432" customFormat="1" ht="12" customHeight="1" x14ac:dyDescent="0.3">
      <c r="A170" s="530"/>
      <c r="B170" s="502" t="s">
        <v>463</v>
      </c>
      <c r="C170" s="460"/>
      <c r="D170" s="460"/>
      <c r="E170" s="540"/>
      <c r="F170" s="463"/>
      <c r="G170" s="523"/>
      <c r="H170" s="458"/>
      <c r="I170" s="464"/>
      <c r="J170" s="509"/>
    </row>
    <row r="171" spans="1:13" s="432" customFormat="1" ht="12" customHeight="1" x14ac:dyDescent="0.3">
      <c r="A171" s="530"/>
      <c r="B171" s="502"/>
      <c r="C171" s="460" t="s">
        <v>109</v>
      </c>
      <c r="D171" s="460"/>
      <c r="E171" s="540"/>
      <c r="F171" s="463">
        <v>0.5</v>
      </c>
      <c r="G171" s="451" t="s">
        <v>146</v>
      </c>
      <c r="H171" s="458">
        <f>CEILING(L196,0.5)</f>
        <v>2450</v>
      </c>
      <c r="I171" s="464">
        <f>H171*F171</f>
        <v>1225</v>
      </c>
      <c r="J171" s="509"/>
    </row>
    <row r="172" spans="1:13" s="432" customFormat="1" ht="12" customHeight="1" x14ac:dyDescent="0.3">
      <c r="A172" s="530"/>
      <c r="B172" s="502"/>
      <c r="C172" s="460" t="s">
        <v>193</v>
      </c>
      <c r="D172" s="460"/>
      <c r="E172" s="540"/>
      <c r="F172" s="463">
        <v>1</v>
      </c>
      <c r="G172" s="451" t="s">
        <v>68</v>
      </c>
      <c r="H172" s="458">
        <f>CEILING(L197,0.5)</f>
        <v>144</v>
      </c>
      <c r="I172" s="464">
        <f>H172*F172</f>
        <v>144</v>
      </c>
      <c r="J172" s="509"/>
    </row>
    <row r="173" spans="1:13" s="432" customFormat="1" ht="12" customHeight="1" x14ac:dyDescent="0.3">
      <c r="A173" s="530"/>
      <c r="B173" s="502"/>
      <c r="C173" s="460" t="s">
        <v>210</v>
      </c>
      <c r="D173" s="460"/>
      <c r="E173" s="540"/>
      <c r="F173" s="463">
        <v>1</v>
      </c>
      <c r="G173" s="451" t="s">
        <v>68</v>
      </c>
      <c r="H173" s="458">
        <f>CEILING(L198,0.5)</f>
        <v>120</v>
      </c>
      <c r="I173" s="464">
        <f>H173*F173</f>
        <v>120</v>
      </c>
      <c r="J173" s="509"/>
    </row>
    <row r="174" spans="1:13" s="432" customFormat="1" ht="12" customHeight="1" x14ac:dyDescent="0.3">
      <c r="A174" s="530"/>
      <c r="B174" s="502"/>
      <c r="C174" s="460"/>
      <c r="D174" s="460"/>
      <c r="E174" s="540"/>
      <c r="F174" s="450"/>
      <c r="G174" s="451"/>
      <c r="H174" s="458"/>
      <c r="I174" s="464"/>
      <c r="J174" s="509"/>
    </row>
    <row r="175" spans="1:13" s="432" customFormat="1" ht="12" customHeight="1" x14ac:dyDescent="0.3">
      <c r="A175" s="530"/>
      <c r="B175" s="502"/>
      <c r="C175" s="460"/>
      <c r="D175" s="460"/>
      <c r="E175" s="540"/>
      <c r="F175" s="466"/>
      <c r="G175" s="467"/>
      <c r="H175" s="468" t="s">
        <v>26</v>
      </c>
      <c r="I175" s="464">
        <f>SUM(I155:I174)</f>
        <v>63518</v>
      </c>
      <c r="J175" s="509"/>
      <c r="K175" s="506">
        <v>1005</v>
      </c>
      <c r="L175" s="506">
        <f>K175*(1+L$3)+112.5</f>
        <v>1117.5</v>
      </c>
      <c r="M175" s="432">
        <f>(9.3*2)*4/6</f>
        <v>12.4</v>
      </c>
    </row>
    <row r="176" spans="1:13" s="432" customFormat="1" ht="12" customHeight="1" x14ac:dyDescent="0.3">
      <c r="A176" s="544"/>
      <c r="B176" s="491"/>
      <c r="C176" s="545"/>
      <c r="D176" s="545"/>
      <c r="E176" s="546"/>
      <c r="F176" s="494"/>
      <c r="G176" s="495"/>
      <c r="H176" s="496" t="str">
        <f>"Hauling/Handling Cost "&amp;TEXT(L$4,"#%")&amp;" of MC"</f>
        <v>Hauling/Handling Cost 1% of MC</v>
      </c>
      <c r="I176" s="464">
        <f>L$4*I175</f>
        <v>635.18000000000006</v>
      </c>
      <c r="J176" s="509"/>
      <c r="K176" s="506"/>
      <c r="L176" s="506"/>
    </row>
    <row r="177" spans="1:15" s="432" customFormat="1" ht="12" customHeight="1" x14ac:dyDescent="0.3">
      <c r="A177" s="530"/>
      <c r="B177" s="218"/>
      <c r="C177" s="460"/>
      <c r="D177" s="460"/>
      <c r="E177" s="540"/>
      <c r="F177" s="466"/>
      <c r="G177" s="467"/>
      <c r="H177" s="468" t="str">
        <f>"Labor Cost "&amp;TEXT(L$5,"#%")&amp;" of MC"</f>
        <v>Labor Cost 30% of MC</v>
      </c>
      <c r="I177" s="464">
        <f>L$5*I175</f>
        <v>19055.399999999998</v>
      </c>
      <c r="J177" s="509"/>
      <c r="K177" s="506">
        <v>620</v>
      </c>
      <c r="L177" s="506">
        <f>K177*(1+L$3)+93</f>
        <v>713</v>
      </c>
      <c r="M177" s="551">
        <f>(16*5.4+16*5.9)/6</f>
        <v>30.133333333333336</v>
      </c>
    </row>
    <row r="178" spans="1:15" s="432" customFormat="1" ht="12" customHeight="1" x14ac:dyDescent="0.3">
      <c r="A178" s="469"/>
      <c r="B178" s="470"/>
      <c r="C178" s="471"/>
      <c r="D178" s="471"/>
      <c r="E178" s="472"/>
      <c r="F178" s="473"/>
      <c r="G178" s="474"/>
      <c r="H178" s="475" t="s">
        <v>23</v>
      </c>
      <c r="I178" s="476">
        <f>I175+I176+I177</f>
        <v>83208.58</v>
      </c>
      <c r="J178" s="509"/>
      <c r="K178" s="506">
        <v>194</v>
      </c>
      <c r="L178" s="506">
        <f>K178*(1+L$3)+29.1</f>
        <v>223.1</v>
      </c>
    </row>
    <row r="179" spans="1:15" s="432" customFormat="1" ht="12" customHeight="1" x14ac:dyDescent="0.3">
      <c r="A179" s="700" t="s">
        <v>82</v>
      </c>
      <c r="B179" s="701" t="s">
        <v>75</v>
      </c>
      <c r="C179" s="702"/>
      <c r="D179" s="702"/>
      <c r="E179" s="703"/>
      <c r="F179" s="704">
        <v>221</v>
      </c>
      <c r="G179" s="705" t="s">
        <v>228</v>
      </c>
      <c r="H179" s="706"/>
      <c r="I179" s="707"/>
      <c r="J179" s="509"/>
      <c r="K179" s="506">
        <v>433.5</v>
      </c>
      <c r="L179" s="506">
        <f>K179*(1+L$3)+65.03</f>
        <v>498.53</v>
      </c>
      <c r="M179" s="432">
        <f>5.4*2+9.3*2+5.85*2+9.3*2</f>
        <v>59.7</v>
      </c>
      <c r="N179" s="432">
        <f>M179*2</f>
        <v>119.4</v>
      </c>
      <c r="O179" s="432">
        <f>N179/6</f>
        <v>19.900000000000002</v>
      </c>
    </row>
    <row r="180" spans="1:15" s="432" customFormat="1" ht="12" customHeight="1" x14ac:dyDescent="0.3">
      <c r="A180" s="530"/>
      <c r="B180" s="204" t="s">
        <v>22</v>
      </c>
      <c r="C180" s="460"/>
      <c r="D180" s="460"/>
      <c r="E180" s="540"/>
      <c r="F180" s="450"/>
      <c r="G180" s="451"/>
      <c r="H180" s="458"/>
      <c r="I180" s="464"/>
      <c r="J180" s="509"/>
      <c r="K180" s="506">
        <v>135</v>
      </c>
      <c r="L180" s="506">
        <f>K180*(1+L$3)+20.25</f>
        <v>155.25</v>
      </c>
      <c r="N180" s="432">
        <f>M179/0.3</f>
        <v>199.00000000000003</v>
      </c>
      <c r="O180" s="432">
        <f>N180*0.25/6</f>
        <v>8.2916666666666679</v>
      </c>
    </row>
    <row r="181" spans="1:15" s="432" customFormat="1" ht="12" customHeight="1" x14ac:dyDescent="0.3">
      <c r="A181" s="530"/>
      <c r="B181" s="502"/>
      <c r="C181" s="460" t="s">
        <v>693</v>
      </c>
      <c r="D181" s="460"/>
      <c r="E181" s="540"/>
      <c r="F181" s="450"/>
      <c r="G181" s="451"/>
      <c r="H181" s="458"/>
      <c r="I181" s="464"/>
    </row>
    <row r="182" spans="1:15" s="432" customFormat="1" ht="12" customHeight="1" x14ac:dyDescent="0.3">
      <c r="A182" s="530"/>
      <c r="B182" s="502"/>
      <c r="C182" s="460" t="s">
        <v>695</v>
      </c>
      <c r="D182" s="460"/>
      <c r="E182" s="540"/>
      <c r="F182" s="450"/>
      <c r="G182" s="451"/>
      <c r="H182" s="458"/>
      <c r="I182" s="464"/>
      <c r="J182" s="509"/>
      <c r="K182" s="506">
        <v>1600</v>
      </c>
      <c r="L182" s="506">
        <f>K182*(1+L$3)</f>
        <v>1600</v>
      </c>
      <c r="M182" s="505">
        <f>((4*2)*2+0.9*6+(2+0.4)*2+0.9*3)/6</f>
        <v>4.8166666666666664</v>
      </c>
    </row>
    <row r="183" spans="1:15" s="432" customFormat="1" ht="12" customHeight="1" x14ac:dyDescent="0.3">
      <c r="A183" s="530"/>
      <c r="B183" s="502"/>
      <c r="C183" s="460" t="s">
        <v>694</v>
      </c>
      <c r="D183" s="460"/>
      <c r="E183" s="540"/>
      <c r="F183" s="450"/>
      <c r="G183" s="451"/>
      <c r="H183" s="458"/>
      <c r="I183" s="464"/>
      <c r="J183" s="509"/>
      <c r="K183" s="506">
        <v>120</v>
      </c>
      <c r="L183" s="506">
        <f>K183*(1+L$3)</f>
        <v>120</v>
      </c>
    </row>
    <row r="184" spans="1:15" s="432" customFormat="1" ht="12" customHeight="1" x14ac:dyDescent="0.3">
      <c r="A184" s="530"/>
      <c r="B184" s="502"/>
      <c r="C184" s="460"/>
      <c r="D184" s="460"/>
      <c r="E184" s="540"/>
      <c r="F184" s="450"/>
      <c r="G184" s="451"/>
      <c r="H184" s="458"/>
      <c r="I184" s="464"/>
      <c r="J184" s="509"/>
      <c r="K184" s="506">
        <v>90</v>
      </c>
      <c r="L184" s="506">
        <f>K184*(1+L$3)</f>
        <v>90</v>
      </c>
    </row>
    <row r="185" spans="1:15" s="432" customFormat="1" ht="12" customHeight="1" x14ac:dyDescent="0.3">
      <c r="A185" s="530"/>
      <c r="B185" s="204" t="s">
        <v>25</v>
      </c>
      <c r="C185" s="460"/>
      <c r="D185" s="460"/>
      <c r="E185" s="540"/>
      <c r="F185" s="450"/>
      <c r="G185" s="451"/>
      <c r="H185" s="458"/>
      <c r="I185" s="464"/>
      <c r="J185" s="509"/>
    </row>
    <row r="186" spans="1:15" s="432" customFormat="1" ht="12" customHeight="1" x14ac:dyDescent="0.3">
      <c r="A186" s="530"/>
      <c r="B186" s="502"/>
      <c r="C186" s="460" t="s">
        <v>410</v>
      </c>
      <c r="D186" s="460"/>
      <c r="E186" s="540"/>
      <c r="F186" s="463">
        <f>F179</f>
        <v>221</v>
      </c>
      <c r="G186" s="451" t="s">
        <v>228</v>
      </c>
      <c r="H186" s="458">
        <v>250</v>
      </c>
      <c r="I186" s="464">
        <f>H186*F186</f>
        <v>55250</v>
      </c>
      <c r="J186" s="509"/>
    </row>
    <row r="187" spans="1:15" s="432" customFormat="1" ht="12" customHeight="1" x14ac:dyDescent="0.3">
      <c r="A187" s="535"/>
      <c r="B187" s="552"/>
      <c r="C187" s="512" t="s">
        <v>234</v>
      </c>
      <c r="D187" s="512"/>
      <c r="E187" s="537"/>
      <c r="F187" s="538">
        <v>19</v>
      </c>
      <c r="G187" s="515" t="s">
        <v>179</v>
      </c>
      <c r="H187" s="516">
        <f>CEILING(L212,0.5)</f>
        <v>584.5</v>
      </c>
      <c r="I187" s="539">
        <f>H187*F187</f>
        <v>11105.5</v>
      </c>
      <c r="J187" s="509"/>
    </row>
    <row r="188" spans="1:15" s="432" customFormat="1" ht="12" customHeight="1" x14ac:dyDescent="0.3">
      <c r="A188" s="530"/>
      <c r="B188" s="502"/>
      <c r="C188" s="460" t="s">
        <v>393</v>
      </c>
      <c r="D188" s="460"/>
      <c r="E188" s="540"/>
      <c r="F188" s="463">
        <v>10</v>
      </c>
      <c r="G188" s="451" t="s">
        <v>179</v>
      </c>
      <c r="H188" s="458">
        <f>CEILING(L213,0.5)</f>
        <v>584.5</v>
      </c>
      <c r="I188" s="464">
        <f>H188*F188</f>
        <v>5845</v>
      </c>
      <c r="J188" s="509"/>
    </row>
    <row r="189" spans="1:15" s="432" customFormat="1" ht="12" customHeight="1" x14ac:dyDescent="0.3">
      <c r="A189" s="530"/>
      <c r="B189" s="502"/>
      <c r="C189" s="460" t="s">
        <v>180</v>
      </c>
      <c r="D189" s="460"/>
      <c r="E189" s="540"/>
      <c r="F189" s="463">
        <v>1380</v>
      </c>
      <c r="G189" s="451" t="s">
        <v>1</v>
      </c>
      <c r="H189" s="458">
        <f t="shared" ref="H189" si="23">CEILING(L214,0.5)</f>
        <v>3</v>
      </c>
      <c r="I189" s="464">
        <f t="shared" ref="I189" si="24">H189*F189</f>
        <v>4140</v>
      </c>
      <c r="J189" s="509"/>
    </row>
    <row r="190" spans="1:15" s="432" customFormat="1" ht="12" customHeight="1" x14ac:dyDescent="0.3">
      <c r="A190" s="530"/>
      <c r="B190" s="502"/>
      <c r="C190" s="460" t="s">
        <v>229</v>
      </c>
      <c r="D190" s="460"/>
      <c r="E190" s="540"/>
      <c r="F190" s="463">
        <v>1</v>
      </c>
      <c r="G190" s="451" t="s">
        <v>146</v>
      </c>
      <c r="H190" s="458">
        <v>250</v>
      </c>
      <c r="I190" s="464">
        <f>H190*F190</f>
        <v>250</v>
      </c>
      <c r="J190" s="509"/>
    </row>
    <row r="191" spans="1:15" s="432" customFormat="1" ht="12" customHeight="1" x14ac:dyDescent="0.3">
      <c r="A191" s="530"/>
      <c r="B191" s="502"/>
      <c r="C191" s="460" t="s">
        <v>230</v>
      </c>
      <c r="D191" s="460"/>
      <c r="E191" s="540"/>
      <c r="F191" s="463">
        <v>2</v>
      </c>
      <c r="G191" s="451" t="s">
        <v>231</v>
      </c>
      <c r="H191" s="458">
        <f>CEILING(L216,0.5)</f>
        <v>408.5</v>
      </c>
      <c r="I191" s="464">
        <f>H191*F191</f>
        <v>817</v>
      </c>
      <c r="J191" s="509"/>
    </row>
    <row r="192" spans="1:15" s="432" customFormat="1" ht="12" customHeight="1" x14ac:dyDescent="0.3">
      <c r="A192" s="530"/>
      <c r="B192" s="502"/>
      <c r="C192" s="460" t="s">
        <v>232</v>
      </c>
      <c r="D192" s="460"/>
      <c r="E192" s="540"/>
      <c r="F192" s="463">
        <v>2</v>
      </c>
      <c r="G192" s="451" t="s">
        <v>233</v>
      </c>
      <c r="H192" s="458">
        <f>CEILING(L217,0.5)</f>
        <v>322</v>
      </c>
      <c r="I192" s="464">
        <f>H192*F192</f>
        <v>644</v>
      </c>
      <c r="J192" s="509"/>
      <c r="K192" s="506">
        <v>440</v>
      </c>
      <c r="L192" s="506">
        <f>K192*(1+L$3)</f>
        <v>440</v>
      </c>
      <c r="N192" s="432">
        <f>F155*(0.064*4)*6+F157*(0.05+0.1+0.05+0.05+0.1+0.05)*6+F159*(0.035*4)*6+F160*(0.025*2)*6+F158*(0.075)*6+F162*(0.3)*6</f>
        <v>125.136</v>
      </c>
      <c r="O192" s="432">
        <f>N192/25</f>
        <v>5.0054400000000001</v>
      </c>
    </row>
    <row r="193" spans="1:12" s="432" customFormat="1" ht="12" customHeight="1" x14ac:dyDescent="0.3">
      <c r="A193" s="530"/>
      <c r="B193" s="502"/>
      <c r="C193" s="460"/>
      <c r="D193" s="460"/>
      <c r="E193" s="540"/>
      <c r="F193" s="450"/>
      <c r="G193" s="451"/>
      <c r="H193" s="458"/>
      <c r="I193" s="464"/>
      <c r="J193" s="509"/>
      <c r="K193" s="506">
        <v>160</v>
      </c>
      <c r="L193" s="506">
        <f>K193*(1+L$3)</f>
        <v>160</v>
      </c>
    </row>
    <row r="194" spans="1:12" s="432" customFormat="1" ht="12" customHeight="1" x14ac:dyDescent="0.3">
      <c r="A194" s="530"/>
      <c r="B194" s="502"/>
      <c r="C194" s="460"/>
      <c r="D194" s="460"/>
      <c r="E194" s="540"/>
      <c r="F194" s="466"/>
      <c r="G194" s="467"/>
      <c r="H194" s="468" t="s">
        <v>26</v>
      </c>
      <c r="I194" s="464">
        <f>SUM(I186:I193)</f>
        <v>78051.5</v>
      </c>
      <c r="J194" s="509"/>
      <c r="K194" s="506">
        <v>30</v>
      </c>
      <c r="L194" s="506">
        <f>K194*(1+L$3)</f>
        <v>30</v>
      </c>
    </row>
    <row r="195" spans="1:12" s="432" customFormat="1" ht="12" customHeight="1" x14ac:dyDescent="0.3">
      <c r="A195" s="544"/>
      <c r="B195" s="553"/>
      <c r="C195" s="545"/>
      <c r="D195" s="545"/>
      <c r="E195" s="546"/>
      <c r="F195" s="494"/>
      <c r="G195" s="495"/>
      <c r="H195" s="496" t="str">
        <f>"Hauling/Handling Cost "&amp;TEXT(L$4,"#%")&amp;" of MC"</f>
        <v>Hauling/Handling Cost 1% of MC</v>
      </c>
      <c r="I195" s="464">
        <f>L$4*I194</f>
        <v>780.51499999999999</v>
      </c>
      <c r="J195" s="509"/>
    </row>
    <row r="196" spans="1:12" s="432" customFormat="1" ht="12" customHeight="1" x14ac:dyDescent="0.3">
      <c r="A196" s="530"/>
      <c r="B196" s="502"/>
      <c r="C196" s="460"/>
      <c r="D196" s="460"/>
      <c r="E196" s="540"/>
      <c r="F196" s="466"/>
      <c r="G196" s="467"/>
      <c r="H196" s="468" t="str">
        <f>"Labor Cost "&amp;TEXT(L$5,"#%")&amp;" of MC"</f>
        <v>Labor Cost 30% of MC</v>
      </c>
      <c r="I196" s="464">
        <f>L$5*I194</f>
        <v>23415.45</v>
      </c>
      <c r="J196" s="509"/>
      <c r="K196" s="506">
        <v>2450</v>
      </c>
      <c r="L196" s="506">
        <f>K196*(1+L$3)</f>
        <v>2450</v>
      </c>
    </row>
    <row r="197" spans="1:12" s="432" customFormat="1" ht="12" customHeight="1" x14ac:dyDescent="0.3">
      <c r="A197" s="469"/>
      <c r="B197" s="470"/>
      <c r="C197" s="471"/>
      <c r="D197" s="471"/>
      <c r="E197" s="472"/>
      <c r="F197" s="473"/>
      <c r="G197" s="474"/>
      <c r="H197" s="475" t="s">
        <v>23</v>
      </c>
      <c r="I197" s="476">
        <f>I194+I195+I196</f>
        <v>102247.465</v>
      </c>
      <c r="J197" s="509"/>
      <c r="K197" s="506">
        <v>144</v>
      </c>
      <c r="L197" s="506">
        <f>K197*(1+L$3)</f>
        <v>144</v>
      </c>
    </row>
    <row r="198" spans="1:12" s="432" customFormat="1" ht="12" customHeight="1" x14ac:dyDescent="0.3">
      <c r="A198" s="709" t="s">
        <v>88</v>
      </c>
      <c r="B198" s="710" t="s">
        <v>30</v>
      </c>
      <c r="C198" s="702"/>
      <c r="D198" s="702"/>
      <c r="E198" s="703"/>
      <c r="F198" s="704">
        <v>352.21</v>
      </c>
      <c r="G198" s="705" t="s">
        <v>76</v>
      </c>
      <c r="H198" s="706"/>
      <c r="I198" s="707"/>
      <c r="J198" s="509"/>
      <c r="K198" s="506">
        <v>120</v>
      </c>
      <c r="L198" s="506">
        <f>K198*(1+L$3)</f>
        <v>120</v>
      </c>
    </row>
    <row r="199" spans="1:12" s="432" customFormat="1" ht="12" customHeight="1" x14ac:dyDescent="0.3">
      <c r="A199" s="708"/>
      <c r="B199" s="204" t="s">
        <v>22</v>
      </c>
      <c r="C199" s="460"/>
      <c r="D199" s="460"/>
      <c r="E199" s="465"/>
      <c r="F199" s="485"/>
      <c r="G199" s="554"/>
      <c r="H199" s="555"/>
      <c r="I199" s="464"/>
      <c r="J199" s="509"/>
    </row>
    <row r="200" spans="1:12" s="432" customFormat="1" ht="12" customHeight="1" x14ac:dyDescent="0.3">
      <c r="A200" s="708"/>
      <c r="B200" s="204"/>
      <c r="C200" s="448" t="s">
        <v>683</v>
      </c>
      <c r="D200" s="448"/>
      <c r="E200" s="465"/>
      <c r="F200" s="485"/>
      <c r="G200" s="554"/>
      <c r="H200" s="555"/>
      <c r="I200" s="464"/>
      <c r="J200" s="509"/>
    </row>
    <row r="201" spans="1:12" s="432" customFormat="1" ht="12" customHeight="1" x14ac:dyDescent="0.3">
      <c r="A201" s="708"/>
      <c r="B201" s="204"/>
      <c r="C201" s="448" t="s">
        <v>682</v>
      </c>
      <c r="D201" s="448"/>
      <c r="E201" s="465"/>
      <c r="F201" s="485"/>
      <c r="G201" s="554"/>
      <c r="H201" s="555"/>
      <c r="I201" s="464"/>
      <c r="J201" s="509"/>
    </row>
    <row r="202" spans="1:12" s="432" customFormat="1" ht="12" customHeight="1" x14ac:dyDescent="0.3">
      <c r="A202" s="708"/>
      <c r="B202" s="204"/>
      <c r="C202" s="448" t="s">
        <v>684</v>
      </c>
      <c r="D202" s="448"/>
      <c r="E202" s="465"/>
      <c r="F202" s="485"/>
      <c r="G202" s="554"/>
      <c r="H202" s="555"/>
      <c r="I202" s="464"/>
      <c r="J202" s="509"/>
    </row>
    <row r="203" spans="1:12" s="432" customFormat="1" ht="12" customHeight="1" x14ac:dyDescent="0.3">
      <c r="A203" s="530"/>
      <c r="B203" s="204"/>
      <c r="C203" s="455"/>
      <c r="D203" s="455"/>
      <c r="E203" s="465"/>
      <c r="F203" s="485"/>
      <c r="G203" s="554"/>
      <c r="H203" s="555"/>
      <c r="I203" s="464"/>
      <c r="J203" s="509"/>
    </row>
    <row r="204" spans="1:12" s="432" customFormat="1" ht="12" customHeight="1" x14ac:dyDescent="0.3">
      <c r="A204" s="530"/>
      <c r="B204" s="204" t="s">
        <v>25</v>
      </c>
      <c r="C204" s="460"/>
      <c r="D204" s="460"/>
      <c r="E204" s="465"/>
      <c r="F204" s="485"/>
      <c r="G204" s="554"/>
      <c r="H204" s="555"/>
      <c r="I204" s="464"/>
      <c r="J204" s="509"/>
    </row>
    <row r="205" spans="1:12" s="432" customFormat="1" ht="12" customHeight="1" x14ac:dyDescent="0.3">
      <c r="A205" s="530"/>
      <c r="B205" s="502" t="s">
        <v>442</v>
      </c>
      <c r="C205" s="460"/>
      <c r="D205" s="460"/>
      <c r="E205" s="465"/>
      <c r="F205" s="485"/>
      <c r="G205" s="554"/>
      <c r="H205" s="555"/>
      <c r="I205" s="464"/>
      <c r="J205" s="509"/>
    </row>
    <row r="206" spans="1:12" s="432" customFormat="1" ht="12" customHeight="1" x14ac:dyDescent="0.3">
      <c r="A206" s="530"/>
      <c r="B206" s="502" t="s">
        <v>79</v>
      </c>
      <c r="C206" s="518" t="s">
        <v>685</v>
      </c>
      <c r="D206" s="518"/>
      <c r="E206" s="465"/>
      <c r="F206" s="485"/>
      <c r="G206" s="554"/>
      <c r="H206" s="555"/>
      <c r="I206" s="464"/>
      <c r="J206" s="509"/>
    </row>
    <row r="207" spans="1:12" s="432" customFormat="1" ht="12" customHeight="1" x14ac:dyDescent="0.3">
      <c r="A207" s="530"/>
      <c r="B207" s="502"/>
      <c r="C207" s="518" t="s">
        <v>577</v>
      </c>
      <c r="D207" s="518"/>
      <c r="E207" s="465"/>
      <c r="F207" s="485"/>
      <c r="G207" s="554"/>
      <c r="H207" s="555"/>
      <c r="I207" s="464"/>
      <c r="J207" s="509"/>
    </row>
    <row r="208" spans="1:12" s="432" customFormat="1" ht="12" customHeight="1" x14ac:dyDescent="0.3">
      <c r="A208" s="530"/>
      <c r="B208" s="502"/>
      <c r="C208" s="518" t="s">
        <v>445</v>
      </c>
      <c r="D208" s="518"/>
      <c r="E208" s="465"/>
      <c r="F208" s="485"/>
      <c r="G208" s="554"/>
      <c r="H208" s="555"/>
      <c r="I208" s="464"/>
      <c r="J208" s="509"/>
    </row>
    <row r="209" spans="1:15" s="432" customFormat="1" ht="12" customHeight="1" x14ac:dyDescent="0.3">
      <c r="A209" s="530"/>
      <c r="B209" s="502" t="s">
        <v>443</v>
      </c>
      <c r="C209" s="448"/>
      <c r="D209" s="448"/>
      <c r="E209" s="465"/>
      <c r="F209" s="463"/>
      <c r="G209" s="554"/>
      <c r="H209" s="555"/>
      <c r="I209" s="464"/>
      <c r="J209" s="509"/>
    </row>
    <row r="210" spans="1:15" s="432" customFormat="1" ht="12" customHeight="1" x14ac:dyDescent="0.3">
      <c r="A210" s="530"/>
      <c r="B210" s="502" t="s">
        <v>79</v>
      </c>
      <c r="C210" s="561" t="s">
        <v>444</v>
      </c>
      <c r="D210" s="448"/>
      <c r="E210" s="465"/>
      <c r="F210" s="463"/>
      <c r="G210" s="554"/>
      <c r="H210" s="555"/>
      <c r="I210" s="464"/>
      <c r="J210" s="509"/>
      <c r="L210" s="556">
        <v>-0.2</v>
      </c>
      <c r="M210" s="432">
        <f>5.4/1.05</f>
        <v>5.1428571428571432</v>
      </c>
      <c r="N210" s="557">
        <f>5*9.3</f>
        <v>46.5</v>
      </c>
      <c r="O210" s="558"/>
    </row>
    <row r="211" spans="1:15" s="432" customFormat="1" ht="12" customHeight="1" x14ac:dyDescent="0.3">
      <c r="A211" s="530"/>
      <c r="B211" s="502" t="s">
        <v>578</v>
      </c>
      <c r="C211" s="518"/>
      <c r="D211" s="518"/>
      <c r="E211" s="465"/>
      <c r="F211" s="485"/>
      <c r="G211" s="554"/>
      <c r="H211" s="555"/>
      <c r="I211" s="464"/>
      <c r="J211" s="509"/>
      <c r="K211" s="506">
        <v>520</v>
      </c>
      <c r="L211" s="506">
        <f>K211*(1+L$210)+62.4</f>
        <v>478.4</v>
      </c>
      <c r="M211" s="432">
        <f>5.85/1.05</f>
        <v>5.5714285714285712</v>
      </c>
      <c r="N211" s="557">
        <f>5.5*9.3</f>
        <v>51.150000000000006</v>
      </c>
      <c r="O211" s="558">
        <f>N210+N211</f>
        <v>97.65</v>
      </c>
    </row>
    <row r="212" spans="1:15" s="432" customFormat="1" ht="12" customHeight="1" x14ac:dyDescent="0.3">
      <c r="A212" s="530"/>
      <c r="B212" s="204"/>
      <c r="C212" s="448" t="s">
        <v>688</v>
      </c>
      <c r="D212" s="448"/>
      <c r="E212" s="465"/>
      <c r="F212" s="463">
        <v>510</v>
      </c>
      <c r="G212" s="554" t="s">
        <v>1</v>
      </c>
      <c r="H212" s="555">
        <v>20</v>
      </c>
      <c r="I212" s="464">
        <f t="shared" ref="I212:I221" si="25">H212*F212</f>
        <v>10200</v>
      </c>
      <c r="J212" s="509"/>
      <c r="K212" s="506">
        <v>635</v>
      </c>
      <c r="L212" s="506">
        <f>K212*(1+L$210)+76.2</f>
        <v>584.20000000000005</v>
      </c>
      <c r="M212" s="432">
        <f>6.8*3.28</f>
        <v>22.303999999999998</v>
      </c>
      <c r="N212" s="557">
        <f>M212/8</f>
        <v>2.7879999999999998</v>
      </c>
      <c r="O212" s="558"/>
    </row>
    <row r="213" spans="1:15" s="432" customFormat="1" ht="12" customHeight="1" x14ac:dyDescent="0.3">
      <c r="A213" s="530"/>
      <c r="B213" s="204"/>
      <c r="C213" s="448" t="s">
        <v>687</v>
      </c>
      <c r="D213" s="448"/>
      <c r="E213" s="465"/>
      <c r="F213" s="463">
        <v>856</v>
      </c>
      <c r="G213" s="554" t="s">
        <v>1</v>
      </c>
      <c r="H213" s="555">
        <v>25</v>
      </c>
      <c r="I213" s="464">
        <f t="shared" si="25"/>
        <v>21400</v>
      </c>
      <c r="J213" s="509"/>
      <c r="K213" s="506">
        <v>635</v>
      </c>
      <c r="L213" s="506">
        <f>K213*(1+L$210)+76.2</f>
        <v>584.20000000000005</v>
      </c>
      <c r="M213" s="432">
        <f>5.4*2+9.3*2+5.85*2+9.3*2</f>
        <v>59.7</v>
      </c>
      <c r="N213" s="432">
        <f>M213*3.28</f>
        <v>195.816</v>
      </c>
      <c r="O213" s="432">
        <f>N213/8</f>
        <v>24.477</v>
      </c>
    </row>
    <row r="214" spans="1:15" s="432" customFormat="1" ht="12" customHeight="1" x14ac:dyDescent="0.3">
      <c r="A214" s="530"/>
      <c r="B214" s="204"/>
      <c r="C214" s="448" t="s">
        <v>686</v>
      </c>
      <c r="D214" s="448"/>
      <c r="E214" s="465"/>
      <c r="F214" s="463">
        <v>60</v>
      </c>
      <c r="G214" s="554" t="s">
        <v>1</v>
      </c>
      <c r="H214" s="458">
        <v>20</v>
      </c>
      <c r="I214" s="464">
        <f t="shared" si="25"/>
        <v>1200</v>
      </c>
      <c r="J214" s="509"/>
      <c r="K214" s="506">
        <v>2.25</v>
      </c>
      <c r="L214" s="506">
        <f>K214*(1+L$3)+0.38</f>
        <v>2.63</v>
      </c>
    </row>
    <row r="215" spans="1:15" s="432" customFormat="1" ht="12" customHeight="1" x14ac:dyDescent="0.3">
      <c r="A215" s="530"/>
      <c r="B215" s="204"/>
      <c r="C215" s="448" t="s">
        <v>690</v>
      </c>
      <c r="D215" s="448"/>
      <c r="E215" s="465"/>
      <c r="F215" s="463">
        <v>772</v>
      </c>
      <c r="G215" s="554" t="s">
        <v>1</v>
      </c>
      <c r="H215" s="458">
        <v>180</v>
      </c>
      <c r="I215" s="464">
        <f>H215*F215</f>
        <v>138960</v>
      </c>
      <c r="J215" s="509"/>
      <c r="K215" s="506">
        <v>1</v>
      </c>
      <c r="L215" s="506">
        <f>K215*(1+L$3)+0.15</f>
        <v>1.1499999999999999</v>
      </c>
    </row>
    <row r="216" spans="1:15" s="432" customFormat="1" ht="12" customHeight="1" x14ac:dyDescent="0.3">
      <c r="A216" s="530"/>
      <c r="B216" s="204"/>
      <c r="C216" s="448" t="s">
        <v>689</v>
      </c>
      <c r="D216" s="448"/>
      <c r="E216" s="465"/>
      <c r="F216" s="463">
        <v>3</v>
      </c>
      <c r="G216" s="554" t="s">
        <v>1</v>
      </c>
      <c r="H216" s="458">
        <v>200</v>
      </c>
      <c r="I216" s="464">
        <f>H216*F216</f>
        <v>600</v>
      </c>
      <c r="J216" s="509"/>
      <c r="K216" s="506">
        <v>355</v>
      </c>
      <c r="L216" s="506">
        <f>K216*(1+L$3)+53.25</f>
        <v>408.25</v>
      </c>
    </row>
    <row r="217" spans="1:15" s="432" customFormat="1" ht="12" customHeight="1" x14ac:dyDescent="0.3">
      <c r="A217" s="530"/>
      <c r="B217" s="204"/>
      <c r="C217" s="448" t="s">
        <v>3</v>
      </c>
      <c r="D217" s="448"/>
      <c r="E217" s="465"/>
      <c r="F217" s="463">
        <v>25</v>
      </c>
      <c r="G217" s="554" t="s">
        <v>2</v>
      </c>
      <c r="H217" s="458">
        <f>CEILING(L244,0.5)</f>
        <v>255</v>
      </c>
      <c r="I217" s="464">
        <f t="shared" si="25"/>
        <v>6375</v>
      </c>
      <c r="J217" s="509"/>
      <c r="K217" s="506">
        <v>280</v>
      </c>
      <c r="L217" s="506">
        <f>K217*(1+L$3)+42</f>
        <v>322</v>
      </c>
    </row>
    <row r="218" spans="1:15" s="432" customFormat="1" ht="12" customHeight="1" x14ac:dyDescent="0.3">
      <c r="A218" s="530"/>
      <c r="B218" s="204"/>
      <c r="C218" s="448" t="s">
        <v>65</v>
      </c>
      <c r="D218" s="448"/>
      <c r="E218" s="465"/>
      <c r="F218" s="463">
        <v>1</v>
      </c>
      <c r="G218" s="554" t="s">
        <v>4</v>
      </c>
      <c r="H218" s="458">
        <f>CEILING(L245,0.5)</f>
        <v>1200</v>
      </c>
      <c r="I218" s="464">
        <f t="shared" si="25"/>
        <v>1200</v>
      </c>
      <c r="J218" s="559"/>
      <c r="K218" s="519"/>
      <c r="L218" s="519"/>
    </row>
    <row r="219" spans="1:15" s="432" customFormat="1" ht="12" customHeight="1" x14ac:dyDescent="0.3">
      <c r="A219" s="530"/>
      <c r="B219" s="204"/>
      <c r="C219" s="448" t="s">
        <v>158</v>
      </c>
      <c r="D219" s="448"/>
      <c r="E219" s="465"/>
      <c r="F219" s="463">
        <v>10</v>
      </c>
      <c r="G219" s="554" t="s">
        <v>5</v>
      </c>
      <c r="H219" s="458">
        <f>CEILING(L246,0.5)</f>
        <v>50</v>
      </c>
      <c r="I219" s="464">
        <f t="shared" si="25"/>
        <v>500</v>
      </c>
      <c r="J219" s="560"/>
    </row>
    <row r="220" spans="1:15" s="432" customFormat="1" ht="12" customHeight="1" x14ac:dyDescent="0.3">
      <c r="A220" s="530"/>
      <c r="B220" s="204"/>
      <c r="C220" s="448" t="s">
        <v>159</v>
      </c>
      <c r="D220" s="448"/>
      <c r="E220" s="465"/>
      <c r="F220" s="463">
        <v>9</v>
      </c>
      <c r="G220" s="554" t="s">
        <v>219</v>
      </c>
      <c r="H220" s="458">
        <f>CEILING(L247,0.5)</f>
        <v>460</v>
      </c>
      <c r="I220" s="464">
        <f t="shared" si="25"/>
        <v>4140</v>
      </c>
    </row>
    <row r="221" spans="1:15" s="432" customFormat="1" ht="12" customHeight="1" x14ac:dyDescent="0.3">
      <c r="A221" s="530"/>
      <c r="B221" s="204"/>
      <c r="C221" s="448" t="s">
        <v>240</v>
      </c>
      <c r="D221" s="448"/>
      <c r="E221" s="465"/>
      <c r="F221" s="463">
        <v>20</v>
      </c>
      <c r="G221" s="554" t="s">
        <v>226</v>
      </c>
      <c r="H221" s="458">
        <f>CEILING(L248,0.5)</f>
        <v>45</v>
      </c>
      <c r="I221" s="464">
        <f t="shared" si="25"/>
        <v>900</v>
      </c>
    </row>
    <row r="222" spans="1:15" s="432" customFormat="1" ht="12" customHeight="1" x14ac:dyDescent="0.3">
      <c r="A222" s="530"/>
      <c r="B222" s="204"/>
      <c r="C222" s="448"/>
      <c r="D222" s="448"/>
      <c r="E222" s="465"/>
      <c r="F222" s="450"/>
      <c r="G222" s="554"/>
      <c r="H222" s="555"/>
      <c r="I222" s="464"/>
    </row>
    <row r="223" spans="1:15" s="432" customFormat="1" ht="12" customHeight="1" x14ac:dyDescent="0.3">
      <c r="A223" s="530"/>
      <c r="B223" s="204"/>
      <c r="C223" s="460"/>
      <c r="D223" s="460"/>
      <c r="E223" s="465"/>
      <c r="F223" s="466"/>
      <c r="G223" s="467"/>
      <c r="H223" s="468" t="s">
        <v>26</v>
      </c>
      <c r="I223" s="464">
        <f>SUM(I212:I222)</f>
        <v>185475</v>
      </c>
    </row>
    <row r="224" spans="1:15" s="432" customFormat="1" ht="12" customHeight="1" x14ac:dyDescent="0.3">
      <c r="A224" s="544"/>
      <c r="B224" s="566"/>
      <c r="C224" s="545"/>
      <c r="D224" s="545"/>
      <c r="E224" s="567"/>
      <c r="F224" s="494"/>
      <c r="G224" s="495"/>
      <c r="H224" s="496" t="str">
        <f>"Hauling/Handling Cost "&amp;TEXT(L$4,"#%")&amp;" of MC"</f>
        <v>Hauling/Handling Cost 1% of MC</v>
      </c>
      <c r="I224" s="464">
        <f>L$4*I223</f>
        <v>1854.75</v>
      </c>
    </row>
    <row r="225" spans="1:18" s="432" customFormat="1" ht="12" customHeight="1" x14ac:dyDescent="0.3">
      <c r="A225" s="530"/>
      <c r="B225" s="568"/>
      <c r="C225" s="460"/>
      <c r="D225" s="460"/>
      <c r="E225" s="465"/>
      <c r="F225" s="466"/>
      <c r="G225" s="467"/>
      <c r="H225" s="468" t="str">
        <f>"Labor Cost "&amp;TEXT(L$5,"#%")&amp;" of MC"</f>
        <v>Labor Cost 30% of MC</v>
      </c>
      <c r="I225" s="464">
        <f>L$5*I223</f>
        <v>55642.5</v>
      </c>
    </row>
    <row r="226" spans="1:18" s="432" customFormat="1" ht="12" customHeight="1" x14ac:dyDescent="0.3">
      <c r="A226" s="569"/>
      <c r="B226" s="570"/>
      <c r="C226" s="571"/>
      <c r="D226" s="571"/>
      <c r="E226" s="572"/>
      <c r="F226" s="473"/>
      <c r="G226" s="474"/>
      <c r="H226" s="475" t="s">
        <v>23</v>
      </c>
      <c r="I226" s="476">
        <f>I223+I224+I225</f>
        <v>242972.25</v>
      </c>
    </row>
    <row r="227" spans="1:18" s="432" customFormat="1" ht="12" customHeight="1" x14ac:dyDescent="0.3">
      <c r="A227" s="477" t="s">
        <v>95</v>
      </c>
      <c r="B227" s="478" t="s">
        <v>589</v>
      </c>
      <c r="C227" s="479"/>
      <c r="D227" s="479"/>
      <c r="E227" s="480"/>
      <c r="F227" s="573">
        <v>27</v>
      </c>
      <c r="G227" s="497" t="s">
        <v>4</v>
      </c>
      <c r="H227" s="574"/>
      <c r="I227" s="575"/>
    </row>
    <row r="228" spans="1:18" s="432" customFormat="1" ht="12" customHeight="1" x14ac:dyDescent="0.3">
      <c r="A228" s="447"/>
      <c r="B228" s="254" t="s">
        <v>22</v>
      </c>
      <c r="C228" s="499"/>
      <c r="D228" s="499"/>
      <c r="E228" s="576"/>
      <c r="F228" s="577"/>
      <c r="G228" s="451"/>
      <c r="H228" s="578"/>
      <c r="I228" s="579"/>
    </row>
    <row r="229" spans="1:18" s="432" customFormat="1" ht="12" customHeight="1" x14ac:dyDescent="0.3">
      <c r="A229" s="447"/>
      <c r="B229" s="218" t="s">
        <v>692</v>
      </c>
      <c r="C229" s="448"/>
      <c r="D229" s="448"/>
      <c r="E229" s="449"/>
      <c r="F229" s="577"/>
      <c r="G229" s="451"/>
      <c r="H229" s="578"/>
      <c r="I229" s="579"/>
    </row>
    <row r="230" spans="1:18" s="432" customFormat="1" ht="12" customHeight="1" x14ac:dyDescent="0.3">
      <c r="A230" s="447"/>
      <c r="B230" s="218" t="s">
        <v>142</v>
      </c>
      <c r="C230" s="448"/>
      <c r="D230" s="448"/>
      <c r="E230" s="449"/>
      <c r="F230" s="577"/>
      <c r="G230" s="451"/>
      <c r="H230" s="578"/>
      <c r="I230" s="579"/>
      <c r="M230" s="562"/>
      <c r="N230" s="562"/>
      <c r="O230" s="563"/>
      <c r="P230" s="564" t="s">
        <v>461</v>
      </c>
      <c r="R230" s="562" t="s">
        <v>213</v>
      </c>
    </row>
    <row r="231" spans="1:18" s="432" customFormat="1" ht="12" customHeight="1" x14ac:dyDescent="0.3">
      <c r="A231" s="447"/>
      <c r="B231" s="218" t="s">
        <v>143</v>
      </c>
      <c r="C231" s="448"/>
      <c r="D231" s="448"/>
      <c r="E231" s="449"/>
      <c r="F231" s="577"/>
      <c r="G231" s="451"/>
      <c r="H231" s="578"/>
      <c r="I231" s="579"/>
      <c r="M231" s="562"/>
      <c r="N231" s="562">
        <f>2.3/0.2</f>
        <v>11.499999999999998</v>
      </c>
      <c r="O231" s="563">
        <f>N231*2</f>
        <v>22.999999999999996</v>
      </c>
      <c r="P231" s="564">
        <v>6</v>
      </c>
      <c r="R231" s="562">
        <f>2.3*1.5/(0.2*0.2)</f>
        <v>86.249999999999972</v>
      </c>
    </row>
    <row r="232" spans="1:18" s="432" customFormat="1" ht="12" customHeight="1" x14ac:dyDescent="0.3">
      <c r="A232" s="259"/>
      <c r="B232" s="502" t="s">
        <v>79</v>
      </c>
      <c r="C232" s="561" t="s">
        <v>426</v>
      </c>
      <c r="D232" s="448"/>
      <c r="E232" s="449"/>
      <c r="F232" s="577"/>
      <c r="G232" s="260"/>
      <c r="H232" s="260"/>
      <c r="I232" s="261"/>
      <c r="M232" s="562"/>
      <c r="N232" s="562">
        <f>1.5/0.2</f>
        <v>7.5</v>
      </c>
      <c r="O232" s="563">
        <v>7.5</v>
      </c>
      <c r="P232" s="564"/>
      <c r="Q232" s="565"/>
    </row>
    <row r="233" spans="1:18" s="432" customFormat="1" ht="12" customHeight="1" x14ac:dyDescent="0.3">
      <c r="A233" s="447"/>
      <c r="B233" s="204"/>
      <c r="C233" s="561" t="s">
        <v>427</v>
      </c>
      <c r="D233" s="448"/>
      <c r="E233" s="449"/>
      <c r="F233" s="577"/>
      <c r="G233" s="260"/>
      <c r="H233" s="260"/>
      <c r="I233" s="261"/>
      <c r="M233" s="562"/>
      <c r="N233" s="562">
        <f>0.7/0.2</f>
        <v>3.4999999999999996</v>
      </c>
      <c r="O233" s="563">
        <v>3.5</v>
      </c>
      <c r="P233" s="564"/>
      <c r="Q233" s="565"/>
      <c r="R233" s="557"/>
    </row>
    <row r="234" spans="1:18" s="432" customFormat="1" ht="12" customHeight="1" x14ac:dyDescent="0.3">
      <c r="A234" s="447"/>
      <c r="B234" s="204"/>
      <c r="C234" s="561" t="s">
        <v>583</v>
      </c>
      <c r="D234" s="448"/>
      <c r="E234" s="449"/>
      <c r="F234" s="577"/>
      <c r="G234" s="260"/>
      <c r="H234" s="260"/>
      <c r="I234" s="261"/>
      <c r="M234" s="562"/>
      <c r="N234" s="562"/>
      <c r="O234" s="563">
        <f>SUM(O231:O233)</f>
        <v>34</v>
      </c>
      <c r="P234" s="564">
        <f>P231*O234</f>
        <v>204</v>
      </c>
      <c r="Q234" s="565">
        <f>204*0.2*0.3</f>
        <v>12.24</v>
      </c>
    </row>
    <row r="235" spans="1:18" s="432" customFormat="1" ht="12" customHeight="1" x14ac:dyDescent="0.3">
      <c r="A235" s="447"/>
      <c r="B235" s="204"/>
      <c r="C235" s="561" t="s">
        <v>429</v>
      </c>
      <c r="D235" s="448"/>
      <c r="E235" s="449"/>
      <c r="F235" s="577"/>
      <c r="G235" s="260"/>
      <c r="H235" s="260"/>
      <c r="I235" s="261"/>
      <c r="M235" s="562"/>
      <c r="N235" s="562"/>
      <c r="O235" s="563"/>
      <c r="P235" s="564"/>
      <c r="Q235" s="565"/>
    </row>
    <row r="236" spans="1:18" s="432" customFormat="1" ht="12" customHeight="1" x14ac:dyDescent="0.3">
      <c r="A236" s="447"/>
      <c r="B236" s="204"/>
      <c r="C236" s="561"/>
      <c r="D236" s="448"/>
      <c r="E236" s="449"/>
      <c r="F236" s="577"/>
      <c r="G236" s="260"/>
      <c r="H236" s="260"/>
      <c r="I236" s="261"/>
      <c r="M236" s="562"/>
      <c r="N236" s="562"/>
      <c r="O236" s="563"/>
      <c r="P236" s="564"/>
      <c r="Q236" s="565"/>
    </row>
    <row r="237" spans="1:18" s="432" customFormat="1" ht="12" customHeight="1" x14ac:dyDescent="0.3">
      <c r="A237" s="447"/>
      <c r="B237" s="254" t="s">
        <v>25</v>
      </c>
      <c r="C237" s="448"/>
      <c r="D237" s="448"/>
      <c r="E237" s="449"/>
      <c r="F237" s="577"/>
      <c r="G237" s="451"/>
      <c r="H237" s="578"/>
      <c r="I237" s="579"/>
      <c r="M237" s="562"/>
      <c r="N237" s="562"/>
      <c r="O237" s="563"/>
      <c r="P237" s="564"/>
      <c r="Q237" s="565"/>
    </row>
    <row r="238" spans="1:18" s="432" customFormat="1" ht="12" customHeight="1" x14ac:dyDescent="0.3">
      <c r="A238" s="447"/>
      <c r="B238" s="218"/>
      <c r="C238" s="460" t="s">
        <v>3</v>
      </c>
      <c r="D238" s="460"/>
      <c r="E238" s="500"/>
      <c r="F238" s="463">
        <v>32</v>
      </c>
      <c r="G238" s="451" t="s">
        <v>2</v>
      </c>
      <c r="H238" s="458">
        <f>L265</f>
        <v>265</v>
      </c>
      <c r="I238" s="579">
        <f t="shared" ref="I238:I246" si="26">H238*F238</f>
        <v>8480</v>
      </c>
      <c r="M238" s="562"/>
      <c r="Q238" s="557">
        <f>(2.3+1.5+0.7+2.3)*1.8</f>
        <v>12.24</v>
      </c>
    </row>
    <row r="239" spans="1:18" s="432" customFormat="1" ht="12" customHeight="1" x14ac:dyDescent="0.3">
      <c r="A239" s="447"/>
      <c r="B239" s="218"/>
      <c r="C239" s="448" t="s">
        <v>73</v>
      </c>
      <c r="D239" s="448"/>
      <c r="E239" s="500"/>
      <c r="F239" s="463">
        <v>2.5</v>
      </c>
      <c r="G239" s="451" t="s">
        <v>4</v>
      </c>
      <c r="H239" s="458">
        <f t="shared" ref="H239:H246" si="27">CEILING(L266,0.5)</f>
        <v>900</v>
      </c>
      <c r="I239" s="579">
        <f t="shared" si="26"/>
        <v>2250</v>
      </c>
      <c r="N239" s="562"/>
      <c r="O239" s="563"/>
      <c r="P239" s="564"/>
    </row>
    <row r="240" spans="1:18" s="432" customFormat="1" ht="12" customHeight="1" x14ac:dyDescent="0.3">
      <c r="A240" s="447"/>
      <c r="B240" s="218"/>
      <c r="C240" s="448" t="s">
        <v>67</v>
      </c>
      <c r="D240" s="448"/>
      <c r="E240" s="500"/>
      <c r="F240" s="463">
        <v>2</v>
      </c>
      <c r="G240" s="451" t="s">
        <v>4</v>
      </c>
      <c r="H240" s="458">
        <f t="shared" si="27"/>
        <v>900</v>
      </c>
      <c r="I240" s="579">
        <f t="shared" si="26"/>
        <v>1800</v>
      </c>
      <c r="K240" s="506">
        <v>200</v>
      </c>
      <c r="L240" s="506">
        <f t="shared" ref="L240:L248" si="28">K240*(1+L$3)</f>
        <v>200</v>
      </c>
      <c r="M240" s="562" t="s">
        <v>214</v>
      </c>
      <c r="N240" s="562"/>
      <c r="O240" s="563" t="s">
        <v>217</v>
      </c>
      <c r="P240" s="564" t="s">
        <v>218</v>
      </c>
      <c r="Q240" s="432" t="s">
        <v>221</v>
      </c>
    </row>
    <row r="241" spans="1:19" s="432" customFormat="1" ht="12" customHeight="1" x14ac:dyDescent="0.3">
      <c r="A241" s="447"/>
      <c r="B241" s="218"/>
      <c r="C241" s="448" t="s">
        <v>70</v>
      </c>
      <c r="D241" s="448"/>
      <c r="E241" s="500"/>
      <c r="F241" s="463">
        <v>4</v>
      </c>
      <c r="G241" s="451" t="s">
        <v>0</v>
      </c>
      <c r="H241" s="458">
        <f t="shared" si="27"/>
        <v>58</v>
      </c>
      <c r="I241" s="579">
        <f t="shared" si="26"/>
        <v>232</v>
      </c>
      <c r="K241" s="506"/>
      <c r="L241" s="506"/>
      <c r="M241" s="562"/>
      <c r="N241" s="562"/>
      <c r="O241" s="563"/>
      <c r="P241" s="564"/>
    </row>
    <row r="242" spans="1:19" s="432" customFormat="1" ht="12" customHeight="1" x14ac:dyDescent="0.3">
      <c r="A242" s="447"/>
      <c r="B242" s="218"/>
      <c r="C242" s="448" t="s">
        <v>189</v>
      </c>
      <c r="D242" s="448"/>
      <c r="E242" s="500"/>
      <c r="F242" s="463">
        <v>32</v>
      </c>
      <c r="G242" s="451" t="s">
        <v>1</v>
      </c>
      <c r="H242" s="458">
        <f t="shared" si="27"/>
        <v>134</v>
      </c>
      <c r="I242" s="579">
        <f t="shared" si="26"/>
        <v>4288</v>
      </c>
      <c r="K242" s="506"/>
      <c r="L242" s="506"/>
      <c r="M242" s="562"/>
      <c r="N242" s="562"/>
      <c r="O242" s="563"/>
      <c r="P242" s="564"/>
    </row>
    <row r="243" spans="1:19" s="432" customFormat="1" ht="12" customHeight="1" x14ac:dyDescent="0.3">
      <c r="A243" s="510"/>
      <c r="B243" s="511"/>
      <c r="C243" s="586" t="s">
        <v>188</v>
      </c>
      <c r="D243" s="586"/>
      <c r="E243" s="587"/>
      <c r="F243" s="538">
        <v>15</v>
      </c>
      <c r="G243" s="515" t="s">
        <v>1</v>
      </c>
      <c r="H243" s="516">
        <f t="shared" si="27"/>
        <v>194</v>
      </c>
      <c r="I243" s="588">
        <f t="shared" si="26"/>
        <v>2910</v>
      </c>
      <c r="K243" s="506"/>
      <c r="L243" s="506"/>
      <c r="M243" s="562"/>
      <c r="N243" s="562"/>
      <c r="O243" s="563"/>
      <c r="P243" s="564"/>
    </row>
    <row r="244" spans="1:19" s="432" customFormat="1" ht="12" customHeight="1" x14ac:dyDescent="0.3">
      <c r="A244" s="447"/>
      <c r="B244" s="218"/>
      <c r="C244" s="448" t="s">
        <v>74</v>
      </c>
      <c r="D244" s="448"/>
      <c r="E244" s="500"/>
      <c r="F244" s="463">
        <v>1</v>
      </c>
      <c r="G244" s="451" t="s">
        <v>68</v>
      </c>
      <c r="H244" s="458">
        <f t="shared" si="27"/>
        <v>55</v>
      </c>
      <c r="I244" s="579">
        <f t="shared" si="26"/>
        <v>55</v>
      </c>
      <c r="K244" s="506">
        <v>255</v>
      </c>
      <c r="L244" s="506">
        <f t="shared" si="28"/>
        <v>255</v>
      </c>
      <c r="M244" s="580" t="s">
        <v>215</v>
      </c>
      <c r="N244" s="562"/>
      <c r="O244" s="563">
        <v>2.5</v>
      </c>
      <c r="P244" s="564">
        <v>2</v>
      </c>
      <c r="Q244" s="432">
        <f>(1.5+0.6+1.5)*2+(1.75+1.75)</f>
        <v>10.7</v>
      </c>
      <c r="R244" s="432" t="s">
        <v>222</v>
      </c>
      <c r="S244" s="432">
        <f>Q244*3.28/8</f>
        <v>4.3869999999999996</v>
      </c>
    </row>
    <row r="245" spans="1:19" s="432" customFormat="1" ht="12" customHeight="1" x14ac:dyDescent="0.3">
      <c r="A245" s="447"/>
      <c r="B245" s="218"/>
      <c r="C245" s="448" t="s">
        <v>148</v>
      </c>
      <c r="D245" s="448"/>
      <c r="E245" s="500"/>
      <c r="F245" s="463">
        <v>186</v>
      </c>
      <c r="G245" s="451" t="s">
        <v>1</v>
      </c>
      <c r="H245" s="458">
        <f t="shared" si="27"/>
        <v>14</v>
      </c>
      <c r="I245" s="579">
        <f t="shared" si="26"/>
        <v>2604</v>
      </c>
      <c r="K245" s="506">
        <v>1200</v>
      </c>
      <c r="L245" s="506">
        <f t="shared" si="28"/>
        <v>1200</v>
      </c>
      <c r="M245" s="580" t="s">
        <v>215</v>
      </c>
      <c r="N245" s="562"/>
      <c r="O245" s="563">
        <v>2.5</v>
      </c>
      <c r="P245" s="564">
        <v>2</v>
      </c>
      <c r="Q245" s="432">
        <f>2.3+1.5+2.3+0.7</f>
        <v>6.8</v>
      </c>
      <c r="R245" s="432" t="s">
        <v>223</v>
      </c>
      <c r="S245" s="432">
        <f>Q245*3.28/8</f>
        <v>2.7879999999999998</v>
      </c>
    </row>
    <row r="246" spans="1:19" s="432" customFormat="1" ht="12" customHeight="1" x14ac:dyDescent="0.3">
      <c r="A246" s="447"/>
      <c r="B246" s="218"/>
      <c r="C246" s="448" t="s">
        <v>139</v>
      </c>
      <c r="D246" s="448"/>
      <c r="E246" s="500"/>
      <c r="F246" s="463">
        <v>10</v>
      </c>
      <c r="G246" s="451" t="s">
        <v>140</v>
      </c>
      <c r="H246" s="458">
        <f t="shared" si="27"/>
        <v>30</v>
      </c>
      <c r="I246" s="579">
        <f t="shared" si="26"/>
        <v>300</v>
      </c>
      <c r="K246" s="506">
        <v>50</v>
      </c>
      <c r="L246" s="506">
        <f t="shared" si="28"/>
        <v>50</v>
      </c>
      <c r="M246" s="580" t="s">
        <v>216</v>
      </c>
      <c r="O246" s="581">
        <v>3</v>
      </c>
      <c r="P246" s="564">
        <v>2</v>
      </c>
    </row>
    <row r="247" spans="1:19" s="432" customFormat="1" ht="12" customHeight="1" x14ac:dyDescent="0.3">
      <c r="A247" s="447"/>
      <c r="B247" s="218"/>
      <c r="C247" s="448"/>
      <c r="D247" s="448"/>
      <c r="E247" s="500"/>
      <c r="F247" s="589"/>
      <c r="G247" s="451"/>
      <c r="H247" s="458"/>
      <c r="I247" s="579"/>
      <c r="K247" s="506">
        <v>460</v>
      </c>
      <c r="L247" s="506">
        <f t="shared" si="28"/>
        <v>460</v>
      </c>
    </row>
    <row r="248" spans="1:19" s="432" customFormat="1" ht="12" customHeight="1" x14ac:dyDescent="0.3">
      <c r="A248" s="447"/>
      <c r="B248" s="218"/>
      <c r="C248" s="448"/>
      <c r="D248" s="448"/>
      <c r="E248" s="449"/>
      <c r="F248" s="466"/>
      <c r="G248" s="467"/>
      <c r="H248" s="468" t="s">
        <v>26</v>
      </c>
      <c r="I248" s="579">
        <f>SUM(I238:I247)</f>
        <v>22919</v>
      </c>
      <c r="K248" s="506">
        <v>45</v>
      </c>
      <c r="L248" s="506">
        <f t="shared" si="28"/>
        <v>45</v>
      </c>
      <c r="O248" s="557" t="s">
        <v>222</v>
      </c>
    </row>
    <row r="249" spans="1:19" s="432" customFormat="1" ht="12" customHeight="1" x14ac:dyDescent="0.3">
      <c r="A249" s="447"/>
      <c r="B249" s="491"/>
      <c r="C249" s="492"/>
      <c r="D249" s="492"/>
      <c r="E249" s="493"/>
      <c r="F249" s="494"/>
      <c r="G249" s="495"/>
      <c r="H249" s="496" t="str">
        <f>"Hauling/Handling Cost "&amp;TEXT(L$4,"#%")&amp;" of MC"</f>
        <v>Hauling/Handling Cost 1% of MC</v>
      </c>
      <c r="I249" s="464">
        <f>L$4*I248</f>
        <v>229.19</v>
      </c>
      <c r="O249" s="565"/>
      <c r="P249" s="557"/>
      <c r="Q249" s="557"/>
    </row>
    <row r="250" spans="1:19" s="432" customFormat="1" ht="12" customHeight="1" x14ac:dyDescent="0.3">
      <c r="A250" s="447"/>
      <c r="B250" s="218"/>
      <c r="C250" s="448"/>
      <c r="D250" s="448"/>
      <c r="E250" s="449"/>
      <c r="F250" s="466"/>
      <c r="G250" s="467"/>
      <c r="H250" s="468" t="str">
        <f>"Labor Cost "&amp;TEXT(L$5,"#%")&amp;" of MC"</f>
        <v>Labor Cost 30% of MC</v>
      </c>
      <c r="I250" s="464">
        <f>L$5*I248</f>
        <v>6875.7</v>
      </c>
      <c r="K250" s="582" t="s">
        <v>224</v>
      </c>
      <c r="L250" s="583"/>
      <c r="M250" s="584">
        <v>30</v>
      </c>
      <c r="N250" s="585" t="s">
        <v>0</v>
      </c>
      <c r="O250" s="565"/>
      <c r="P250" s="557"/>
    </row>
    <row r="251" spans="1:19" s="432" customFormat="1" ht="12" customHeight="1" x14ac:dyDescent="0.3">
      <c r="A251" s="447"/>
      <c r="B251" s="470"/>
      <c r="C251" s="471"/>
      <c r="D251" s="471"/>
      <c r="E251" s="472"/>
      <c r="F251" s="473"/>
      <c r="G251" s="474"/>
      <c r="H251" s="475" t="s">
        <v>23</v>
      </c>
      <c r="I251" s="476">
        <f>I248+I249+I250</f>
        <v>30023.89</v>
      </c>
      <c r="K251" s="582" t="s">
        <v>3</v>
      </c>
      <c r="L251" s="583"/>
      <c r="M251" s="584">
        <v>2</v>
      </c>
      <c r="N251" s="585" t="s">
        <v>2</v>
      </c>
      <c r="O251" s="565"/>
      <c r="P251" s="557"/>
    </row>
    <row r="252" spans="1:19" s="432" customFormat="1" ht="12" customHeight="1" x14ac:dyDescent="0.3">
      <c r="A252" s="477" t="s">
        <v>96</v>
      </c>
      <c r="B252" s="478" t="s">
        <v>78</v>
      </c>
      <c r="C252" s="479"/>
      <c r="D252" s="479"/>
      <c r="E252" s="480"/>
      <c r="F252" s="481"/>
      <c r="G252" s="482" t="s">
        <v>245</v>
      </c>
      <c r="H252" s="483"/>
      <c r="I252" s="575"/>
      <c r="O252" s="565"/>
      <c r="P252" s="557"/>
    </row>
    <row r="253" spans="1:19" s="432" customFormat="1" ht="12" customHeight="1" x14ac:dyDescent="0.3">
      <c r="A253" s="590"/>
      <c r="B253" s="204" t="s">
        <v>22</v>
      </c>
      <c r="C253" s="460"/>
      <c r="D253" s="460"/>
      <c r="E253" s="465"/>
      <c r="F253" s="485"/>
      <c r="G253" s="591"/>
      <c r="H253" s="555"/>
      <c r="I253" s="464"/>
    </row>
    <row r="254" spans="1:19" s="432" customFormat="1" ht="12" customHeight="1" x14ac:dyDescent="0.3">
      <c r="A254" s="590"/>
      <c r="B254" s="568"/>
      <c r="C254" s="460" t="s">
        <v>430</v>
      </c>
      <c r="D254" s="460"/>
      <c r="E254" s="465"/>
      <c r="F254" s="485"/>
      <c r="G254" s="591"/>
      <c r="H254" s="555"/>
      <c r="I254" s="464"/>
      <c r="J254" s="509"/>
    </row>
    <row r="255" spans="1:19" s="432" customFormat="1" ht="12" customHeight="1" x14ac:dyDescent="0.3">
      <c r="A255" s="590"/>
      <c r="B255" s="568"/>
      <c r="C255" s="460" t="s">
        <v>114</v>
      </c>
      <c r="D255" s="460"/>
      <c r="E255" s="465"/>
      <c r="F255" s="485"/>
      <c r="G255" s="591"/>
      <c r="H255" s="555"/>
      <c r="I255" s="464"/>
      <c r="J255" s="509"/>
    </row>
    <row r="256" spans="1:19" s="432" customFormat="1" ht="12" customHeight="1" x14ac:dyDescent="0.3">
      <c r="A256" s="590"/>
      <c r="B256" s="568"/>
      <c r="C256" s="460" t="s">
        <v>115</v>
      </c>
      <c r="D256" s="460"/>
      <c r="E256" s="465"/>
      <c r="F256" s="485"/>
      <c r="G256" s="591"/>
      <c r="H256" s="555"/>
      <c r="I256" s="464"/>
      <c r="J256" s="509"/>
      <c r="K256" s="432">
        <f>1.8*2+3*2+1.8</f>
        <v>11.4</v>
      </c>
      <c r="L256" s="432">
        <f>K256*1.8</f>
        <v>20.52</v>
      </c>
    </row>
    <row r="257" spans="1:13" s="432" customFormat="1" ht="12" customHeight="1" x14ac:dyDescent="0.3">
      <c r="A257" s="590"/>
      <c r="B257" s="568"/>
      <c r="C257" s="460"/>
      <c r="D257" s="460"/>
      <c r="E257" s="465"/>
      <c r="F257" s="485"/>
      <c r="G257" s="591"/>
      <c r="H257" s="555"/>
      <c r="I257" s="464"/>
      <c r="J257" s="509"/>
      <c r="K257" s="432">
        <f>1.2*4</f>
        <v>4.8</v>
      </c>
      <c r="L257" s="432">
        <f>K257*1.5</f>
        <v>7.1999999999999993</v>
      </c>
    </row>
    <row r="258" spans="1:13" s="432" customFormat="1" ht="12" customHeight="1" x14ac:dyDescent="0.3">
      <c r="A258" s="590"/>
      <c r="B258" s="204" t="s">
        <v>25</v>
      </c>
      <c r="C258" s="460"/>
      <c r="D258" s="460"/>
      <c r="E258" s="465"/>
      <c r="F258" s="485"/>
      <c r="G258" s="591"/>
      <c r="H258" s="555"/>
      <c r="I258" s="464"/>
      <c r="J258" s="509"/>
      <c r="L258" s="432">
        <f>L256+L257</f>
        <v>27.72</v>
      </c>
      <c r="M258" s="432" t="s">
        <v>155</v>
      </c>
    </row>
    <row r="259" spans="1:13" s="432" customFormat="1" ht="12" customHeight="1" x14ac:dyDescent="0.3">
      <c r="A259" s="590"/>
      <c r="B259" s="592" t="s">
        <v>646</v>
      </c>
      <c r="C259" s="593"/>
      <c r="D259" s="460"/>
      <c r="E259" s="465"/>
      <c r="F259" s="485"/>
      <c r="G259" s="594"/>
      <c r="H259" s="555"/>
      <c r="I259" s="464"/>
      <c r="J259" s="509"/>
    </row>
    <row r="260" spans="1:13" s="432" customFormat="1" ht="12" customHeight="1" x14ac:dyDescent="0.3">
      <c r="A260" s="590"/>
      <c r="B260" s="595"/>
      <c r="C260" s="271" t="s">
        <v>647</v>
      </c>
      <c r="D260" s="460"/>
      <c r="E260" s="465"/>
      <c r="F260" s="596">
        <v>20</v>
      </c>
      <c r="G260" s="594" t="s">
        <v>652</v>
      </c>
      <c r="H260" s="458">
        <v>196</v>
      </c>
      <c r="I260" s="597">
        <f t="shared" ref="I260:I264" si="29">F260*H260</f>
        <v>3920</v>
      </c>
      <c r="J260" s="509"/>
    </row>
    <row r="261" spans="1:13" s="432" customFormat="1" ht="12" customHeight="1" x14ac:dyDescent="0.3">
      <c r="A261" s="590"/>
      <c r="B261" s="595"/>
      <c r="C261" s="271" t="s">
        <v>648</v>
      </c>
      <c r="D261" s="460"/>
      <c r="E261" s="465"/>
      <c r="F261" s="596">
        <v>10</v>
      </c>
      <c r="G261" s="594" t="s">
        <v>652</v>
      </c>
      <c r="H261" s="458">
        <v>58</v>
      </c>
      <c r="I261" s="597">
        <f t="shared" si="29"/>
        <v>580</v>
      </c>
      <c r="J261" s="509"/>
    </row>
    <row r="262" spans="1:13" s="432" customFormat="1" ht="12" customHeight="1" x14ac:dyDescent="0.3">
      <c r="A262" s="590"/>
      <c r="B262" s="595"/>
      <c r="C262" s="271" t="s">
        <v>649</v>
      </c>
      <c r="D262" s="460"/>
      <c r="E262" s="465"/>
      <c r="F262" s="596">
        <v>1</v>
      </c>
      <c r="G262" s="594" t="s">
        <v>653</v>
      </c>
      <c r="H262" s="458">
        <v>3875</v>
      </c>
      <c r="I262" s="597">
        <f t="shared" si="29"/>
        <v>3875</v>
      </c>
      <c r="J262" s="509"/>
    </row>
    <row r="263" spans="1:13" s="432" customFormat="1" ht="12" customHeight="1" x14ac:dyDescent="0.3">
      <c r="A263" s="590"/>
      <c r="B263" s="595"/>
      <c r="C263" s="271" t="s">
        <v>650</v>
      </c>
      <c r="D263" s="460"/>
      <c r="E263" s="465"/>
      <c r="F263" s="596">
        <v>1.5</v>
      </c>
      <c r="G263" s="594" t="s">
        <v>653</v>
      </c>
      <c r="H263" s="458">
        <v>2670</v>
      </c>
      <c r="I263" s="597">
        <f t="shared" si="29"/>
        <v>4005</v>
      </c>
      <c r="J263" s="509"/>
    </row>
    <row r="264" spans="1:13" s="432" customFormat="1" ht="12" customHeight="1" x14ac:dyDescent="0.3">
      <c r="A264" s="590"/>
      <c r="B264" s="595"/>
      <c r="C264" s="271" t="s">
        <v>651</v>
      </c>
      <c r="D264" s="460"/>
      <c r="E264" s="465"/>
      <c r="F264" s="596">
        <v>1</v>
      </c>
      <c r="G264" s="594" t="s">
        <v>653</v>
      </c>
      <c r="H264" s="458">
        <v>2670</v>
      </c>
      <c r="I264" s="597">
        <f t="shared" si="29"/>
        <v>2670</v>
      </c>
      <c r="J264" s="509"/>
    </row>
    <row r="265" spans="1:13" s="432" customFormat="1" ht="12" customHeight="1" x14ac:dyDescent="0.3">
      <c r="A265" s="590"/>
      <c r="B265" s="598" t="s">
        <v>117</v>
      </c>
      <c r="C265" s="271"/>
      <c r="D265" s="271"/>
      <c r="E265" s="599"/>
      <c r="F265" s="463"/>
      <c r="G265" s="591"/>
      <c r="H265" s="458"/>
      <c r="I265" s="600"/>
      <c r="J265" s="509"/>
      <c r="K265" s="506">
        <v>255</v>
      </c>
      <c r="L265" s="506">
        <f>K265*(1+L$3)+10</f>
        <v>265</v>
      </c>
    </row>
    <row r="266" spans="1:13" s="432" customFormat="1" ht="12" customHeight="1" x14ac:dyDescent="0.3">
      <c r="A266" s="590"/>
      <c r="B266" s="598"/>
      <c r="C266" s="271" t="s">
        <v>198</v>
      </c>
      <c r="D266" s="271"/>
      <c r="E266" s="601"/>
      <c r="F266" s="463"/>
      <c r="G266" s="591"/>
      <c r="H266" s="602"/>
      <c r="I266" s="600"/>
      <c r="J266" s="509"/>
      <c r="K266" s="506">
        <v>900</v>
      </c>
      <c r="L266" s="506">
        <f t="shared" ref="L266:L273" si="30">K266*(1+L$3)</f>
        <v>900</v>
      </c>
    </row>
    <row r="267" spans="1:13" s="432" customFormat="1" ht="12" customHeight="1" x14ac:dyDescent="0.3">
      <c r="A267" s="590"/>
      <c r="B267" s="273"/>
      <c r="C267" s="271" t="s">
        <v>642</v>
      </c>
      <c r="D267" s="271"/>
      <c r="E267" s="601"/>
      <c r="F267" s="463">
        <v>1</v>
      </c>
      <c r="G267" s="591" t="s">
        <v>89</v>
      </c>
      <c r="H267" s="603">
        <v>8620</v>
      </c>
      <c r="I267" s="600">
        <f>H267*F267</f>
        <v>8620</v>
      </c>
      <c r="J267" s="509"/>
      <c r="K267" s="506">
        <v>900</v>
      </c>
      <c r="L267" s="506">
        <f t="shared" si="30"/>
        <v>900</v>
      </c>
    </row>
    <row r="268" spans="1:13" s="432" customFormat="1" ht="12" customHeight="1" x14ac:dyDescent="0.3">
      <c r="A268" s="590"/>
      <c r="B268" s="273"/>
      <c r="C268" s="271" t="s">
        <v>262</v>
      </c>
      <c r="D268" s="271"/>
      <c r="E268" s="601"/>
      <c r="F268" s="463"/>
      <c r="G268" s="591"/>
      <c r="H268" s="602"/>
      <c r="I268" s="600"/>
      <c r="J268" s="509"/>
      <c r="K268" s="506">
        <v>58</v>
      </c>
      <c r="L268" s="506">
        <f t="shared" si="30"/>
        <v>58</v>
      </c>
    </row>
    <row r="269" spans="1:13" s="432" customFormat="1" ht="12" customHeight="1" x14ac:dyDescent="0.3">
      <c r="A269" s="590"/>
      <c r="B269" s="273"/>
      <c r="C269" s="271" t="s">
        <v>643</v>
      </c>
      <c r="D269" s="271"/>
      <c r="E269" s="601"/>
      <c r="F269" s="463"/>
      <c r="G269" s="591"/>
      <c r="H269" s="602"/>
      <c r="I269" s="600"/>
      <c r="J269" s="509"/>
      <c r="K269" s="506">
        <v>134</v>
      </c>
      <c r="L269" s="506">
        <f t="shared" si="30"/>
        <v>134</v>
      </c>
    </row>
    <row r="270" spans="1:13" s="432" customFormat="1" ht="12" customHeight="1" x14ac:dyDescent="0.3">
      <c r="A270" s="590"/>
      <c r="B270" s="595" t="s">
        <v>153</v>
      </c>
      <c r="C270" s="604"/>
      <c r="D270" s="604"/>
      <c r="E270" s="601"/>
      <c r="F270" s="463"/>
      <c r="G270" s="605"/>
      <c r="H270" s="606"/>
      <c r="I270" s="600"/>
      <c r="J270" s="509"/>
      <c r="K270" s="506">
        <v>194</v>
      </c>
      <c r="L270" s="506">
        <f t="shared" si="30"/>
        <v>194</v>
      </c>
    </row>
    <row r="271" spans="1:13" s="432" customFormat="1" ht="12" customHeight="1" x14ac:dyDescent="0.3">
      <c r="A271" s="590"/>
      <c r="B271" s="595"/>
      <c r="C271" s="271" t="s">
        <v>644</v>
      </c>
      <c r="D271" s="271"/>
      <c r="E271" s="271"/>
      <c r="F271" s="463">
        <v>46</v>
      </c>
      <c r="G271" s="594" t="s">
        <v>1</v>
      </c>
      <c r="H271" s="603">
        <v>395</v>
      </c>
      <c r="I271" s="600">
        <f t="shared" ref="I271:I276" si="31">F271*H271</f>
        <v>18170</v>
      </c>
      <c r="J271" s="509"/>
      <c r="K271" s="506">
        <v>55</v>
      </c>
      <c r="L271" s="506">
        <f t="shared" si="30"/>
        <v>55</v>
      </c>
    </row>
    <row r="272" spans="1:13" s="432" customFormat="1" ht="12" customHeight="1" x14ac:dyDescent="0.3">
      <c r="A272" s="590"/>
      <c r="B272" s="607"/>
      <c r="C272" s="271" t="s">
        <v>645</v>
      </c>
      <c r="D272" s="271"/>
      <c r="E272" s="271"/>
      <c r="F272" s="463">
        <v>46</v>
      </c>
      <c r="G272" s="594" t="s">
        <v>1</v>
      </c>
      <c r="H272" s="603">
        <v>280</v>
      </c>
      <c r="I272" s="600">
        <f>F272*H272</f>
        <v>12880</v>
      </c>
      <c r="J272" s="509"/>
      <c r="K272" s="506">
        <v>14</v>
      </c>
      <c r="L272" s="506">
        <f t="shared" si="30"/>
        <v>14</v>
      </c>
    </row>
    <row r="273" spans="1:12" s="432" customFormat="1" ht="12" customHeight="1" x14ac:dyDescent="0.3">
      <c r="A273" s="590"/>
      <c r="B273" s="608"/>
      <c r="C273" s="271" t="s">
        <v>654</v>
      </c>
      <c r="D273" s="271"/>
      <c r="E273" s="271"/>
      <c r="F273" s="463">
        <v>10</v>
      </c>
      <c r="G273" s="594" t="s">
        <v>1</v>
      </c>
      <c r="H273" s="603">
        <v>95</v>
      </c>
      <c r="I273" s="600">
        <f t="shared" ref="I273:I274" si="32">F273*H273</f>
        <v>950</v>
      </c>
      <c r="J273" s="509"/>
      <c r="K273" s="506">
        <v>30</v>
      </c>
      <c r="L273" s="506">
        <f t="shared" si="30"/>
        <v>30</v>
      </c>
    </row>
    <row r="274" spans="1:12" s="432" customFormat="1" ht="12" customHeight="1" x14ac:dyDescent="0.3">
      <c r="A274" s="590"/>
      <c r="B274" s="595"/>
      <c r="C274" s="271" t="s">
        <v>655</v>
      </c>
      <c r="D274" s="271"/>
      <c r="E274" s="271"/>
      <c r="F274" s="463">
        <v>2</v>
      </c>
      <c r="G274" s="594" t="s">
        <v>1</v>
      </c>
      <c r="H274" s="603">
        <v>118</v>
      </c>
      <c r="I274" s="600">
        <f t="shared" si="32"/>
        <v>236</v>
      </c>
      <c r="J274" s="509"/>
      <c r="K274" s="519"/>
      <c r="L274" s="519"/>
    </row>
    <row r="275" spans="1:12" s="432" customFormat="1" ht="12" customHeight="1" x14ac:dyDescent="0.3">
      <c r="A275" s="590"/>
      <c r="B275" s="595"/>
      <c r="C275" s="271" t="s">
        <v>656</v>
      </c>
      <c r="D275" s="271"/>
      <c r="E275" s="271"/>
      <c r="F275" s="463">
        <v>10</v>
      </c>
      <c r="G275" s="594" t="s">
        <v>1</v>
      </c>
      <c r="H275" s="603">
        <v>157</v>
      </c>
      <c r="I275" s="600">
        <f t="shared" si="31"/>
        <v>1570</v>
      </c>
      <c r="J275" s="509"/>
    </row>
    <row r="276" spans="1:12" s="432" customFormat="1" ht="12" customHeight="1" x14ac:dyDescent="0.3">
      <c r="A276" s="590"/>
      <c r="B276" s="595"/>
      <c r="C276" s="271" t="s">
        <v>657</v>
      </c>
      <c r="D276" s="271"/>
      <c r="E276" s="271"/>
      <c r="F276" s="463">
        <v>27</v>
      </c>
      <c r="G276" s="594" t="s">
        <v>1</v>
      </c>
      <c r="H276" s="603">
        <v>185</v>
      </c>
      <c r="I276" s="600">
        <f t="shared" si="31"/>
        <v>4995</v>
      </c>
      <c r="J276" s="509"/>
    </row>
    <row r="277" spans="1:12" s="432" customFormat="1" ht="12" customHeight="1" x14ac:dyDescent="0.3">
      <c r="A277" s="590"/>
      <c r="B277" s="609" t="s">
        <v>462</v>
      </c>
      <c r="C277" s="271"/>
      <c r="D277" s="271"/>
      <c r="E277" s="601"/>
      <c r="F277" s="463"/>
      <c r="G277" s="591"/>
      <c r="H277" s="602"/>
      <c r="I277" s="600"/>
      <c r="J277" s="509"/>
    </row>
    <row r="278" spans="1:12" s="432" customFormat="1" ht="12" customHeight="1" x14ac:dyDescent="0.3">
      <c r="A278" s="590"/>
      <c r="B278" s="273"/>
      <c r="C278" s="271" t="s">
        <v>658</v>
      </c>
      <c r="D278" s="271"/>
      <c r="E278" s="271"/>
      <c r="F278" s="463">
        <v>8</v>
      </c>
      <c r="G278" s="594" t="s">
        <v>661</v>
      </c>
      <c r="H278" s="603">
        <v>125</v>
      </c>
      <c r="I278" s="600">
        <f t="shared" ref="I278:I280" si="33">F278*H278</f>
        <v>1000</v>
      </c>
      <c r="J278" s="509"/>
    </row>
    <row r="279" spans="1:12" s="432" customFormat="1" ht="12" customHeight="1" x14ac:dyDescent="0.3">
      <c r="A279" s="590"/>
      <c r="B279" s="273"/>
      <c r="C279" s="271" t="s">
        <v>659</v>
      </c>
      <c r="D279" s="271"/>
      <c r="E279" s="271"/>
      <c r="F279" s="463">
        <v>28</v>
      </c>
      <c r="G279" s="594" t="s">
        <v>661</v>
      </c>
      <c r="H279" s="603">
        <v>105</v>
      </c>
      <c r="I279" s="600">
        <f t="shared" si="33"/>
        <v>2940</v>
      </c>
    </row>
    <row r="280" spans="1:12" s="432" customFormat="1" ht="12" customHeight="1" x14ac:dyDescent="0.3">
      <c r="A280" s="590"/>
      <c r="B280" s="273"/>
      <c r="C280" s="271" t="s">
        <v>660</v>
      </c>
      <c r="D280" s="271"/>
      <c r="E280" s="271"/>
      <c r="F280" s="463">
        <v>35</v>
      </c>
      <c r="G280" s="594" t="s">
        <v>661</v>
      </c>
      <c r="H280" s="603">
        <v>88</v>
      </c>
      <c r="I280" s="600">
        <f t="shared" si="33"/>
        <v>3080</v>
      </c>
    </row>
    <row r="281" spans="1:12" s="432" customFormat="1" ht="12" customHeight="1" x14ac:dyDescent="0.3">
      <c r="A281" s="590"/>
      <c r="B281" s="609" t="s">
        <v>665</v>
      </c>
      <c r="C281" s="271"/>
      <c r="D281" s="271"/>
      <c r="E281" s="271"/>
      <c r="F281" s="463"/>
      <c r="G281" s="594"/>
      <c r="H281" s="603"/>
      <c r="I281" s="600"/>
    </row>
    <row r="282" spans="1:12" s="432" customFormat="1" ht="12" customHeight="1" x14ac:dyDescent="0.3">
      <c r="A282" s="590"/>
      <c r="B282" s="273"/>
      <c r="C282" s="271" t="s">
        <v>662</v>
      </c>
      <c r="D282" s="271"/>
      <c r="E282" s="271"/>
      <c r="F282" s="463">
        <v>25</v>
      </c>
      <c r="G282" s="594" t="s">
        <v>664</v>
      </c>
      <c r="H282" s="603">
        <v>30</v>
      </c>
      <c r="I282" s="600">
        <f>F282*H282</f>
        <v>750</v>
      </c>
    </row>
    <row r="283" spans="1:12" s="432" customFormat="1" ht="12" customHeight="1" x14ac:dyDescent="0.3">
      <c r="A283" s="590"/>
      <c r="B283" s="273"/>
      <c r="C283" s="271" t="s">
        <v>663</v>
      </c>
      <c r="D283" s="271"/>
      <c r="E283" s="271"/>
      <c r="F283" s="463">
        <v>30</v>
      </c>
      <c r="G283" s="594" t="s">
        <v>1</v>
      </c>
      <c r="H283" s="603">
        <v>45</v>
      </c>
      <c r="I283" s="600">
        <f>F283*H283</f>
        <v>1350</v>
      </c>
    </row>
    <row r="284" spans="1:12" s="432" customFormat="1" ht="12" customHeight="1" x14ac:dyDescent="0.3">
      <c r="A284" s="590"/>
      <c r="B284" s="598" t="s">
        <v>202</v>
      </c>
      <c r="C284" s="604"/>
      <c r="D284" s="604"/>
      <c r="E284" s="601"/>
      <c r="F284" s="463"/>
      <c r="G284" s="591"/>
      <c r="H284" s="610"/>
      <c r="I284" s="600"/>
    </row>
    <row r="285" spans="1:12" s="432" customFormat="1" ht="12" customHeight="1" x14ac:dyDescent="0.3">
      <c r="A285" s="590"/>
      <c r="B285" s="273"/>
      <c r="C285" s="604" t="s">
        <v>203</v>
      </c>
      <c r="D285" s="604"/>
      <c r="E285" s="601"/>
      <c r="F285" s="463">
        <v>65</v>
      </c>
      <c r="G285" s="591" t="s">
        <v>86</v>
      </c>
      <c r="H285" s="610">
        <v>3</v>
      </c>
      <c r="I285" s="600">
        <f>H285*F285</f>
        <v>195</v>
      </c>
    </row>
    <row r="286" spans="1:12" s="432" customFormat="1" ht="12" customHeight="1" x14ac:dyDescent="0.3">
      <c r="A286" s="590"/>
      <c r="B286" s="273"/>
      <c r="C286" s="604" t="s">
        <v>204</v>
      </c>
      <c r="D286" s="604"/>
      <c r="E286" s="601"/>
      <c r="F286" s="463">
        <v>15</v>
      </c>
      <c r="G286" s="591" t="s">
        <v>86</v>
      </c>
      <c r="H286" s="610">
        <v>4</v>
      </c>
      <c r="I286" s="600">
        <f t="shared" ref="I286:I296" si="34">H286*F286</f>
        <v>60</v>
      </c>
      <c r="K286" s="558"/>
      <c r="L286" s="558"/>
    </row>
    <row r="287" spans="1:12" s="432" customFormat="1" ht="12" customHeight="1" x14ac:dyDescent="0.3">
      <c r="A287" s="590"/>
      <c r="B287" s="273"/>
      <c r="C287" s="604" t="s">
        <v>205</v>
      </c>
      <c r="D287" s="604"/>
      <c r="E287" s="601"/>
      <c r="F287" s="463">
        <v>3</v>
      </c>
      <c r="G287" s="591" t="s">
        <v>81</v>
      </c>
      <c r="H287" s="610">
        <v>55</v>
      </c>
      <c r="I287" s="600">
        <f t="shared" si="34"/>
        <v>165</v>
      </c>
      <c r="K287" s="558"/>
      <c r="L287" s="558"/>
    </row>
    <row r="288" spans="1:12" s="432" customFormat="1" ht="12" customHeight="1" x14ac:dyDescent="0.3">
      <c r="A288" s="590"/>
      <c r="B288" s="273"/>
      <c r="C288" s="604" t="s">
        <v>90</v>
      </c>
      <c r="D288" s="604"/>
      <c r="E288" s="601"/>
      <c r="F288" s="463">
        <v>1</v>
      </c>
      <c r="G288" s="591" t="s">
        <v>146</v>
      </c>
      <c r="H288" s="610">
        <v>120</v>
      </c>
      <c r="I288" s="600">
        <f t="shared" si="34"/>
        <v>120</v>
      </c>
    </row>
    <row r="289" spans="1:9" s="432" customFormat="1" ht="12" customHeight="1" x14ac:dyDescent="0.3">
      <c r="A289" s="590"/>
      <c r="B289" s="273"/>
      <c r="C289" s="604" t="s">
        <v>91</v>
      </c>
      <c r="D289" s="604"/>
      <c r="E289" s="601"/>
      <c r="F289" s="463">
        <v>1</v>
      </c>
      <c r="G289" s="591" t="s">
        <v>146</v>
      </c>
      <c r="H289" s="610">
        <v>85</v>
      </c>
      <c r="I289" s="600">
        <f t="shared" si="34"/>
        <v>85</v>
      </c>
    </row>
    <row r="290" spans="1:9" s="432" customFormat="1" ht="12" customHeight="1" x14ac:dyDescent="0.3">
      <c r="A290" s="590"/>
      <c r="B290" s="273"/>
      <c r="C290" s="604" t="s">
        <v>92</v>
      </c>
      <c r="D290" s="604"/>
      <c r="E290" s="601"/>
      <c r="F290" s="463">
        <v>1</v>
      </c>
      <c r="G290" s="591" t="s">
        <v>93</v>
      </c>
      <c r="H290" s="610">
        <v>145</v>
      </c>
      <c r="I290" s="600">
        <f t="shared" si="34"/>
        <v>145</v>
      </c>
    </row>
    <row r="291" spans="1:9" s="432" customFormat="1" ht="12" customHeight="1" x14ac:dyDescent="0.3">
      <c r="A291" s="590"/>
      <c r="B291" s="273"/>
      <c r="C291" s="604" t="s">
        <v>94</v>
      </c>
      <c r="D291" s="604"/>
      <c r="E291" s="601"/>
      <c r="F291" s="463">
        <v>1</v>
      </c>
      <c r="G291" s="591" t="s">
        <v>93</v>
      </c>
      <c r="H291" s="610">
        <v>110</v>
      </c>
      <c r="I291" s="600">
        <f t="shared" si="34"/>
        <v>110</v>
      </c>
    </row>
    <row r="292" spans="1:9" s="432" customFormat="1" ht="12" customHeight="1" x14ac:dyDescent="0.3">
      <c r="A292" s="590"/>
      <c r="B292" s="273"/>
      <c r="C292" s="604" t="s">
        <v>239</v>
      </c>
      <c r="D292" s="604"/>
      <c r="E292" s="601"/>
      <c r="F292" s="463">
        <v>2</v>
      </c>
      <c r="G292" s="591" t="s">
        <v>233</v>
      </c>
      <c r="H292" s="610">
        <v>120</v>
      </c>
      <c r="I292" s="600">
        <f t="shared" si="34"/>
        <v>240</v>
      </c>
    </row>
    <row r="293" spans="1:9" s="432" customFormat="1" ht="12" customHeight="1" x14ac:dyDescent="0.3">
      <c r="A293" s="590"/>
      <c r="B293" s="273"/>
      <c r="C293" s="604" t="s">
        <v>206</v>
      </c>
      <c r="D293" s="604"/>
      <c r="E293" s="601"/>
      <c r="F293" s="463">
        <v>2</v>
      </c>
      <c r="G293" s="591" t="s">
        <v>152</v>
      </c>
      <c r="H293" s="610">
        <v>75</v>
      </c>
      <c r="I293" s="600">
        <f t="shared" si="34"/>
        <v>150</v>
      </c>
    </row>
    <row r="294" spans="1:9" s="432" customFormat="1" ht="12" customHeight="1" x14ac:dyDescent="0.3">
      <c r="A294" s="590"/>
      <c r="B294" s="273"/>
      <c r="C294" s="604" t="s">
        <v>207</v>
      </c>
      <c r="D294" s="604"/>
      <c r="E294" s="601"/>
      <c r="F294" s="463">
        <v>6</v>
      </c>
      <c r="G294" s="591" t="s">
        <v>80</v>
      </c>
      <c r="H294" s="610">
        <v>24</v>
      </c>
      <c r="I294" s="600">
        <f t="shared" si="34"/>
        <v>144</v>
      </c>
    </row>
    <row r="295" spans="1:9" s="432" customFormat="1" ht="12" customHeight="1" x14ac:dyDescent="0.3">
      <c r="A295" s="590"/>
      <c r="B295" s="273"/>
      <c r="C295" s="604" t="s">
        <v>208</v>
      </c>
      <c r="D295" s="604"/>
      <c r="E295" s="601"/>
      <c r="F295" s="463">
        <v>15</v>
      </c>
      <c r="G295" s="591" t="s">
        <v>80</v>
      </c>
      <c r="H295" s="610">
        <v>16</v>
      </c>
      <c r="I295" s="600">
        <f t="shared" si="34"/>
        <v>240</v>
      </c>
    </row>
    <row r="296" spans="1:9" s="432" customFormat="1" ht="12" customHeight="1" x14ac:dyDescent="0.3">
      <c r="A296" s="590"/>
      <c r="B296" s="273"/>
      <c r="C296" s="604" t="s">
        <v>209</v>
      </c>
      <c r="D296" s="604"/>
      <c r="E296" s="601"/>
      <c r="F296" s="463">
        <v>1</v>
      </c>
      <c r="G296" s="591" t="s">
        <v>66</v>
      </c>
      <c r="H296" s="610">
        <v>90</v>
      </c>
      <c r="I296" s="600">
        <f t="shared" si="34"/>
        <v>90</v>
      </c>
    </row>
    <row r="297" spans="1:9" s="432" customFormat="1" ht="12" customHeight="1" x14ac:dyDescent="0.3">
      <c r="A297" s="590"/>
      <c r="B297" s="273"/>
      <c r="C297" s="604"/>
      <c r="D297" s="604"/>
      <c r="E297" s="601"/>
      <c r="F297" s="611"/>
      <c r="G297" s="591"/>
      <c r="H297" s="610"/>
      <c r="I297" s="600"/>
    </row>
    <row r="298" spans="1:9" s="432" customFormat="1" ht="12" customHeight="1" x14ac:dyDescent="0.3">
      <c r="A298" s="590"/>
      <c r="B298" s="568"/>
      <c r="C298" s="460"/>
      <c r="D298" s="460"/>
      <c r="E298" s="465"/>
      <c r="F298" s="466"/>
      <c r="G298" s="467"/>
      <c r="H298" s="468" t="s">
        <v>26</v>
      </c>
      <c r="I298" s="464">
        <f>SUM(I260:I297)</f>
        <v>73335</v>
      </c>
    </row>
    <row r="299" spans="1:9" s="432" customFormat="1" ht="12" customHeight="1" x14ac:dyDescent="0.3">
      <c r="A299" s="612"/>
      <c r="B299" s="566"/>
      <c r="C299" s="545"/>
      <c r="D299" s="545"/>
      <c r="E299" s="567"/>
      <c r="F299" s="494"/>
      <c r="G299" s="495"/>
      <c r="H299" s="496" t="str">
        <f>"Hauling/Handling Cost "&amp;TEXT(L$4,"#%")&amp;" of MC"</f>
        <v>Hauling/Handling Cost 1% of MC</v>
      </c>
      <c r="I299" s="464">
        <f>L$4*I298</f>
        <v>733.35</v>
      </c>
    </row>
    <row r="300" spans="1:9" s="432" customFormat="1" ht="12" customHeight="1" x14ac:dyDescent="0.3">
      <c r="A300" s="590"/>
      <c r="B300" s="568"/>
      <c r="C300" s="460"/>
      <c r="D300" s="460"/>
      <c r="E300" s="465"/>
      <c r="F300" s="466"/>
      <c r="G300" s="467"/>
      <c r="H300" s="468" t="str">
        <f>"Labor Cost "&amp;TEXT(L$5,"#%")&amp;" of MC"</f>
        <v>Labor Cost 30% of MC</v>
      </c>
      <c r="I300" s="464">
        <f>L$5*I298</f>
        <v>22000.5</v>
      </c>
    </row>
    <row r="301" spans="1:9" s="432" customFormat="1" ht="12" customHeight="1" x14ac:dyDescent="0.3">
      <c r="A301" s="469"/>
      <c r="B301" s="470"/>
      <c r="C301" s="471"/>
      <c r="D301" s="471"/>
      <c r="E301" s="472"/>
      <c r="F301" s="473"/>
      <c r="G301" s="474"/>
      <c r="H301" s="475" t="s">
        <v>23</v>
      </c>
      <c r="I301" s="476">
        <f>I298+I299+I300</f>
        <v>96068.85</v>
      </c>
    </row>
    <row r="302" spans="1:9" s="432" customFormat="1" ht="12" customHeight="1" x14ac:dyDescent="0.3">
      <c r="A302" s="477" t="s">
        <v>157</v>
      </c>
      <c r="B302" s="478" t="s">
        <v>54</v>
      </c>
      <c r="C302" s="479"/>
      <c r="D302" s="479"/>
      <c r="E302" s="480"/>
      <c r="F302" s="481">
        <v>1</v>
      </c>
      <c r="G302" s="482" t="s">
        <v>144</v>
      </c>
      <c r="H302" s="483"/>
      <c r="I302" s="484"/>
    </row>
    <row r="303" spans="1:9" s="432" customFormat="1" ht="12" customHeight="1" x14ac:dyDescent="0.3">
      <c r="A303" s="590"/>
      <c r="B303" s="204" t="s">
        <v>22</v>
      </c>
      <c r="C303" s="460"/>
      <c r="D303" s="460"/>
      <c r="E303" s="465"/>
      <c r="F303" s="485"/>
      <c r="G303" s="591"/>
      <c r="H303" s="555"/>
      <c r="I303" s="464"/>
    </row>
    <row r="304" spans="1:9" s="432" customFormat="1" ht="12" customHeight="1" x14ac:dyDescent="0.3">
      <c r="A304" s="590"/>
      <c r="B304" s="204"/>
      <c r="C304" s="460" t="s">
        <v>438</v>
      </c>
      <c r="D304" s="460"/>
      <c r="E304" s="465"/>
      <c r="F304" s="485"/>
      <c r="G304" s="591"/>
      <c r="H304" s="555"/>
      <c r="I304" s="464"/>
    </row>
    <row r="305" spans="1:9" s="432" customFormat="1" ht="12" customHeight="1" x14ac:dyDescent="0.3">
      <c r="A305" s="590"/>
      <c r="B305" s="204"/>
      <c r="C305" s="460" t="s">
        <v>439</v>
      </c>
      <c r="D305" s="460"/>
      <c r="E305" s="500"/>
      <c r="F305" s="485"/>
      <c r="G305" s="591"/>
      <c r="H305" s="555"/>
      <c r="I305" s="464"/>
    </row>
    <row r="306" spans="1:9" s="432" customFormat="1" ht="12" customHeight="1" x14ac:dyDescent="0.3">
      <c r="A306" s="590"/>
      <c r="B306" s="204"/>
      <c r="C306" s="460" t="s">
        <v>127</v>
      </c>
      <c r="D306" s="460"/>
      <c r="E306" s="465"/>
      <c r="F306" s="485"/>
      <c r="G306" s="591"/>
      <c r="H306" s="555"/>
      <c r="I306" s="464"/>
    </row>
    <row r="307" spans="1:9" s="432" customFormat="1" ht="12" customHeight="1" x14ac:dyDescent="0.3">
      <c r="A307" s="590"/>
      <c r="B307" s="204"/>
      <c r="C307" s="454" t="s">
        <v>322</v>
      </c>
      <c r="D307" s="601"/>
      <c r="E307" s="601"/>
      <c r="F307" s="485"/>
      <c r="G307" s="591"/>
      <c r="H307" s="555"/>
      <c r="I307" s="464"/>
    </row>
    <row r="308" spans="1:9" s="432" customFormat="1" ht="12" customHeight="1" x14ac:dyDescent="0.3">
      <c r="A308" s="590"/>
      <c r="B308" s="204"/>
      <c r="C308" s="455"/>
      <c r="D308" s="455"/>
      <c r="E308" s="465"/>
      <c r="F308" s="485"/>
      <c r="G308" s="591"/>
      <c r="H308" s="555"/>
      <c r="I308" s="464"/>
    </row>
    <row r="309" spans="1:9" s="432" customFormat="1" ht="12" customHeight="1" x14ac:dyDescent="0.3">
      <c r="A309" s="590"/>
      <c r="B309" s="204" t="s">
        <v>25</v>
      </c>
      <c r="C309" s="460"/>
      <c r="D309" s="460"/>
      <c r="E309" s="465"/>
      <c r="F309" s="485"/>
      <c r="G309" s="591"/>
      <c r="H309" s="555"/>
      <c r="I309" s="464"/>
    </row>
    <row r="310" spans="1:9" s="432" customFormat="1" ht="12" customHeight="1" x14ac:dyDescent="0.3">
      <c r="A310" s="590"/>
      <c r="B310" s="613" t="s">
        <v>119</v>
      </c>
      <c r="C310" s="460"/>
      <c r="D310" s="460"/>
      <c r="E310" s="465"/>
      <c r="F310" s="485"/>
      <c r="G310" s="591"/>
      <c r="H310" s="555"/>
      <c r="I310" s="464"/>
    </row>
    <row r="311" spans="1:9" s="432" customFormat="1" ht="12" customHeight="1" x14ac:dyDescent="0.3">
      <c r="A311" s="590"/>
      <c r="B311" s="204"/>
      <c r="C311" s="448" t="s">
        <v>298</v>
      </c>
      <c r="D311" s="448"/>
      <c r="E311" s="465"/>
      <c r="F311" s="463">
        <v>1</v>
      </c>
      <c r="G311" s="591" t="s">
        <v>10</v>
      </c>
      <c r="H311" s="555">
        <v>2800</v>
      </c>
      <c r="I311" s="464">
        <f>H311*F311</f>
        <v>2800</v>
      </c>
    </row>
    <row r="312" spans="1:9" s="432" customFormat="1" ht="12" customHeight="1" x14ac:dyDescent="0.3">
      <c r="A312" s="590"/>
      <c r="B312" s="204"/>
      <c r="C312" s="448" t="s">
        <v>299</v>
      </c>
      <c r="D312" s="448"/>
      <c r="E312" s="465"/>
      <c r="F312" s="463"/>
      <c r="G312" s="591"/>
      <c r="H312" s="555"/>
      <c r="I312" s="464"/>
    </row>
    <row r="313" spans="1:9" s="432" customFormat="1" ht="12" customHeight="1" x14ac:dyDescent="0.3">
      <c r="A313" s="614"/>
      <c r="B313" s="615"/>
      <c r="C313" s="586" t="s">
        <v>313</v>
      </c>
      <c r="D313" s="512"/>
      <c r="E313" s="616"/>
      <c r="F313" s="538">
        <v>1</v>
      </c>
      <c r="G313" s="617" t="s">
        <v>10</v>
      </c>
      <c r="H313" s="618">
        <v>2800</v>
      </c>
      <c r="I313" s="539">
        <f>H313*F313</f>
        <v>2800</v>
      </c>
    </row>
    <row r="314" spans="1:9" s="432" customFormat="1" ht="12" customHeight="1" x14ac:dyDescent="0.3">
      <c r="A314" s="590"/>
      <c r="B314" s="204"/>
      <c r="C314" s="448" t="s">
        <v>314</v>
      </c>
      <c r="D314" s="460"/>
      <c r="E314" s="465"/>
      <c r="F314" s="463"/>
      <c r="G314" s="591"/>
      <c r="H314" s="555"/>
      <c r="I314" s="464"/>
    </row>
    <row r="315" spans="1:9" s="432" customFormat="1" ht="12" customHeight="1" x14ac:dyDescent="0.3">
      <c r="A315" s="590"/>
      <c r="B315" s="204"/>
      <c r="C315" s="501" t="s">
        <v>321</v>
      </c>
      <c r="D315" s="460"/>
      <c r="E315" s="449"/>
      <c r="F315" s="463">
        <v>3</v>
      </c>
      <c r="G315" s="591" t="s">
        <v>6</v>
      </c>
      <c r="H315" s="555">
        <v>2500</v>
      </c>
      <c r="I315" s="464">
        <f>H315*F315</f>
        <v>7500</v>
      </c>
    </row>
    <row r="316" spans="1:9" s="432" customFormat="1" ht="12" customHeight="1" x14ac:dyDescent="0.3">
      <c r="A316" s="590"/>
      <c r="B316" s="204"/>
      <c r="C316" s="454" t="s">
        <v>544</v>
      </c>
      <c r="D316" s="460"/>
      <c r="E316" s="449"/>
      <c r="F316" s="463">
        <v>4</v>
      </c>
      <c r="G316" s="591" t="s">
        <v>1</v>
      </c>
      <c r="H316" s="555">
        <v>220</v>
      </c>
      <c r="I316" s="464">
        <f>H316*F316</f>
        <v>880</v>
      </c>
    </row>
    <row r="317" spans="1:9" s="432" customFormat="1" ht="12" customHeight="1" x14ac:dyDescent="0.3">
      <c r="A317" s="590"/>
      <c r="B317" s="204"/>
      <c r="C317" s="520" t="s">
        <v>318</v>
      </c>
      <c r="D317" s="460"/>
      <c r="E317" s="465"/>
      <c r="F317" s="463">
        <v>1</v>
      </c>
      <c r="G317" s="591" t="s">
        <v>68</v>
      </c>
      <c r="H317" s="555">
        <v>280</v>
      </c>
      <c r="I317" s="464">
        <f>H317*F317</f>
        <v>280</v>
      </c>
    </row>
    <row r="318" spans="1:9" s="432" customFormat="1" ht="12" customHeight="1" x14ac:dyDescent="0.3">
      <c r="A318" s="590"/>
      <c r="B318" s="204"/>
      <c r="C318" s="448" t="s">
        <v>120</v>
      </c>
      <c r="D318" s="460"/>
      <c r="E318" s="465"/>
      <c r="F318" s="463">
        <v>1</v>
      </c>
      <c r="G318" s="591" t="s">
        <v>10</v>
      </c>
      <c r="H318" s="555">
        <v>480</v>
      </c>
      <c r="I318" s="464">
        <f>H318*F318</f>
        <v>480</v>
      </c>
    </row>
    <row r="319" spans="1:9" s="432" customFormat="1" ht="12" customHeight="1" x14ac:dyDescent="0.3">
      <c r="A319" s="590"/>
      <c r="B319" s="613" t="s">
        <v>128</v>
      </c>
      <c r="C319" s="460"/>
      <c r="D319" s="460"/>
      <c r="E319" s="465"/>
      <c r="F319" s="463"/>
      <c r="G319" s="591"/>
      <c r="H319" s="555"/>
      <c r="I319" s="464"/>
    </row>
    <row r="320" spans="1:9" s="432" customFormat="1" ht="12" customHeight="1" x14ac:dyDescent="0.3">
      <c r="A320" s="590"/>
      <c r="B320" s="568"/>
      <c r="C320" s="448" t="s">
        <v>253</v>
      </c>
      <c r="D320" s="448"/>
      <c r="E320" s="619"/>
      <c r="F320" s="463">
        <v>20</v>
      </c>
      <c r="G320" s="451" t="s">
        <v>80</v>
      </c>
      <c r="H320" s="452">
        <v>18</v>
      </c>
      <c r="I320" s="464">
        <f t="shared" ref="I320:I324" si="35">H320*F320</f>
        <v>360</v>
      </c>
    </row>
    <row r="321" spans="1:9" s="432" customFormat="1" ht="12" customHeight="1" x14ac:dyDescent="0.3">
      <c r="A321" s="590"/>
      <c r="B321" s="568"/>
      <c r="C321" s="448" t="s">
        <v>252</v>
      </c>
      <c r="D321" s="448"/>
      <c r="E321" s="619"/>
      <c r="F321" s="463">
        <v>5</v>
      </c>
      <c r="G321" s="451" t="s">
        <v>1</v>
      </c>
      <c r="H321" s="452">
        <v>85</v>
      </c>
      <c r="I321" s="464">
        <f t="shared" si="35"/>
        <v>425</v>
      </c>
    </row>
    <row r="322" spans="1:9" s="432" customFormat="1" ht="12" customHeight="1" x14ac:dyDescent="0.3">
      <c r="A322" s="590"/>
      <c r="B322" s="568"/>
      <c r="C322" s="448" t="s">
        <v>251</v>
      </c>
      <c r="D322" s="448"/>
      <c r="E322" s="619"/>
      <c r="F322" s="463">
        <v>3</v>
      </c>
      <c r="G322" s="451" t="s">
        <v>1</v>
      </c>
      <c r="H322" s="452">
        <v>75</v>
      </c>
      <c r="I322" s="464">
        <f t="shared" si="35"/>
        <v>225</v>
      </c>
    </row>
    <row r="323" spans="1:9" s="432" customFormat="1" ht="12" customHeight="1" x14ac:dyDescent="0.3">
      <c r="A323" s="590"/>
      <c r="B323" s="568"/>
      <c r="C323" s="448" t="s">
        <v>250</v>
      </c>
      <c r="D323" s="448"/>
      <c r="E323" s="619"/>
      <c r="F323" s="463">
        <v>5</v>
      </c>
      <c r="G323" s="451" t="s">
        <v>1</v>
      </c>
      <c r="H323" s="452">
        <v>45</v>
      </c>
      <c r="I323" s="464">
        <f t="shared" si="35"/>
        <v>225</v>
      </c>
    </row>
    <row r="324" spans="1:9" s="432" customFormat="1" ht="12" customHeight="1" x14ac:dyDescent="0.3">
      <c r="A324" s="590"/>
      <c r="B324" s="568"/>
      <c r="C324" s="448" t="s">
        <v>249</v>
      </c>
      <c r="D324" s="448"/>
      <c r="E324" s="619"/>
      <c r="F324" s="463">
        <v>8</v>
      </c>
      <c r="G324" s="451" t="s">
        <v>1</v>
      </c>
      <c r="H324" s="452">
        <v>75</v>
      </c>
      <c r="I324" s="464">
        <f t="shared" si="35"/>
        <v>600</v>
      </c>
    </row>
    <row r="325" spans="1:9" s="432" customFormat="1" ht="12" customHeight="1" x14ac:dyDescent="0.3">
      <c r="A325" s="590"/>
      <c r="B325" s="568"/>
      <c r="C325" s="460" t="s">
        <v>134</v>
      </c>
      <c r="D325" s="460"/>
      <c r="E325" s="465"/>
      <c r="F325" s="463">
        <v>2</v>
      </c>
      <c r="G325" s="451" t="s">
        <v>1</v>
      </c>
      <c r="H325" s="555">
        <v>30</v>
      </c>
      <c r="I325" s="464">
        <f>H325*F325</f>
        <v>60</v>
      </c>
    </row>
    <row r="326" spans="1:9" s="432" customFormat="1" ht="12" customHeight="1" x14ac:dyDescent="0.3">
      <c r="A326" s="590"/>
      <c r="B326" s="568"/>
      <c r="C326" s="460" t="s">
        <v>436</v>
      </c>
      <c r="D326" s="460"/>
      <c r="E326" s="465"/>
      <c r="F326" s="463">
        <v>1</v>
      </c>
      <c r="G326" s="451" t="s">
        <v>68</v>
      </c>
      <c r="H326" s="555">
        <v>450</v>
      </c>
      <c r="I326" s="464">
        <f>H326*F326</f>
        <v>450</v>
      </c>
    </row>
    <row r="327" spans="1:9" s="432" customFormat="1" ht="12" customHeight="1" x14ac:dyDescent="0.3">
      <c r="A327" s="590"/>
      <c r="B327" s="613" t="s">
        <v>437</v>
      </c>
      <c r="C327" s="460"/>
      <c r="D327" s="460"/>
      <c r="E327" s="465"/>
      <c r="F327" s="463"/>
      <c r="G327" s="591"/>
      <c r="H327" s="555"/>
      <c r="I327" s="464"/>
    </row>
    <row r="328" spans="1:9" s="432" customFormat="1" ht="12" customHeight="1" x14ac:dyDescent="0.3">
      <c r="A328" s="590"/>
      <c r="B328" s="568"/>
      <c r="C328" s="460" t="s">
        <v>132</v>
      </c>
      <c r="D328" s="460"/>
      <c r="E328" s="465"/>
      <c r="F328" s="463">
        <v>6</v>
      </c>
      <c r="G328" s="591" t="s">
        <v>1</v>
      </c>
      <c r="H328" s="555">
        <v>850</v>
      </c>
      <c r="I328" s="464">
        <f t="shared" ref="I328:I337" si="36">H328*F328</f>
        <v>5100</v>
      </c>
    </row>
    <row r="329" spans="1:9" s="432" customFormat="1" ht="12" customHeight="1" x14ac:dyDescent="0.3">
      <c r="A329" s="590"/>
      <c r="B329" s="568"/>
      <c r="C329" s="460" t="s">
        <v>584</v>
      </c>
      <c r="D329" s="460"/>
      <c r="E329" s="465"/>
      <c r="F329" s="463">
        <v>2</v>
      </c>
      <c r="G329" s="591" t="s">
        <v>1</v>
      </c>
      <c r="H329" s="555">
        <v>700</v>
      </c>
      <c r="I329" s="464">
        <f t="shared" si="36"/>
        <v>1400</v>
      </c>
    </row>
    <row r="330" spans="1:9" s="432" customFormat="1" ht="12" customHeight="1" x14ac:dyDescent="0.3">
      <c r="A330" s="590"/>
      <c r="B330" s="568"/>
      <c r="C330" s="460" t="s">
        <v>121</v>
      </c>
      <c r="D330" s="460"/>
      <c r="E330" s="465"/>
      <c r="F330" s="463">
        <v>4</v>
      </c>
      <c r="G330" s="591" t="s">
        <v>1</v>
      </c>
      <c r="H330" s="555">
        <v>175</v>
      </c>
      <c r="I330" s="464">
        <f t="shared" si="36"/>
        <v>700</v>
      </c>
    </row>
    <row r="331" spans="1:9" s="432" customFormat="1" ht="12" customHeight="1" x14ac:dyDescent="0.3">
      <c r="A331" s="590"/>
      <c r="B331" s="568"/>
      <c r="C331" s="460" t="s">
        <v>585</v>
      </c>
      <c r="D331" s="460"/>
      <c r="E331" s="465"/>
      <c r="F331" s="463">
        <v>1</v>
      </c>
      <c r="G331" s="591" t="s">
        <v>68</v>
      </c>
      <c r="H331" s="555">
        <v>118</v>
      </c>
      <c r="I331" s="464">
        <f t="shared" si="36"/>
        <v>118</v>
      </c>
    </row>
    <row r="332" spans="1:9" s="432" customFormat="1" ht="12" customHeight="1" x14ac:dyDescent="0.3">
      <c r="A332" s="590"/>
      <c r="B332" s="568"/>
      <c r="C332" s="460" t="s">
        <v>586</v>
      </c>
      <c r="D332" s="460"/>
      <c r="E332" s="465"/>
      <c r="F332" s="463">
        <v>1</v>
      </c>
      <c r="G332" s="591" t="s">
        <v>68</v>
      </c>
      <c r="H332" s="555">
        <v>90</v>
      </c>
      <c r="I332" s="464">
        <f t="shared" si="36"/>
        <v>90</v>
      </c>
    </row>
    <row r="333" spans="1:9" s="432" customFormat="1" ht="12" customHeight="1" x14ac:dyDescent="0.3">
      <c r="A333" s="590"/>
      <c r="B333" s="568"/>
      <c r="C333" s="460" t="s">
        <v>129</v>
      </c>
      <c r="D333" s="460"/>
      <c r="E333" s="465"/>
      <c r="F333" s="463">
        <v>2</v>
      </c>
      <c r="G333" s="591" t="s">
        <v>1</v>
      </c>
      <c r="H333" s="555">
        <v>84</v>
      </c>
      <c r="I333" s="464">
        <f t="shared" si="36"/>
        <v>168</v>
      </c>
    </row>
    <row r="334" spans="1:9" s="432" customFormat="1" ht="12" customHeight="1" x14ac:dyDescent="0.3">
      <c r="A334" s="590"/>
      <c r="B334" s="568"/>
      <c r="C334" s="460" t="s">
        <v>587</v>
      </c>
      <c r="D334" s="460"/>
      <c r="E334" s="465"/>
      <c r="F334" s="463">
        <v>3</v>
      </c>
      <c r="G334" s="591" t="s">
        <v>1</v>
      </c>
      <c r="H334" s="555">
        <v>62</v>
      </c>
      <c r="I334" s="464">
        <f t="shared" si="36"/>
        <v>186</v>
      </c>
    </row>
    <row r="335" spans="1:9" s="432" customFormat="1" ht="12" customHeight="1" x14ac:dyDescent="0.3">
      <c r="A335" s="590"/>
      <c r="B335" s="568"/>
      <c r="C335" s="460" t="s">
        <v>154</v>
      </c>
      <c r="D335" s="460"/>
      <c r="E335" s="465"/>
      <c r="F335" s="463">
        <v>2</v>
      </c>
      <c r="G335" s="591" t="s">
        <v>1</v>
      </c>
      <c r="H335" s="555">
        <v>150</v>
      </c>
      <c r="I335" s="464">
        <f t="shared" si="36"/>
        <v>300</v>
      </c>
    </row>
    <row r="336" spans="1:9" s="432" customFormat="1" ht="12" customHeight="1" x14ac:dyDescent="0.3">
      <c r="A336" s="590"/>
      <c r="B336" s="568"/>
      <c r="C336" s="460" t="s">
        <v>588</v>
      </c>
      <c r="D336" s="460"/>
      <c r="E336" s="465"/>
      <c r="F336" s="463">
        <v>2</v>
      </c>
      <c r="G336" s="591" t="s">
        <v>1</v>
      </c>
      <c r="H336" s="555">
        <v>95</v>
      </c>
      <c r="I336" s="464">
        <f t="shared" si="36"/>
        <v>190</v>
      </c>
    </row>
    <row r="337" spans="1:9" s="432" customFormat="1" ht="12" customHeight="1" x14ac:dyDescent="0.3">
      <c r="A337" s="590"/>
      <c r="B337" s="568"/>
      <c r="C337" s="460" t="s">
        <v>126</v>
      </c>
      <c r="D337" s="460"/>
      <c r="E337" s="465"/>
      <c r="F337" s="463">
        <v>3</v>
      </c>
      <c r="G337" s="591" t="s">
        <v>1</v>
      </c>
      <c r="H337" s="555">
        <v>72</v>
      </c>
      <c r="I337" s="464">
        <f t="shared" si="36"/>
        <v>216</v>
      </c>
    </row>
    <row r="338" spans="1:9" s="432" customFormat="1" ht="12" customHeight="1" x14ac:dyDescent="0.3">
      <c r="A338" s="590"/>
      <c r="B338" s="613" t="s">
        <v>589</v>
      </c>
      <c r="C338" s="460"/>
      <c r="D338" s="460"/>
      <c r="E338" s="465"/>
      <c r="F338" s="450"/>
      <c r="G338" s="591"/>
      <c r="H338" s="555"/>
      <c r="I338" s="464"/>
    </row>
    <row r="339" spans="1:9" s="432" customFormat="1" ht="12" customHeight="1" x14ac:dyDescent="0.3">
      <c r="A339" s="590"/>
      <c r="B339" s="568"/>
      <c r="C339" s="460" t="s">
        <v>132</v>
      </c>
      <c r="D339" s="460"/>
      <c r="E339" s="465"/>
      <c r="F339" s="463">
        <v>1</v>
      </c>
      <c r="G339" s="591" t="s">
        <v>118</v>
      </c>
      <c r="H339" s="555">
        <v>850</v>
      </c>
      <c r="I339" s="464">
        <f t="shared" ref="I339:I342" si="37">H339*F339</f>
        <v>850</v>
      </c>
    </row>
    <row r="340" spans="1:9" s="432" customFormat="1" ht="12" customHeight="1" x14ac:dyDescent="0.3">
      <c r="A340" s="590"/>
      <c r="B340" s="568"/>
      <c r="C340" s="460" t="s">
        <v>122</v>
      </c>
      <c r="D340" s="460"/>
      <c r="E340" s="465"/>
      <c r="F340" s="463">
        <v>3</v>
      </c>
      <c r="G340" s="591" t="s">
        <v>1</v>
      </c>
      <c r="H340" s="555">
        <v>162</v>
      </c>
      <c r="I340" s="464">
        <f t="shared" si="37"/>
        <v>486</v>
      </c>
    </row>
    <row r="341" spans="1:9" s="432" customFormat="1" ht="12" customHeight="1" x14ac:dyDescent="0.3">
      <c r="A341" s="590"/>
      <c r="B341" s="568"/>
      <c r="C341" s="460" t="s">
        <v>126</v>
      </c>
      <c r="D341" s="460"/>
      <c r="E341" s="465"/>
      <c r="F341" s="463">
        <v>3</v>
      </c>
      <c r="G341" s="591" t="s">
        <v>1</v>
      </c>
      <c r="H341" s="555">
        <v>72</v>
      </c>
      <c r="I341" s="464">
        <f t="shared" si="37"/>
        <v>216</v>
      </c>
    </row>
    <row r="342" spans="1:9" s="432" customFormat="1" ht="12" customHeight="1" x14ac:dyDescent="0.3">
      <c r="A342" s="590"/>
      <c r="B342" s="568"/>
      <c r="C342" s="460" t="s">
        <v>131</v>
      </c>
      <c r="D342" s="460"/>
      <c r="E342" s="465"/>
      <c r="F342" s="463">
        <v>1</v>
      </c>
      <c r="G342" s="591" t="s">
        <v>68</v>
      </c>
      <c r="H342" s="555">
        <v>65</v>
      </c>
      <c r="I342" s="464">
        <f t="shared" si="37"/>
        <v>65</v>
      </c>
    </row>
    <row r="343" spans="1:9" s="432" customFormat="1" ht="12" customHeight="1" x14ac:dyDescent="0.3">
      <c r="A343" s="590"/>
      <c r="B343" s="568"/>
      <c r="C343" s="460"/>
      <c r="D343" s="460"/>
      <c r="E343" s="465"/>
      <c r="F343" s="450"/>
      <c r="G343" s="591"/>
      <c r="H343" s="555"/>
      <c r="I343" s="464"/>
    </row>
    <row r="344" spans="1:9" s="432" customFormat="1" ht="12" customHeight="1" x14ac:dyDescent="0.3">
      <c r="A344" s="590"/>
      <c r="B344" s="568"/>
      <c r="C344" s="460"/>
      <c r="D344" s="460"/>
      <c r="E344" s="465"/>
      <c r="F344" s="466"/>
      <c r="G344" s="467"/>
      <c r="H344" s="468" t="s">
        <v>26</v>
      </c>
      <c r="I344" s="464">
        <f>SUM(I311:I343)</f>
        <v>27170</v>
      </c>
    </row>
    <row r="345" spans="1:9" s="432" customFormat="1" ht="12" customHeight="1" x14ac:dyDescent="0.3">
      <c r="A345" s="612"/>
      <c r="B345" s="566"/>
      <c r="C345" s="545"/>
      <c r="D345" s="545"/>
      <c r="E345" s="567"/>
      <c r="F345" s="494"/>
      <c r="G345" s="495"/>
      <c r="H345" s="496" t="str">
        <f>"Hauling/Handling Cost "&amp;TEXT(L$4,"#%")&amp;" of MC"</f>
        <v>Hauling/Handling Cost 1% of MC</v>
      </c>
      <c r="I345" s="464">
        <f>L$4*I344</f>
        <v>271.7</v>
      </c>
    </row>
    <row r="346" spans="1:9" s="432" customFormat="1" ht="12" customHeight="1" x14ac:dyDescent="0.3">
      <c r="A346" s="590"/>
      <c r="B346" s="568"/>
      <c r="C346" s="460"/>
      <c r="D346" s="460"/>
      <c r="E346" s="465"/>
      <c r="F346" s="466"/>
      <c r="G346" s="467"/>
      <c r="H346" s="468" t="str">
        <f>"Labor Cost "&amp;TEXT(L$5,"#%")&amp;" of MC"</f>
        <v>Labor Cost 30% of MC</v>
      </c>
      <c r="I346" s="464">
        <f>L$5*I344</f>
        <v>8151</v>
      </c>
    </row>
    <row r="347" spans="1:9" s="432" customFormat="1" ht="12" customHeight="1" x14ac:dyDescent="0.3">
      <c r="A347" s="469"/>
      <c r="B347" s="470"/>
      <c r="C347" s="471"/>
      <c r="D347" s="471"/>
      <c r="E347" s="472"/>
      <c r="F347" s="473"/>
      <c r="G347" s="474"/>
      <c r="H347" s="475" t="s">
        <v>23</v>
      </c>
      <c r="I347" s="476">
        <f>I344+I345+I346</f>
        <v>35592.699999999997</v>
      </c>
    </row>
    <row r="348" spans="1:9" s="432" customFormat="1" ht="12" customHeight="1" x14ac:dyDescent="0.3">
      <c r="A348" s="477" t="s">
        <v>369</v>
      </c>
      <c r="B348" s="478" t="s">
        <v>55</v>
      </c>
      <c r="C348" s="479"/>
      <c r="D348" s="479"/>
      <c r="E348" s="480"/>
      <c r="F348" s="481"/>
      <c r="G348" s="482" t="s">
        <v>76</v>
      </c>
      <c r="H348" s="483"/>
      <c r="I348" s="484"/>
    </row>
    <row r="349" spans="1:9" s="432" customFormat="1" ht="12" customHeight="1" x14ac:dyDescent="0.3">
      <c r="A349" s="530"/>
      <c r="B349" s="204" t="s">
        <v>22</v>
      </c>
      <c r="C349" s="460"/>
      <c r="D349" s="460"/>
      <c r="E349" s="465"/>
      <c r="F349" s="485"/>
      <c r="G349" s="554"/>
      <c r="H349" s="555"/>
      <c r="I349" s="464"/>
    </row>
    <row r="350" spans="1:9" s="432" customFormat="1" ht="12" customHeight="1" x14ac:dyDescent="0.3">
      <c r="A350" s="530"/>
      <c r="B350" s="204"/>
      <c r="C350" s="448" t="s">
        <v>579</v>
      </c>
      <c r="D350" s="448"/>
      <c r="E350" s="465"/>
      <c r="F350" s="485"/>
      <c r="G350" s="554"/>
      <c r="H350" s="555"/>
      <c r="I350" s="464"/>
    </row>
    <row r="351" spans="1:9" s="432" customFormat="1" ht="12" customHeight="1" x14ac:dyDescent="0.3">
      <c r="A351" s="530"/>
      <c r="B351" s="204"/>
      <c r="C351" s="448" t="s">
        <v>432</v>
      </c>
      <c r="D351" s="448"/>
      <c r="E351" s="465"/>
      <c r="F351" s="485"/>
      <c r="G351" s="554"/>
      <c r="H351" s="555"/>
      <c r="I351" s="464"/>
    </row>
    <row r="352" spans="1:9" s="432" customFormat="1" ht="12" customHeight="1" x14ac:dyDescent="0.3">
      <c r="A352" s="530"/>
      <c r="B352" s="204"/>
      <c r="C352" s="448" t="s">
        <v>433</v>
      </c>
      <c r="D352" s="448"/>
      <c r="E352" s="465"/>
      <c r="F352" s="485"/>
      <c r="G352" s="554"/>
      <c r="H352" s="555"/>
      <c r="I352" s="464"/>
    </row>
    <row r="353" spans="1:13" s="432" customFormat="1" ht="12" customHeight="1" x14ac:dyDescent="0.3">
      <c r="A353" s="530"/>
      <c r="B353" s="502" t="s">
        <v>79</v>
      </c>
      <c r="C353" s="561" t="s">
        <v>440</v>
      </c>
      <c r="D353" s="448"/>
      <c r="E353" s="465"/>
      <c r="F353" s="485"/>
      <c r="G353" s="554"/>
      <c r="H353" s="555"/>
      <c r="I353" s="464"/>
    </row>
    <row r="354" spans="1:13" s="432" customFormat="1" ht="12" customHeight="1" x14ac:dyDescent="0.3">
      <c r="A354" s="530"/>
      <c r="B354" s="502"/>
      <c r="C354" s="561" t="s">
        <v>258</v>
      </c>
      <c r="D354" s="448"/>
      <c r="E354" s="465"/>
      <c r="F354" s="485"/>
      <c r="G354" s="554"/>
      <c r="H354" s="555"/>
      <c r="I354" s="464"/>
    </row>
    <row r="355" spans="1:13" s="432" customFormat="1" ht="12" customHeight="1" x14ac:dyDescent="0.3">
      <c r="A355" s="530"/>
      <c r="B355" s="204" t="s">
        <v>25</v>
      </c>
      <c r="C355" s="460"/>
      <c r="D355" s="460"/>
      <c r="E355" s="465"/>
      <c r="F355" s="485"/>
      <c r="G355" s="554"/>
      <c r="H355" s="555"/>
      <c r="I355" s="464"/>
    </row>
    <row r="356" spans="1:13" s="432" customFormat="1" ht="12" customHeight="1" x14ac:dyDescent="0.3">
      <c r="A356" s="530"/>
      <c r="B356" s="502" t="s">
        <v>580</v>
      </c>
      <c r="C356" s="623"/>
      <c r="D356" s="624"/>
      <c r="E356" s="465"/>
      <c r="F356" s="485"/>
      <c r="G356" s="554"/>
      <c r="H356" s="555"/>
      <c r="I356" s="464"/>
    </row>
    <row r="357" spans="1:13" s="432" customFormat="1" ht="12" customHeight="1" x14ac:dyDescent="0.3">
      <c r="A357" s="530"/>
      <c r="B357" s="204"/>
      <c r="C357" s="448" t="s">
        <v>97</v>
      </c>
      <c r="D357" s="448"/>
      <c r="E357" s="465"/>
      <c r="F357" s="463">
        <v>1</v>
      </c>
      <c r="G357" s="554" t="s">
        <v>156</v>
      </c>
      <c r="H357" s="555">
        <v>405</v>
      </c>
      <c r="I357" s="464">
        <f t="shared" ref="I357:I372" si="38">H357*F357</f>
        <v>405</v>
      </c>
    </row>
    <row r="358" spans="1:13" s="432" customFormat="1" ht="12" customHeight="1" x14ac:dyDescent="0.3">
      <c r="A358" s="530"/>
      <c r="B358" s="204"/>
      <c r="C358" s="448" t="s">
        <v>338</v>
      </c>
      <c r="D358" s="448"/>
      <c r="E358" s="465"/>
      <c r="F358" s="463">
        <v>14</v>
      </c>
      <c r="G358" s="554" t="s">
        <v>7</v>
      </c>
      <c r="H358" s="555">
        <v>476</v>
      </c>
      <c r="I358" s="464">
        <f t="shared" si="38"/>
        <v>6664</v>
      </c>
    </row>
    <row r="359" spans="1:13" s="432" customFormat="1" ht="12" customHeight="1" x14ac:dyDescent="0.3">
      <c r="A359" s="530"/>
      <c r="B359" s="204"/>
      <c r="C359" s="448" t="s">
        <v>339</v>
      </c>
      <c r="D359" s="448"/>
      <c r="E359" s="465"/>
      <c r="F359" s="463">
        <v>28</v>
      </c>
      <c r="G359" s="554" t="s">
        <v>7</v>
      </c>
      <c r="H359" s="555">
        <v>558</v>
      </c>
      <c r="I359" s="464">
        <f t="shared" si="38"/>
        <v>15624</v>
      </c>
    </row>
    <row r="360" spans="1:13" s="432" customFormat="1" ht="12" customHeight="1" x14ac:dyDescent="0.3">
      <c r="A360" s="530"/>
      <c r="B360" s="204"/>
      <c r="C360" s="448" t="s">
        <v>434</v>
      </c>
      <c r="D360" s="448"/>
      <c r="E360" s="465"/>
      <c r="F360" s="463">
        <v>6</v>
      </c>
      <c r="G360" s="554" t="s">
        <v>7</v>
      </c>
      <c r="H360" s="555">
        <v>453</v>
      </c>
      <c r="I360" s="464">
        <f t="shared" si="38"/>
        <v>2718</v>
      </c>
    </row>
    <row r="361" spans="1:13" s="432" customFormat="1" ht="12" customHeight="1" x14ac:dyDescent="0.3">
      <c r="A361" s="530"/>
      <c r="B361" s="547" t="s">
        <v>581</v>
      </c>
      <c r="C361" s="448"/>
      <c r="D361" s="448"/>
      <c r="E361" s="465"/>
      <c r="F361" s="463"/>
      <c r="G361" s="554"/>
      <c r="H361" s="555"/>
      <c r="I361" s="464"/>
    </row>
    <row r="362" spans="1:13" s="432" customFormat="1" ht="12" customHeight="1" x14ac:dyDescent="0.3">
      <c r="A362" s="530"/>
      <c r="B362" s="204"/>
      <c r="C362" s="448" t="s">
        <v>340</v>
      </c>
      <c r="D362" s="448"/>
      <c r="E362" s="465"/>
      <c r="F362" s="463">
        <v>1.5</v>
      </c>
      <c r="G362" s="554" t="s">
        <v>7</v>
      </c>
      <c r="H362" s="555">
        <v>538</v>
      </c>
      <c r="I362" s="464">
        <f t="shared" si="38"/>
        <v>807</v>
      </c>
    </row>
    <row r="363" spans="1:13" s="432" customFormat="1" ht="12" customHeight="1" x14ac:dyDescent="0.3">
      <c r="A363" s="530"/>
      <c r="B363" s="204"/>
      <c r="C363" s="448" t="s">
        <v>341</v>
      </c>
      <c r="D363" s="448"/>
      <c r="E363" s="465"/>
      <c r="F363" s="463">
        <v>4</v>
      </c>
      <c r="G363" s="554" t="s">
        <v>7</v>
      </c>
      <c r="H363" s="555">
        <v>538</v>
      </c>
      <c r="I363" s="464">
        <f t="shared" si="38"/>
        <v>2152</v>
      </c>
    </row>
    <row r="364" spans="1:13" s="432" customFormat="1" ht="12" customHeight="1" x14ac:dyDescent="0.3">
      <c r="A364" s="530"/>
      <c r="B364" s="204"/>
      <c r="C364" s="448" t="s">
        <v>8</v>
      </c>
      <c r="D364" s="448"/>
      <c r="E364" s="465"/>
      <c r="F364" s="463">
        <v>2</v>
      </c>
      <c r="G364" s="554" t="s">
        <v>7</v>
      </c>
      <c r="H364" s="555">
        <v>180</v>
      </c>
      <c r="I364" s="464">
        <f t="shared" si="38"/>
        <v>360</v>
      </c>
    </row>
    <row r="365" spans="1:13" s="432" customFormat="1" ht="12" customHeight="1" x14ac:dyDescent="0.3">
      <c r="A365" s="530"/>
      <c r="B365" s="547" t="s">
        <v>227</v>
      </c>
      <c r="C365" s="448"/>
      <c r="D365" s="448"/>
      <c r="E365" s="465"/>
      <c r="F365" s="463"/>
      <c r="G365" s="554"/>
      <c r="H365" s="555"/>
      <c r="I365" s="464"/>
    </row>
    <row r="366" spans="1:13" s="432" customFormat="1" ht="12" customHeight="1" x14ac:dyDescent="0.3">
      <c r="A366" s="530"/>
      <c r="B366" s="204"/>
      <c r="C366" s="448" t="s">
        <v>99</v>
      </c>
      <c r="D366" s="448"/>
      <c r="E366" s="465"/>
      <c r="F366" s="463">
        <v>2</v>
      </c>
      <c r="G366" s="554" t="s">
        <v>7</v>
      </c>
      <c r="H366" s="555">
        <v>460</v>
      </c>
      <c r="I366" s="464">
        <f t="shared" si="38"/>
        <v>920</v>
      </c>
      <c r="K366" s="620"/>
      <c r="L366" s="620"/>
      <c r="M366" s="621"/>
    </row>
    <row r="367" spans="1:13" s="432" customFormat="1" ht="12" customHeight="1" x14ac:dyDescent="0.3">
      <c r="A367" s="530"/>
      <c r="B367" s="568"/>
      <c r="C367" s="448" t="s">
        <v>100</v>
      </c>
      <c r="D367" s="448"/>
      <c r="E367" s="465"/>
      <c r="F367" s="463">
        <v>4</v>
      </c>
      <c r="G367" s="554" t="s">
        <v>101</v>
      </c>
      <c r="H367" s="555">
        <v>85</v>
      </c>
      <c r="I367" s="464">
        <f t="shared" si="38"/>
        <v>340</v>
      </c>
      <c r="K367" s="622"/>
      <c r="L367" s="622"/>
      <c r="M367" s="621"/>
    </row>
    <row r="368" spans="1:13" s="432" customFormat="1" ht="12" customHeight="1" x14ac:dyDescent="0.3">
      <c r="A368" s="530"/>
      <c r="B368" s="568"/>
      <c r="C368" s="448" t="s">
        <v>102</v>
      </c>
      <c r="D368" s="448"/>
      <c r="E368" s="465"/>
      <c r="F368" s="463">
        <v>4</v>
      </c>
      <c r="G368" s="554" t="s">
        <v>101</v>
      </c>
      <c r="H368" s="555">
        <v>95</v>
      </c>
      <c r="I368" s="464">
        <f t="shared" si="38"/>
        <v>380</v>
      </c>
      <c r="K368" s="622"/>
      <c r="L368" s="622"/>
      <c r="M368" s="621"/>
    </row>
    <row r="369" spans="1:13" s="432" customFormat="1" ht="12" customHeight="1" x14ac:dyDescent="0.3">
      <c r="A369" s="530"/>
      <c r="B369" s="568"/>
      <c r="C369" s="448" t="s">
        <v>103</v>
      </c>
      <c r="D369" s="448"/>
      <c r="E369" s="465"/>
      <c r="F369" s="463">
        <v>18</v>
      </c>
      <c r="G369" s="554" t="s">
        <v>1</v>
      </c>
      <c r="H369" s="555">
        <v>15</v>
      </c>
      <c r="I369" s="464">
        <f t="shared" si="38"/>
        <v>270</v>
      </c>
      <c r="K369" s="622"/>
      <c r="L369" s="622"/>
      <c r="M369" s="621"/>
    </row>
    <row r="370" spans="1:13" s="432" customFormat="1" ht="12" customHeight="1" x14ac:dyDescent="0.3">
      <c r="A370" s="530"/>
      <c r="B370" s="568"/>
      <c r="C370" s="448" t="s">
        <v>104</v>
      </c>
      <c r="D370" s="448"/>
      <c r="E370" s="465"/>
      <c r="F370" s="463">
        <v>4</v>
      </c>
      <c r="G370" s="554" t="s">
        <v>6</v>
      </c>
      <c r="H370" s="555">
        <v>150</v>
      </c>
      <c r="I370" s="464">
        <f t="shared" si="38"/>
        <v>600</v>
      </c>
      <c r="K370" s="622"/>
      <c r="L370" s="622"/>
      <c r="M370" s="621"/>
    </row>
    <row r="371" spans="1:13" s="432" customFormat="1" ht="12" customHeight="1" x14ac:dyDescent="0.3">
      <c r="A371" s="530"/>
      <c r="B371" s="568"/>
      <c r="C371" s="625" t="s">
        <v>212</v>
      </c>
      <c r="D371" s="521"/>
      <c r="E371" s="465"/>
      <c r="F371" s="463">
        <v>6</v>
      </c>
      <c r="G371" s="554" t="s">
        <v>1</v>
      </c>
      <c r="H371" s="555">
        <v>30</v>
      </c>
      <c r="I371" s="464">
        <f t="shared" si="38"/>
        <v>180</v>
      </c>
      <c r="K371" s="622"/>
      <c r="L371" s="622"/>
      <c r="M371" s="621"/>
    </row>
    <row r="372" spans="1:13" s="432" customFormat="1" ht="12" customHeight="1" x14ac:dyDescent="0.3">
      <c r="A372" s="530"/>
      <c r="B372" s="568"/>
      <c r="C372" s="448" t="s">
        <v>105</v>
      </c>
      <c r="D372" s="448"/>
      <c r="E372" s="465"/>
      <c r="F372" s="463">
        <v>3</v>
      </c>
      <c r="G372" s="554" t="s">
        <v>1</v>
      </c>
      <c r="H372" s="555">
        <v>30</v>
      </c>
      <c r="I372" s="464">
        <f t="shared" si="38"/>
        <v>90</v>
      </c>
    </row>
    <row r="373" spans="1:13" s="432" customFormat="1" ht="12" customHeight="1" x14ac:dyDescent="0.3">
      <c r="A373" s="530"/>
      <c r="B373" s="568"/>
      <c r="C373" s="448"/>
      <c r="D373" s="448"/>
      <c r="E373" s="465"/>
      <c r="F373" s="450"/>
      <c r="G373" s="554"/>
      <c r="H373" s="555"/>
      <c r="I373" s="464"/>
    </row>
    <row r="374" spans="1:13" s="432" customFormat="1" ht="12" customHeight="1" x14ac:dyDescent="0.3">
      <c r="A374" s="530"/>
      <c r="B374" s="568"/>
      <c r="C374" s="460"/>
      <c r="D374" s="460"/>
      <c r="E374" s="465"/>
      <c r="F374" s="466"/>
      <c r="G374" s="467"/>
      <c r="H374" s="468" t="s">
        <v>26</v>
      </c>
      <c r="I374" s="464">
        <f>SUM(I357:I373)</f>
        <v>31510</v>
      </c>
    </row>
    <row r="375" spans="1:13" s="432" customFormat="1" ht="12" customHeight="1" x14ac:dyDescent="0.3">
      <c r="A375" s="544"/>
      <c r="B375" s="566"/>
      <c r="C375" s="545"/>
      <c r="D375" s="545"/>
      <c r="E375" s="567"/>
      <c r="F375" s="494"/>
      <c r="G375" s="495"/>
      <c r="H375" s="496" t="str">
        <f>"Hauling/Handling Cost "&amp;TEXT(L$4,"#%")&amp;" of MC"</f>
        <v>Hauling/Handling Cost 1% of MC</v>
      </c>
      <c r="I375" s="464">
        <f>L$4*I374</f>
        <v>315.10000000000002</v>
      </c>
    </row>
    <row r="376" spans="1:13" s="432" customFormat="1" ht="12" customHeight="1" x14ac:dyDescent="0.3">
      <c r="A376" s="530"/>
      <c r="B376" s="568"/>
      <c r="C376" s="460"/>
      <c r="D376" s="460"/>
      <c r="E376" s="465"/>
      <c r="F376" s="466"/>
      <c r="G376" s="467"/>
      <c r="H376" s="468" t="str">
        <f>"Labor Cost "&amp;TEXT(L$5,"#%")&amp;" of MC"</f>
        <v>Labor Cost 30% of MC</v>
      </c>
      <c r="I376" s="464">
        <f>L$5*I374</f>
        <v>9453</v>
      </c>
    </row>
    <row r="377" spans="1:13" s="432" customFormat="1" ht="12" customHeight="1" thickBot="1" x14ac:dyDescent="0.35">
      <c r="A377" s="626"/>
      <c r="B377" s="627"/>
      <c r="C377" s="628"/>
      <c r="D377" s="628"/>
      <c r="E377" s="629"/>
      <c r="F377" s="630"/>
      <c r="G377" s="631"/>
      <c r="H377" s="632" t="s">
        <v>23</v>
      </c>
      <c r="I377" s="633">
        <f>I374+I375+I376</f>
        <v>41278.1</v>
      </c>
    </row>
    <row r="378" spans="1:13" s="432" customFormat="1" ht="12" customHeight="1" x14ac:dyDescent="0.3">
      <c r="A378" s="477" t="s">
        <v>554</v>
      </c>
      <c r="B378" s="478" t="s">
        <v>640</v>
      </c>
      <c r="C378" s="479"/>
      <c r="D378" s="479"/>
      <c r="E378" s="480"/>
      <c r="F378" s="481">
        <v>1</v>
      </c>
      <c r="G378" s="482" t="s">
        <v>144</v>
      </c>
      <c r="H378" s="483"/>
      <c r="I378" s="484"/>
    </row>
    <row r="379" spans="1:13" s="432" customFormat="1" ht="12" customHeight="1" x14ac:dyDescent="0.3">
      <c r="A379" s="530"/>
      <c r="B379" s="204" t="s">
        <v>22</v>
      </c>
      <c r="C379" s="460"/>
      <c r="D379" s="460"/>
      <c r="E379" s="465"/>
      <c r="F379" s="485"/>
      <c r="G379" s="554"/>
      <c r="H379" s="555"/>
      <c r="I379" s="464"/>
    </row>
    <row r="380" spans="1:13" s="432" customFormat="1" ht="12" customHeight="1" x14ac:dyDescent="0.3">
      <c r="A380" s="530"/>
      <c r="B380" s="204"/>
      <c r="C380" s="448" t="s">
        <v>618</v>
      </c>
      <c r="D380" s="448"/>
      <c r="E380" s="465"/>
      <c r="F380" s="485"/>
      <c r="G380" s="554"/>
      <c r="H380" s="555"/>
      <c r="I380" s="464"/>
    </row>
    <row r="381" spans="1:13" s="432" customFormat="1" ht="12" customHeight="1" x14ac:dyDescent="0.3">
      <c r="A381" s="530"/>
      <c r="B381" s="204"/>
      <c r="C381" s="448" t="s">
        <v>619</v>
      </c>
      <c r="D381" s="448"/>
      <c r="E381" s="465"/>
      <c r="F381" s="485"/>
      <c r="G381" s="554"/>
      <c r="H381" s="555"/>
      <c r="I381" s="464"/>
    </row>
    <row r="382" spans="1:13" s="432" customFormat="1" ht="12" customHeight="1" x14ac:dyDescent="0.3">
      <c r="A382" s="530"/>
      <c r="B382" s="204"/>
      <c r="C382" s="448" t="s">
        <v>620</v>
      </c>
      <c r="D382" s="448"/>
      <c r="E382" s="465"/>
      <c r="F382" s="485"/>
      <c r="G382" s="554"/>
      <c r="H382" s="555"/>
      <c r="I382" s="464"/>
    </row>
    <row r="383" spans="1:13" s="432" customFormat="1" ht="12" customHeight="1" x14ac:dyDescent="0.3">
      <c r="A383" s="447"/>
      <c r="B383" s="635"/>
      <c r="C383" s="204" t="s">
        <v>629</v>
      </c>
      <c r="D383" s="448"/>
      <c r="E383" s="449"/>
      <c r="F383" s="485"/>
      <c r="G383" s="451"/>
      <c r="H383" s="458"/>
      <c r="I383" s="464"/>
    </row>
    <row r="384" spans="1:13" s="432" customFormat="1" ht="12" customHeight="1" x14ac:dyDescent="0.3">
      <c r="A384" s="447"/>
      <c r="C384" s="204" t="s">
        <v>178</v>
      </c>
      <c r="D384" s="448"/>
      <c r="E384" s="448"/>
      <c r="F384" s="449"/>
      <c r="G384" s="485"/>
      <c r="H384" s="636"/>
      <c r="I384" s="464"/>
    </row>
    <row r="385" spans="1:16" s="432" customFormat="1" ht="12" customHeight="1" x14ac:dyDescent="0.3">
      <c r="A385" s="447"/>
      <c r="B385" s="498"/>
      <c r="C385" s="499" t="s">
        <v>630</v>
      </c>
      <c r="D385" s="448"/>
      <c r="E385" s="500"/>
      <c r="F385" s="485"/>
      <c r="G385" s="637"/>
      <c r="H385" s="636"/>
      <c r="I385" s="464"/>
      <c r="L385" s="432" t="s">
        <v>242</v>
      </c>
      <c r="M385" s="432" t="s">
        <v>243</v>
      </c>
    </row>
    <row r="386" spans="1:16" s="432" customFormat="1" ht="12" customHeight="1" x14ac:dyDescent="0.3">
      <c r="A386" s="447"/>
      <c r="B386" s="498"/>
      <c r="C386" s="501" t="s">
        <v>631</v>
      </c>
      <c r="D386" s="448"/>
      <c r="E386" s="500"/>
      <c r="F386" s="485"/>
      <c r="G386" s="451"/>
      <c r="H386" s="636"/>
      <c r="I386" s="464"/>
      <c r="K386" s="432">
        <f>(6.8*2+8*2+3.7+2.9+2.6+1.65+1.9+3.7+3.2)*3</f>
        <v>147.75000000000003</v>
      </c>
      <c r="L386" s="432">
        <f>K386-(7*(1.4*1.2)+(0.7*1.2)+2*(0.7*0.7)+(1.6*2.1)+2*(1.5*2.1)+2*(0.8*2.1))</f>
        <v>121.15000000000003</v>
      </c>
      <c r="M386" s="432">
        <f>10.2*9.3</f>
        <v>94.86</v>
      </c>
      <c r="O386" s="432">
        <f>L386*2+M386</f>
        <v>337.16000000000008</v>
      </c>
      <c r="P386" s="432">
        <f>O386/25</f>
        <v>13.486400000000003</v>
      </c>
    </row>
    <row r="387" spans="1:16" s="432" customFormat="1" ht="12" customHeight="1" x14ac:dyDescent="0.3">
      <c r="A387" s="530"/>
      <c r="B387" s="204" t="s">
        <v>25</v>
      </c>
      <c r="C387" s="460"/>
      <c r="D387" s="460"/>
      <c r="E387" s="465"/>
      <c r="F387" s="485"/>
      <c r="G387" s="554"/>
      <c r="H387" s="636"/>
      <c r="I387" s="464"/>
    </row>
    <row r="388" spans="1:16" s="432" customFormat="1" ht="12" customHeight="1" x14ac:dyDescent="0.3">
      <c r="A388" s="530"/>
      <c r="B388" s="204"/>
      <c r="C388" s="448" t="s">
        <v>637</v>
      </c>
      <c r="D388" s="448"/>
      <c r="E388" s="465"/>
      <c r="F388" s="463">
        <v>1</v>
      </c>
      <c r="G388" s="554" t="s">
        <v>632</v>
      </c>
      <c r="H388" s="555">
        <v>20000</v>
      </c>
      <c r="I388" s="464">
        <f t="shared" ref="I388:I391" si="39">H388*F388</f>
        <v>20000</v>
      </c>
    </row>
    <row r="389" spans="1:16" s="432" customFormat="1" ht="12" customHeight="1" x14ac:dyDescent="0.3">
      <c r="A389" s="530"/>
      <c r="B389" s="204"/>
      <c r="C389" s="448" t="s">
        <v>623</v>
      </c>
      <c r="D389" s="448"/>
      <c r="E389" s="465"/>
      <c r="F389" s="463">
        <v>2</v>
      </c>
      <c r="G389" s="554" t="s">
        <v>1</v>
      </c>
      <c r="H389" s="555">
        <v>2500</v>
      </c>
      <c r="I389" s="464">
        <f t="shared" si="39"/>
        <v>5000</v>
      </c>
      <c r="M389" s="432" t="s">
        <v>211</v>
      </c>
    </row>
    <row r="390" spans="1:16" s="432" customFormat="1" ht="12" customHeight="1" x14ac:dyDescent="0.3">
      <c r="A390" s="530"/>
      <c r="B390" s="204"/>
      <c r="C390" s="448" t="s">
        <v>638</v>
      </c>
      <c r="D390" s="448"/>
      <c r="E390" s="465"/>
      <c r="F390" s="463">
        <v>9</v>
      </c>
      <c r="G390" s="554" t="s">
        <v>1</v>
      </c>
      <c r="H390" s="555">
        <v>1233</v>
      </c>
      <c r="I390" s="464">
        <f t="shared" si="39"/>
        <v>11097</v>
      </c>
      <c r="M390" s="432">
        <f>((1.6*2.1)+(1.5*2.1)*2+(0.8*2.1))*2+((2.1*0.25)*2+(1.6*1.5*2+0.8)*0.25)*4</f>
        <v>32.480000000000004</v>
      </c>
      <c r="N390" s="432">
        <f>M390/25</f>
        <v>1.2992000000000001</v>
      </c>
    </row>
    <row r="391" spans="1:16" s="432" customFormat="1" ht="12" customHeight="1" x14ac:dyDescent="0.3">
      <c r="A391" s="530"/>
      <c r="B391" s="204"/>
      <c r="C391" s="448" t="s">
        <v>624</v>
      </c>
      <c r="D391" s="448"/>
      <c r="E391" s="465"/>
      <c r="F391" s="463">
        <v>4</v>
      </c>
      <c r="G391" s="554" t="s">
        <v>1</v>
      </c>
      <c r="H391" s="555">
        <v>850</v>
      </c>
      <c r="I391" s="464">
        <f t="shared" si="39"/>
        <v>3400</v>
      </c>
    </row>
    <row r="392" spans="1:16" s="432" customFormat="1" ht="12" customHeight="1" x14ac:dyDescent="0.3">
      <c r="A392" s="530"/>
      <c r="B392" s="547"/>
      <c r="C392" s="448" t="s">
        <v>625</v>
      </c>
      <c r="D392" s="448"/>
      <c r="E392" s="465"/>
      <c r="F392" s="463">
        <v>8</v>
      </c>
      <c r="G392" s="554" t="s">
        <v>1</v>
      </c>
      <c r="H392" s="555">
        <v>375</v>
      </c>
      <c r="I392" s="464">
        <f t="shared" ref="I392" si="40">H392*F392</f>
        <v>3000</v>
      </c>
    </row>
    <row r="393" spans="1:16" s="432" customFormat="1" ht="12" customHeight="1" x14ac:dyDescent="0.3">
      <c r="A393" s="530"/>
      <c r="B393" s="204"/>
      <c r="C393" s="448" t="s">
        <v>626</v>
      </c>
      <c r="D393" s="448"/>
      <c r="E393" s="465"/>
      <c r="F393" s="463">
        <v>2</v>
      </c>
      <c r="G393" s="554" t="s">
        <v>1</v>
      </c>
      <c r="H393" s="555">
        <v>2200</v>
      </c>
      <c r="I393" s="464">
        <f t="shared" ref="I393:I401" si="41">H393*F393</f>
        <v>4400</v>
      </c>
      <c r="M393" s="432" t="s">
        <v>244</v>
      </c>
      <c r="N393" s="432" t="s">
        <v>259</v>
      </c>
    </row>
    <row r="394" spans="1:16" s="432" customFormat="1" ht="12" customHeight="1" x14ac:dyDescent="0.3">
      <c r="A394" s="530"/>
      <c r="B394" s="204"/>
      <c r="C394" s="448" t="s">
        <v>628</v>
      </c>
      <c r="D394" s="448"/>
      <c r="E394" s="465"/>
      <c r="F394" s="463">
        <v>4</v>
      </c>
      <c r="G394" s="554" t="s">
        <v>1</v>
      </c>
      <c r="H394" s="555">
        <v>2250</v>
      </c>
      <c r="I394" s="464">
        <f t="shared" si="41"/>
        <v>9000</v>
      </c>
      <c r="K394" s="506">
        <v>440</v>
      </c>
      <c r="L394" s="506">
        <f>K394*(1+L$3)</f>
        <v>440</v>
      </c>
      <c r="M394" s="432">
        <f>F162*(2*3.1416*0.0254)*6</f>
        <v>4.7877983999999998</v>
      </c>
      <c r="N394" s="634" t="e">
        <f>#REF!*(0.01*4)*6</f>
        <v>#REF!</v>
      </c>
      <c r="O394" s="432" t="e">
        <f>M390+M394+N394</f>
        <v>#REF!</v>
      </c>
      <c r="P394" s="432" t="e">
        <f>O394/25</f>
        <v>#REF!</v>
      </c>
    </row>
    <row r="395" spans="1:16" s="432" customFormat="1" ht="12" customHeight="1" x14ac:dyDescent="0.3">
      <c r="A395" s="447"/>
      <c r="B395" s="204"/>
      <c r="C395" s="448" t="s">
        <v>3</v>
      </c>
      <c r="D395" s="460"/>
      <c r="E395" s="449"/>
      <c r="F395" s="463">
        <v>46</v>
      </c>
      <c r="G395" s="451" t="s">
        <v>2</v>
      </c>
      <c r="H395" s="458">
        <f>L423</f>
        <v>265</v>
      </c>
      <c r="I395" s="464">
        <f t="shared" si="41"/>
        <v>12190</v>
      </c>
      <c r="K395" s="519"/>
      <c r="L395" s="519"/>
    </row>
    <row r="396" spans="1:16" s="432" customFormat="1" ht="12" customHeight="1" x14ac:dyDescent="0.3">
      <c r="A396" s="447"/>
      <c r="B396" s="204"/>
      <c r="C396" s="448" t="s">
        <v>73</v>
      </c>
      <c r="D396" s="460"/>
      <c r="E396" s="449"/>
      <c r="F396" s="463">
        <v>5</v>
      </c>
      <c r="G396" s="451" t="s">
        <v>4</v>
      </c>
      <c r="H396" s="458">
        <v>950</v>
      </c>
      <c r="I396" s="464">
        <f t="shared" si="41"/>
        <v>4750</v>
      </c>
    </row>
    <row r="397" spans="1:16" s="432" customFormat="1" ht="12" customHeight="1" x14ac:dyDescent="0.3">
      <c r="A397" s="447"/>
      <c r="B397" s="204"/>
      <c r="C397" s="448" t="s">
        <v>67</v>
      </c>
      <c r="D397" s="460"/>
      <c r="E397" s="449"/>
      <c r="F397" s="463">
        <v>3</v>
      </c>
      <c r="G397" s="451" t="s">
        <v>4</v>
      </c>
      <c r="H397" s="458">
        <v>950</v>
      </c>
      <c r="I397" s="464">
        <f t="shared" si="41"/>
        <v>2850</v>
      </c>
    </row>
    <row r="398" spans="1:16" s="432" customFormat="1" ht="12" customHeight="1" x14ac:dyDescent="0.3">
      <c r="A398" s="447"/>
      <c r="B398" s="218"/>
      <c r="C398" s="448" t="s">
        <v>70</v>
      </c>
      <c r="D398" s="460"/>
      <c r="E398" s="449"/>
      <c r="F398" s="463">
        <v>3</v>
      </c>
      <c r="G398" s="451" t="s">
        <v>0</v>
      </c>
      <c r="H398" s="458">
        <f t="shared" ref="H398:H401" si="42">CEILING(L426,0.5)</f>
        <v>58</v>
      </c>
      <c r="I398" s="464">
        <f t="shared" si="41"/>
        <v>174</v>
      </c>
      <c r="O398" s="432">
        <f>337.2+50.2</f>
        <v>387.4</v>
      </c>
    </row>
    <row r="399" spans="1:16" s="432" customFormat="1" ht="12" customHeight="1" x14ac:dyDescent="0.3">
      <c r="A399" s="447"/>
      <c r="B399" s="218"/>
      <c r="C399" s="448" t="s">
        <v>189</v>
      </c>
      <c r="D399" s="460"/>
      <c r="E399" s="449"/>
      <c r="F399" s="463">
        <v>12</v>
      </c>
      <c r="G399" s="451" t="s">
        <v>1</v>
      </c>
      <c r="H399" s="458">
        <f t="shared" si="42"/>
        <v>154.5</v>
      </c>
      <c r="I399" s="464">
        <f t="shared" si="41"/>
        <v>1854</v>
      </c>
    </row>
    <row r="400" spans="1:16" s="432" customFormat="1" ht="12" customHeight="1" x14ac:dyDescent="0.3">
      <c r="A400" s="447"/>
      <c r="B400" s="218"/>
      <c r="C400" s="448" t="s">
        <v>188</v>
      </c>
      <c r="D400" s="460"/>
      <c r="E400" s="449"/>
      <c r="F400" s="463">
        <v>7</v>
      </c>
      <c r="G400" s="451" t="s">
        <v>1</v>
      </c>
      <c r="H400" s="458">
        <f t="shared" si="42"/>
        <v>223.5</v>
      </c>
      <c r="I400" s="464">
        <f t="shared" si="41"/>
        <v>1564.5</v>
      </c>
    </row>
    <row r="401" spans="1:12" s="432" customFormat="1" ht="12" customHeight="1" x14ac:dyDescent="0.3">
      <c r="A401" s="447"/>
      <c r="B401" s="218"/>
      <c r="C401" s="448" t="s">
        <v>74</v>
      </c>
      <c r="D401" s="460"/>
      <c r="E401" s="449"/>
      <c r="F401" s="463">
        <v>1</v>
      </c>
      <c r="G401" s="451" t="s">
        <v>1</v>
      </c>
      <c r="H401" s="458">
        <f t="shared" si="42"/>
        <v>55</v>
      </c>
      <c r="I401" s="464">
        <f t="shared" si="41"/>
        <v>55</v>
      </c>
    </row>
    <row r="402" spans="1:12" s="432" customFormat="1" ht="12" customHeight="1" x14ac:dyDescent="0.3">
      <c r="A402" s="530"/>
      <c r="B402" s="547" t="s">
        <v>227</v>
      </c>
      <c r="C402" s="448"/>
      <c r="D402" s="448"/>
      <c r="E402" s="465"/>
      <c r="F402" s="463"/>
      <c r="G402" s="554"/>
      <c r="H402" s="555"/>
      <c r="I402" s="464"/>
    </row>
    <row r="403" spans="1:12" s="432" customFormat="1" ht="12" customHeight="1" x14ac:dyDescent="0.3">
      <c r="A403" s="530"/>
      <c r="B403" s="204"/>
      <c r="C403" s="448" t="s">
        <v>639</v>
      </c>
      <c r="D403" s="448"/>
      <c r="E403" s="465"/>
      <c r="F403" s="463">
        <v>3</v>
      </c>
      <c r="G403" s="554" t="s">
        <v>7</v>
      </c>
      <c r="H403" s="555">
        <v>850</v>
      </c>
      <c r="I403" s="464">
        <f t="shared" ref="I403:I406" si="43">H403*F403</f>
        <v>2550</v>
      </c>
    </row>
    <row r="404" spans="1:12" s="432" customFormat="1" ht="12" customHeight="1" x14ac:dyDescent="0.3">
      <c r="A404" s="530"/>
      <c r="B404" s="204"/>
      <c r="C404" s="448" t="s">
        <v>634</v>
      </c>
      <c r="D404" s="448"/>
      <c r="E404" s="465"/>
      <c r="F404" s="463">
        <v>1</v>
      </c>
      <c r="G404" s="554" t="s">
        <v>7</v>
      </c>
      <c r="H404" s="555">
        <v>500</v>
      </c>
      <c r="I404" s="464">
        <f t="shared" ref="I404" si="44">H404*F404</f>
        <v>500</v>
      </c>
    </row>
    <row r="405" spans="1:12" s="432" customFormat="1" ht="12" customHeight="1" x14ac:dyDescent="0.3">
      <c r="A405" s="530"/>
      <c r="B405" s="568"/>
      <c r="C405" s="448" t="s">
        <v>103</v>
      </c>
      <c r="D405" s="448"/>
      <c r="E405" s="465"/>
      <c r="F405" s="463">
        <v>10</v>
      </c>
      <c r="G405" s="554" t="s">
        <v>1</v>
      </c>
      <c r="H405" s="555">
        <v>15</v>
      </c>
      <c r="I405" s="464">
        <f t="shared" si="43"/>
        <v>150</v>
      </c>
    </row>
    <row r="406" spans="1:12" s="432" customFormat="1" ht="15" customHeight="1" x14ac:dyDescent="0.3">
      <c r="A406" s="530"/>
      <c r="B406" s="568"/>
      <c r="C406" s="448" t="s">
        <v>105</v>
      </c>
      <c r="D406" s="448"/>
      <c r="E406" s="465"/>
      <c r="F406" s="463">
        <v>3</v>
      </c>
      <c r="G406" s="554" t="s">
        <v>1</v>
      </c>
      <c r="H406" s="555">
        <v>30</v>
      </c>
      <c r="I406" s="464">
        <f t="shared" si="43"/>
        <v>90</v>
      </c>
    </row>
    <row r="407" spans="1:12" s="432" customFormat="1" ht="15" customHeight="1" x14ac:dyDescent="0.3">
      <c r="A407" s="530"/>
      <c r="B407" s="568"/>
      <c r="C407" s="448"/>
      <c r="D407" s="448"/>
      <c r="E407" s="465"/>
      <c r="F407" s="450"/>
      <c r="G407" s="554"/>
      <c r="H407" s="555"/>
      <c r="I407" s="464"/>
    </row>
    <row r="408" spans="1:12" s="432" customFormat="1" ht="24" customHeight="1" x14ac:dyDescent="0.3">
      <c r="A408" s="530"/>
      <c r="B408" s="568"/>
      <c r="C408" s="460"/>
      <c r="D408" s="460"/>
      <c r="E408" s="465"/>
      <c r="F408" s="466"/>
      <c r="G408" s="467"/>
      <c r="H408" s="468" t="s">
        <v>26</v>
      </c>
      <c r="I408" s="464">
        <f>SUM(I388:I407)</f>
        <v>82624.5</v>
      </c>
    </row>
    <row r="409" spans="1:12" s="432" customFormat="1" ht="15" customHeight="1" x14ac:dyDescent="0.3">
      <c r="A409" s="544"/>
      <c r="B409" s="566"/>
      <c r="C409" s="545"/>
      <c r="D409" s="545"/>
      <c r="E409" s="567"/>
      <c r="F409" s="494"/>
      <c r="G409" s="495"/>
      <c r="H409" s="496" t="str">
        <f>"Hauling/Handling Cost "&amp;TEXT(L$4,"#%")&amp;" of MC"</f>
        <v>Hauling/Handling Cost 1% of MC</v>
      </c>
      <c r="I409" s="464">
        <f>L$4*I408</f>
        <v>826.245</v>
      </c>
    </row>
    <row r="410" spans="1:12" s="432" customFormat="1" ht="15" customHeight="1" x14ac:dyDescent="0.3">
      <c r="A410" s="530"/>
      <c r="B410" s="568"/>
      <c r="C410" s="460"/>
      <c r="D410" s="460"/>
      <c r="E410" s="465"/>
      <c r="F410" s="466"/>
      <c r="G410" s="467"/>
      <c r="H410" s="468" t="str">
        <f>"Labor Cost "&amp;TEXT(L$5,"#%")&amp;" of MC"</f>
        <v>Labor Cost 30% of MC</v>
      </c>
      <c r="I410" s="464">
        <f>L$5*I408</f>
        <v>24787.35</v>
      </c>
    </row>
    <row r="411" spans="1:12" s="432" customFormat="1" ht="12" customHeight="1" thickBot="1" x14ac:dyDescent="0.35">
      <c r="A411" s="626"/>
      <c r="B411" s="627"/>
      <c r="C411" s="628"/>
      <c r="D411" s="628"/>
      <c r="E411" s="629"/>
      <c r="F411" s="630"/>
      <c r="G411" s="631"/>
      <c r="H411" s="632" t="s">
        <v>23</v>
      </c>
      <c r="I411" s="633">
        <f>I408+I409+I410</f>
        <v>108238.095</v>
      </c>
    </row>
    <row r="412" spans="1:12" s="432" customFormat="1" ht="12" customHeight="1" x14ac:dyDescent="0.3">
      <c r="A412" s="764" t="s">
        <v>33</v>
      </c>
      <c r="B412" s="765"/>
      <c r="C412" s="765"/>
      <c r="D412" s="765"/>
      <c r="E412" s="765"/>
      <c r="F412" s="765"/>
      <c r="G412" s="765"/>
      <c r="H412" s="765"/>
      <c r="I412" s="766"/>
    </row>
    <row r="413" spans="1:12" s="432" customFormat="1" ht="12" customHeight="1" thickBot="1" x14ac:dyDescent="0.35">
      <c r="A413" s="767"/>
      <c r="B413" s="768"/>
      <c r="C413" s="768"/>
      <c r="D413" s="768"/>
      <c r="E413" s="768"/>
      <c r="F413" s="768"/>
      <c r="G413" s="768"/>
      <c r="H413" s="768"/>
      <c r="I413" s="769"/>
    </row>
    <row r="414" spans="1:12" s="432" customFormat="1" ht="12" customHeight="1" x14ac:dyDescent="0.3">
      <c r="A414" s="638"/>
      <c r="B414" s="639" t="str">
        <f>C1</f>
        <v>PROPOSED CONSTRUCTION OF TWO STOREY RESIDENTIAL/APARTMENT BUILDING.</v>
      </c>
      <c r="C414" s="640"/>
      <c r="D414" s="640"/>
      <c r="E414" s="640"/>
      <c r="F414" s="763"/>
      <c r="G414" s="763"/>
      <c r="H414" s="641"/>
      <c r="I414" s="642"/>
    </row>
    <row r="415" spans="1:12" s="432" customFormat="1" ht="15" customHeight="1" x14ac:dyDescent="0.3">
      <c r="A415" s="643"/>
      <c r="B415" s="644"/>
      <c r="C415" s="645"/>
      <c r="D415" s="646"/>
      <c r="E415" s="647" t="s">
        <v>379</v>
      </c>
      <c r="F415" s="757" t="s">
        <v>378</v>
      </c>
      <c r="G415" s="758"/>
      <c r="H415" s="648" t="s">
        <v>380</v>
      </c>
      <c r="I415" s="649" t="s">
        <v>51</v>
      </c>
    </row>
    <row r="416" spans="1:12" s="432" customFormat="1" ht="15" customHeight="1" x14ac:dyDescent="0.3">
      <c r="A416" s="650" t="s">
        <v>160</v>
      </c>
      <c r="B416" s="651" t="str">
        <f>B7</f>
        <v xml:space="preserve">LAYOUT AND EXCAVATION       </v>
      </c>
      <c r="C416" s="651"/>
      <c r="D416" s="651"/>
      <c r="E416" s="652">
        <f>I20</f>
        <v>4223.3333333333339</v>
      </c>
      <c r="F416" s="759">
        <f>I21</f>
        <v>11736</v>
      </c>
      <c r="G416" s="760"/>
      <c r="H416" s="652">
        <v>0</v>
      </c>
      <c r="I416" s="539">
        <f>F416+E416+H416</f>
        <v>15959.333333333334</v>
      </c>
      <c r="L416" s="432" t="s">
        <v>641</v>
      </c>
    </row>
    <row r="417" spans="1:15" s="432" customFormat="1" ht="15" customHeight="1" x14ac:dyDescent="0.3">
      <c r="A417" s="650" t="s">
        <v>161</v>
      </c>
      <c r="B417" s="653" t="str">
        <f>B23</f>
        <v>EMBANKMENT WORKS</v>
      </c>
      <c r="C417" s="653"/>
      <c r="D417" s="653"/>
      <c r="E417" s="654">
        <f>I31</f>
        <v>3500</v>
      </c>
      <c r="F417" s="761">
        <f>I33</f>
        <v>1050</v>
      </c>
      <c r="G417" s="762"/>
      <c r="H417" s="654">
        <f>I32</f>
        <v>35</v>
      </c>
      <c r="I417" s="464">
        <f t="shared" ref="I417:I428" si="45">F417+E417+H417</f>
        <v>4585</v>
      </c>
    </row>
    <row r="418" spans="1:15" s="432" customFormat="1" ht="15" customHeight="1" x14ac:dyDescent="0.3">
      <c r="A418" s="650" t="s">
        <v>162</v>
      </c>
      <c r="B418" s="653" t="str">
        <f>B35</f>
        <v>REINFORCED CONCRETE WORKS</v>
      </c>
      <c r="C418" s="653"/>
      <c r="D418" s="653"/>
      <c r="E418" s="654">
        <f>I60</f>
        <v>113366</v>
      </c>
      <c r="F418" s="761">
        <f>I62</f>
        <v>34009.799999999996</v>
      </c>
      <c r="G418" s="762"/>
      <c r="H418" s="654">
        <f>I61</f>
        <v>1133.6600000000001</v>
      </c>
      <c r="I418" s="464">
        <f t="shared" si="45"/>
        <v>148509.46</v>
      </c>
      <c r="K418" s="558"/>
    </row>
    <row r="419" spans="1:15" s="432" customFormat="1" ht="15" customHeight="1" x14ac:dyDescent="0.3">
      <c r="A419" s="650" t="s">
        <v>135</v>
      </c>
      <c r="B419" s="653" t="s">
        <v>368</v>
      </c>
      <c r="C419" s="653"/>
      <c r="D419" s="653"/>
      <c r="E419" s="654">
        <f>I85</f>
        <v>122401.5</v>
      </c>
      <c r="F419" s="761">
        <f>I87</f>
        <v>36720.449999999997</v>
      </c>
      <c r="G419" s="762"/>
      <c r="H419" s="654">
        <f>I86</f>
        <v>1224.0150000000001</v>
      </c>
      <c r="I419" s="464">
        <f t="shared" si="45"/>
        <v>160345.96500000003</v>
      </c>
    </row>
    <row r="420" spans="1:15" s="432" customFormat="1" ht="15" customHeight="1" x14ac:dyDescent="0.3">
      <c r="A420" s="650" t="s">
        <v>163</v>
      </c>
      <c r="B420" s="653" t="str">
        <f>B89</f>
        <v>CARPENTRY WORKS</v>
      </c>
      <c r="C420" s="653"/>
      <c r="D420" s="653"/>
      <c r="E420" s="654">
        <f>I120</f>
        <v>62774.5</v>
      </c>
      <c r="F420" s="761">
        <f>I122</f>
        <v>18832.349999999999</v>
      </c>
      <c r="G420" s="762"/>
      <c r="H420" s="654">
        <f>I121</f>
        <v>627.745</v>
      </c>
      <c r="I420" s="464">
        <f t="shared" si="45"/>
        <v>82234.595000000001</v>
      </c>
    </row>
    <row r="421" spans="1:15" s="432" customFormat="1" ht="15" customHeight="1" x14ac:dyDescent="0.3">
      <c r="A421" s="650" t="s">
        <v>31</v>
      </c>
      <c r="B421" s="653" t="str">
        <f>B124</f>
        <v>DOORS AND WINDOWS</v>
      </c>
      <c r="C421" s="653"/>
      <c r="D421" s="653"/>
      <c r="E421" s="654">
        <f>I141</f>
        <v>68950</v>
      </c>
      <c r="F421" s="761">
        <f>I143</f>
        <v>0</v>
      </c>
      <c r="G421" s="762"/>
      <c r="H421" s="654">
        <f>I142</f>
        <v>0</v>
      </c>
      <c r="I421" s="464">
        <f t="shared" si="45"/>
        <v>68950</v>
      </c>
    </row>
    <row r="422" spans="1:15" s="432" customFormat="1" ht="15" customHeight="1" x14ac:dyDescent="0.3">
      <c r="A422" s="650" t="s">
        <v>32</v>
      </c>
      <c r="B422" s="653" t="str">
        <f>B145</f>
        <v>STEEL WORKS</v>
      </c>
      <c r="C422" s="653"/>
      <c r="D422" s="653"/>
      <c r="E422" s="654">
        <f>I175</f>
        <v>63518</v>
      </c>
      <c r="F422" s="761">
        <f>I177</f>
        <v>19055.399999999998</v>
      </c>
      <c r="G422" s="762"/>
      <c r="H422" s="654">
        <f>I176</f>
        <v>635.18000000000006</v>
      </c>
      <c r="I422" s="464">
        <f t="shared" si="45"/>
        <v>83208.579999999987</v>
      </c>
    </row>
    <row r="423" spans="1:15" s="432" customFormat="1" ht="12" customHeight="1" x14ac:dyDescent="0.3">
      <c r="A423" s="650" t="s">
        <v>166</v>
      </c>
      <c r="B423" s="653" t="str">
        <f>B179</f>
        <v>ROOFING WORKS</v>
      </c>
      <c r="C423" s="653"/>
      <c r="D423" s="653"/>
      <c r="E423" s="654">
        <f>I194</f>
        <v>78051.5</v>
      </c>
      <c r="F423" s="761">
        <f>I196</f>
        <v>23415.45</v>
      </c>
      <c r="G423" s="762"/>
      <c r="H423" s="654">
        <f>I195</f>
        <v>780.51499999999999</v>
      </c>
      <c r="I423" s="464">
        <f t="shared" si="45"/>
        <v>102247.465</v>
      </c>
      <c r="K423" s="506">
        <v>255</v>
      </c>
      <c r="L423" s="506">
        <f>K423*(1+L$3)+10</f>
        <v>265</v>
      </c>
      <c r="N423" s="432" t="s">
        <v>3</v>
      </c>
      <c r="O423" s="432">
        <v>244</v>
      </c>
    </row>
    <row r="424" spans="1:15" s="432" customFormat="1" ht="12" customHeight="1" x14ac:dyDescent="0.3">
      <c r="A424" s="650" t="s">
        <v>167</v>
      </c>
      <c r="B424" s="653" t="s">
        <v>30</v>
      </c>
      <c r="C424" s="653"/>
      <c r="D424" s="653"/>
      <c r="E424" s="654">
        <f>I223</f>
        <v>185475</v>
      </c>
      <c r="F424" s="761">
        <f>I225</f>
        <v>55642.5</v>
      </c>
      <c r="G424" s="762"/>
      <c r="H424" s="654">
        <f>I224</f>
        <v>1854.75</v>
      </c>
      <c r="I424" s="464">
        <f>F424+E424+H424</f>
        <v>242972.25</v>
      </c>
      <c r="K424" s="506">
        <v>900</v>
      </c>
      <c r="L424" s="506">
        <f t="shared" ref="L424:L425" si="46">K424*(1+L$3)</f>
        <v>900</v>
      </c>
      <c r="N424" s="432" t="s">
        <v>73</v>
      </c>
      <c r="O424" s="432">
        <v>18</v>
      </c>
    </row>
    <row r="425" spans="1:15" s="432" customFormat="1" ht="12" customHeight="1" x14ac:dyDescent="0.3">
      <c r="A425" s="650" t="s">
        <v>168</v>
      </c>
      <c r="B425" s="653" t="str">
        <f>B227</f>
        <v xml:space="preserve">SEPTIC TANK </v>
      </c>
      <c r="C425" s="653"/>
      <c r="D425" s="653"/>
      <c r="E425" s="654">
        <f>I248</f>
        <v>22919</v>
      </c>
      <c r="F425" s="761">
        <f>I250</f>
        <v>6875.7</v>
      </c>
      <c r="G425" s="762"/>
      <c r="H425" s="654">
        <f>I249</f>
        <v>229.19</v>
      </c>
      <c r="I425" s="464">
        <f t="shared" si="45"/>
        <v>30023.89</v>
      </c>
      <c r="K425" s="506">
        <v>900</v>
      </c>
      <c r="L425" s="506">
        <f t="shared" si="46"/>
        <v>900</v>
      </c>
      <c r="N425" s="432" t="s">
        <v>67</v>
      </c>
      <c r="O425" s="432">
        <v>3</v>
      </c>
    </row>
    <row r="426" spans="1:15" s="432" customFormat="1" ht="12" customHeight="1" x14ac:dyDescent="0.3">
      <c r="A426" s="650" t="s">
        <v>169</v>
      </c>
      <c r="B426" s="653" t="str">
        <f>B252</f>
        <v>ELECTRICAL WORKS</v>
      </c>
      <c r="C426" s="653"/>
      <c r="D426" s="653"/>
      <c r="E426" s="654">
        <f>I298</f>
        <v>73335</v>
      </c>
      <c r="F426" s="761">
        <f>I300</f>
        <v>22000.5</v>
      </c>
      <c r="G426" s="762"/>
      <c r="H426" s="654">
        <f>I299</f>
        <v>733.35</v>
      </c>
      <c r="I426" s="464">
        <f t="shared" si="45"/>
        <v>96068.85</v>
      </c>
      <c r="K426" s="506">
        <v>58</v>
      </c>
      <c r="L426" s="506">
        <f t="shared" ref="L426:L429" si="47">K426*(1+L$3)</f>
        <v>58</v>
      </c>
      <c r="N426" s="432" t="s">
        <v>70</v>
      </c>
      <c r="O426" s="432">
        <v>6.5</v>
      </c>
    </row>
    <row r="427" spans="1:15" s="432" customFormat="1" ht="12" customHeight="1" x14ac:dyDescent="0.3">
      <c r="A427" s="650" t="s">
        <v>170</v>
      </c>
      <c r="B427" s="653" t="str">
        <f>B302</f>
        <v>PLUMBING WORKS</v>
      </c>
      <c r="C427" s="653"/>
      <c r="D427" s="653"/>
      <c r="E427" s="654">
        <f>I344</f>
        <v>27170</v>
      </c>
      <c r="F427" s="761">
        <f>I346</f>
        <v>8151</v>
      </c>
      <c r="G427" s="762"/>
      <c r="H427" s="654">
        <f>I345</f>
        <v>271.7</v>
      </c>
      <c r="I427" s="464">
        <f t="shared" si="45"/>
        <v>35592.699999999997</v>
      </c>
      <c r="K427" s="506">
        <v>134</v>
      </c>
      <c r="L427" s="506">
        <f>K427*(1+L$3)+20.1</f>
        <v>154.1</v>
      </c>
      <c r="N427" s="432" t="s">
        <v>332</v>
      </c>
      <c r="O427" s="432">
        <v>125</v>
      </c>
    </row>
    <row r="428" spans="1:15" s="432" customFormat="1" ht="12" customHeight="1" x14ac:dyDescent="0.3">
      <c r="A428" s="650" t="s">
        <v>376</v>
      </c>
      <c r="B428" s="653" t="str">
        <f>B348</f>
        <v>PAINTING WORKS</v>
      </c>
      <c r="C428" s="653"/>
      <c r="D428" s="653"/>
      <c r="E428" s="655">
        <f>I374</f>
        <v>31510</v>
      </c>
      <c r="F428" s="780">
        <f>I376</f>
        <v>9453</v>
      </c>
      <c r="G428" s="781"/>
      <c r="H428" s="655">
        <f>I375</f>
        <v>315.10000000000002</v>
      </c>
      <c r="I428" s="656">
        <f t="shared" si="45"/>
        <v>41278.1</v>
      </c>
      <c r="K428" s="506">
        <v>194</v>
      </c>
      <c r="L428" s="506">
        <f>K428*(1+L$3)+29.1</f>
        <v>223.1</v>
      </c>
      <c r="N428" s="432" t="s">
        <v>333</v>
      </c>
      <c r="O428" s="432">
        <v>17</v>
      </c>
    </row>
    <row r="429" spans="1:15" s="432" customFormat="1" ht="12" customHeight="1" x14ac:dyDescent="0.3">
      <c r="A429" s="657" t="str">
        <f>A378</f>
        <v>XIV.</v>
      </c>
      <c r="B429" s="784" t="str">
        <f>B378</f>
        <v>WATER TOWER</v>
      </c>
      <c r="C429" s="784"/>
      <c r="D429" s="658"/>
      <c r="E429" s="659">
        <f>I408</f>
        <v>82624.5</v>
      </c>
      <c r="F429" s="785">
        <f>I410</f>
        <v>24787.35</v>
      </c>
      <c r="G429" s="786"/>
      <c r="H429" s="659">
        <f>I409</f>
        <v>826.245</v>
      </c>
      <c r="I429" s="660">
        <f>H429+F429+E429</f>
        <v>108238.095</v>
      </c>
      <c r="J429" s="509"/>
      <c r="K429" s="506">
        <v>55</v>
      </c>
      <c r="L429" s="506">
        <f t="shared" si="47"/>
        <v>55</v>
      </c>
      <c r="N429" s="432" t="s">
        <v>74</v>
      </c>
      <c r="O429" s="432">
        <v>1</v>
      </c>
    </row>
    <row r="430" spans="1:15" s="432" customFormat="1" ht="15" customHeight="1" x14ac:dyDescent="0.3">
      <c r="A430" s="661"/>
      <c r="B430" s="662" t="s">
        <v>381</v>
      </c>
      <c r="C430" s="662"/>
      <c r="D430" s="640"/>
      <c r="E430" s="647">
        <f>SUM(E416:E428)</f>
        <v>857193.83333333326</v>
      </c>
      <c r="F430" s="782">
        <f>SUM(F416:G428)</f>
        <v>246942.15000000002</v>
      </c>
      <c r="G430" s="783"/>
      <c r="H430" s="647">
        <f>SUM(H416:H428)</f>
        <v>7840.2050000000008</v>
      </c>
      <c r="I430" s="663"/>
    </row>
    <row r="431" spans="1:15" s="432" customFormat="1" ht="20.100000000000001" customHeight="1" thickBot="1" x14ac:dyDescent="0.35">
      <c r="A431" s="664" t="s">
        <v>377</v>
      </c>
      <c r="B431" s="665"/>
      <c r="C431" s="666"/>
      <c r="D431" s="666"/>
      <c r="E431" s="667"/>
      <c r="F431" s="668"/>
      <c r="G431" s="669"/>
      <c r="H431" s="670"/>
      <c r="I431" s="671">
        <f>SUM(I416:I430)</f>
        <v>1220214.2833333334</v>
      </c>
    </row>
    <row r="432" spans="1:15" s="432" customFormat="1" ht="20.100000000000001" customHeight="1" x14ac:dyDescent="0.3">
      <c r="A432" s="672"/>
      <c r="B432" s="624"/>
      <c r="C432" s="521"/>
      <c r="D432" s="521"/>
      <c r="E432" s="673"/>
      <c r="F432" s="674"/>
      <c r="G432" s="675"/>
      <c r="H432" s="676"/>
      <c r="I432" s="677"/>
    </row>
    <row r="433" spans="1:9" s="432" customFormat="1" ht="12" customHeight="1" x14ac:dyDescent="0.3">
      <c r="A433" s="678"/>
      <c r="B433" s="779" t="s">
        <v>149</v>
      </c>
      <c r="C433" s="779"/>
      <c r="D433" s="678"/>
      <c r="E433" s="680" t="s">
        <v>547</v>
      </c>
      <c r="F433" s="680"/>
      <c r="G433" s="680"/>
      <c r="H433" s="680"/>
      <c r="I433" s="680"/>
    </row>
    <row r="434" spans="1:9" s="432" customFormat="1" ht="12" customHeight="1" x14ac:dyDescent="0.3">
      <c r="A434" s="681"/>
      <c r="B434" s="778" t="s">
        <v>636</v>
      </c>
      <c r="C434" s="778"/>
      <c r="D434" s="682"/>
      <c r="E434" s="778" t="s">
        <v>351</v>
      </c>
      <c r="F434" s="778"/>
      <c r="G434" s="778"/>
      <c r="H434" s="778"/>
      <c r="I434" s="778"/>
    </row>
    <row r="435" spans="1:9" s="432" customFormat="1" ht="12" customHeight="1" x14ac:dyDescent="0.3">
      <c r="A435" s="681"/>
      <c r="B435" s="778"/>
      <c r="C435" s="778"/>
      <c r="D435" s="682"/>
      <c r="E435" s="778"/>
      <c r="F435" s="778"/>
      <c r="G435" s="778"/>
      <c r="H435" s="778"/>
      <c r="I435" s="778"/>
    </row>
    <row r="436" spans="1:9" s="432" customFormat="1" ht="12" customHeight="1" x14ac:dyDescent="0.3">
      <c r="A436" s="681"/>
      <c r="B436" s="778"/>
      <c r="C436" s="778"/>
      <c r="D436" s="682"/>
      <c r="E436" s="778"/>
      <c r="F436" s="778"/>
      <c r="G436" s="778"/>
      <c r="H436" s="778"/>
      <c r="I436" s="778"/>
    </row>
    <row r="437" spans="1:9" s="432" customFormat="1" ht="12" customHeight="1" x14ac:dyDescent="0.3">
      <c r="A437" s="521"/>
      <c r="B437" s="787" t="s">
        <v>404</v>
      </c>
      <c r="C437" s="787"/>
      <c r="D437" s="521"/>
      <c r="E437" s="787" t="s">
        <v>539</v>
      </c>
      <c r="F437" s="787"/>
      <c r="G437" s="787"/>
      <c r="H437" s="787"/>
      <c r="I437" s="787"/>
    </row>
    <row r="438" spans="1:9" s="432" customFormat="1" ht="12" customHeight="1" x14ac:dyDescent="0.3">
      <c r="A438" s="521"/>
      <c r="B438" s="521"/>
      <c r="C438" s="521"/>
      <c r="D438" s="683"/>
      <c r="E438" s="521" t="s">
        <v>34</v>
      </c>
      <c r="F438" s="521"/>
      <c r="G438" s="521"/>
      <c r="H438" s="521"/>
      <c r="I438" s="521"/>
    </row>
    <row r="439" spans="1:9" s="432" customFormat="1" ht="12" customHeight="1" x14ac:dyDescent="0.3">
      <c r="A439" s="681"/>
      <c r="B439" s="778" t="s">
        <v>669</v>
      </c>
      <c r="C439" s="778"/>
      <c r="D439" s="682"/>
      <c r="E439" s="682"/>
      <c r="F439" s="682"/>
      <c r="G439" s="682"/>
      <c r="H439" s="682"/>
      <c r="I439" s="682"/>
    </row>
    <row r="440" spans="1:9" s="432" customFormat="1" ht="12" customHeight="1" x14ac:dyDescent="0.3">
      <c r="A440" s="681"/>
      <c r="B440" s="778"/>
      <c r="C440" s="778"/>
      <c r="D440" s="682"/>
      <c r="E440" s="682"/>
      <c r="F440" s="682"/>
      <c r="G440" s="682"/>
      <c r="H440" s="682"/>
      <c r="I440" s="682"/>
    </row>
    <row r="441" spans="1:9" s="432" customFormat="1" ht="12" customHeight="1" x14ac:dyDescent="0.3">
      <c r="A441" s="681"/>
      <c r="B441" s="778"/>
      <c r="C441" s="778"/>
      <c r="D441" s="682"/>
      <c r="E441" s="682"/>
      <c r="F441" s="682"/>
      <c r="G441" s="682"/>
      <c r="H441" s="682"/>
      <c r="I441" s="682"/>
    </row>
    <row r="442" spans="1:9" s="432" customFormat="1" ht="12" customHeight="1" x14ac:dyDescent="0.3">
      <c r="A442" s="521"/>
      <c r="B442" s="787" t="s">
        <v>670</v>
      </c>
      <c r="C442" s="787"/>
      <c r="D442" s="521"/>
      <c r="E442" s="787"/>
      <c r="F442" s="787"/>
      <c r="G442" s="787"/>
      <c r="H442" s="787"/>
      <c r="I442" s="787"/>
    </row>
    <row r="443" spans="1:9" s="432" customFormat="1" ht="12" customHeight="1" x14ac:dyDescent="0.3">
      <c r="A443" s="678"/>
      <c r="B443" s="779" t="s">
        <v>667</v>
      </c>
      <c r="C443" s="779"/>
      <c r="D443" s="678"/>
      <c r="E443" s="684" t="s">
        <v>546</v>
      </c>
      <c r="F443" s="678"/>
      <c r="G443" s="678"/>
      <c r="H443" s="678"/>
      <c r="I443" s="678"/>
    </row>
    <row r="444" spans="1:9" ht="12" customHeight="1" x14ac:dyDescent="0.3">
      <c r="A444" s="678"/>
      <c r="B444" s="678"/>
      <c r="C444" s="678"/>
      <c r="D444" s="678"/>
      <c r="E444" s="678"/>
      <c r="F444" s="678"/>
      <c r="G444" s="678"/>
      <c r="H444" s="678"/>
      <c r="I444" s="678"/>
    </row>
    <row r="445" spans="1:9" ht="12.9" customHeight="1" x14ac:dyDescent="0.3">
      <c r="A445" s="681"/>
      <c r="B445" s="778" t="s">
        <v>550</v>
      </c>
      <c r="C445" s="778"/>
      <c r="D445" s="682"/>
      <c r="E445" s="778" t="s">
        <v>635</v>
      </c>
      <c r="F445" s="778"/>
      <c r="G445" s="778"/>
      <c r="H445" s="778"/>
      <c r="I445" s="778"/>
    </row>
    <row r="446" spans="1:9" ht="12.9" customHeight="1" x14ac:dyDescent="0.3">
      <c r="A446" s="681"/>
      <c r="B446" s="778"/>
      <c r="C446" s="778"/>
      <c r="D446" s="682"/>
      <c r="E446" s="778"/>
      <c r="F446" s="778"/>
      <c r="G446" s="778"/>
      <c r="H446" s="778"/>
      <c r="I446" s="778"/>
    </row>
    <row r="447" spans="1:9" ht="12.9" customHeight="1" x14ac:dyDescent="0.3">
      <c r="A447" s="681"/>
      <c r="B447" s="778"/>
      <c r="C447" s="778"/>
      <c r="D447" s="682"/>
      <c r="E447" s="778"/>
      <c r="F447" s="778"/>
      <c r="G447" s="778"/>
      <c r="H447" s="778"/>
      <c r="I447" s="778"/>
    </row>
    <row r="448" spans="1:9" ht="12.9" customHeight="1" x14ac:dyDescent="0.3">
      <c r="A448" s="681"/>
      <c r="B448" s="778"/>
      <c r="C448" s="778"/>
      <c r="D448" s="682"/>
      <c r="E448" s="778"/>
      <c r="F448" s="778"/>
      <c r="G448" s="778"/>
      <c r="H448" s="778"/>
      <c r="I448" s="778"/>
    </row>
    <row r="449" spans="1:9" ht="12.9" customHeight="1" x14ac:dyDescent="0.3">
      <c r="A449" s="678"/>
      <c r="B449" s="788" t="s">
        <v>668</v>
      </c>
      <c r="C449" s="788"/>
      <c r="D449" s="678"/>
      <c r="E449" s="788" t="s">
        <v>548</v>
      </c>
      <c r="F449" s="788"/>
      <c r="G449" s="788"/>
      <c r="H449" s="788"/>
      <c r="I449" s="788"/>
    </row>
    <row r="450" spans="1:9" ht="12.9" customHeight="1" x14ac:dyDescent="0.25">
      <c r="A450" s="685"/>
      <c r="B450" s="685"/>
      <c r="C450" s="685"/>
      <c r="D450" s="685"/>
      <c r="E450" s="686"/>
      <c r="F450" s="687"/>
      <c r="G450" s="687"/>
      <c r="H450" s="687"/>
      <c r="I450" s="687"/>
    </row>
    <row r="451" spans="1:9" x14ac:dyDescent="0.25">
      <c r="A451" s="686"/>
      <c r="B451" s="686"/>
      <c r="C451" s="686"/>
      <c r="D451" s="686"/>
      <c r="E451" s="688"/>
      <c r="F451" s="688"/>
      <c r="G451" s="688"/>
      <c r="H451" s="688"/>
      <c r="I451" s="688"/>
    </row>
    <row r="452" spans="1:9" x14ac:dyDescent="0.25">
      <c r="A452" s="689"/>
      <c r="B452" s="689"/>
      <c r="C452" s="689"/>
      <c r="D452" s="689"/>
      <c r="E452" s="689"/>
      <c r="F452" s="689"/>
      <c r="G452" s="689"/>
      <c r="H452" s="689"/>
      <c r="I452" s="689"/>
    </row>
    <row r="453" spans="1:9" x14ac:dyDescent="0.25">
      <c r="A453" s="689"/>
      <c r="B453" s="689"/>
      <c r="C453" s="689"/>
      <c r="D453" s="689"/>
      <c r="E453" s="689"/>
      <c r="F453" s="689"/>
      <c r="G453" s="689"/>
      <c r="H453" s="689"/>
      <c r="I453" s="689"/>
    </row>
    <row r="454" spans="1:9" x14ac:dyDescent="0.25">
      <c r="A454" s="689"/>
      <c r="B454" s="689"/>
      <c r="C454" s="689"/>
      <c r="D454" s="689"/>
      <c r="E454" s="689"/>
      <c r="F454" s="689"/>
      <c r="G454" s="689"/>
      <c r="H454" s="689"/>
      <c r="I454" s="689"/>
    </row>
    <row r="455" spans="1:9" x14ac:dyDescent="0.25">
      <c r="A455" s="686"/>
      <c r="B455" s="686"/>
      <c r="C455" s="686"/>
      <c r="D455" s="686"/>
      <c r="E455" s="686"/>
      <c r="F455" s="686"/>
      <c r="G455" s="686"/>
      <c r="H455" s="686"/>
      <c r="I455" s="686"/>
    </row>
    <row r="465" spans="6:9" x14ac:dyDescent="0.25">
      <c r="F465" s="431"/>
      <c r="H465" s="431"/>
      <c r="I465" s="431"/>
    </row>
    <row r="466" spans="6:9" x14ac:dyDescent="0.25">
      <c r="F466" s="431"/>
      <c r="H466" s="431"/>
      <c r="I466" s="431"/>
    </row>
    <row r="467" spans="6:9" x14ac:dyDescent="0.25">
      <c r="F467" s="431"/>
      <c r="H467" s="431"/>
      <c r="I467" s="431"/>
    </row>
    <row r="468" spans="6:9" x14ac:dyDescent="0.25">
      <c r="F468" s="431"/>
      <c r="H468" s="431"/>
      <c r="I468" s="431"/>
    </row>
    <row r="469" spans="6:9" x14ac:dyDescent="0.25">
      <c r="F469" s="431"/>
      <c r="H469" s="431"/>
      <c r="I469" s="431"/>
    </row>
    <row r="470" spans="6:9" x14ac:dyDescent="0.25">
      <c r="F470" s="431"/>
      <c r="H470" s="431"/>
      <c r="I470" s="431"/>
    </row>
    <row r="471" spans="6:9" x14ac:dyDescent="0.25">
      <c r="F471" s="431"/>
      <c r="H471" s="431"/>
      <c r="I471" s="431"/>
    </row>
    <row r="472" spans="6:9" x14ac:dyDescent="0.25">
      <c r="F472" s="431"/>
      <c r="H472" s="431"/>
      <c r="I472" s="431"/>
    </row>
    <row r="473" spans="6:9" x14ac:dyDescent="0.25">
      <c r="F473" s="431"/>
      <c r="H473" s="431"/>
      <c r="I473" s="431"/>
    </row>
    <row r="474" spans="6:9" x14ac:dyDescent="0.25">
      <c r="F474" s="431"/>
      <c r="H474" s="431"/>
      <c r="I474" s="431"/>
    </row>
    <row r="475" spans="6:9" x14ac:dyDescent="0.25">
      <c r="F475" s="431"/>
      <c r="H475" s="431"/>
      <c r="I475" s="431"/>
    </row>
    <row r="476" spans="6:9" x14ac:dyDescent="0.25">
      <c r="F476" s="431"/>
      <c r="H476" s="431"/>
      <c r="I476" s="431"/>
    </row>
    <row r="477" spans="6:9" x14ac:dyDescent="0.25">
      <c r="F477" s="431"/>
      <c r="H477" s="431"/>
      <c r="I477" s="431"/>
    </row>
    <row r="478" spans="6:9" x14ac:dyDescent="0.25">
      <c r="F478" s="431"/>
      <c r="H478" s="431"/>
      <c r="I478" s="431"/>
    </row>
    <row r="479" spans="6:9" x14ac:dyDescent="0.25">
      <c r="F479" s="431"/>
      <c r="H479" s="431"/>
      <c r="I479" s="431"/>
    </row>
    <row r="480" spans="6:9" x14ac:dyDescent="0.25">
      <c r="F480" s="431"/>
      <c r="H480" s="431"/>
      <c r="I480" s="431"/>
    </row>
    <row r="481" spans="6:9" x14ac:dyDescent="0.25">
      <c r="F481" s="431"/>
      <c r="H481" s="431"/>
      <c r="I481" s="431"/>
    </row>
    <row r="482" spans="6:9" x14ac:dyDescent="0.25">
      <c r="F482" s="431"/>
      <c r="H482" s="431"/>
      <c r="I482" s="431"/>
    </row>
    <row r="483" spans="6:9" x14ac:dyDescent="0.25">
      <c r="F483" s="431"/>
      <c r="H483" s="431"/>
      <c r="I483" s="431"/>
    </row>
    <row r="484" spans="6:9" x14ac:dyDescent="0.25">
      <c r="F484" s="431"/>
      <c r="H484" s="431"/>
      <c r="I484" s="431"/>
    </row>
    <row r="485" spans="6:9" x14ac:dyDescent="0.25">
      <c r="F485" s="431"/>
      <c r="H485" s="431"/>
      <c r="I485" s="431"/>
    </row>
    <row r="486" spans="6:9" x14ac:dyDescent="0.25">
      <c r="F486" s="431"/>
      <c r="H486" s="431"/>
      <c r="I486" s="431"/>
    </row>
    <row r="487" spans="6:9" x14ac:dyDescent="0.25">
      <c r="F487" s="431"/>
      <c r="H487" s="431"/>
      <c r="I487" s="431"/>
    </row>
    <row r="488" spans="6:9" x14ac:dyDescent="0.25">
      <c r="F488" s="431"/>
      <c r="H488" s="431"/>
      <c r="I488" s="431"/>
    </row>
    <row r="489" spans="6:9" x14ac:dyDescent="0.25">
      <c r="F489" s="431"/>
      <c r="H489" s="431"/>
      <c r="I489" s="431"/>
    </row>
    <row r="490" spans="6:9" x14ac:dyDescent="0.25">
      <c r="F490" s="431"/>
      <c r="H490" s="431"/>
      <c r="I490" s="431"/>
    </row>
    <row r="491" spans="6:9" x14ac:dyDescent="0.25">
      <c r="F491" s="431"/>
      <c r="H491" s="431"/>
      <c r="I491" s="431"/>
    </row>
    <row r="492" spans="6:9" x14ac:dyDescent="0.25">
      <c r="F492" s="431"/>
      <c r="H492" s="431"/>
      <c r="I492" s="431"/>
    </row>
    <row r="493" spans="6:9" x14ac:dyDescent="0.25">
      <c r="F493" s="431"/>
      <c r="H493" s="431"/>
      <c r="I493" s="431"/>
    </row>
    <row r="494" spans="6:9" x14ac:dyDescent="0.25">
      <c r="F494" s="431"/>
      <c r="H494" s="431"/>
      <c r="I494" s="431"/>
    </row>
    <row r="495" spans="6:9" x14ac:dyDescent="0.25">
      <c r="F495" s="431"/>
      <c r="H495" s="431"/>
      <c r="I495" s="431"/>
    </row>
    <row r="496" spans="6:9" x14ac:dyDescent="0.25">
      <c r="F496" s="431"/>
      <c r="H496" s="431"/>
      <c r="I496" s="431"/>
    </row>
    <row r="497" spans="6:9" x14ac:dyDescent="0.25">
      <c r="F497" s="431"/>
      <c r="H497" s="431"/>
      <c r="I497" s="431"/>
    </row>
    <row r="498" spans="6:9" x14ac:dyDescent="0.25">
      <c r="F498" s="431"/>
      <c r="H498" s="431"/>
      <c r="I498" s="431"/>
    </row>
    <row r="499" spans="6:9" x14ac:dyDescent="0.25">
      <c r="F499" s="431"/>
      <c r="H499" s="431"/>
      <c r="I499" s="431"/>
    </row>
    <row r="500" spans="6:9" x14ac:dyDescent="0.25">
      <c r="F500" s="431"/>
      <c r="H500" s="431"/>
      <c r="I500" s="431"/>
    </row>
    <row r="501" spans="6:9" x14ac:dyDescent="0.25">
      <c r="F501" s="431"/>
      <c r="H501" s="431"/>
      <c r="I501" s="431"/>
    </row>
    <row r="502" spans="6:9" x14ac:dyDescent="0.25">
      <c r="F502" s="431"/>
      <c r="H502" s="431"/>
      <c r="I502" s="431"/>
    </row>
    <row r="503" spans="6:9" x14ac:dyDescent="0.25">
      <c r="F503" s="431"/>
      <c r="H503" s="431"/>
      <c r="I503" s="431"/>
    </row>
    <row r="504" spans="6:9" x14ac:dyDescent="0.25">
      <c r="F504" s="431"/>
      <c r="H504" s="431"/>
      <c r="I504" s="431"/>
    </row>
    <row r="505" spans="6:9" x14ac:dyDescent="0.25">
      <c r="F505" s="431"/>
      <c r="H505" s="431"/>
      <c r="I505" s="431"/>
    </row>
    <row r="506" spans="6:9" x14ac:dyDescent="0.25">
      <c r="F506" s="431"/>
      <c r="H506" s="431"/>
      <c r="I506" s="431"/>
    </row>
    <row r="507" spans="6:9" x14ac:dyDescent="0.25">
      <c r="F507" s="431"/>
      <c r="H507" s="431"/>
      <c r="I507" s="431"/>
    </row>
    <row r="508" spans="6:9" x14ac:dyDescent="0.25">
      <c r="F508" s="431"/>
      <c r="H508" s="431"/>
      <c r="I508" s="431"/>
    </row>
    <row r="509" spans="6:9" x14ac:dyDescent="0.25">
      <c r="F509" s="431"/>
      <c r="H509" s="431"/>
      <c r="I509" s="431"/>
    </row>
    <row r="510" spans="6:9" x14ac:dyDescent="0.25">
      <c r="F510" s="431"/>
      <c r="H510" s="431"/>
      <c r="I510" s="431"/>
    </row>
    <row r="511" spans="6:9" x14ac:dyDescent="0.25">
      <c r="F511" s="431"/>
      <c r="H511" s="431"/>
      <c r="I511" s="431"/>
    </row>
    <row r="512" spans="6:9" x14ac:dyDescent="0.25">
      <c r="F512" s="431"/>
      <c r="H512" s="431"/>
      <c r="I512" s="431"/>
    </row>
    <row r="513" spans="6:9" x14ac:dyDescent="0.25">
      <c r="F513" s="431"/>
      <c r="H513" s="431"/>
      <c r="I513" s="431"/>
    </row>
    <row r="514" spans="6:9" x14ac:dyDescent="0.25">
      <c r="F514" s="431"/>
      <c r="H514" s="431"/>
      <c r="I514" s="431"/>
    </row>
    <row r="515" spans="6:9" x14ac:dyDescent="0.25">
      <c r="F515" s="431"/>
      <c r="H515" s="431"/>
      <c r="I515" s="431"/>
    </row>
    <row r="516" spans="6:9" x14ac:dyDescent="0.25">
      <c r="F516" s="431"/>
      <c r="H516" s="431"/>
      <c r="I516" s="431"/>
    </row>
    <row r="517" spans="6:9" x14ac:dyDescent="0.25">
      <c r="F517" s="431"/>
      <c r="H517" s="431"/>
      <c r="I517" s="431"/>
    </row>
    <row r="518" spans="6:9" x14ac:dyDescent="0.25">
      <c r="F518" s="431"/>
      <c r="H518" s="431"/>
      <c r="I518" s="431"/>
    </row>
    <row r="519" spans="6:9" x14ac:dyDescent="0.25">
      <c r="F519" s="431"/>
      <c r="H519" s="431"/>
      <c r="I519" s="431"/>
    </row>
    <row r="520" spans="6:9" x14ac:dyDescent="0.25">
      <c r="F520" s="431"/>
      <c r="H520" s="431"/>
      <c r="I520" s="431"/>
    </row>
    <row r="521" spans="6:9" x14ac:dyDescent="0.25">
      <c r="F521" s="431"/>
      <c r="H521" s="431"/>
      <c r="I521" s="431"/>
    </row>
    <row r="522" spans="6:9" x14ac:dyDescent="0.25">
      <c r="F522" s="431"/>
      <c r="H522" s="431"/>
      <c r="I522" s="431"/>
    </row>
    <row r="523" spans="6:9" x14ac:dyDescent="0.25">
      <c r="F523" s="431"/>
      <c r="H523" s="431"/>
      <c r="I523" s="431"/>
    </row>
    <row r="524" spans="6:9" x14ac:dyDescent="0.25">
      <c r="F524" s="431"/>
      <c r="H524" s="431"/>
      <c r="I524" s="431"/>
    </row>
    <row r="525" spans="6:9" x14ac:dyDescent="0.25">
      <c r="F525" s="431"/>
      <c r="H525" s="431"/>
      <c r="I525" s="431"/>
    </row>
    <row r="526" spans="6:9" x14ac:dyDescent="0.25">
      <c r="F526" s="431"/>
      <c r="H526" s="431"/>
      <c r="I526" s="431"/>
    </row>
    <row r="527" spans="6:9" x14ac:dyDescent="0.25">
      <c r="F527" s="431"/>
      <c r="H527" s="431"/>
      <c r="I527" s="431"/>
    </row>
    <row r="528" spans="6:9" x14ac:dyDescent="0.25">
      <c r="F528" s="431"/>
      <c r="H528" s="431"/>
      <c r="I528" s="431"/>
    </row>
    <row r="529" spans="6:9" x14ac:dyDescent="0.25">
      <c r="F529" s="431"/>
      <c r="H529" s="431"/>
      <c r="I529" s="431"/>
    </row>
    <row r="530" spans="6:9" x14ac:dyDescent="0.25">
      <c r="F530" s="431"/>
      <c r="H530" s="431"/>
      <c r="I530" s="431"/>
    </row>
    <row r="531" spans="6:9" x14ac:dyDescent="0.25">
      <c r="F531" s="431"/>
      <c r="H531" s="431"/>
      <c r="I531" s="431"/>
    </row>
    <row r="532" spans="6:9" x14ac:dyDescent="0.25">
      <c r="F532" s="431"/>
      <c r="H532" s="431"/>
      <c r="I532" s="431"/>
    </row>
    <row r="533" spans="6:9" x14ac:dyDescent="0.25">
      <c r="F533" s="431"/>
      <c r="H533" s="431"/>
      <c r="I533" s="431"/>
    </row>
    <row r="534" spans="6:9" x14ac:dyDescent="0.25">
      <c r="F534" s="431"/>
      <c r="H534" s="431"/>
      <c r="I534" s="431"/>
    </row>
    <row r="535" spans="6:9" x14ac:dyDescent="0.25">
      <c r="F535" s="431"/>
      <c r="H535" s="431"/>
      <c r="I535" s="431"/>
    </row>
    <row r="536" spans="6:9" x14ac:dyDescent="0.25">
      <c r="F536" s="431"/>
      <c r="H536" s="431"/>
      <c r="I536" s="431"/>
    </row>
    <row r="537" spans="6:9" x14ac:dyDescent="0.25">
      <c r="F537" s="431"/>
      <c r="H537" s="431"/>
      <c r="I537" s="431"/>
    </row>
    <row r="538" spans="6:9" x14ac:dyDescent="0.25">
      <c r="F538" s="431"/>
      <c r="H538" s="431"/>
      <c r="I538" s="431"/>
    </row>
    <row r="539" spans="6:9" x14ac:dyDescent="0.25">
      <c r="F539" s="431"/>
      <c r="H539" s="431"/>
      <c r="I539" s="431"/>
    </row>
    <row r="540" spans="6:9" x14ac:dyDescent="0.25">
      <c r="F540" s="431"/>
      <c r="H540" s="431"/>
      <c r="I540" s="431"/>
    </row>
    <row r="541" spans="6:9" x14ac:dyDescent="0.25">
      <c r="F541" s="431"/>
      <c r="H541" s="431"/>
      <c r="I541" s="431"/>
    </row>
    <row r="542" spans="6:9" x14ac:dyDescent="0.25">
      <c r="F542" s="431"/>
      <c r="H542" s="431"/>
      <c r="I542" s="431"/>
    </row>
    <row r="543" spans="6:9" x14ac:dyDescent="0.25">
      <c r="F543" s="431"/>
      <c r="H543" s="431"/>
      <c r="I543" s="431"/>
    </row>
    <row r="544" spans="6:9" x14ac:dyDescent="0.25">
      <c r="F544" s="431"/>
      <c r="H544" s="431"/>
      <c r="I544" s="431"/>
    </row>
    <row r="545" spans="6:9" x14ac:dyDescent="0.25">
      <c r="F545" s="431"/>
      <c r="H545" s="431"/>
      <c r="I545" s="431"/>
    </row>
    <row r="546" spans="6:9" x14ac:dyDescent="0.25">
      <c r="F546" s="431"/>
      <c r="H546" s="431"/>
      <c r="I546" s="431"/>
    </row>
    <row r="547" spans="6:9" x14ac:dyDescent="0.25">
      <c r="F547" s="431"/>
      <c r="H547" s="431"/>
      <c r="I547" s="431"/>
    </row>
    <row r="548" spans="6:9" x14ac:dyDescent="0.25">
      <c r="F548" s="431"/>
      <c r="H548" s="431"/>
      <c r="I548" s="431"/>
    </row>
    <row r="549" spans="6:9" x14ac:dyDescent="0.25">
      <c r="F549" s="431"/>
      <c r="H549" s="431"/>
      <c r="I549" s="431"/>
    </row>
    <row r="550" spans="6:9" x14ac:dyDescent="0.25">
      <c r="F550" s="431"/>
      <c r="H550" s="431"/>
      <c r="I550" s="431"/>
    </row>
    <row r="551" spans="6:9" x14ac:dyDescent="0.25">
      <c r="F551" s="431"/>
      <c r="H551" s="431"/>
      <c r="I551" s="431"/>
    </row>
    <row r="552" spans="6:9" x14ac:dyDescent="0.25">
      <c r="F552" s="431"/>
      <c r="H552" s="431"/>
      <c r="I552" s="431"/>
    </row>
    <row r="553" spans="6:9" x14ac:dyDescent="0.25">
      <c r="F553" s="431"/>
      <c r="H553" s="431"/>
      <c r="I553" s="431"/>
    </row>
    <row r="554" spans="6:9" x14ac:dyDescent="0.25">
      <c r="F554" s="431"/>
      <c r="H554" s="431"/>
      <c r="I554" s="431"/>
    </row>
    <row r="555" spans="6:9" x14ac:dyDescent="0.25">
      <c r="F555" s="431"/>
      <c r="H555" s="431"/>
      <c r="I555" s="431"/>
    </row>
    <row r="556" spans="6:9" x14ac:dyDescent="0.25">
      <c r="F556" s="431"/>
      <c r="H556" s="431"/>
      <c r="I556" s="431"/>
    </row>
    <row r="557" spans="6:9" x14ac:dyDescent="0.25">
      <c r="F557" s="431"/>
      <c r="H557" s="431"/>
      <c r="I557" s="431"/>
    </row>
    <row r="558" spans="6:9" x14ac:dyDescent="0.25">
      <c r="F558" s="431"/>
      <c r="H558" s="431"/>
      <c r="I558" s="431"/>
    </row>
    <row r="559" spans="6:9" x14ac:dyDescent="0.25">
      <c r="F559" s="431"/>
      <c r="H559" s="431"/>
      <c r="I559" s="431"/>
    </row>
    <row r="560" spans="6:9" x14ac:dyDescent="0.25">
      <c r="F560" s="431"/>
      <c r="H560" s="431"/>
      <c r="I560" s="431"/>
    </row>
    <row r="561" spans="6:9" x14ac:dyDescent="0.25">
      <c r="F561" s="431"/>
      <c r="H561" s="431"/>
      <c r="I561" s="431"/>
    </row>
    <row r="562" spans="6:9" x14ac:dyDescent="0.25">
      <c r="F562" s="431"/>
      <c r="H562" s="431"/>
      <c r="I562" s="431"/>
    </row>
    <row r="563" spans="6:9" x14ac:dyDescent="0.25">
      <c r="F563" s="431"/>
      <c r="H563" s="431"/>
      <c r="I563" s="431"/>
    </row>
    <row r="564" spans="6:9" x14ac:dyDescent="0.25">
      <c r="F564" s="431"/>
      <c r="H564" s="431"/>
      <c r="I564" s="431"/>
    </row>
    <row r="565" spans="6:9" x14ac:dyDescent="0.25">
      <c r="F565" s="431"/>
      <c r="H565" s="431"/>
      <c r="I565" s="431"/>
    </row>
    <row r="566" spans="6:9" x14ac:dyDescent="0.25">
      <c r="F566" s="431"/>
      <c r="H566" s="431"/>
      <c r="I566" s="431"/>
    </row>
    <row r="567" spans="6:9" x14ac:dyDescent="0.25">
      <c r="F567" s="431"/>
      <c r="H567" s="431"/>
      <c r="I567" s="431"/>
    </row>
    <row r="568" spans="6:9" x14ac:dyDescent="0.25">
      <c r="F568" s="431"/>
      <c r="H568" s="431"/>
      <c r="I568" s="431"/>
    </row>
    <row r="569" spans="6:9" x14ac:dyDescent="0.25">
      <c r="F569" s="431"/>
      <c r="H569" s="431"/>
      <c r="I569" s="431"/>
    </row>
    <row r="570" spans="6:9" x14ac:dyDescent="0.25">
      <c r="F570" s="431"/>
      <c r="H570" s="431"/>
      <c r="I570" s="431"/>
    </row>
    <row r="571" spans="6:9" x14ac:dyDescent="0.25">
      <c r="F571" s="431"/>
      <c r="H571" s="431"/>
      <c r="I571" s="431"/>
    </row>
    <row r="572" spans="6:9" x14ac:dyDescent="0.25">
      <c r="F572" s="431"/>
      <c r="H572" s="431"/>
      <c r="I572" s="431"/>
    </row>
    <row r="573" spans="6:9" x14ac:dyDescent="0.25">
      <c r="F573" s="431"/>
      <c r="H573" s="431"/>
      <c r="I573" s="431"/>
    </row>
    <row r="574" spans="6:9" x14ac:dyDescent="0.25">
      <c r="F574" s="431"/>
      <c r="H574" s="431"/>
      <c r="I574" s="431"/>
    </row>
    <row r="575" spans="6:9" x14ac:dyDescent="0.25">
      <c r="F575" s="431"/>
      <c r="H575" s="431"/>
      <c r="I575" s="431"/>
    </row>
    <row r="576" spans="6:9" x14ac:dyDescent="0.25">
      <c r="F576" s="431"/>
      <c r="H576" s="431"/>
      <c r="I576" s="431"/>
    </row>
    <row r="577" spans="6:9" x14ac:dyDescent="0.25">
      <c r="F577" s="431"/>
      <c r="H577" s="431"/>
      <c r="I577" s="431"/>
    </row>
    <row r="578" spans="6:9" x14ac:dyDescent="0.25">
      <c r="F578" s="431"/>
      <c r="H578" s="431"/>
      <c r="I578" s="431"/>
    </row>
    <row r="579" spans="6:9" x14ac:dyDescent="0.25">
      <c r="F579" s="431"/>
      <c r="H579" s="431"/>
      <c r="I579" s="431"/>
    </row>
    <row r="580" spans="6:9" x14ac:dyDescent="0.25">
      <c r="F580" s="431"/>
      <c r="H580" s="431"/>
      <c r="I580" s="431"/>
    </row>
    <row r="581" spans="6:9" x14ac:dyDescent="0.25">
      <c r="F581" s="431"/>
      <c r="H581" s="431"/>
      <c r="I581" s="431"/>
    </row>
    <row r="582" spans="6:9" x14ac:dyDescent="0.25">
      <c r="F582" s="431"/>
      <c r="H582" s="431"/>
      <c r="I582" s="431"/>
    </row>
    <row r="583" spans="6:9" x14ac:dyDescent="0.25">
      <c r="F583" s="431"/>
      <c r="H583" s="431"/>
      <c r="I583" s="431"/>
    </row>
    <row r="584" spans="6:9" x14ac:dyDescent="0.25">
      <c r="F584" s="431"/>
      <c r="H584" s="431"/>
      <c r="I584" s="431"/>
    </row>
    <row r="585" spans="6:9" x14ac:dyDescent="0.25">
      <c r="F585" s="431"/>
      <c r="H585" s="431"/>
      <c r="I585" s="431"/>
    </row>
    <row r="586" spans="6:9" x14ac:dyDescent="0.25">
      <c r="F586" s="431"/>
      <c r="H586" s="431"/>
      <c r="I586" s="431"/>
    </row>
    <row r="587" spans="6:9" x14ac:dyDescent="0.25">
      <c r="F587" s="431"/>
      <c r="H587" s="431"/>
      <c r="I587" s="431"/>
    </row>
    <row r="588" spans="6:9" x14ac:dyDescent="0.25">
      <c r="F588" s="431"/>
      <c r="H588" s="431"/>
      <c r="I588" s="431"/>
    </row>
    <row r="589" spans="6:9" x14ac:dyDescent="0.25">
      <c r="F589" s="431"/>
      <c r="H589" s="431"/>
      <c r="I589" s="431"/>
    </row>
    <row r="590" spans="6:9" x14ac:dyDescent="0.25">
      <c r="F590" s="431"/>
      <c r="H590" s="431"/>
      <c r="I590" s="431"/>
    </row>
    <row r="591" spans="6:9" x14ac:dyDescent="0.25">
      <c r="F591" s="431"/>
      <c r="H591" s="431"/>
      <c r="I591" s="431"/>
    </row>
    <row r="592" spans="6:9" x14ac:dyDescent="0.25">
      <c r="F592" s="431"/>
      <c r="H592" s="431"/>
      <c r="I592" s="431"/>
    </row>
    <row r="593" spans="6:9" x14ac:dyDescent="0.25">
      <c r="F593" s="431"/>
      <c r="H593" s="431"/>
      <c r="I593" s="431"/>
    </row>
    <row r="594" spans="6:9" x14ac:dyDescent="0.25">
      <c r="F594" s="431"/>
      <c r="H594" s="431"/>
      <c r="I594" s="431"/>
    </row>
    <row r="595" spans="6:9" x14ac:dyDescent="0.25">
      <c r="F595" s="431"/>
      <c r="H595" s="431"/>
      <c r="I595" s="431"/>
    </row>
    <row r="596" spans="6:9" x14ac:dyDescent="0.25">
      <c r="F596" s="431"/>
      <c r="H596" s="431"/>
      <c r="I596" s="431"/>
    </row>
    <row r="597" spans="6:9" x14ac:dyDescent="0.25">
      <c r="F597" s="431"/>
      <c r="H597" s="431"/>
      <c r="I597" s="431"/>
    </row>
    <row r="598" spans="6:9" x14ac:dyDescent="0.25">
      <c r="F598" s="431"/>
      <c r="H598" s="431"/>
      <c r="I598" s="431"/>
    </row>
    <row r="599" spans="6:9" x14ac:dyDescent="0.25">
      <c r="F599" s="431"/>
      <c r="H599" s="431"/>
      <c r="I599" s="431"/>
    </row>
    <row r="600" spans="6:9" x14ac:dyDescent="0.25">
      <c r="F600" s="431"/>
      <c r="H600" s="431"/>
      <c r="I600" s="431"/>
    </row>
    <row r="601" spans="6:9" x14ac:dyDescent="0.25">
      <c r="F601" s="431"/>
      <c r="H601" s="431"/>
      <c r="I601" s="431"/>
    </row>
    <row r="602" spans="6:9" x14ac:dyDescent="0.25">
      <c r="F602" s="431"/>
      <c r="H602" s="431"/>
      <c r="I602" s="431"/>
    </row>
    <row r="603" spans="6:9" x14ac:dyDescent="0.25">
      <c r="F603" s="431"/>
      <c r="H603" s="431"/>
      <c r="I603" s="431"/>
    </row>
    <row r="604" spans="6:9" x14ac:dyDescent="0.25">
      <c r="F604" s="431"/>
      <c r="H604" s="431"/>
      <c r="I604" s="431"/>
    </row>
    <row r="605" spans="6:9" x14ac:dyDescent="0.25">
      <c r="F605" s="431"/>
      <c r="H605" s="431"/>
      <c r="I605" s="431"/>
    </row>
    <row r="606" spans="6:9" x14ac:dyDescent="0.25">
      <c r="F606" s="431"/>
      <c r="H606" s="431"/>
      <c r="I606" s="431"/>
    </row>
    <row r="607" spans="6:9" x14ac:dyDescent="0.25">
      <c r="F607" s="431"/>
      <c r="H607" s="431"/>
      <c r="I607" s="431"/>
    </row>
    <row r="608" spans="6:9" x14ac:dyDescent="0.25">
      <c r="F608" s="431"/>
      <c r="H608" s="431"/>
      <c r="I608" s="431"/>
    </row>
    <row r="609" spans="6:9" x14ac:dyDescent="0.25">
      <c r="F609" s="431"/>
      <c r="H609" s="431"/>
      <c r="I609" s="431"/>
    </row>
    <row r="610" spans="6:9" x14ac:dyDescent="0.25">
      <c r="F610" s="431"/>
      <c r="H610" s="431"/>
      <c r="I610" s="431"/>
    </row>
    <row r="611" spans="6:9" x14ac:dyDescent="0.25">
      <c r="F611" s="431"/>
      <c r="H611" s="431"/>
      <c r="I611" s="431"/>
    </row>
    <row r="612" spans="6:9" x14ac:dyDescent="0.25">
      <c r="F612" s="431"/>
      <c r="H612" s="431"/>
      <c r="I612" s="431"/>
    </row>
    <row r="613" spans="6:9" x14ac:dyDescent="0.25">
      <c r="F613" s="431"/>
      <c r="H613" s="431"/>
      <c r="I613" s="431"/>
    </row>
    <row r="614" spans="6:9" x14ac:dyDescent="0.25">
      <c r="F614" s="431"/>
      <c r="H614" s="431"/>
      <c r="I614" s="431"/>
    </row>
    <row r="615" spans="6:9" x14ac:dyDescent="0.25">
      <c r="F615" s="431"/>
      <c r="H615" s="431"/>
      <c r="I615" s="431"/>
    </row>
    <row r="616" spans="6:9" x14ac:dyDescent="0.25">
      <c r="F616" s="431"/>
      <c r="H616" s="431"/>
      <c r="I616" s="431"/>
    </row>
    <row r="617" spans="6:9" x14ac:dyDescent="0.25">
      <c r="F617" s="431"/>
      <c r="H617" s="431"/>
      <c r="I617" s="431"/>
    </row>
    <row r="618" spans="6:9" x14ac:dyDescent="0.25">
      <c r="F618" s="431"/>
      <c r="H618" s="431"/>
      <c r="I618" s="431"/>
    </row>
    <row r="619" spans="6:9" x14ac:dyDescent="0.25">
      <c r="F619" s="431"/>
      <c r="H619" s="431"/>
      <c r="I619" s="431"/>
    </row>
    <row r="620" spans="6:9" x14ac:dyDescent="0.25">
      <c r="F620" s="431"/>
      <c r="H620" s="431"/>
      <c r="I620" s="431"/>
    </row>
    <row r="621" spans="6:9" x14ac:dyDescent="0.25">
      <c r="F621" s="431"/>
      <c r="H621" s="431"/>
      <c r="I621" s="431"/>
    </row>
    <row r="622" spans="6:9" x14ac:dyDescent="0.25">
      <c r="F622" s="431"/>
      <c r="H622" s="431"/>
      <c r="I622" s="431"/>
    </row>
    <row r="623" spans="6:9" x14ac:dyDescent="0.25">
      <c r="F623" s="431"/>
      <c r="H623" s="431"/>
      <c r="I623" s="431"/>
    </row>
    <row r="624" spans="6:9" x14ac:dyDescent="0.25">
      <c r="F624" s="431"/>
      <c r="H624" s="431"/>
      <c r="I624" s="431"/>
    </row>
    <row r="625" spans="6:9" x14ac:dyDescent="0.25">
      <c r="F625" s="431"/>
      <c r="H625" s="431"/>
      <c r="I625" s="431"/>
    </row>
    <row r="626" spans="6:9" x14ac:dyDescent="0.25">
      <c r="F626" s="431"/>
      <c r="H626" s="431"/>
      <c r="I626" s="431"/>
    </row>
    <row r="627" spans="6:9" x14ac:dyDescent="0.25">
      <c r="F627" s="431"/>
      <c r="H627" s="431"/>
      <c r="I627" s="431"/>
    </row>
    <row r="628" spans="6:9" x14ac:dyDescent="0.25">
      <c r="F628" s="431"/>
      <c r="H628" s="431"/>
      <c r="I628" s="431"/>
    </row>
    <row r="629" spans="6:9" x14ac:dyDescent="0.25">
      <c r="F629" s="431"/>
      <c r="H629" s="431"/>
      <c r="I629" s="431"/>
    </row>
    <row r="630" spans="6:9" x14ac:dyDescent="0.25">
      <c r="F630" s="431"/>
      <c r="H630" s="431"/>
      <c r="I630" s="431"/>
    </row>
    <row r="631" spans="6:9" x14ac:dyDescent="0.25">
      <c r="F631" s="431"/>
      <c r="H631" s="431"/>
      <c r="I631" s="431"/>
    </row>
    <row r="632" spans="6:9" x14ac:dyDescent="0.25">
      <c r="F632" s="431"/>
      <c r="H632" s="431"/>
      <c r="I632" s="431"/>
    </row>
    <row r="633" spans="6:9" x14ac:dyDescent="0.25">
      <c r="F633" s="431"/>
      <c r="H633" s="431"/>
      <c r="I633" s="431"/>
    </row>
    <row r="634" spans="6:9" x14ac:dyDescent="0.25">
      <c r="F634" s="431"/>
      <c r="H634" s="431"/>
      <c r="I634" s="431"/>
    </row>
    <row r="635" spans="6:9" x14ac:dyDescent="0.25">
      <c r="F635" s="431"/>
      <c r="H635" s="431"/>
      <c r="I635" s="431"/>
    </row>
    <row r="636" spans="6:9" x14ac:dyDescent="0.25">
      <c r="F636" s="431"/>
      <c r="H636" s="431"/>
      <c r="I636" s="431"/>
    </row>
    <row r="637" spans="6:9" x14ac:dyDescent="0.25">
      <c r="F637" s="431"/>
      <c r="H637" s="431"/>
      <c r="I637" s="431"/>
    </row>
    <row r="638" spans="6:9" x14ac:dyDescent="0.25">
      <c r="F638" s="431"/>
      <c r="H638" s="431"/>
      <c r="I638" s="431"/>
    </row>
    <row r="639" spans="6:9" x14ac:dyDescent="0.25">
      <c r="F639" s="431"/>
      <c r="H639" s="431"/>
      <c r="I639" s="431"/>
    </row>
    <row r="640" spans="6:9" x14ac:dyDescent="0.25">
      <c r="F640" s="431"/>
      <c r="H640" s="431"/>
      <c r="I640" s="431"/>
    </row>
    <row r="641" spans="6:9" x14ac:dyDescent="0.25">
      <c r="F641" s="431"/>
      <c r="H641" s="431"/>
      <c r="I641" s="431"/>
    </row>
    <row r="642" spans="6:9" x14ac:dyDescent="0.25">
      <c r="F642" s="431"/>
      <c r="H642" s="431"/>
      <c r="I642" s="431"/>
    </row>
    <row r="643" spans="6:9" x14ac:dyDescent="0.25">
      <c r="F643" s="431"/>
      <c r="H643" s="431"/>
      <c r="I643" s="431"/>
    </row>
    <row r="644" spans="6:9" x14ac:dyDescent="0.25">
      <c r="F644" s="431"/>
      <c r="H644" s="431"/>
      <c r="I644" s="431"/>
    </row>
    <row r="645" spans="6:9" x14ac:dyDescent="0.25">
      <c r="F645" s="431"/>
      <c r="H645" s="431"/>
      <c r="I645" s="431"/>
    </row>
    <row r="646" spans="6:9" x14ac:dyDescent="0.25">
      <c r="F646" s="431"/>
      <c r="H646" s="431"/>
      <c r="I646" s="431"/>
    </row>
    <row r="647" spans="6:9" x14ac:dyDescent="0.25">
      <c r="F647" s="431"/>
      <c r="H647" s="431"/>
      <c r="I647" s="431"/>
    </row>
    <row r="648" spans="6:9" x14ac:dyDescent="0.25">
      <c r="F648" s="431"/>
      <c r="H648" s="431"/>
      <c r="I648" s="431"/>
    </row>
    <row r="649" spans="6:9" x14ac:dyDescent="0.25">
      <c r="F649" s="431"/>
      <c r="H649" s="431"/>
      <c r="I649" s="431"/>
    </row>
    <row r="650" spans="6:9" x14ac:dyDescent="0.25">
      <c r="F650" s="431"/>
      <c r="H650" s="431"/>
      <c r="I650" s="431"/>
    </row>
    <row r="651" spans="6:9" x14ac:dyDescent="0.25">
      <c r="F651" s="431"/>
      <c r="H651" s="431"/>
      <c r="I651" s="431"/>
    </row>
    <row r="652" spans="6:9" x14ac:dyDescent="0.25">
      <c r="F652" s="431"/>
      <c r="H652" s="431"/>
      <c r="I652" s="431"/>
    </row>
    <row r="653" spans="6:9" x14ac:dyDescent="0.25">
      <c r="F653" s="431"/>
      <c r="H653" s="431"/>
      <c r="I653" s="431"/>
    </row>
    <row r="654" spans="6:9" x14ac:dyDescent="0.25">
      <c r="F654" s="431"/>
      <c r="H654" s="431"/>
      <c r="I654" s="431"/>
    </row>
    <row r="655" spans="6:9" x14ac:dyDescent="0.25">
      <c r="F655" s="431"/>
      <c r="H655" s="431"/>
      <c r="I655" s="431"/>
    </row>
    <row r="656" spans="6:9" x14ac:dyDescent="0.25">
      <c r="F656" s="431"/>
      <c r="H656" s="431"/>
      <c r="I656" s="431"/>
    </row>
    <row r="657" spans="6:9" x14ac:dyDescent="0.25">
      <c r="F657" s="431"/>
      <c r="H657" s="431"/>
      <c r="I657" s="431"/>
    </row>
    <row r="658" spans="6:9" x14ac:dyDescent="0.25">
      <c r="F658" s="431"/>
      <c r="H658" s="431"/>
      <c r="I658" s="431"/>
    </row>
    <row r="659" spans="6:9" x14ac:dyDescent="0.25">
      <c r="F659" s="431"/>
      <c r="H659" s="431"/>
      <c r="I659" s="431"/>
    </row>
    <row r="660" spans="6:9" x14ac:dyDescent="0.25">
      <c r="F660" s="431"/>
      <c r="H660" s="431"/>
      <c r="I660" s="431"/>
    </row>
    <row r="661" spans="6:9" x14ac:dyDescent="0.25">
      <c r="F661" s="431"/>
      <c r="H661" s="431"/>
      <c r="I661" s="431"/>
    </row>
    <row r="662" spans="6:9" x14ac:dyDescent="0.25">
      <c r="F662" s="431"/>
      <c r="H662" s="431"/>
      <c r="I662" s="431"/>
    </row>
    <row r="663" spans="6:9" x14ac:dyDescent="0.25">
      <c r="F663" s="431"/>
      <c r="H663" s="431"/>
      <c r="I663" s="431"/>
    </row>
    <row r="664" spans="6:9" x14ac:dyDescent="0.25">
      <c r="F664" s="431"/>
      <c r="H664" s="431"/>
      <c r="I664" s="431"/>
    </row>
    <row r="665" spans="6:9" x14ac:dyDescent="0.25">
      <c r="F665" s="431"/>
      <c r="H665" s="431"/>
      <c r="I665" s="431"/>
    </row>
    <row r="666" spans="6:9" x14ac:dyDescent="0.25">
      <c r="F666" s="431"/>
      <c r="H666" s="431"/>
      <c r="I666" s="431"/>
    </row>
    <row r="667" spans="6:9" x14ac:dyDescent="0.25">
      <c r="F667" s="431"/>
      <c r="H667" s="431"/>
      <c r="I667" s="431"/>
    </row>
    <row r="668" spans="6:9" x14ac:dyDescent="0.25">
      <c r="F668" s="431"/>
      <c r="H668" s="431"/>
      <c r="I668" s="431"/>
    </row>
    <row r="669" spans="6:9" x14ac:dyDescent="0.25">
      <c r="F669" s="431"/>
      <c r="H669" s="431"/>
      <c r="I669" s="431"/>
    </row>
    <row r="670" spans="6:9" x14ac:dyDescent="0.25">
      <c r="F670" s="431"/>
      <c r="H670" s="431"/>
      <c r="I670" s="431"/>
    </row>
    <row r="671" spans="6:9" x14ac:dyDescent="0.25">
      <c r="F671" s="431"/>
      <c r="H671" s="431"/>
      <c r="I671" s="431"/>
    </row>
    <row r="672" spans="6:9" x14ac:dyDescent="0.25">
      <c r="F672" s="431"/>
      <c r="H672" s="431"/>
      <c r="I672" s="431"/>
    </row>
    <row r="673" spans="6:9" x14ac:dyDescent="0.25">
      <c r="F673" s="431"/>
      <c r="H673" s="431"/>
      <c r="I673" s="431"/>
    </row>
    <row r="674" spans="6:9" x14ac:dyDescent="0.25">
      <c r="F674" s="431"/>
      <c r="H674" s="431"/>
      <c r="I674" s="431"/>
    </row>
    <row r="675" spans="6:9" x14ac:dyDescent="0.25">
      <c r="F675" s="431"/>
      <c r="H675" s="431"/>
      <c r="I675" s="431"/>
    </row>
    <row r="676" spans="6:9" x14ac:dyDescent="0.25">
      <c r="F676" s="431"/>
      <c r="H676" s="431"/>
      <c r="I676" s="431"/>
    </row>
    <row r="677" spans="6:9" x14ac:dyDescent="0.25">
      <c r="F677" s="431"/>
      <c r="H677" s="431"/>
      <c r="I677" s="431"/>
    </row>
    <row r="678" spans="6:9" x14ac:dyDescent="0.25">
      <c r="F678" s="431"/>
      <c r="H678" s="431"/>
      <c r="I678" s="431"/>
    </row>
    <row r="679" spans="6:9" x14ac:dyDescent="0.25">
      <c r="F679" s="431"/>
      <c r="H679" s="431"/>
      <c r="I679" s="431"/>
    </row>
    <row r="680" spans="6:9" x14ac:dyDescent="0.25">
      <c r="F680" s="431"/>
      <c r="H680" s="431"/>
      <c r="I680" s="431"/>
    </row>
    <row r="681" spans="6:9" x14ac:dyDescent="0.25">
      <c r="F681" s="431"/>
      <c r="H681" s="431"/>
      <c r="I681" s="431"/>
    </row>
    <row r="682" spans="6:9" x14ac:dyDescent="0.25">
      <c r="F682" s="431"/>
      <c r="H682" s="431"/>
      <c r="I682" s="431"/>
    </row>
    <row r="683" spans="6:9" x14ac:dyDescent="0.25">
      <c r="F683" s="431"/>
      <c r="H683" s="431"/>
      <c r="I683" s="431"/>
    </row>
    <row r="684" spans="6:9" x14ac:dyDescent="0.25">
      <c r="F684" s="431"/>
      <c r="H684" s="431"/>
      <c r="I684" s="431"/>
    </row>
    <row r="685" spans="6:9" x14ac:dyDescent="0.25">
      <c r="F685" s="431"/>
      <c r="H685" s="431"/>
      <c r="I685" s="431"/>
    </row>
    <row r="686" spans="6:9" x14ac:dyDescent="0.25">
      <c r="F686" s="431"/>
      <c r="H686" s="431"/>
      <c r="I686" s="431"/>
    </row>
    <row r="687" spans="6:9" x14ac:dyDescent="0.25">
      <c r="F687" s="431"/>
      <c r="H687" s="431"/>
      <c r="I687" s="431"/>
    </row>
    <row r="688" spans="6:9" x14ac:dyDescent="0.25">
      <c r="F688" s="431"/>
      <c r="H688" s="431"/>
      <c r="I688" s="431"/>
    </row>
    <row r="689" spans="6:9" x14ac:dyDescent="0.25">
      <c r="F689" s="431"/>
      <c r="H689" s="431"/>
      <c r="I689" s="431"/>
    </row>
    <row r="690" spans="6:9" x14ac:dyDescent="0.25">
      <c r="F690" s="431"/>
      <c r="H690" s="431"/>
      <c r="I690" s="431"/>
    </row>
    <row r="691" spans="6:9" x14ac:dyDescent="0.25">
      <c r="F691" s="431"/>
      <c r="H691" s="431"/>
      <c r="I691" s="431"/>
    </row>
    <row r="692" spans="6:9" x14ac:dyDescent="0.25">
      <c r="F692" s="431"/>
      <c r="H692" s="431"/>
      <c r="I692" s="431"/>
    </row>
    <row r="693" spans="6:9" x14ac:dyDescent="0.25">
      <c r="F693" s="431"/>
      <c r="H693" s="431"/>
      <c r="I693" s="431"/>
    </row>
    <row r="694" spans="6:9" x14ac:dyDescent="0.25">
      <c r="F694" s="431"/>
      <c r="H694" s="431"/>
      <c r="I694" s="431"/>
    </row>
    <row r="695" spans="6:9" x14ac:dyDescent="0.25">
      <c r="F695" s="431"/>
      <c r="H695" s="431"/>
      <c r="I695" s="431"/>
    </row>
    <row r="696" spans="6:9" x14ac:dyDescent="0.25">
      <c r="F696" s="431"/>
      <c r="H696" s="431"/>
      <c r="I696" s="431"/>
    </row>
    <row r="697" spans="6:9" x14ac:dyDescent="0.25">
      <c r="F697" s="431"/>
      <c r="H697" s="431"/>
      <c r="I697" s="431"/>
    </row>
    <row r="698" spans="6:9" x14ac:dyDescent="0.25">
      <c r="F698" s="431"/>
      <c r="H698" s="431"/>
      <c r="I698" s="431"/>
    </row>
    <row r="699" spans="6:9" x14ac:dyDescent="0.25">
      <c r="F699" s="431"/>
      <c r="H699" s="431"/>
      <c r="I699" s="431"/>
    </row>
    <row r="700" spans="6:9" x14ac:dyDescent="0.25">
      <c r="F700" s="431"/>
      <c r="H700" s="431"/>
      <c r="I700" s="431"/>
    </row>
    <row r="701" spans="6:9" x14ac:dyDescent="0.25">
      <c r="F701" s="431"/>
      <c r="H701" s="431"/>
      <c r="I701" s="431"/>
    </row>
    <row r="702" spans="6:9" x14ac:dyDescent="0.25">
      <c r="F702" s="431"/>
      <c r="H702" s="431"/>
      <c r="I702" s="431"/>
    </row>
    <row r="703" spans="6:9" x14ac:dyDescent="0.25">
      <c r="F703" s="431"/>
      <c r="H703" s="431"/>
      <c r="I703" s="431"/>
    </row>
    <row r="704" spans="6:9" x14ac:dyDescent="0.25">
      <c r="F704" s="431"/>
      <c r="H704" s="431"/>
      <c r="I704" s="431"/>
    </row>
    <row r="705" spans="6:9" x14ac:dyDescent="0.25">
      <c r="F705" s="431"/>
      <c r="H705" s="431"/>
      <c r="I705" s="431"/>
    </row>
    <row r="706" spans="6:9" x14ac:dyDescent="0.25">
      <c r="F706" s="431"/>
      <c r="H706" s="431"/>
      <c r="I706" s="431"/>
    </row>
    <row r="707" spans="6:9" x14ac:dyDescent="0.25">
      <c r="F707" s="431"/>
      <c r="H707" s="431"/>
      <c r="I707" s="431"/>
    </row>
    <row r="708" spans="6:9" x14ac:dyDescent="0.25">
      <c r="F708" s="431"/>
      <c r="H708" s="431"/>
      <c r="I708" s="431"/>
    </row>
    <row r="709" spans="6:9" x14ac:dyDescent="0.25">
      <c r="F709" s="431"/>
      <c r="H709" s="431"/>
      <c r="I709" s="431"/>
    </row>
    <row r="710" spans="6:9" x14ac:dyDescent="0.25">
      <c r="F710" s="431"/>
      <c r="H710" s="431"/>
      <c r="I710" s="431"/>
    </row>
    <row r="711" spans="6:9" x14ac:dyDescent="0.25">
      <c r="F711" s="431"/>
      <c r="H711" s="431"/>
      <c r="I711" s="431"/>
    </row>
    <row r="712" spans="6:9" x14ac:dyDescent="0.25">
      <c r="F712" s="431"/>
      <c r="H712" s="431"/>
      <c r="I712" s="431"/>
    </row>
    <row r="713" spans="6:9" x14ac:dyDescent="0.25">
      <c r="F713" s="431"/>
      <c r="H713" s="431"/>
      <c r="I713" s="431"/>
    </row>
    <row r="714" spans="6:9" x14ac:dyDescent="0.25">
      <c r="F714" s="431"/>
      <c r="H714" s="431"/>
      <c r="I714" s="431"/>
    </row>
    <row r="715" spans="6:9" x14ac:dyDescent="0.25">
      <c r="F715" s="431"/>
      <c r="H715" s="431"/>
      <c r="I715" s="431"/>
    </row>
    <row r="716" spans="6:9" x14ac:dyDescent="0.25">
      <c r="F716" s="431"/>
      <c r="H716" s="431"/>
      <c r="I716" s="431"/>
    </row>
    <row r="717" spans="6:9" x14ac:dyDescent="0.25">
      <c r="F717" s="431"/>
      <c r="H717" s="431"/>
      <c r="I717" s="431"/>
    </row>
    <row r="718" spans="6:9" x14ac:dyDescent="0.25">
      <c r="F718" s="431"/>
      <c r="H718" s="431"/>
      <c r="I718" s="431"/>
    </row>
    <row r="719" spans="6:9" x14ac:dyDescent="0.25">
      <c r="F719" s="431"/>
      <c r="H719" s="431"/>
      <c r="I719" s="431"/>
    </row>
    <row r="720" spans="6:9" x14ac:dyDescent="0.25">
      <c r="F720" s="431"/>
      <c r="H720" s="431"/>
      <c r="I720" s="431"/>
    </row>
    <row r="721" spans="6:9" x14ac:dyDescent="0.25">
      <c r="F721" s="431"/>
      <c r="H721" s="431"/>
      <c r="I721" s="431"/>
    </row>
    <row r="722" spans="6:9" x14ac:dyDescent="0.25">
      <c r="F722" s="431"/>
      <c r="H722" s="431"/>
      <c r="I722" s="431"/>
    </row>
    <row r="723" spans="6:9" x14ac:dyDescent="0.25">
      <c r="F723" s="431"/>
      <c r="H723" s="431"/>
      <c r="I723" s="431"/>
    </row>
    <row r="724" spans="6:9" x14ac:dyDescent="0.25">
      <c r="F724" s="431"/>
      <c r="H724" s="431"/>
      <c r="I724" s="431"/>
    </row>
    <row r="725" spans="6:9" x14ac:dyDescent="0.25">
      <c r="F725" s="431"/>
      <c r="H725" s="431"/>
      <c r="I725" s="431"/>
    </row>
    <row r="726" spans="6:9" x14ac:dyDescent="0.25">
      <c r="F726" s="431"/>
      <c r="H726" s="431"/>
      <c r="I726" s="431"/>
    </row>
    <row r="727" spans="6:9" x14ac:dyDescent="0.25">
      <c r="F727" s="431"/>
      <c r="H727" s="431"/>
      <c r="I727" s="431"/>
    </row>
    <row r="728" spans="6:9" x14ac:dyDescent="0.25">
      <c r="F728" s="431"/>
      <c r="H728" s="431"/>
      <c r="I728" s="431"/>
    </row>
    <row r="729" spans="6:9" x14ac:dyDescent="0.25">
      <c r="F729" s="431"/>
      <c r="H729" s="431"/>
      <c r="I729" s="431"/>
    </row>
    <row r="730" spans="6:9" x14ac:dyDescent="0.25">
      <c r="F730" s="431"/>
      <c r="H730" s="431"/>
      <c r="I730" s="431"/>
    </row>
    <row r="731" spans="6:9" x14ac:dyDescent="0.25">
      <c r="F731" s="431"/>
      <c r="H731" s="431"/>
      <c r="I731" s="431"/>
    </row>
    <row r="732" spans="6:9" x14ac:dyDescent="0.25">
      <c r="F732" s="431"/>
      <c r="H732" s="431"/>
      <c r="I732" s="431"/>
    </row>
    <row r="733" spans="6:9" x14ac:dyDescent="0.25">
      <c r="F733" s="431"/>
      <c r="H733" s="431"/>
      <c r="I733" s="431"/>
    </row>
    <row r="734" spans="6:9" x14ac:dyDescent="0.25">
      <c r="F734" s="431"/>
      <c r="H734" s="431"/>
      <c r="I734" s="431"/>
    </row>
    <row r="735" spans="6:9" x14ac:dyDescent="0.25">
      <c r="F735" s="431"/>
      <c r="H735" s="431"/>
      <c r="I735" s="431"/>
    </row>
    <row r="736" spans="6:9" x14ac:dyDescent="0.25">
      <c r="F736" s="431"/>
      <c r="H736" s="431"/>
      <c r="I736" s="431"/>
    </row>
    <row r="737" spans="6:9" x14ac:dyDescent="0.25">
      <c r="F737" s="431"/>
      <c r="H737" s="431"/>
      <c r="I737" s="431"/>
    </row>
    <row r="738" spans="6:9" x14ac:dyDescent="0.25">
      <c r="F738" s="431"/>
      <c r="H738" s="431"/>
      <c r="I738" s="431"/>
    </row>
    <row r="739" spans="6:9" x14ac:dyDescent="0.25">
      <c r="F739" s="431"/>
      <c r="H739" s="431"/>
      <c r="I739" s="431"/>
    </row>
    <row r="740" spans="6:9" x14ac:dyDescent="0.25">
      <c r="F740" s="431"/>
      <c r="H740" s="431"/>
      <c r="I740" s="431"/>
    </row>
    <row r="741" spans="6:9" x14ac:dyDescent="0.25">
      <c r="F741" s="431"/>
      <c r="H741" s="431"/>
      <c r="I741" s="431"/>
    </row>
    <row r="742" spans="6:9" x14ac:dyDescent="0.25">
      <c r="F742" s="431"/>
      <c r="H742" s="431"/>
      <c r="I742" s="431"/>
    </row>
    <row r="743" spans="6:9" x14ac:dyDescent="0.25">
      <c r="F743" s="431"/>
      <c r="H743" s="431"/>
      <c r="I743" s="431"/>
    </row>
    <row r="744" spans="6:9" x14ac:dyDescent="0.25">
      <c r="F744" s="431"/>
      <c r="H744" s="431"/>
      <c r="I744" s="431"/>
    </row>
    <row r="745" spans="6:9" x14ac:dyDescent="0.25">
      <c r="F745" s="431"/>
      <c r="H745" s="431"/>
      <c r="I745" s="431"/>
    </row>
    <row r="746" spans="6:9" x14ac:dyDescent="0.25">
      <c r="F746" s="431"/>
      <c r="H746" s="431"/>
      <c r="I746" s="431"/>
    </row>
    <row r="747" spans="6:9" x14ac:dyDescent="0.25">
      <c r="F747" s="431"/>
      <c r="H747" s="431"/>
      <c r="I747" s="431"/>
    </row>
    <row r="748" spans="6:9" x14ac:dyDescent="0.25">
      <c r="F748" s="431"/>
      <c r="H748" s="431"/>
      <c r="I748" s="431"/>
    </row>
    <row r="749" spans="6:9" x14ac:dyDescent="0.25">
      <c r="F749" s="431"/>
      <c r="H749" s="431"/>
      <c r="I749" s="431"/>
    </row>
    <row r="750" spans="6:9" x14ac:dyDescent="0.25">
      <c r="F750" s="431"/>
      <c r="H750" s="431"/>
      <c r="I750" s="431"/>
    </row>
    <row r="751" spans="6:9" x14ac:dyDescent="0.25">
      <c r="F751" s="431"/>
      <c r="H751" s="431"/>
      <c r="I751" s="431"/>
    </row>
    <row r="752" spans="6:9" x14ac:dyDescent="0.25">
      <c r="F752" s="431"/>
      <c r="H752" s="431"/>
      <c r="I752" s="431"/>
    </row>
    <row r="753" spans="6:9" x14ac:dyDescent="0.25">
      <c r="F753" s="431"/>
      <c r="H753" s="431"/>
      <c r="I753" s="431"/>
    </row>
    <row r="754" spans="6:9" x14ac:dyDescent="0.25">
      <c r="F754" s="431"/>
      <c r="H754" s="431"/>
      <c r="I754" s="431"/>
    </row>
    <row r="755" spans="6:9" x14ac:dyDescent="0.25">
      <c r="F755" s="431"/>
      <c r="H755" s="431"/>
      <c r="I755" s="431"/>
    </row>
    <row r="756" spans="6:9" x14ac:dyDescent="0.25">
      <c r="F756" s="431"/>
      <c r="H756" s="431"/>
      <c r="I756" s="431"/>
    </row>
    <row r="757" spans="6:9" x14ac:dyDescent="0.25">
      <c r="F757" s="431"/>
      <c r="H757" s="431"/>
      <c r="I757" s="431"/>
    </row>
    <row r="758" spans="6:9" x14ac:dyDescent="0.25">
      <c r="F758" s="431"/>
      <c r="H758" s="431"/>
      <c r="I758" s="431"/>
    </row>
    <row r="759" spans="6:9" x14ac:dyDescent="0.25">
      <c r="F759" s="431"/>
      <c r="H759" s="431"/>
      <c r="I759" s="431"/>
    </row>
    <row r="760" spans="6:9" x14ac:dyDescent="0.25">
      <c r="F760" s="431"/>
      <c r="H760" s="431"/>
      <c r="I760" s="431"/>
    </row>
    <row r="761" spans="6:9" x14ac:dyDescent="0.25">
      <c r="F761" s="431"/>
      <c r="H761" s="431"/>
      <c r="I761" s="431"/>
    </row>
    <row r="762" spans="6:9" x14ac:dyDescent="0.25">
      <c r="F762" s="431"/>
      <c r="H762" s="431"/>
      <c r="I762" s="431"/>
    </row>
    <row r="763" spans="6:9" x14ac:dyDescent="0.25">
      <c r="F763" s="431"/>
      <c r="H763" s="431"/>
      <c r="I763" s="431"/>
    </row>
    <row r="764" spans="6:9" x14ac:dyDescent="0.25">
      <c r="F764" s="431"/>
      <c r="H764" s="431"/>
      <c r="I764" s="431"/>
    </row>
    <row r="765" spans="6:9" x14ac:dyDescent="0.25">
      <c r="F765" s="431"/>
      <c r="H765" s="431"/>
      <c r="I765" s="431"/>
    </row>
    <row r="766" spans="6:9" x14ac:dyDescent="0.25">
      <c r="F766" s="431"/>
      <c r="H766" s="431"/>
      <c r="I766" s="431"/>
    </row>
    <row r="767" spans="6:9" x14ac:dyDescent="0.25">
      <c r="F767" s="431"/>
      <c r="H767" s="431"/>
      <c r="I767" s="431"/>
    </row>
    <row r="768" spans="6:9" x14ac:dyDescent="0.25">
      <c r="F768" s="431"/>
      <c r="H768" s="431"/>
      <c r="I768" s="431"/>
    </row>
    <row r="769" spans="6:9" x14ac:dyDescent="0.25">
      <c r="F769" s="431"/>
      <c r="H769" s="431"/>
      <c r="I769" s="431"/>
    </row>
    <row r="770" spans="6:9" x14ac:dyDescent="0.25">
      <c r="F770" s="431"/>
      <c r="H770" s="431"/>
      <c r="I770" s="431"/>
    </row>
    <row r="771" spans="6:9" x14ac:dyDescent="0.25">
      <c r="F771" s="431"/>
      <c r="H771" s="431"/>
      <c r="I771" s="431"/>
    </row>
    <row r="772" spans="6:9" x14ac:dyDescent="0.25">
      <c r="F772" s="431"/>
      <c r="H772" s="431"/>
      <c r="I772" s="431"/>
    </row>
    <row r="773" spans="6:9" x14ac:dyDescent="0.25">
      <c r="F773" s="431"/>
      <c r="H773" s="431"/>
      <c r="I773" s="431"/>
    </row>
    <row r="774" spans="6:9" x14ac:dyDescent="0.25">
      <c r="F774" s="431"/>
      <c r="H774" s="431"/>
      <c r="I774" s="431"/>
    </row>
    <row r="775" spans="6:9" x14ac:dyDescent="0.25">
      <c r="F775" s="431"/>
      <c r="H775" s="431"/>
      <c r="I775" s="431"/>
    </row>
    <row r="776" spans="6:9" x14ac:dyDescent="0.25">
      <c r="F776" s="431"/>
      <c r="H776" s="431"/>
      <c r="I776" s="431"/>
    </row>
    <row r="777" spans="6:9" x14ac:dyDescent="0.25">
      <c r="F777" s="431"/>
      <c r="H777" s="431"/>
      <c r="I777" s="431"/>
    </row>
    <row r="778" spans="6:9" x14ac:dyDescent="0.25">
      <c r="F778" s="431"/>
      <c r="H778" s="431"/>
      <c r="I778" s="431"/>
    </row>
    <row r="779" spans="6:9" x14ac:dyDescent="0.25">
      <c r="F779" s="431"/>
      <c r="H779" s="431"/>
      <c r="I779" s="431"/>
    </row>
    <row r="780" spans="6:9" x14ac:dyDescent="0.25">
      <c r="F780" s="431"/>
      <c r="H780" s="431"/>
      <c r="I780" s="431"/>
    </row>
    <row r="781" spans="6:9" x14ac:dyDescent="0.25">
      <c r="F781" s="431"/>
      <c r="H781" s="431"/>
      <c r="I781" s="431"/>
    </row>
    <row r="782" spans="6:9" x14ac:dyDescent="0.25">
      <c r="F782" s="431"/>
      <c r="H782" s="431"/>
      <c r="I782" s="431"/>
    </row>
    <row r="783" spans="6:9" x14ac:dyDescent="0.25">
      <c r="F783" s="431"/>
      <c r="H783" s="431"/>
      <c r="I783" s="431"/>
    </row>
    <row r="784" spans="6:9" x14ac:dyDescent="0.25">
      <c r="F784" s="431"/>
      <c r="H784" s="431"/>
      <c r="I784" s="431"/>
    </row>
    <row r="785" spans="6:9" x14ac:dyDescent="0.25">
      <c r="F785" s="431"/>
      <c r="H785" s="431"/>
      <c r="I785" s="431"/>
    </row>
    <row r="786" spans="6:9" x14ac:dyDescent="0.25">
      <c r="F786" s="431"/>
      <c r="H786" s="431"/>
      <c r="I786" s="431"/>
    </row>
    <row r="787" spans="6:9" x14ac:dyDescent="0.25">
      <c r="F787" s="431"/>
      <c r="H787" s="431"/>
      <c r="I787" s="431"/>
    </row>
    <row r="788" spans="6:9" x14ac:dyDescent="0.25">
      <c r="F788" s="431"/>
      <c r="H788" s="431"/>
      <c r="I788" s="431"/>
    </row>
    <row r="789" spans="6:9" x14ac:dyDescent="0.25">
      <c r="F789" s="431"/>
      <c r="H789" s="431"/>
      <c r="I789" s="431"/>
    </row>
    <row r="790" spans="6:9" x14ac:dyDescent="0.25">
      <c r="F790" s="431"/>
      <c r="H790" s="431"/>
      <c r="I790" s="431"/>
    </row>
    <row r="791" spans="6:9" x14ac:dyDescent="0.25">
      <c r="F791" s="431"/>
      <c r="H791" s="431"/>
      <c r="I791" s="431"/>
    </row>
    <row r="792" spans="6:9" x14ac:dyDescent="0.25">
      <c r="F792" s="431"/>
      <c r="H792" s="431"/>
      <c r="I792" s="431"/>
    </row>
    <row r="793" spans="6:9" x14ac:dyDescent="0.25">
      <c r="F793" s="431"/>
      <c r="H793" s="431"/>
      <c r="I793" s="431"/>
    </row>
    <row r="794" spans="6:9" x14ac:dyDescent="0.25">
      <c r="F794" s="431"/>
      <c r="H794" s="431"/>
      <c r="I794" s="431"/>
    </row>
    <row r="795" spans="6:9" x14ac:dyDescent="0.25">
      <c r="F795" s="431"/>
      <c r="H795" s="431"/>
      <c r="I795" s="431"/>
    </row>
    <row r="796" spans="6:9" x14ac:dyDescent="0.25">
      <c r="F796" s="431"/>
      <c r="H796" s="431"/>
      <c r="I796" s="431"/>
    </row>
    <row r="797" spans="6:9" x14ac:dyDescent="0.25">
      <c r="F797" s="431"/>
      <c r="H797" s="431"/>
      <c r="I797" s="431"/>
    </row>
    <row r="798" spans="6:9" x14ac:dyDescent="0.25">
      <c r="F798" s="431"/>
      <c r="H798" s="431"/>
      <c r="I798" s="431"/>
    </row>
    <row r="799" spans="6:9" x14ac:dyDescent="0.25">
      <c r="F799" s="431"/>
      <c r="H799" s="431"/>
      <c r="I799" s="431"/>
    </row>
    <row r="800" spans="6:9" x14ac:dyDescent="0.25">
      <c r="F800" s="431"/>
      <c r="H800" s="431"/>
      <c r="I800" s="431"/>
    </row>
    <row r="801" spans="6:9" x14ac:dyDescent="0.25">
      <c r="F801" s="431"/>
      <c r="H801" s="431"/>
      <c r="I801" s="431"/>
    </row>
    <row r="802" spans="6:9" x14ac:dyDescent="0.25">
      <c r="F802" s="431"/>
      <c r="H802" s="431"/>
      <c r="I802" s="431"/>
    </row>
    <row r="803" spans="6:9" x14ac:dyDescent="0.25">
      <c r="F803" s="431"/>
      <c r="H803" s="431"/>
      <c r="I803" s="431"/>
    </row>
    <row r="804" spans="6:9" x14ac:dyDescent="0.25">
      <c r="F804" s="431"/>
      <c r="H804" s="431"/>
      <c r="I804" s="431"/>
    </row>
    <row r="805" spans="6:9" x14ac:dyDescent="0.25">
      <c r="F805" s="431"/>
      <c r="H805" s="431"/>
      <c r="I805" s="431"/>
    </row>
    <row r="806" spans="6:9" x14ac:dyDescent="0.25">
      <c r="F806" s="431"/>
      <c r="H806" s="431"/>
      <c r="I806" s="431"/>
    </row>
    <row r="807" spans="6:9" x14ac:dyDescent="0.25">
      <c r="F807" s="431"/>
      <c r="H807" s="431"/>
      <c r="I807" s="431"/>
    </row>
    <row r="808" spans="6:9" x14ac:dyDescent="0.25">
      <c r="F808" s="431"/>
      <c r="H808" s="431"/>
      <c r="I808" s="431"/>
    </row>
    <row r="809" spans="6:9" x14ac:dyDescent="0.25">
      <c r="F809" s="431"/>
      <c r="H809" s="431"/>
      <c r="I809" s="431"/>
    </row>
    <row r="810" spans="6:9" x14ac:dyDescent="0.25">
      <c r="F810" s="431"/>
      <c r="H810" s="431"/>
      <c r="I810" s="431"/>
    </row>
    <row r="811" spans="6:9" x14ac:dyDescent="0.25">
      <c r="F811" s="431"/>
      <c r="H811" s="431"/>
      <c r="I811" s="431"/>
    </row>
    <row r="812" spans="6:9" x14ac:dyDescent="0.25">
      <c r="F812" s="431"/>
      <c r="H812" s="431"/>
      <c r="I812" s="431"/>
    </row>
    <row r="813" spans="6:9" x14ac:dyDescent="0.25">
      <c r="F813" s="431"/>
      <c r="H813" s="431"/>
      <c r="I813" s="431"/>
    </row>
    <row r="814" spans="6:9" x14ac:dyDescent="0.25">
      <c r="F814" s="431"/>
      <c r="H814" s="431"/>
      <c r="I814" s="431"/>
    </row>
    <row r="815" spans="6:9" x14ac:dyDescent="0.25">
      <c r="F815" s="431"/>
      <c r="H815" s="431"/>
      <c r="I815" s="431"/>
    </row>
    <row r="816" spans="6:9" x14ac:dyDescent="0.25">
      <c r="F816" s="431"/>
      <c r="H816" s="431"/>
      <c r="I816" s="431"/>
    </row>
    <row r="817" spans="6:9" x14ac:dyDescent="0.25">
      <c r="F817" s="431"/>
      <c r="H817" s="431"/>
      <c r="I817" s="431"/>
    </row>
    <row r="818" spans="6:9" x14ac:dyDescent="0.25">
      <c r="F818" s="431"/>
      <c r="H818" s="431"/>
      <c r="I818" s="431"/>
    </row>
    <row r="819" spans="6:9" x14ac:dyDescent="0.25">
      <c r="F819" s="431"/>
      <c r="H819" s="431"/>
      <c r="I819" s="431"/>
    </row>
    <row r="820" spans="6:9" x14ac:dyDescent="0.25">
      <c r="F820" s="431"/>
      <c r="H820" s="431"/>
      <c r="I820" s="431"/>
    </row>
    <row r="821" spans="6:9" x14ac:dyDescent="0.25">
      <c r="F821" s="431"/>
      <c r="H821" s="431"/>
      <c r="I821" s="431"/>
    </row>
    <row r="822" spans="6:9" x14ac:dyDescent="0.25">
      <c r="F822" s="431"/>
      <c r="H822" s="431"/>
      <c r="I822" s="431"/>
    </row>
    <row r="823" spans="6:9" x14ac:dyDescent="0.25">
      <c r="F823" s="431"/>
      <c r="H823" s="431"/>
      <c r="I823" s="431"/>
    </row>
    <row r="824" spans="6:9" x14ac:dyDescent="0.25">
      <c r="F824" s="431"/>
      <c r="H824" s="431"/>
      <c r="I824" s="431"/>
    </row>
    <row r="825" spans="6:9" x14ac:dyDescent="0.25">
      <c r="F825" s="431"/>
      <c r="H825" s="431"/>
      <c r="I825" s="431"/>
    </row>
    <row r="826" spans="6:9" x14ac:dyDescent="0.25">
      <c r="F826" s="431"/>
      <c r="H826" s="431"/>
      <c r="I826" s="431"/>
    </row>
    <row r="827" spans="6:9" x14ac:dyDescent="0.25">
      <c r="F827" s="431"/>
      <c r="H827" s="431"/>
      <c r="I827" s="431"/>
    </row>
    <row r="828" spans="6:9" x14ac:dyDescent="0.25">
      <c r="F828" s="431"/>
      <c r="H828" s="431"/>
      <c r="I828" s="431"/>
    </row>
    <row r="829" spans="6:9" x14ac:dyDescent="0.25">
      <c r="F829" s="431"/>
      <c r="H829" s="431"/>
      <c r="I829" s="431"/>
    </row>
    <row r="830" spans="6:9" x14ac:dyDescent="0.25">
      <c r="F830" s="431"/>
      <c r="H830" s="431"/>
      <c r="I830" s="431"/>
    </row>
    <row r="831" spans="6:9" x14ac:dyDescent="0.25">
      <c r="F831" s="431"/>
      <c r="H831" s="431"/>
      <c r="I831" s="431"/>
    </row>
    <row r="832" spans="6:9" x14ac:dyDescent="0.25">
      <c r="F832" s="431"/>
      <c r="H832" s="431"/>
      <c r="I832" s="431"/>
    </row>
    <row r="833" spans="6:9" x14ac:dyDescent="0.25">
      <c r="F833" s="431"/>
      <c r="H833" s="431"/>
      <c r="I833" s="431"/>
    </row>
    <row r="834" spans="6:9" x14ac:dyDescent="0.25">
      <c r="F834" s="431"/>
      <c r="H834" s="431"/>
      <c r="I834" s="431"/>
    </row>
    <row r="835" spans="6:9" x14ac:dyDescent="0.25">
      <c r="F835" s="431"/>
      <c r="H835" s="431"/>
      <c r="I835" s="431"/>
    </row>
    <row r="836" spans="6:9" x14ac:dyDescent="0.25">
      <c r="F836" s="431"/>
      <c r="H836" s="431"/>
      <c r="I836" s="431"/>
    </row>
    <row r="837" spans="6:9" x14ac:dyDescent="0.25">
      <c r="F837" s="431"/>
      <c r="H837" s="431"/>
      <c r="I837" s="431"/>
    </row>
    <row r="838" spans="6:9" x14ac:dyDescent="0.25">
      <c r="F838" s="431"/>
      <c r="H838" s="431"/>
      <c r="I838" s="431"/>
    </row>
    <row r="839" spans="6:9" x14ac:dyDescent="0.25">
      <c r="F839" s="431"/>
      <c r="H839" s="431"/>
      <c r="I839" s="431"/>
    </row>
    <row r="840" spans="6:9" x14ac:dyDescent="0.25">
      <c r="F840" s="431"/>
      <c r="H840" s="431"/>
      <c r="I840" s="431"/>
    </row>
    <row r="841" spans="6:9" x14ac:dyDescent="0.25">
      <c r="F841" s="431"/>
      <c r="H841" s="431"/>
      <c r="I841" s="431"/>
    </row>
    <row r="842" spans="6:9" x14ac:dyDescent="0.25">
      <c r="F842" s="431"/>
      <c r="H842" s="431"/>
      <c r="I842" s="431"/>
    </row>
    <row r="843" spans="6:9" x14ac:dyDescent="0.25">
      <c r="F843" s="431"/>
      <c r="H843" s="431"/>
      <c r="I843" s="431"/>
    </row>
    <row r="844" spans="6:9" x14ac:dyDescent="0.25">
      <c r="F844" s="431"/>
      <c r="H844" s="431"/>
      <c r="I844" s="431"/>
    </row>
    <row r="845" spans="6:9" x14ac:dyDescent="0.25">
      <c r="F845" s="431"/>
      <c r="H845" s="431"/>
      <c r="I845" s="431"/>
    </row>
    <row r="846" spans="6:9" x14ac:dyDescent="0.25">
      <c r="F846" s="431"/>
      <c r="H846" s="431"/>
      <c r="I846" s="431"/>
    </row>
    <row r="847" spans="6:9" x14ac:dyDescent="0.25">
      <c r="F847" s="431"/>
      <c r="H847" s="431"/>
      <c r="I847" s="431"/>
    </row>
    <row r="848" spans="6:9" x14ac:dyDescent="0.25">
      <c r="F848" s="431"/>
      <c r="H848" s="431"/>
      <c r="I848" s="431"/>
    </row>
    <row r="849" spans="6:9" x14ac:dyDescent="0.25">
      <c r="F849" s="431"/>
      <c r="H849" s="431"/>
      <c r="I849" s="431"/>
    </row>
    <row r="850" spans="6:9" x14ac:dyDescent="0.25">
      <c r="F850" s="431"/>
      <c r="H850" s="431"/>
      <c r="I850" s="431"/>
    </row>
    <row r="851" spans="6:9" x14ac:dyDescent="0.25">
      <c r="F851" s="431"/>
      <c r="H851" s="431"/>
      <c r="I851" s="431"/>
    </row>
    <row r="852" spans="6:9" x14ac:dyDescent="0.25">
      <c r="F852" s="431"/>
      <c r="H852" s="431"/>
      <c r="I852" s="431"/>
    </row>
    <row r="853" spans="6:9" x14ac:dyDescent="0.25">
      <c r="F853" s="431"/>
      <c r="H853" s="431"/>
      <c r="I853" s="431"/>
    </row>
    <row r="854" spans="6:9" x14ac:dyDescent="0.25">
      <c r="F854" s="431"/>
      <c r="H854" s="431"/>
      <c r="I854" s="431"/>
    </row>
    <row r="855" spans="6:9" x14ac:dyDescent="0.25">
      <c r="F855" s="431"/>
      <c r="H855" s="431"/>
      <c r="I855" s="431"/>
    </row>
    <row r="856" spans="6:9" x14ac:dyDescent="0.25">
      <c r="F856" s="431"/>
      <c r="H856" s="431"/>
      <c r="I856" s="431"/>
    </row>
    <row r="857" spans="6:9" x14ac:dyDescent="0.25">
      <c r="F857" s="431"/>
      <c r="H857" s="431"/>
      <c r="I857" s="431"/>
    </row>
    <row r="858" spans="6:9" x14ac:dyDescent="0.25">
      <c r="F858" s="431"/>
      <c r="H858" s="431"/>
      <c r="I858" s="431"/>
    </row>
    <row r="859" spans="6:9" x14ac:dyDescent="0.25">
      <c r="F859" s="431"/>
      <c r="H859" s="431"/>
      <c r="I859" s="431"/>
    </row>
    <row r="860" spans="6:9" x14ac:dyDescent="0.25">
      <c r="F860" s="431"/>
      <c r="H860" s="431"/>
      <c r="I860" s="431"/>
    </row>
    <row r="861" spans="6:9" x14ac:dyDescent="0.25">
      <c r="F861" s="431"/>
      <c r="H861" s="431"/>
      <c r="I861" s="431"/>
    </row>
    <row r="862" spans="6:9" x14ac:dyDescent="0.25">
      <c r="F862" s="431"/>
      <c r="H862" s="431"/>
      <c r="I862" s="431"/>
    </row>
    <row r="863" spans="6:9" x14ac:dyDescent="0.25">
      <c r="F863" s="431"/>
      <c r="H863" s="431"/>
      <c r="I863" s="431"/>
    </row>
    <row r="864" spans="6:9" x14ac:dyDescent="0.25">
      <c r="F864" s="431"/>
      <c r="H864" s="431"/>
      <c r="I864" s="431"/>
    </row>
    <row r="865" spans="6:9" x14ac:dyDescent="0.25">
      <c r="F865" s="431"/>
      <c r="H865" s="431"/>
      <c r="I865" s="431"/>
    </row>
    <row r="866" spans="6:9" x14ac:dyDescent="0.25">
      <c r="F866" s="431"/>
      <c r="H866" s="431"/>
      <c r="I866" s="431"/>
    </row>
    <row r="867" spans="6:9" x14ac:dyDescent="0.25">
      <c r="F867" s="431"/>
      <c r="H867" s="431"/>
      <c r="I867" s="431"/>
    </row>
    <row r="868" spans="6:9" x14ac:dyDescent="0.25">
      <c r="F868" s="431"/>
      <c r="H868" s="431"/>
      <c r="I868" s="431"/>
    </row>
    <row r="869" spans="6:9" x14ac:dyDescent="0.25">
      <c r="F869" s="431"/>
      <c r="H869" s="431"/>
      <c r="I869" s="431"/>
    </row>
    <row r="870" spans="6:9" x14ac:dyDescent="0.25">
      <c r="F870" s="431"/>
      <c r="H870" s="431"/>
      <c r="I870" s="431"/>
    </row>
    <row r="871" spans="6:9" x14ac:dyDescent="0.25">
      <c r="F871" s="431"/>
      <c r="H871" s="431"/>
      <c r="I871" s="431"/>
    </row>
    <row r="872" spans="6:9" x14ac:dyDescent="0.25">
      <c r="F872" s="431"/>
      <c r="H872" s="431"/>
      <c r="I872" s="431"/>
    </row>
    <row r="873" spans="6:9" x14ac:dyDescent="0.25">
      <c r="F873" s="431"/>
      <c r="H873" s="431"/>
      <c r="I873" s="431"/>
    </row>
    <row r="874" spans="6:9" x14ac:dyDescent="0.25">
      <c r="F874" s="431"/>
      <c r="H874" s="431"/>
      <c r="I874" s="431"/>
    </row>
    <row r="875" spans="6:9" x14ac:dyDescent="0.25">
      <c r="F875" s="431"/>
      <c r="H875" s="431"/>
      <c r="I875" s="431"/>
    </row>
    <row r="876" spans="6:9" x14ac:dyDescent="0.25">
      <c r="F876" s="431"/>
      <c r="H876" s="431"/>
      <c r="I876" s="431"/>
    </row>
    <row r="877" spans="6:9" x14ac:dyDescent="0.25">
      <c r="F877" s="431"/>
      <c r="H877" s="431"/>
      <c r="I877" s="431"/>
    </row>
    <row r="878" spans="6:9" x14ac:dyDescent="0.25">
      <c r="F878" s="431"/>
      <c r="H878" s="431"/>
      <c r="I878" s="431"/>
    </row>
    <row r="879" spans="6:9" x14ac:dyDescent="0.25">
      <c r="F879" s="431"/>
      <c r="H879" s="431"/>
      <c r="I879" s="431"/>
    </row>
    <row r="880" spans="6:9" x14ac:dyDescent="0.25">
      <c r="F880" s="431"/>
      <c r="H880" s="431"/>
      <c r="I880" s="431"/>
    </row>
    <row r="881" spans="6:9" x14ac:dyDescent="0.25">
      <c r="F881" s="431"/>
      <c r="H881" s="431"/>
      <c r="I881" s="431"/>
    </row>
    <row r="882" spans="6:9" x14ac:dyDescent="0.25">
      <c r="F882" s="431"/>
      <c r="H882" s="431"/>
      <c r="I882" s="431"/>
    </row>
    <row r="883" spans="6:9" x14ac:dyDescent="0.25">
      <c r="F883" s="431"/>
      <c r="H883" s="431"/>
      <c r="I883" s="431"/>
    </row>
    <row r="884" spans="6:9" x14ac:dyDescent="0.25">
      <c r="F884" s="431"/>
      <c r="H884" s="431"/>
      <c r="I884" s="431"/>
    </row>
    <row r="885" spans="6:9" x14ac:dyDescent="0.25">
      <c r="F885" s="431"/>
      <c r="H885" s="431"/>
      <c r="I885" s="431"/>
    </row>
    <row r="886" spans="6:9" x14ac:dyDescent="0.25">
      <c r="F886" s="431"/>
      <c r="H886" s="431"/>
      <c r="I886" s="431"/>
    </row>
    <row r="887" spans="6:9" x14ac:dyDescent="0.25">
      <c r="F887" s="431"/>
      <c r="H887" s="431"/>
      <c r="I887" s="431"/>
    </row>
    <row r="888" spans="6:9" x14ac:dyDescent="0.25">
      <c r="F888" s="431"/>
      <c r="H888" s="431"/>
      <c r="I888" s="431"/>
    </row>
    <row r="889" spans="6:9" x14ac:dyDescent="0.25">
      <c r="F889" s="431"/>
      <c r="H889" s="431"/>
      <c r="I889" s="431"/>
    </row>
    <row r="890" spans="6:9" x14ac:dyDescent="0.25">
      <c r="F890" s="431"/>
      <c r="H890" s="431"/>
      <c r="I890" s="431"/>
    </row>
    <row r="891" spans="6:9" x14ac:dyDescent="0.25">
      <c r="F891" s="431"/>
      <c r="H891" s="431"/>
      <c r="I891" s="431"/>
    </row>
    <row r="892" spans="6:9" x14ac:dyDescent="0.25">
      <c r="F892" s="431"/>
      <c r="H892" s="431"/>
      <c r="I892" s="431"/>
    </row>
    <row r="893" spans="6:9" x14ac:dyDescent="0.25">
      <c r="F893" s="431"/>
      <c r="H893" s="431"/>
      <c r="I893" s="431"/>
    </row>
    <row r="894" spans="6:9" x14ac:dyDescent="0.25">
      <c r="F894" s="431"/>
      <c r="H894" s="431"/>
      <c r="I894" s="431"/>
    </row>
    <row r="895" spans="6:9" x14ac:dyDescent="0.25">
      <c r="F895" s="431"/>
      <c r="H895" s="431"/>
      <c r="I895" s="431"/>
    </row>
    <row r="896" spans="6:9" x14ac:dyDescent="0.25">
      <c r="F896" s="431"/>
      <c r="H896" s="431"/>
      <c r="I896" s="431"/>
    </row>
    <row r="897" spans="6:9" x14ac:dyDescent="0.25">
      <c r="F897" s="431"/>
      <c r="H897" s="431"/>
      <c r="I897" s="431"/>
    </row>
    <row r="898" spans="6:9" x14ac:dyDescent="0.25">
      <c r="F898" s="431"/>
      <c r="H898" s="431"/>
      <c r="I898" s="431"/>
    </row>
    <row r="899" spans="6:9" x14ac:dyDescent="0.25">
      <c r="F899" s="431"/>
      <c r="H899" s="431"/>
      <c r="I899" s="431"/>
    </row>
    <row r="900" spans="6:9" x14ac:dyDescent="0.25">
      <c r="F900" s="431"/>
      <c r="H900" s="431"/>
      <c r="I900" s="431"/>
    </row>
    <row r="901" spans="6:9" x14ac:dyDescent="0.25">
      <c r="F901" s="431"/>
      <c r="H901" s="431"/>
      <c r="I901" s="431"/>
    </row>
    <row r="902" spans="6:9" x14ac:dyDescent="0.25">
      <c r="F902" s="431"/>
      <c r="H902" s="431"/>
      <c r="I902" s="431"/>
    </row>
    <row r="903" spans="6:9" x14ac:dyDescent="0.25">
      <c r="F903" s="431"/>
      <c r="H903" s="431"/>
      <c r="I903" s="431"/>
    </row>
    <row r="904" spans="6:9" x14ac:dyDescent="0.25">
      <c r="F904" s="431"/>
      <c r="H904" s="431"/>
      <c r="I904" s="431"/>
    </row>
    <row r="905" spans="6:9" x14ac:dyDescent="0.25">
      <c r="F905" s="431"/>
      <c r="H905" s="431"/>
      <c r="I905" s="431"/>
    </row>
    <row r="906" spans="6:9" x14ac:dyDescent="0.25">
      <c r="F906" s="431"/>
      <c r="H906" s="431"/>
      <c r="I906" s="431"/>
    </row>
    <row r="907" spans="6:9" x14ac:dyDescent="0.25">
      <c r="F907" s="431"/>
      <c r="H907" s="431"/>
      <c r="I907" s="431"/>
    </row>
    <row r="908" spans="6:9" x14ac:dyDescent="0.25">
      <c r="F908" s="431"/>
      <c r="H908" s="431"/>
      <c r="I908" s="431"/>
    </row>
    <row r="909" spans="6:9" x14ac:dyDescent="0.25">
      <c r="F909" s="431"/>
      <c r="H909" s="431"/>
      <c r="I909" s="431"/>
    </row>
    <row r="910" spans="6:9" x14ac:dyDescent="0.25">
      <c r="F910" s="431"/>
      <c r="H910" s="431"/>
      <c r="I910" s="431"/>
    </row>
    <row r="911" spans="6:9" x14ac:dyDescent="0.25">
      <c r="F911" s="431"/>
      <c r="H911" s="431"/>
      <c r="I911" s="431"/>
    </row>
    <row r="912" spans="6:9" x14ac:dyDescent="0.25">
      <c r="F912" s="431"/>
      <c r="H912" s="431"/>
      <c r="I912" s="431"/>
    </row>
    <row r="913" spans="6:9" x14ac:dyDescent="0.25">
      <c r="F913" s="431"/>
      <c r="H913" s="431"/>
      <c r="I913" s="431"/>
    </row>
    <row r="914" spans="6:9" x14ac:dyDescent="0.25">
      <c r="F914" s="431"/>
      <c r="H914" s="431"/>
      <c r="I914" s="431"/>
    </row>
    <row r="915" spans="6:9" x14ac:dyDescent="0.25">
      <c r="F915" s="431"/>
      <c r="H915" s="431"/>
      <c r="I915" s="431"/>
    </row>
    <row r="916" spans="6:9" x14ac:dyDescent="0.25">
      <c r="F916" s="431"/>
      <c r="H916" s="431"/>
      <c r="I916" s="431"/>
    </row>
    <row r="917" spans="6:9" x14ac:dyDescent="0.25">
      <c r="F917" s="431"/>
      <c r="H917" s="431"/>
      <c r="I917" s="431"/>
    </row>
    <row r="918" spans="6:9" x14ac:dyDescent="0.25">
      <c r="F918" s="431"/>
      <c r="H918" s="431"/>
      <c r="I918" s="431"/>
    </row>
    <row r="919" spans="6:9" x14ac:dyDescent="0.25">
      <c r="F919" s="431"/>
      <c r="H919" s="431"/>
      <c r="I919" s="431"/>
    </row>
    <row r="920" spans="6:9" x14ac:dyDescent="0.25">
      <c r="F920" s="431"/>
      <c r="H920" s="431"/>
      <c r="I920" s="431"/>
    </row>
    <row r="921" spans="6:9" x14ac:dyDescent="0.25">
      <c r="F921" s="431"/>
      <c r="H921" s="431"/>
      <c r="I921" s="431"/>
    </row>
    <row r="922" spans="6:9" x14ac:dyDescent="0.25">
      <c r="F922" s="431"/>
      <c r="H922" s="431"/>
      <c r="I922" s="431"/>
    </row>
    <row r="923" spans="6:9" x14ac:dyDescent="0.25">
      <c r="F923" s="431"/>
      <c r="H923" s="431"/>
      <c r="I923" s="431"/>
    </row>
    <row r="924" spans="6:9" x14ac:dyDescent="0.25">
      <c r="F924" s="431"/>
      <c r="H924" s="431"/>
      <c r="I924" s="431"/>
    </row>
    <row r="925" spans="6:9" x14ac:dyDescent="0.25">
      <c r="F925" s="431"/>
      <c r="H925" s="431"/>
      <c r="I925" s="431"/>
    </row>
    <row r="926" spans="6:9" x14ac:dyDescent="0.25">
      <c r="F926" s="431"/>
      <c r="H926" s="431"/>
      <c r="I926" s="431"/>
    </row>
    <row r="927" spans="6:9" x14ac:dyDescent="0.25">
      <c r="F927" s="431"/>
      <c r="H927" s="431"/>
      <c r="I927" s="431"/>
    </row>
    <row r="928" spans="6:9" x14ac:dyDescent="0.25">
      <c r="F928" s="431"/>
      <c r="H928" s="431"/>
      <c r="I928" s="431"/>
    </row>
    <row r="929" spans="6:9" x14ac:dyDescent="0.25">
      <c r="F929" s="431"/>
      <c r="H929" s="431"/>
      <c r="I929" s="431"/>
    </row>
    <row r="930" spans="6:9" x14ac:dyDescent="0.25">
      <c r="F930" s="431"/>
      <c r="H930" s="431"/>
      <c r="I930" s="431"/>
    </row>
    <row r="931" spans="6:9" x14ac:dyDescent="0.25">
      <c r="F931" s="431"/>
      <c r="H931" s="431"/>
      <c r="I931" s="431"/>
    </row>
    <row r="932" spans="6:9" x14ac:dyDescent="0.25">
      <c r="F932" s="431"/>
      <c r="H932" s="431"/>
      <c r="I932" s="431"/>
    </row>
    <row r="933" spans="6:9" x14ac:dyDescent="0.25">
      <c r="F933" s="431"/>
      <c r="H933" s="431"/>
      <c r="I933" s="431"/>
    </row>
    <row r="934" spans="6:9" x14ac:dyDescent="0.25">
      <c r="F934" s="431"/>
      <c r="H934" s="431"/>
      <c r="I934" s="431"/>
    </row>
    <row r="935" spans="6:9" x14ac:dyDescent="0.25">
      <c r="F935" s="431"/>
      <c r="H935" s="431"/>
      <c r="I935" s="431"/>
    </row>
    <row r="936" spans="6:9" x14ac:dyDescent="0.25">
      <c r="F936" s="431"/>
      <c r="H936" s="431"/>
      <c r="I936" s="431"/>
    </row>
    <row r="937" spans="6:9" x14ac:dyDescent="0.25">
      <c r="F937" s="431"/>
      <c r="H937" s="431"/>
      <c r="I937" s="431"/>
    </row>
    <row r="938" spans="6:9" x14ac:dyDescent="0.25">
      <c r="F938" s="431"/>
      <c r="H938" s="431"/>
      <c r="I938" s="431"/>
    </row>
    <row r="939" spans="6:9" x14ac:dyDescent="0.25">
      <c r="F939" s="431"/>
      <c r="H939" s="431"/>
      <c r="I939" s="431"/>
    </row>
    <row r="940" spans="6:9" x14ac:dyDescent="0.25">
      <c r="F940" s="431"/>
      <c r="H940" s="431"/>
      <c r="I940" s="431"/>
    </row>
    <row r="941" spans="6:9" x14ac:dyDescent="0.25">
      <c r="F941" s="431"/>
      <c r="H941" s="431"/>
      <c r="I941" s="431"/>
    </row>
    <row r="942" spans="6:9" x14ac:dyDescent="0.25">
      <c r="F942" s="431"/>
      <c r="H942" s="431"/>
      <c r="I942" s="431"/>
    </row>
    <row r="943" spans="6:9" x14ac:dyDescent="0.25">
      <c r="F943" s="431"/>
      <c r="H943" s="431"/>
      <c r="I943" s="431"/>
    </row>
    <row r="944" spans="6:9" x14ac:dyDescent="0.25">
      <c r="F944" s="431"/>
      <c r="H944" s="431"/>
      <c r="I944" s="431"/>
    </row>
    <row r="945" spans="6:9" x14ac:dyDescent="0.25">
      <c r="F945" s="431"/>
      <c r="H945" s="431"/>
      <c r="I945" s="431"/>
    </row>
    <row r="946" spans="6:9" x14ac:dyDescent="0.25">
      <c r="F946" s="431"/>
      <c r="H946" s="431"/>
      <c r="I946" s="431"/>
    </row>
    <row r="947" spans="6:9" x14ac:dyDescent="0.25">
      <c r="F947" s="431"/>
      <c r="H947" s="431"/>
      <c r="I947" s="431"/>
    </row>
    <row r="948" spans="6:9" x14ac:dyDescent="0.25">
      <c r="F948" s="431"/>
      <c r="H948" s="431"/>
      <c r="I948" s="431"/>
    </row>
    <row r="949" spans="6:9" x14ac:dyDescent="0.25">
      <c r="F949" s="431"/>
      <c r="H949" s="431"/>
      <c r="I949" s="431"/>
    </row>
    <row r="950" spans="6:9" x14ac:dyDescent="0.25">
      <c r="F950" s="431"/>
      <c r="H950" s="431"/>
      <c r="I950" s="431"/>
    </row>
    <row r="951" spans="6:9" x14ac:dyDescent="0.25">
      <c r="F951" s="431"/>
      <c r="H951" s="431"/>
      <c r="I951" s="431"/>
    </row>
    <row r="952" spans="6:9" x14ac:dyDescent="0.25">
      <c r="F952" s="431"/>
      <c r="H952" s="431"/>
      <c r="I952" s="431"/>
    </row>
    <row r="953" spans="6:9" x14ac:dyDescent="0.25">
      <c r="F953" s="431"/>
      <c r="H953" s="431"/>
      <c r="I953" s="431"/>
    </row>
    <row r="954" spans="6:9" x14ac:dyDescent="0.25">
      <c r="F954" s="431"/>
      <c r="H954" s="431"/>
      <c r="I954" s="431"/>
    </row>
    <row r="955" spans="6:9" x14ac:dyDescent="0.25">
      <c r="F955" s="431"/>
      <c r="H955" s="431"/>
      <c r="I955" s="431"/>
    </row>
    <row r="956" spans="6:9" x14ac:dyDescent="0.25">
      <c r="F956" s="431"/>
      <c r="H956" s="431"/>
      <c r="I956" s="431"/>
    </row>
    <row r="957" spans="6:9" x14ac:dyDescent="0.25">
      <c r="F957" s="431"/>
      <c r="H957" s="431"/>
      <c r="I957" s="431"/>
    </row>
    <row r="958" spans="6:9" x14ac:dyDescent="0.25">
      <c r="F958" s="431"/>
      <c r="H958" s="431"/>
      <c r="I958" s="431"/>
    </row>
    <row r="959" spans="6:9" x14ac:dyDescent="0.25">
      <c r="F959" s="431"/>
      <c r="H959" s="431"/>
      <c r="I959" s="431"/>
    </row>
    <row r="960" spans="6:9" x14ac:dyDescent="0.25">
      <c r="F960" s="431"/>
      <c r="H960" s="431"/>
      <c r="I960" s="431"/>
    </row>
    <row r="961" spans="6:9" x14ac:dyDescent="0.25">
      <c r="F961" s="431"/>
      <c r="H961" s="431"/>
      <c r="I961" s="431"/>
    </row>
    <row r="962" spans="6:9" x14ac:dyDescent="0.25">
      <c r="F962" s="431"/>
      <c r="H962" s="431"/>
      <c r="I962" s="431"/>
    </row>
    <row r="963" spans="6:9" x14ac:dyDescent="0.25">
      <c r="F963" s="431"/>
      <c r="H963" s="431"/>
      <c r="I963" s="431"/>
    </row>
    <row r="964" spans="6:9" x14ac:dyDescent="0.25">
      <c r="F964" s="431"/>
      <c r="H964" s="431"/>
      <c r="I964" s="431"/>
    </row>
    <row r="965" spans="6:9" x14ac:dyDescent="0.25">
      <c r="F965" s="431"/>
      <c r="H965" s="431"/>
      <c r="I965" s="431"/>
    </row>
    <row r="966" spans="6:9" x14ac:dyDescent="0.25">
      <c r="F966" s="431"/>
      <c r="H966" s="431"/>
      <c r="I966" s="431"/>
    </row>
    <row r="967" spans="6:9" x14ac:dyDescent="0.25">
      <c r="F967" s="431"/>
      <c r="H967" s="431"/>
      <c r="I967" s="431"/>
    </row>
    <row r="968" spans="6:9" x14ac:dyDescent="0.25">
      <c r="F968" s="431"/>
      <c r="H968" s="431"/>
      <c r="I968" s="431"/>
    </row>
    <row r="969" spans="6:9" x14ac:dyDescent="0.25">
      <c r="F969" s="431"/>
      <c r="H969" s="431"/>
      <c r="I969" s="431"/>
    </row>
    <row r="970" spans="6:9" x14ac:dyDescent="0.25">
      <c r="F970" s="431"/>
      <c r="H970" s="431"/>
      <c r="I970" s="431"/>
    </row>
    <row r="971" spans="6:9" x14ac:dyDescent="0.25">
      <c r="F971" s="431"/>
      <c r="H971" s="431"/>
      <c r="I971" s="431"/>
    </row>
    <row r="972" spans="6:9" x14ac:dyDescent="0.25">
      <c r="F972" s="431"/>
      <c r="H972" s="431"/>
      <c r="I972" s="431"/>
    </row>
    <row r="973" spans="6:9" x14ac:dyDescent="0.25">
      <c r="F973" s="431"/>
      <c r="H973" s="431"/>
      <c r="I973" s="431"/>
    </row>
    <row r="974" spans="6:9" x14ac:dyDescent="0.25">
      <c r="F974" s="431"/>
      <c r="H974" s="431"/>
      <c r="I974" s="431"/>
    </row>
    <row r="975" spans="6:9" x14ac:dyDescent="0.25">
      <c r="F975" s="431"/>
      <c r="H975" s="431"/>
      <c r="I975" s="431"/>
    </row>
    <row r="976" spans="6:9" x14ac:dyDescent="0.25">
      <c r="F976" s="431"/>
      <c r="H976" s="431"/>
      <c r="I976" s="431"/>
    </row>
    <row r="977" spans="6:9" x14ac:dyDescent="0.25">
      <c r="F977" s="431"/>
      <c r="H977" s="431"/>
      <c r="I977" s="431"/>
    </row>
    <row r="978" spans="6:9" x14ac:dyDescent="0.25">
      <c r="F978" s="431"/>
      <c r="H978" s="431"/>
      <c r="I978" s="431"/>
    </row>
    <row r="979" spans="6:9" x14ac:dyDescent="0.25">
      <c r="F979" s="431"/>
      <c r="H979" s="431"/>
      <c r="I979" s="431"/>
    </row>
    <row r="980" spans="6:9" x14ac:dyDescent="0.25">
      <c r="F980" s="431"/>
      <c r="H980" s="431"/>
      <c r="I980" s="431"/>
    </row>
    <row r="981" spans="6:9" x14ac:dyDescent="0.25">
      <c r="F981" s="431"/>
      <c r="H981" s="431"/>
      <c r="I981" s="431"/>
    </row>
    <row r="982" spans="6:9" x14ac:dyDescent="0.25">
      <c r="F982" s="431"/>
      <c r="H982" s="431"/>
      <c r="I982" s="431"/>
    </row>
    <row r="983" spans="6:9" x14ac:dyDescent="0.25">
      <c r="F983" s="431"/>
      <c r="H983" s="431"/>
      <c r="I983" s="431"/>
    </row>
    <row r="984" spans="6:9" x14ac:dyDescent="0.25">
      <c r="F984" s="431"/>
      <c r="H984" s="431"/>
      <c r="I984" s="431"/>
    </row>
    <row r="985" spans="6:9" x14ac:dyDescent="0.25">
      <c r="F985" s="431"/>
      <c r="H985" s="431"/>
      <c r="I985" s="431"/>
    </row>
    <row r="986" spans="6:9" x14ac:dyDescent="0.25">
      <c r="F986" s="431"/>
      <c r="H986" s="431"/>
      <c r="I986" s="431"/>
    </row>
    <row r="987" spans="6:9" x14ac:dyDescent="0.25">
      <c r="F987" s="431"/>
      <c r="H987" s="431"/>
      <c r="I987" s="431"/>
    </row>
    <row r="988" spans="6:9" x14ac:dyDescent="0.25">
      <c r="F988" s="431"/>
      <c r="H988" s="431"/>
      <c r="I988" s="431"/>
    </row>
    <row r="989" spans="6:9" x14ac:dyDescent="0.25">
      <c r="F989" s="431"/>
      <c r="H989" s="431"/>
      <c r="I989" s="431"/>
    </row>
    <row r="990" spans="6:9" x14ac:dyDescent="0.25">
      <c r="F990" s="431"/>
      <c r="H990" s="431"/>
      <c r="I990" s="431"/>
    </row>
    <row r="991" spans="6:9" x14ac:dyDescent="0.25">
      <c r="F991" s="431"/>
      <c r="H991" s="431"/>
      <c r="I991" s="431"/>
    </row>
    <row r="992" spans="6:9" x14ac:dyDescent="0.25">
      <c r="F992" s="431"/>
      <c r="H992" s="431"/>
      <c r="I992" s="431"/>
    </row>
    <row r="993" spans="6:9" x14ac:dyDescent="0.25">
      <c r="F993" s="431"/>
      <c r="H993" s="431"/>
      <c r="I993" s="431"/>
    </row>
    <row r="994" spans="6:9" x14ac:dyDescent="0.25">
      <c r="F994" s="431"/>
      <c r="H994" s="431"/>
      <c r="I994" s="431"/>
    </row>
    <row r="995" spans="6:9" x14ac:dyDescent="0.25">
      <c r="F995" s="431"/>
      <c r="H995" s="431"/>
      <c r="I995" s="431"/>
    </row>
    <row r="996" spans="6:9" x14ac:dyDescent="0.25">
      <c r="F996" s="431"/>
      <c r="H996" s="431"/>
      <c r="I996" s="431"/>
    </row>
    <row r="997" spans="6:9" x14ac:dyDescent="0.25">
      <c r="F997" s="431"/>
      <c r="H997" s="431"/>
      <c r="I997" s="431"/>
    </row>
  </sheetData>
  <mergeCells count="42">
    <mergeCell ref="B437:C437"/>
    <mergeCell ref="E449:I449"/>
    <mergeCell ref="B445:C448"/>
    <mergeCell ref="B449:C449"/>
    <mergeCell ref="B443:C443"/>
    <mergeCell ref="E445:I448"/>
    <mergeCell ref="E437:I437"/>
    <mergeCell ref="B442:C442"/>
    <mergeCell ref="E442:I442"/>
    <mergeCell ref="B439:C441"/>
    <mergeCell ref="F419:G419"/>
    <mergeCell ref="F420:G420"/>
    <mergeCell ref="F421:G421"/>
    <mergeCell ref="E434:I436"/>
    <mergeCell ref="B433:C433"/>
    <mergeCell ref="B434:C436"/>
    <mergeCell ref="F426:G426"/>
    <mergeCell ref="F427:G427"/>
    <mergeCell ref="F428:G428"/>
    <mergeCell ref="F424:G424"/>
    <mergeCell ref="F430:G430"/>
    <mergeCell ref="F425:G425"/>
    <mergeCell ref="B429:C429"/>
    <mergeCell ref="F429:G429"/>
    <mergeCell ref="F422:G422"/>
    <mergeCell ref="F423:G423"/>
    <mergeCell ref="A412:I413"/>
    <mergeCell ref="I5:I6"/>
    <mergeCell ref="H5:H6"/>
    <mergeCell ref="B5:E6"/>
    <mergeCell ref="F5:F6"/>
    <mergeCell ref="G5:G6"/>
    <mergeCell ref="F415:G415"/>
    <mergeCell ref="F416:G416"/>
    <mergeCell ref="F417:G417"/>
    <mergeCell ref="F418:G418"/>
    <mergeCell ref="F414:G414"/>
    <mergeCell ref="A4:I4"/>
    <mergeCell ref="A1:B1"/>
    <mergeCell ref="A2:B2"/>
    <mergeCell ref="A3:B3"/>
    <mergeCell ref="A5:A6"/>
  </mergeCells>
  <conditionalFormatting sqref="L10">
    <cfRule type="cellIs" dxfId="1" priority="1" operator="greaterThan">
      <formula>$L$2</formula>
    </cfRule>
  </conditionalFormatting>
  <printOptions horizontalCentered="1"/>
  <pageMargins left="0.25" right="0.25" top="0.5" bottom="1.25" header="0.21" footer="0.22"/>
  <pageSetup scale="84" orientation="portrait" r:id="rId1"/>
  <rowBreaks count="1" manualBreakCount="1">
    <brk id="431" max="16383" man="1"/>
  </rowBreaks>
  <drawing r:id="rId2"/>
  <legacy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D18" sqref="D18"/>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autoPageBreaks="0"/>
  </sheetPr>
  <dimension ref="A1:T43"/>
  <sheetViews>
    <sheetView view="pageBreakPreview" zoomScale="80" zoomScaleNormal="80" zoomScaleSheetLayoutView="80" workbookViewId="0">
      <selection activeCell="H13" sqref="H13"/>
    </sheetView>
  </sheetViews>
  <sheetFormatPr defaultRowHeight="13.2" x14ac:dyDescent="0.25"/>
  <cols>
    <col min="1" max="1" width="5.6640625" style="2" customWidth="1"/>
    <col min="2" max="2" width="22.6640625" style="2" customWidth="1"/>
    <col min="3" max="3" width="4.6640625" style="2" customWidth="1"/>
    <col min="4" max="4" width="15.6640625" style="2" customWidth="1"/>
    <col min="5" max="5" width="9.6640625" style="2" customWidth="1"/>
    <col min="6" max="6" width="8.6640625" style="2" customWidth="1"/>
    <col min="7" max="7" width="14.6640625" style="2" customWidth="1"/>
    <col min="8" max="9" width="10.6640625" style="2" customWidth="1"/>
    <col min="10" max="10" width="9.6640625" style="2" customWidth="1"/>
    <col min="11" max="11" width="11.6640625" style="2" customWidth="1"/>
    <col min="12" max="12" width="4.6640625" style="2" customWidth="1"/>
    <col min="13" max="13" width="7.6640625" style="2" customWidth="1"/>
    <col min="14" max="15" width="14.6640625" style="2" customWidth="1"/>
    <col min="16" max="16" width="12.6640625" style="2" customWidth="1"/>
    <col min="17" max="17" width="5.6640625" style="2" customWidth="1"/>
    <col min="18" max="18" width="9.6640625" style="2" customWidth="1"/>
    <col min="19" max="21" width="12.6640625" style="2" customWidth="1"/>
    <col min="22" max="257" width="9.109375" style="2"/>
    <col min="258" max="258" width="5.6640625" style="2" customWidth="1"/>
    <col min="259" max="259" width="22.6640625" style="2" customWidth="1"/>
    <col min="260" max="260" width="15.6640625" style="2" customWidth="1"/>
    <col min="261" max="262" width="5.6640625" style="2" customWidth="1"/>
    <col min="263" max="263" width="13.6640625" style="2" customWidth="1"/>
    <col min="264" max="266" width="11.6640625" style="2" customWidth="1"/>
    <col min="267" max="267" width="6.6640625" style="2" customWidth="1"/>
    <col min="268" max="269" width="11.6640625" style="2" customWidth="1"/>
    <col min="270" max="271" width="14.6640625" style="2" customWidth="1"/>
    <col min="272" max="272" width="7.6640625" style="2" customWidth="1"/>
    <col min="273" max="273" width="9.109375" style="2"/>
    <col min="274" max="274" width="12.88671875" style="2" bestFit="1" customWidth="1"/>
    <col min="275" max="513" width="9.109375" style="2"/>
    <col min="514" max="514" width="5.6640625" style="2" customWidth="1"/>
    <col min="515" max="515" width="22.6640625" style="2" customWidth="1"/>
    <col min="516" max="516" width="15.6640625" style="2" customWidth="1"/>
    <col min="517" max="518" width="5.6640625" style="2" customWidth="1"/>
    <col min="519" max="519" width="13.6640625" style="2" customWidth="1"/>
    <col min="520" max="522" width="11.6640625" style="2" customWidth="1"/>
    <col min="523" max="523" width="6.6640625" style="2" customWidth="1"/>
    <col min="524" max="525" width="11.6640625" style="2" customWidth="1"/>
    <col min="526" max="527" width="14.6640625" style="2" customWidth="1"/>
    <col min="528" max="528" width="7.6640625" style="2" customWidth="1"/>
    <col min="529" max="529" width="9.109375" style="2"/>
    <col min="530" max="530" width="12.88671875" style="2" bestFit="1" customWidth="1"/>
    <col min="531" max="769" width="9.109375" style="2"/>
    <col min="770" max="770" width="5.6640625" style="2" customWidth="1"/>
    <col min="771" max="771" width="22.6640625" style="2" customWidth="1"/>
    <col min="772" max="772" width="15.6640625" style="2" customWidth="1"/>
    <col min="773" max="774" width="5.6640625" style="2" customWidth="1"/>
    <col min="775" max="775" width="13.6640625" style="2" customWidth="1"/>
    <col min="776" max="778" width="11.6640625" style="2" customWidth="1"/>
    <col min="779" max="779" width="6.6640625" style="2" customWidth="1"/>
    <col min="780" max="781" width="11.6640625" style="2" customWidth="1"/>
    <col min="782" max="783" width="14.6640625" style="2" customWidth="1"/>
    <col min="784" max="784" width="7.6640625" style="2" customWidth="1"/>
    <col min="785" max="785" width="9.109375" style="2"/>
    <col min="786" max="786" width="12.88671875" style="2" bestFit="1" customWidth="1"/>
    <col min="787" max="1025" width="9.109375" style="2"/>
    <col min="1026" max="1026" width="5.6640625" style="2" customWidth="1"/>
    <col min="1027" max="1027" width="22.6640625" style="2" customWidth="1"/>
    <col min="1028" max="1028" width="15.6640625" style="2" customWidth="1"/>
    <col min="1029" max="1030" width="5.6640625" style="2" customWidth="1"/>
    <col min="1031" max="1031" width="13.6640625" style="2" customWidth="1"/>
    <col min="1032" max="1034" width="11.6640625" style="2" customWidth="1"/>
    <col min="1035" max="1035" width="6.6640625" style="2" customWidth="1"/>
    <col min="1036" max="1037" width="11.6640625" style="2" customWidth="1"/>
    <col min="1038" max="1039" width="14.6640625" style="2" customWidth="1"/>
    <col min="1040" max="1040" width="7.6640625" style="2" customWidth="1"/>
    <col min="1041" max="1041" width="9.109375" style="2"/>
    <col min="1042" max="1042" width="12.88671875" style="2" bestFit="1" customWidth="1"/>
    <col min="1043" max="1281" width="9.109375" style="2"/>
    <col min="1282" max="1282" width="5.6640625" style="2" customWidth="1"/>
    <col min="1283" max="1283" width="22.6640625" style="2" customWidth="1"/>
    <col min="1284" max="1284" width="15.6640625" style="2" customWidth="1"/>
    <col min="1285" max="1286" width="5.6640625" style="2" customWidth="1"/>
    <col min="1287" max="1287" width="13.6640625" style="2" customWidth="1"/>
    <col min="1288" max="1290" width="11.6640625" style="2" customWidth="1"/>
    <col min="1291" max="1291" width="6.6640625" style="2" customWidth="1"/>
    <col min="1292" max="1293" width="11.6640625" style="2" customWidth="1"/>
    <col min="1294" max="1295" width="14.6640625" style="2" customWidth="1"/>
    <col min="1296" max="1296" width="7.6640625" style="2" customWidth="1"/>
    <col min="1297" max="1297" width="9.109375" style="2"/>
    <col min="1298" max="1298" width="12.88671875" style="2" bestFit="1" customWidth="1"/>
    <col min="1299" max="1537" width="9.109375" style="2"/>
    <col min="1538" max="1538" width="5.6640625" style="2" customWidth="1"/>
    <col min="1539" max="1539" width="22.6640625" style="2" customWidth="1"/>
    <col min="1540" max="1540" width="15.6640625" style="2" customWidth="1"/>
    <col min="1541" max="1542" width="5.6640625" style="2" customWidth="1"/>
    <col min="1543" max="1543" width="13.6640625" style="2" customWidth="1"/>
    <col min="1544" max="1546" width="11.6640625" style="2" customWidth="1"/>
    <col min="1547" max="1547" width="6.6640625" style="2" customWidth="1"/>
    <col min="1548" max="1549" width="11.6640625" style="2" customWidth="1"/>
    <col min="1550" max="1551" width="14.6640625" style="2" customWidth="1"/>
    <col min="1552" max="1552" width="7.6640625" style="2" customWidth="1"/>
    <col min="1553" max="1553" width="9.109375" style="2"/>
    <col min="1554" max="1554" width="12.88671875" style="2" bestFit="1" customWidth="1"/>
    <col min="1555" max="1793" width="9.109375" style="2"/>
    <col min="1794" max="1794" width="5.6640625" style="2" customWidth="1"/>
    <col min="1795" max="1795" width="22.6640625" style="2" customWidth="1"/>
    <col min="1796" max="1796" width="15.6640625" style="2" customWidth="1"/>
    <col min="1797" max="1798" width="5.6640625" style="2" customWidth="1"/>
    <col min="1799" max="1799" width="13.6640625" style="2" customWidth="1"/>
    <col min="1800" max="1802" width="11.6640625" style="2" customWidth="1"/>
    <col min="1803" max="1803" width="6.6640625" style="2" customWidth="1"/>
    <col min="1804" max="1805" width="11.6640625" style="2" customWidth="1"/>
    <col min="1806" max="1807" width="14.6640625" style="2" customWidth="1"/>
    <col min="1808" max="1808" width="7.6640625" style="2" customWidth="1"/>
    <col min="1809" max="1809" width="9.109375" style="2"/>
    <col min="1810" max="1810" width="12.88671875" style="2" bestFit="1" customWidth="1"/>
    <col min="1811" max="2049" width="9.109375" style="2"/>
    <col min="2050" max="2050" width="5.6640625" style="2" customWidth="1"/>
    <col min="2051" max="2051" width="22.6640625" style="2" customWidth="1"/>
    <col min="2052" max="2052" width="15.6640625" style="2" customWidth="1"/>
    <col min="2053" max="2054" width="5.6640625" style="2" customWidth="1"/>
    <col min="2055" max="2055" width="13.6640625" style="2" customWidth="1"/>
    <col min="2056" max="2058" width="11.6640625" style="2" customWidth="1"/>
    <col min="2059" max="2059" width="6.6640625" style="2" customWidth="1"/>
    <col min="2060" max="2061" width="11.6640625" style="2" customWidth="1"/>
    <col min="2062" max="2063" width="14.6640625" style="2" customWidth="1"/>
    <col min="2064" max="2064" width="7.6640625" style="2" customWidth="1"/>
    <col min="2065" max="2065" width="9.109375" style="2"/>
    <col min="2066" max="2066" width="12.88671875" style="2" bestFit="1" customWidth="1"/>
    <col min="2067" max="2305" width="9.109375" style="2"/>
    <col min="2306" max="2306" width="5.6640625" style="2" customWidth="1"/>
    <col min="2307" max="2307" width="22.6640625" style="2" customWidth="1"/>
    <col min="2308" max="2308" width="15.6640625" style="2" customWidth="1"/>
    <col min="2309" max="2310" width="5.6640625" style="2" customWidth="1"/>
    <col min="2311" max="2311" width="13.6640625" style="2" customWidth="1"/>
    <col min="2312" max="2314" width="11.6640625" style="2" customWidth="1"/>
    <col min="2315" max="2315" width="6.6640625" style="2" customWidth="1"/>
    <col min="2316" max="2317" width="11.6640625" style="2" customWidth="1"/>
    <col min="2318" max="2319" width="14.6640625" style="2" customWidth="1"/>
    <col min="2320" max="2320" width="7.6640625" style="2" customWidth="1"/>
    <col min="2321" max="2321" width="9.109375" style="2"/>
    <col min="2322" max="2322" width="12.88671875" style="2" bestFit="1" customWidth="1"/>
    <col min="2323" max="2561" width="9.109375" style="2"/>
    <col min="2562" max="2562" width="5.6640625" style="2" customWidth="1"/>
    <col min="2563" max="2563" width="22.6640625" style="2" customWidth="1"/>
    <col min="2564" max="2564" width="15.6640625" style="2" customWidth="1"/>
    <col min="2565" max="2566" width="5.6640625" style="2" customWidth="1"/>
    <col min="2567" max="2567" width="13.6640625" style="2" customWidth="1"/>
    <col min="2568" max="2570" width="11.6640625" style="2" customWidth="1"/>
    <col min="2571" max="2571" width="6.6640625" style="2" customWidth="1"/>
    <col min="2572" max="2573" width="11.6640625" style="2" customWidth="1"/>
    <col min="2574" max="2575" width="14.6640625" style="2" customWidth="1"/>
    <col min="2576" max="2576" width="7.6640625" style="2" customWidth="1"/>
    <col min="2577" max="2577" width="9.109375" style="2"/>
    <col min="2578" max="2578" width="12.88671875" style="2" bestFit="1" customWidth="1"/>
    <col min="2579" max="2817" width="9.109375" style="2"/>
    <col min="2818" max="2818" width="5.6640625" style="2" customWidth="1"/>
    <col min="2819" max="2819" width="22.6640625" style="2" customWidth="1"/>
    <col min="2820" max="2820" width="15.6640625" style="2" customWidth="1"/>
    <col min="2821" max="2822" width="5.6640625" style="2" customWidth="1"/>
    <col min="2823" max="2823" width="13.6640625" style="2" customWidth="1"/>
    <col min="2824" max="2826" width="11.6640625" style="2" customWidth="1"/>
    <col min="2827" max="2827" width="6.6640625" style="2" customWidth="1"/>
    <col min="2828" max="2829" width="11.6640625" style="2" customWidth="1"/>
    <col min="2830" max="2831" width="14.6640625" style="2" customWidth="1"/>
    <col min="2832" max="2832" width="7.6640625" style="2" customWidth="1"/>
    <col min="2833" max="2833" width="9.109375" style="2"/>
    <col min="2834" max="2834" width="12.88671875" style="2" bestFit="1" customWidth="1"/>
    <col min="2835" max="3073" width="9.109375" style="2"/>
    <col min="3074" max="3074" width="5.6640625" style="2" customWidth="1"/>
    <col min="3075" max="3075" width="22.6640625" style="2" customWidth="1"/>
    <col min="3076" max="3076" width="15.6640625" style="2" customWidth="1"/>
    <col min="3077" max="3078" width="5.6640625" style="2" customWidth="1"/>
    <col min="3079" max="3079" width="13.6640625" style="2" customWidth="1"/>
    <col min="3080" max="3082" width="11.6640625" style="2" customWidth="1"/>
    <col min="3083" max="3083" width="6.6640625" style="2" customWidth="1"/>
    <col min="3084" max="3085" width="11.6640625" style="2" customWidth="1"/>
    <col min="3086" max="3087" width="14.6640625" style="2" customWidth="1"/>
    <col min="3088" max="3088" width="7.6640625" style="2" customWidth="1"/>
    <col min="3089" max="3089" width="9.109375" style="2"/>
    <col min="3090" max="3090" width="12.88671875" style="2" bestFit="1" customWidth="1"/>
    <col min="3091" max="3329" width="9.109375" style="2"/>
    <col min="3330" max="3330" width="5.6640625" style="2" customWidth="1"/>
    <col min="3331" max="3331" width="22.6640625" style="2" customWidth="1"/>
    <col min="3332" max="3332" width="15.6640625" style="2" customWidth="1"/>
    <col min="3333" max="3334" width="5.6640625" style="2" customWidth="1"/>
    <col min="3335" max="3335" width="13.6640625" style="2" customWidth="1"/>
    <col min="3336" max="3338" width="11.6640625" style="2" customWidth="1"/>
    <col min="3339" max="3339" width="6.6640625" style="2" customWidth="1"/>
    <col min="3340" max="3341" width="11.6640625" style="2" customWidth="1"/>
    <col min="3342" max="3343" width="14.6640625" style="2" customWidth="1"/>
    <col min="3344" max="3344" width="7.6640625" style="2" customWidth="1"/>
    <col min="3345" max="3345" width="9.109375" style="2"/>
    <col min="3346" max="3346" width="12.88671875" style="2" bestFit="1" customWidth="1"/>
    <col min="3347" max="3585" width="9.109375" style="2"/>
    <col min="3586" max="3586" width="5.6640625" style="2" customWidth="1"/>
    <col min="3587" max="3587" width="22.6640625" style="2" customWidth="1"/>
    <col min="3588" max="3588" width="15.6640625" style="2" customWidth="1"/>
    <col min="3589" max="3590" width="5.6640625" style="2" customWidth="1"/>
    <col min="3591" max="3591" width="13.6640625" style="2" customWidth="1"/>
    <col min="3592" max="3594" width="11.6640625" style="2" customWidth="1"/>
    <col min="3595" max="3595" width="6.6640625" style="2" customWidth="1"/>
    <col min="3596" max="3597" width="11.6640625" style="2" customWidth="1"/>
    <col min="3598" max="3599" width="14.6640625" style="2" customWidth="1"/>
    <col min="3600" max="3600" width="7.6640625" style="2" customWidth="1"/>
    <col min="3601" max="3601" width="9.109375" style="2"/>
    <col min="3602" max="3602" width="12.88671875" style="2" bestFit="1" customWidth="1"/>
    <col min="3603" max="3841" width="9.109375" style="2"/>
    <col min="3842" max="3842" width="5.6640625" style="2" customWidth="1"/>
    <col min="3843" max="3843" width="22.6640625" style="2" customWidth="1"/>
    <col min="3844" max="3844" width="15.6640625" style="2" customWidth="1"/>
    <col min="3845" max="3846" width="5.6640625" style="2" customWidth="1"/>
    <col min="3847" max="3847" width="13.6640625" style="2" customWidth="1"/>
    <col min="3848" max="3850" width="11.6640625" style="2" customWidth="1"/>
    <col min="3851" max="3851" width="6.6640625" style="2" customWidth="1"/>
    <col min="3852" max="3853" width="11.6640625" style="2" customWidth="1"/>
    <col min="3854" max="3855" width="14.6640625" style="2" customWidth="1"/>
    <col min="3856" max="3856" width="7.6640625" style="2" customWidth="1"/>
    <col min="3857" max="3857" width="9.109375" style="2"/>
    <col min="3858" max="3858" width="12.88671875" style="2" bestFit="1" customWidth="1"/>
    <col min="3859" max="4097" width="9.109375" style="2"/>
    <col min="4098" max="4098" width="5.6640625" style="2" customWidth="1"/>
    <col min="4099" max="4099" width="22.6640625" style="2" customWidth="1"/>
    <col min="4100" max="4100" width="15.6640625" style="2" customWidth="1"/>
    <col min="4101" max="4102" width="5.6640625" style="2" customWidth="1"/>
    <col min="4103" max="4103" width="13.6640625" style="2" customWidth="1"/>
    <col min="4104" max="4106" width="11.6640625" style="2" customWidth="1"/>
    <col min="4107" max="4107" width="6.6640625" style="2" customWidth="1"/>
    <col min="4108" max="4109" width="11.6640625" style="2" customWidth="1"/>
    <col min="4110" max="4111" width="14.6640625" style="2" customWidth="1"/>
    <col min="4112" max="4112" width="7.6640625" style="2" customWidth="1"/>
    <col min="4113" max="4113" width="9.109375" style="2"/>
    <col min="4114" max="4114" width="12.88671875" style="2" bestFit="1" customWidth="1"/>
    <col min="4115" max="4353" width="9.109375" style="2"/>
    <col min="4354" max="4354" width="5.6640625" style="2" customWidth="1"/>
    <col min="4355" max="4355" width="22.6640625" style="2" customWidth="1"/>
    <col min="4356" max="4356" width="15.6640625" style="2" customWidth="1"/>
    <col min="4357" max="4358" width="5.6640625" style="2" customWidth="1"/>
    <col min="4359" max="4359" width="13.6640625" style="2" customWidth="1"/>
    <col min="4360" max="4362" width="11.6640625" style="2" customWidth="1"/>
    <col min="4363" max="4363" width="6.6640625" style="2" customWidth="1"/>
    <col min="4364" max="4365" width="11.6640625" style="2" customWidth="1"/>
    <col min="4366" max="4367" width="14.6640625" style="2" customWidth="1"/>
    <col min="4368" max="4368" width="7.6640625" style="2" customWidth="1"/>
    <col min="4369" max="4369" width="9.109375" style="2"/>
    <col min="4370" max="4370" width="12.88671875" style="2" bestFit="1" customWidth="1"/>
    <col min="4371" max="4609" width="9.109375" style="2"/>
    <col min="4610" max="4610" width="5.6640625" style="2" customWidth="1"/>
    <col min="4611" max="4611" width="22.6640625" style="2" customWidth="1"/>
    <col min="4612" max="4612" width="15.6640625" style="2" customWidth="1"/>
    <col min="4613" max="4614" width="5.6640625" style="2" customWidth="1"/>
    <col min="4615" max="4615" width="13.6640625" style="2" customWidth="1"/>
    <col min="4616" max="4618" width="11.6640625" style="2" customWidth="1"/>
    <col min="4619" max="4619" width="6.6640625" style="2" customWidth="1"/>
    <col min="4620" max="4621" width="11.6640625" style="2" customWidth="1"/>
    <col min="4622" max="4623" width="14.6640625" style="2" customWidth="1"/>
    <col min="4624" max="4624" width="7.6640625" style="2" customWidth="1"/>
    <col min="4625" max="4625" width="9.109375" style="2"/>
    <col min="4626" max="4626" width="12.88671875" style="2" bestFit="1" customWidth="1"/>
    <col min="4627" max="4865" width="9.109375" style="2"/>
    <col min="4866" max="4866" width="5.6640625" style="2" customWidth="1"/>
    <col min="4867" max="4867" width="22.6640625" style="2" customWidth="1"/>
    <col min="4868" max="4868" width="15.6640625" style="2" customWidth="1"/>
    <col min="4869" max="4870" width="5.6640625" style="2" customWidth="1"/>
    <col min="4871" max="4871" width="13.6640625" style="2" customWidth="1"/>
    <col min="4872" max="4874" width="11.6640625" style="2" customWidth="1"/>
    <col min="4875" max="4875" width="6.6640625" style="2" customWidth="1"/>
    <col min="4876" max="4877" width="11.6640625" style="2" customWidth="1"/>
    <col min="4878" max="4879" width="14.6640625" style="2" customWidth="1"/>
    <col min="4880" max="4880" width="7.6640625" style="2" customWidth="1"/>
    <col min="4881" max="4881" width="9.109375" style="2"/>
    <col min="4882" max="4882" width="12.88671875" style="2" bestFit="1" customWidth="1"/>
    <col min="4883" max="5121" width="9.109375" style="2"/>
    <col min="5122" max="5122" width="5.6640625" style="2" customWidth="1"/>
    <col min="5123" max="5123" width="22.6640625" style="2" customWidth="1"/>
    <col min="5124" max="5124" width="15.6640625" style="2" customWidth="1"/>
    <col min="5125" max="5126" width="5.6640625" style="2" customWidth="1"/>
    <col min="5127" max="5127" width="13.6640625" style="2" customWidth="1"/>
    <col min="5128" max="5130" width="11.6640625" style="2" customWidth="1"/>
    <col min="5131" max="5131" width="6.6640625" style="2" customWidth="1"/>
    <col min="5132" max="5133" width="11.6640625" style="2" customWidth="1"/>
    <col min="5134" max="5135" width="14.6640625" style="2" customWidth="1"/>
    <col min="5136" max="5136" width="7.6640625" style="2" customWidth="1"/>
    <col min="5137" max="5137" width="9.109375" style="2"/>
    <col min="5138" max="5138" width="12.88671875" style="2" bestFit="1" customWidth="1"/>
    <col min="5139" max="5377" width="9.109375" style="2"/>
    <col min="5378" max="5378" width="5.6640625" style="2" customWidth="1"/>
    <col min="5379" max="5379" width="22.6640625" style="2" customWidth="1"/>
    <col min="5380" max="5380" width="15.6640625" style="2" customWidth="1"/>
    <col min="5381" max="5382" width="5.6640625" style="2" customWidth="1"/>
    <col min="5383" max="5383" width="13.6640625" style="2" customWidth="1"/>
    <col min="5384" max="5386" width="11.6640625" style="2" customWidth="1"/>
    <col min="5387" max="5387" width="6.6640625" style="2" customWidth="1"/>
    <col min="5388" max="5389" width="11.6640625" style="2" customWidth="1"/>
    <col min="5390" max="5391" width="14.6640625" style="2" customWidth="1"/>
    <col min="5392" max="5392" width="7.6640625" style="2" customWidth="1"/>
    <col min="5393" max="5393" width="9.109375" style="2"/>
    <col min="5394" max="5394" width="12.88671875" style="2" bestFit="1" customWidth="1"/>
    <col min="5395" max="5633" width="9.109375" style="2"/>
    <col min="5634" max="5634" width="5.6640625" style="2" customWidth="1"/>
    <col min="5635" max="5635" width="22.6640625" style="2" customWidth="1"/>
    <col min="5636" max="5636" width="15.6640625" style="2" customWidth="1"/>
    <col min="5637" max="5638" width="5.6640625" style="2" customWidth="1"/>
    <col min="5639" max="5639" width="13.6640625" style="2" customWidth="1"/>
    <col min="5640" max="5642" width="11.6640625" style="2" customWidth="1"/>
    <col min="5643" max="5643" width="6.6640625" style="2" customWidth="1"/>
    <col min="5644" max="5645" width="11.6640625" style="2" customWidth="1"/>
    <col min="5646" max="5647" width="14.6640625" style="2" customWidth="1"/>
    <col min="5648" max="5648" width="7.6640625" style="2" customWidth="1"/>
    <col min="5649" max="5649" width="9.109375" style="2"/>
    <col min="5650" max="5650" width="12.88671875" style="2" bestFit="1" customWidth="1"/>
    <col min="5651" max="5889" width="9.109375" style="2"/>
    <col min="5890" max="5890" width="5.6640625" style="2" customWidth="1"/>
    <col min="5891" max="5891" width="22.6640625" style="2" customWidth="1"/>
    <col min="5892" max="5892" width="15.6640625" style="2" customWidth="1"/>
    <col min="5893" max="5894" width="5.6640625" style="2" customWidth="1"/>
    <col min="5895" max="5895" width="13.6640625" style="2" customWidth="1"/>
    <col min="5896" max="5898" width="11.6640625" style="2" customWidth="1"/>
    <col min="5899" max="5899" width="6.6640625" style="2" customWidth="1"/>
    <col min="5900" max="5901" width="11.6640625" style="2" customWidth="1"/>
    <col min="5902" max="5903" width="14.6640625" style="2" customWidth="1"/>
    <col min="5904" max="5904" width="7.6640625" style="2" customWidth="1"/>
    <col min="5905" max="5905" width="9.109375" style="2"/>
    <col min="5906" max="5906" width="12.88671875" style="2" bestFit="1" customWidth="1"/>
    <col min="5907" max="6145" width="9.109375" style="2"/>
    <col min="6146" max="6146" width="5.6640625" style="2" customWidth="1"/>
    <col min="6147" max="6147" width="22.6640625" style="2" customWidth="1"/>
    <col min="6148" max="6148" width="15.6640625" style="2" customWidth="1"/>
    <col min="6149" max="6150" width="5.6640625" style="2" customWidth="1"/>
    <col min="6151" max="6151" width="13.6640625" style="2" customWidth="1"/>
    <col min="6152" max="6154" width="11.6640625" style="2" customWidth="1"/>
    <col min="6155" max="6155" width="6.6640625" style="2" customWidth="1"/>
    <col min="6156" max="6157" width="11.6640625" style="2" customWidth="1"/>
    <col min="6158" max="6159" width="14.6640625" style="2" customWidth="1"/>
    <col min="6160" max="6160" width="7.6640625" style="2" customWidth="1"/>
    <col min="6161" max="6161" width="9.109375" style="2"/>
    <col min="6162" max="6162" width="12.88671875" style="2" bestFit="1" customWidth="1"/>
    <col min="6163" max="6401" width="9.109375" style="2"/>
    <col min="6402" max="6402" width="5.6640625" style="2" customWidth="1"/>
    <col min="6403" max="6403" width="22.6640625" style="2" customWidth="1"/>
    <col min="6404" max="6404" width="15.6640625" style="2" customWidth="1"/>
    <col min="6405" max="6406" width="5.6640625" style="2" customWidth="1"/>
    <col min="6407" max="6407" width="13.6640625" style="2" customWidth="1"/>
    <col min="6408" max="6410" width="11.6640625" style="2" customWidth="1"/>
    <col min="6411" max="6411" width="6.6640625" style="2" customWidth="1"/>
    <col min="6412" max="6413" width="11.6640625" style="2" customWidth="1"/>
    <col min="6414" max="6415" width="14.6640625" style="2" customWidth="1"/>
    <col min="6416" max="6416" width="7.6640625" style="2" customWidth="1"/>
    <col min="6417" max="6417" width="9.109375" style="2"/>
    <col min="6418" max="6418" width="12.88671875" style="2" bestFit="1" customWidth="1"/>
    <col min="6419" max="6657" width="9.109375" style="2"/>
    <col min="6658" max="6658" width="5.6640625" style="2" customWidth="1"/>
    <col min="6659" max="6659" width="22.6640625" style="2" customWidth="1"/>
    <col min="6660" max="6660" width="15.6640625" style="2" customWidth="1"/>
    <col min="6661" max="6662" width="5.6640625" style="2" customWidth="1"/>
    <col min="6663" max="6663" width="13.6640625" style="2" customWidth="1"/>
    <col min="6664" max="6666" width="11.6640625" style="2" customWidth="1"/>
    <col min="6667" max="6667" width="6.6640625" style="2" customWidth="1"/>
    <col min="6668" max="6669" width="11.6640625" style="2" customWidth="1"/>
    <col min="6670" max="6671" width="14.6640625" style="2" customWidth="1"/>
    <col min="6672" max="6672" width="7.6640625" style="2" customWidth="1"/>
    <col min="6673" max="6673" width="9.109375" style="2"/>
    <col min="6674" max="6674" width="12.88671875" style="2" bestFit="1" customWidth="1"/>
    <col min="6675" max="6913" width="9.109375" style="2"/>
    <col min="6914" max="6914" width="5.6640625" style="2" customWidth="1"/>
    <col min="6915" max="6915" width="22.6640625" style="2" customWidth="1"/>
    <col min="6916" max="6916" width="15.6640625" style="2" customWidth="1"/>
    <col min="6917" max="6918" width="5.6640625" style="2" customWidth="1"/>
    <col min="6919" max="6919" width="13.6640625" style="2" customWidth="1"/>
    <col min="6920" max="6922" width="11.6640625" style="2" customWidth="1"/>
    <col min="6923" max="6923" width="6.6640625" style="2" customWidth="1"/>
    <col min="6924" max="6925" width="11.6640625" style="2" customWidth="1"/>
    <col min="6926" max="6927" width="14.6640625" style="2" customWidth="1"/>
    <col min="6928" max="6928" width="7.6640625" style="2" customWidth="1"/>
    <col min="6929" max="6929" width="9.109375" style="2"/>
    <col min="6930" max="6930" width="12.88671875" style="2" bestFit="1" customWidth="1"/>
    <col min="6931" max="7169" width="9.109375" style="2"/>
    <col min="7170" max="7170" width="5.6640625" style="2" customWidth="1"/>
    <col min="7171" max="7171" width="22.6640625" style="2" customWidth="1"/>
    <col min="7172" max="7172" width="15.6640625" style="2" customWidth="1"/>
    <col min="7173" max="7174" width="5.6640625" style="2" customWidth="1"/>
    <col min="7175" max="7175" width="13.6640625" style="2" customWidth="1"/>
    <col min="7176" max="7178" width="11.6640625" style="2" customWidth="1"/>
    <col min="7179" max="7179" width="6.6640625" style="2" customWidth="1"/>
    <col min="7180" max="7181" width="11.6640625" style="2" customWidth="1"/>
    <col min="7182" max="7183" width="14.6640625" style="2" customWidth="1"/>
    <col min="7184" max="7184" width="7.6640625" style="2" customWidth="1"/>
    <col min="7185" max="7185" width="9.109375" style="2"/>
    <col min="7186" max="7186" width="12.88671875" style="2" bestFit="1" customWidth="1"/>
    <col min="7187" max="7425" width="9.109375" style="2"/>
    <col min="7426" max="7426" width="5.6640625" style="2" customWidth="1"/>
    <col min="7427" max="7427" width="22.6640625" style="2" customWidth="1"/>
    <col min="7428" max="7428" width="15.6640625" style="2" customWidth="1"/>
    <col min="7429" max="7430" width="5.6640625" style="2" customWidth="1"/>
    <col min="7431" max="7431" width="13.6640625" style="2" customWidth="1"/>
    <col min="7432" max="7434" width="11.6640625" style="2" customWidth="1"/>
    <col min="7435" max="7435" width="6.6640625" style="2" customWidth="1"/>
    <col min="7436" max="7437" width="11.6640625" style="2" customWidth="1"/>
    <col min="7438" max="7439" width="14.6640625" style="2" customWidth="1"/>
    <col min="7440" max="7440" width="7.6640625" style="2" customWidth="1"/>
    <col min="7441" max="7441" width="9.109375" style="2"/>
    <col min="7442" max="7442" width="12.88671875" style="2" bestFit="1" customWidth="1"/>
    <col min="7443" max="7681" width="9.109375" style="2"/>
    <col min="7682" max="7682" width="5.6640625" style="2" customWidth="1"/>
    <col min="7683" max="7683" width="22.6640625" style="2" customWidth="1"/>
    <col min="7684" max="7684" width="15.6640625" style="2" customWidth="1"/>
    <col min="7685" max="7686" width="5.6640625" style="2" customWidth="1"/>
    <col min="7687" max="7687" width="13.6640625" style="2" customWidth="1"/>
    <col min="7688" max="7690" width="11.6640625" style="2" customWidth="1"/>
    <col min="7691" max="7691" width="6.6640625" style="2" customWidth="1"/>
    <col min="7692" max="7693" width="11.6640625" style="2" customWidth="1"/>
    <col min="7694" max="7695" width="14.6640625" style="2" customWidth="1"/>
    <col min="7696" max="7696" width="7.6640625" style="2" customWidth="1"/>
    <col min="7697" max="7697" width="9.109375" style="2"/>
    <col min="7698" max="7698" width="12.88671875" style="2" bestFit="1" customWidth="1"/>
    <col min="7699" max="7937" width="9.109375" style="2"/>
    <col min="7938" max="7938" width="5.6640625" style="2" customWidth="1"/>
    <col min="7939" max="7939" width="22.6640625" style="2" customWidth="1"/>
    <col min="7940" max="7940" width="15.6640625" style="2" customWidth="1"/>
    <col min="7941" max="7942" width="5.6640625" style="2" customWidth="1"/>
    <col min="7943" max="7943" width="13.6640625" style="2" customWidth="1"/>
    <col min="7944" max="7946" width="11.6640625" style="2" customWidth="1"/>
    <col min="7947" max="7947" width="6.6640625" style="2" customWidth="1"/>
    <col min="7948" max="7949" width="11.6640625" style="2" customWidth="1"/>
    <col min="7950" max="7951" width="14.6640625" style="2" customWidth="1"/>
    <col min="7952" max="7952" width="7.6640625" style="2" customWidth="1"/>
    <col min="7953" max="7953" width="9.109375" style="2"/>
    <col min="7954" max="7954" width="12.88671875" style="2" bestFit="1" customWidth="1"/>
    <col min="7955" max="8193" width="9.109375" style="2"/>
    <col min="8194" max="8194" width="5.6640625" style="2" customWidth="1"/>
    <col min="8195" max="8195" width="22.6640625" style="2" customWidth="1"/>
    <col min="8196" max="8196" width="15.6640625" style="2" customWidth="1"/>
    <col min="8197" max="8198" width="5.6640625" style="2" customWidth="1"/>
    <col min="8199" max="8199" width="13.6640625" style="2" customWidth="1"/>
    <col min="8200" max="8202" width="11.6640625" style="2" customWidth="1"/>
    <col min="8203" max="8203" width="6.6640625" style="2" customWidth="1"/>
    <col min="8204" max="8205" width="11.6640625" style="2" customWidth="1"/>
    <col min="8206" max="8207" width="14.6640625" style="2" customWidth="1"/>
    <col min="8208" max="8208" width="7.6640625" style="2" customWidth="1"/>
    <col min="8209" max="8209" width="9.109375" style="2"/>
    <col min="8210" max="8210" width="12.88671875" style="2" bestFit="1" customWidth="1"/>
    <col min="8211" max="8449" width="9.109375" style="2"/>
    <col min="8450" max="8450" width="5.6640625" style="2" customWidth="1"/>
    <col min="8451" max="8451" width="22.6640625" style="2" customWidth="1"/>
    <col min="8452" max="8452" width="15.6640625" style="2" customWidth="1"/>
    <col min="8453" max="8454" width="5.6640625" style="2" customWidth="1"/>
    <col min="8455" max="8455" width="13.6640625" style="2" customWidth="1"/>
    <col min="8456" max="8458" width="11.6640625" style="2" customWidth="1"/>
    <col min="8459" max="8459" width="6.6640625" style="2" customWidth="1"/>
    <col min="8460" max="8461" width="11.6640625" style="2" customWidth="1"/>
    <col min="8462" max="8463" width="14.6640625" style="2" customWidth="1"/>
    <col min="8464" max="8464" width="7.6640625" style="2" customWidth="1"/>
    <col min="8465" max="8465" width="9.109375" style="2"/>
    <col min="8466" max="8466" width="12.88671875" style="2" bestFit="1" customWidth="1"/>
    <col min="8467" max="8705" width="9.109375" style="2"/>
    <col min="8706" max="8706" width="5.6640625" style="2" customWidth="1"/>
    <col min="8707" max="8707" width="22.6640625" style="2" customWidth="1"/>
    <col min="8708" max="8708" width="15.6640625" style="2" customWidth="1"/>
    <col min="8709" max="8710" width="5.6640625" style="2" customWidth="1"/>
    <col min="8711" max="8711" width="13.6640625" style="2" customWidth="1"/>
    <col min="8712" max="8714" width="11.6640625" style="2" customWidth="1"/>
    <col min="8715" max="8715" width="6.6640625" style="2" customWidth="1"/>
    <col min="8716" max="8717" width="11.6640625" style="2" customWidth="1"/>
    <col min="8718" max="8719" width="14.6640625" style="2" customWidth="1"/>
    <col min="8720" max="8720" width="7.6640625" style="2" customWidth="1"/>
    <col min="8721" max="8721" width="9.109375" style="2"/>
    <col min="8722" max="8722" width="12.88671875" style="2" bestFit="1" customWidth="1"/>
    <col min="8723" max="8961" width="9.109375" style="2"/>
    <col min="8962" max="8962" width="5.6640625" style="2" customWidth="1"/>
    <col min="8963" max="8963" width="22.6640625" style="2" customWidth="1"/>
    <col min="8964" max="8964" width="15.6640625" style="2" customWidth="1"/>
    <col min="8965" max="8966" width="5.6640625" style="2" customWidth="1"/>
    <col min="8967" max="8967" width="13.6640625" style="2" customWidth="1"/>
    <col min="8968" max="8970" width="11.6640625" style="2" customWidth="1"/>
    <col min="8971" max="8971" width="6.6640625" style="2" customWidth="1"/>
    <col min="8972" max="8973" width="11.6640625" style="2" customWidth="1"/>
    <col min="8974" max="8975" width="14.6640625" style="2" customWidth="1"/>
    <col min="8976" max="8976" width="7.6640625" style="2" customWidth="1"/>
    <col min="8977" max="8977" width="9.109375" style="2"/>
    <col min="8978" max="8978" width="12.88671875" style="2" bestFit="1" customWidth="1"/>
    <col min="8979" max="9217" width="9.109375" style="2"/>
    <col min="9218" max="9218" width="5.6640625" style="2" customWidth="1"/>
    <col min="9219" max="9219" width="22.6640625" style="2" customWidth="1"/>
    <col min="9220" max="9220" width="15.6640625" style="2" customWidth="1"/>
    <col min="9221" max="9222" width="5.6640625" style="2" customWidth="1"/>
    <col min="9223" max="9223" width="13.6640625" style="2" customWidth="1"/>
    <col min="9224" max="9226" width="11.6640625" style="2" customWidth="1"/>
    <col min="9227" max="9227" width="6.6640625" style="2" customWidth="1"/>
    <col min="9228" max="9229" width="11.6640625" style="2" customWidth="1"/>
    <col min="9230" max="9231" width="14.6640625" style="2" customWidth="1"/>
    <col min="9232" max="9232" width="7.6640625" style="2" customWidth="1"/>
    <col min="9233" max="9233" width="9.109375" style="2"/>
    <col min="9234" max="9234" width="12.88671875" style="2" bestFit="1" customWidth="1"/>
    <col min="9235" max="9473" width="9.109375" style="2"/>
    <col min="9474" max="9474" width="5.6640625" style="2" customWidth="1"/>
    <col min="9475" max="9475" width="22.6640625" style="2" customWidth="1"/>
    <col min="9476" max="9476" width="15.6640625" style="2" customWidth="1"/>
    <col min="9477" max="9478" width="5.6640625" style="2" customWidth="1"/>
    <col min="9479" max="9479" width="13.6640625" style="2" customWidth="1"/>
    <col min="9480" max="9482" width="11.6640625" style="2" customWidth="1"/>
    <col min="9483" max="9483" width="6.6640625" style="2" customWidth="1"/>
    <col min="9484" max="9485" width="11.6640625" style="2" customWidth="1"/>
    <col min="9486" max="9487" width="14.6640625" style="2" customWidth="1"/>
    <col min="9488" max="9488" width="7.6640625" style="2" customWidth="1"/>
    <col min="9489" max="9489" width="9.109375" style="2"/>
    <col min="9490" max="9490" width="12.88671875" style="2" bestFit="1" customWidth="1"/>
    <col min="9491" max="9729" width="9.109375" style="2"/>
    <col min="9730" max="9730" width="5.6640625" style="2" customWidth="1"/>
    <col min="9731" max="9731" width="22.6640625" style="2" customWidth="1"/>
    <col min="9732" max="9732" width="15.6640625" style="2" customWidth="1"/>
    <col min="9733" max="9734" width="5.6640625" style="2" customWidth="1"/>
    <col min="9735" max="9735" width="13.6640625" style="2" customWidth="1"/>
    <col min="9736" max="9738" width="11.6640625" style="2" customWidth="1"/>
    <col min="9739" max="9739" width="6.6640625" style="2" customWidth="1"/>
    <col min="9740" max="9741" width="11.6640625" style="2" customWidth="1"/>
    <col min="9742" max="9743" width="14.6640625" style="2" customWidth="1"/>
    <col min="9744" max="9744" width="7.6640625" style="2" customWidth="1"/>
    <col min="9745" max="9745" width="9.109375" style="2"/>
    <col min="9746" max="9746" width="12.88671875" style="2" bestFit="1" customWidth="1"/>
    <col min="9747" max="9985" width="9.109375" style="2"/>
    <col min="9986" max="9986" width="5.6640625" style="2" customWidth="1"/>
    <col min="9987" max="9987" width="22.6640625" style="2" customWidth="1"/>
    <col min="9988" max="9988" width="15.6640625" style="2" customWidth="1"/>
    <col min="9989" max="9990" width="5.6640625" style="2" customWidth="1"/>
    <col min="9991" max="9991" width="13.6640625" style="2" customWidth="1"/>
    <col min="9992" max="9994" width="11.6640625" style="2" customWidth="1"/>
    <col min="9995" max="9995" width="6.6640625" style="2" customWidth="1"/>
    <col min="9996" max="9997" width="11.6640625" style="2" customWidth="1"/>
    <col min="9998" max="9999" width="14.6640625" style="2" customWidth="1"/>
    <col min="10000" max="10000" width="7.6640625" style="2" customWidth="1"/>
    <col min="10001" max="10001" width="9.109375" style="2"/>
    <col min="10002" max="10002" width="12.88671875" style="2" bestFit="1" customWidth="1"/>
    <col min="10003" max="10241" width="9.109375" style="2"/>
    <col min="10242" max="10242" width="5.6640625" style="2" customWidth="1"/>
    <col min="10243" max="10243" width="22.6640625" style="2" customWidth="1"/>
    <col min="10244" max="10244" width="15.6640625" style="2" customWidth="1"/>
    <col min="10245" max="10246" width="5.6640625" style="2" customWidth="1"/>
    <col min="10247" max="10247" width="13.6640625" style="2" customWidth="1"/>
    <col min="10248" max="10250" width="11.6640625" style="2" customWidth="1"/>
    <col min="10251" max="10251" width="6.6640625" style="2" customWidth="1"/>
    <col min="10252" max="10253" width="11.6640625" style="2" customWidth="1"/>
    <col min="10254" max="10255" width="14.6640625" style="2" customWidth="1"/>
    <col min="10256" max="10256" width="7.6640625" style="2" customWidth="1"/>
    <col min="10257" max="10257" width="9.109375" style="2"/>
    <col min="10258" max="10258" width="12.88671875" style="2" bestFit="1" customWidth="1"/>
    <col min="10259" max="10497" width="9.109375" style="2"/>
    <col min="10498" max="10498" width="5.6640625" style="2" customWidth="1"/>
    <col min="10499" max="10499" width="22.6640625" style="2" customWidth="1"/>
    <col min="10500" max="10500" width="15.6640625" style="2" customWidth="1"/>
    <col min="10501" max="10502" width="5.6640625" style="2" customWidth="1"/>
    <col min="10503" max="10503" width="13.6640625" style="2" customWidth="1"/>
    <col min="10504" max="10506" width="11.6640625" style="2" customWidth="1"/>
    <col min="10507" max="10507" width="6.6640625" style="2" customWidth="1"/>
    <col min="10508" max="10509" width="11.6640625" style="2" customWidth="1"/>
    <col min="10510" max="10511" width="14.6640625" style="2" customWidth="1"/>
    <col min="10512" max="10512" width="7.6640625" style="2" customWidth="1"/>
    <col min="10513" max="10513" width="9.109375" style="2"/>
    <col min="10514" max="10514" width="12.88671875" style="2" bestFit="1" customWidth="1"/>
    <col min="10515" max="10753" width="9.109375" style="2"/>
    <col min="10754" max="10754" width="5.6640625" style="2" customWidth="1"/>
    <col min="10755" max="10755" width="22.6640625" style="2" customWidth="1"/>
    <col min="10756" max="10756" width="15.6640625" style="2" customWidth="1"/>
    <col min="10757" max="10758" width="5.6640625" style="2" customWidth="1"/>
    <col min="10759" max="10759" width="13.6640625" style="2" customWidth="1"/>
    <col min="10760" max="10762" width="11.6640625" style="2" customWidth="1"/>
    <col min="10763" max="10763" width="6.6640625" style="2" customWidth="1"/>
    <col min="10764" max="10765" width="11.6640625" style="2" customWidth="1"/>
    <col min="10766" max="10767" width="14.6640625" style="2" customWidth="1"/>
    <col min="10768" max="10768" width="7.6640625" style="2" customWidth="1"/>
    <col min="10769" max="10769" width="9.109375" style="2"/>
    <col min="10770" max="10770" width="12.88671875" style="2" bestFit="1" customWidth="1"/>
    <col min="10771" max="11009" width="9.109375" style="2"/>
    <col min="11010" max="11010" width="5.6640625" style="2" customWidth="1"/>
    <col min="11011" max="11011" width="22.6640625" style="2" customWidth="1"/>
    <col min="11012" max="11012" width="15.6640625" style="2" customWidth="1"/>
    <col min="11013" max="11014" width="5.6640625" style="2" customWidth="1"/>
    <col min="11015" max="11015" width="13.6640625" style="2" customWidth="1"/>
    <col min="11016" max="11018" width="11.6640625" style="2" customWidth="1"/>
    <col min="11019" max="11019" width="6.6640625" style="2" customWidth="1"/>
    <col min="11020" max="11021" width="11.6640625" style="2" customWidth="1"/>
    <col min="11022" max="11023" width="14.6640625" style="2" customWidth="1"/>
    <col min="11024" max="11024" width="7.6640625" style="2" customWidth="1"/>
    <col min="11025" max="11025" width="9.109375" style="2"/>
    <col min="11026" max="11026" width="12.88671875" style="2" bestFit="1" customWidth="1"/>
    <col min="11027" max="11265" width="9.109375" style="2"/>
    <col min="11266" max="11266" width="5.6640625" style="2" customWidth="1"/>
    <col min="11267" max="11267" width="22.6640625" style="2" customWidth="1"/>
    <col min="11268" max="11268" width="15.6640625" style="2" customWidth="1"/>
    <col min="11269" max="11270" width="5.6640625" style="2" customWidth="1"/>
    <col min="11271" max="11271" width="13.6640625" style="2" customWidth="1"/>
    <col min="11272" max="11274" width="11.6640625" style="2" customWidth="1"/>
    <col min="11275" max="11275" width="6.6640625" style="2" customWidth="1"/>
    <col min="11276" max="11277" width="11.6640625" style="2" customWidth="1"/>
    <col min="11278" max="11279" width="14.6640625" style="2" customWidth="1"/>
    <col min="11280" max="11280" width="7.6640625" style="2" customWidth="1"/>
    <col min="11281" max="11281" width="9.109375" style="2"/>
    <col min="11282" max="11282" width="12.88671875" style="2" bestFit="1" customWidth="1"/>
    <col min="11283" max="11521" width="9.109375" style="2"/>
    <col min="11522" max="11522" width="5.6640625" style="2" customWidth="1"/>
    <col min="11523" max="11523" width="22.6640625" style="2" customWidth="1"/>
    <col min="11524" max="11524" width="15.6640625" style="2" customWidth="1"/>
    <col min="11525" max="11526" width="5.6640625" style="2" customWidth="1"/>
    <col min="11527" max="11527" width="13.6640625" style="2" customWidth="1"/>
    <col min="11528" max="11530" width="11.6640625" style="2" customWidth="1"/>
    <col min="11531" max="11531" width="6.6640625" style="2" customWidth="1"/>
    <col min="11532" max="11533" width="11.6640625" style="2" customWidth="1"/>
    <col min="11534" max="11535" width="14.6640625" style="2" customWidth="1"/>
    <col min="11536" max="11536" width="7.6640625" style="2" customWidth="1"/>
    <col min="11537" max="11537" width="9.109375" style="2"/>
    <col min="11538" max="11538" width="12.88671875" style="2" bestFit="1" customWidth="1"/>
    <col min="11539" max="11777" width="9.109375" style="2"/>
    <col min="11778" max="11778" width="5.6640625" style="2" customWidth="1"/>
    <col min="11779" max="11779" width="22.6640625" style="2" customWidth="1"/>
    <col min="11780" max="11780" width="15.6640625" style="2" customWidth="1"/>
    <col min="11781" max="11782" width="5.6640625" style="2" customWidth="1"/>
    <col min="11783" max="11783" width="13.6640625" style="2" customWidth="1"/>
    <col min="11784" max="11786" width="11.6640625" style="2" customWidth="1"/>
    <col min="11787" max="11787" width="6.6640625" style="2" customWidth="1"/>
    <col min="11788" max="11789" width="11.6640625" style="2" customWidth="1"/>
    <col min="11790" max="11791" width="14.6640625" style="2" customWidth="1"/>
    <col min="11792" max="11792" width="7.6640625" style="2" customWidth="1"/>
    <col min="11793" max="11793" width="9.109375" style="2"/>
    <col min="11794" max="11794" width="12.88671875" style="2" bestFit="1" customWidth="1"/>
    <col min="11795" max="12033" width="9.109375" style="2"/>
    <col min="12034" max="12034" width="5.6640625" style="2" customWidth="1"/>
    <col min="12035" max="12035" width="22.6640625" style="2" customWidth="1"/>
    <col min="12036" max="12036" width="15.6640625" style="2" customWidth="1"/>
    <col min="12037" max="12038" width="5.6640625" style="2" customWidth="1"/>
    <col min="12039" max="12039" width="13.6640625" style="2" customWidth="1"/>
    <col min="12040" max="12042" width="11.6640625" style="2" customWidth="1"/>
    <col min="12043" max="12043" width="6.6640625" style="2" customWidth="1"/>
    <col min="12044" max="12045" width="11.6640625" style="2" customWidth="1"/>
    <col min="12046" max="12047" width="14.6640625" style="2" customWidth="1"/>
    <col min="12048" max="12048" width="7.6640625" style="2" customWidth="1"/>
    <col min="12049" max="12049" width="9.109375" style="2"/>
    <col min="12050" max="12050" width="12.88671875" style="2" bestFit="1" customWidth="1"/>
    <col min="12051" max="12289" width="9.109375" style="2"/>
    <col min="12290" max="12290" width="5.6640625" style="2" customWidth="1"/>
    <col min="12291" max="12291" width="22.6640625" style="2" customWidth="1"/>
    <col min="12292" max="12292" width="15.6640625" style="2" customWidth="1"/>
    <col min="12293" max="12294" width="5.6640625" style="2" customWidth="1"/>
    <col min="12295" max="12295" width="13.6640625" style="2" customWidth="1"/>
    <col min="12296" max="12298" width="11.6640625" style="2" customWidth="1"/>
    <col min="12299" max="12299" width="6.6640625" style="2" customWidth="1"/>
    <col min="12300" max="12301" width="11.6640625" style="2" customWidth="1"/>
    <col min="12302" max="12303" width="14.6640625" style="2" customWidth="1"/>
    <col min="12304" max="12304" width="7.6640625" style="2" customWidth="1"/>
    <col min="12305" max="12305" width="9.109375" style="2"/>
    <col min="12306" max="12306" width="12.88671875" style="2" bestFit="1" customWidth="1"/>
    <col min="12307" max="12545" width="9.109375" style="2"/>
    <col min="12546" max="12546" width="5.6640625" style="2" customWidth="1"/>
    <col min="12547" max="12547" width="22.6640625" style="2" customWidth="1"/>
    <col min="12548" max="12548" width="15.6640625" style="2" customWidth="1"/>
    <col min="12549" max="12550" width="5.6640625" style="2" customWidth="1"/>
    <col min="12551" max="12551" width="13.6640625" style="2" customWidth="1"/>
    <col min="12552" max="12554" width="11.6640625" style="2" customWidth="1"/>
    <col min="12555" max="12555" width="6.6640625" style="2" customWidth="1"/>
    <col min="12556" max="12557" width="11.6640625" style="2" customWidth="1"/>
    <col min="12558" max="12559" width="14.6640625" style="2" customWidth="1"/>
    <col min="12560" max="12560" width="7.6640625" style="2" customWidth="1"/>
    <col min="12561" max="12561" width="9.109375" style="2"/>
    <col min="12562" max="12562" width="12.88671875" style="2" bestFit="1" customWidth="1"/>
    <col min="12563" max="12801" width="9.109375" style="2"/>
    <col min="12802" max="12802" width="5.6640625" style="2" customWidth="1"/>
    <col min="12803" max="12803" width="22.6640625" style="2" customWidth="1"/>
    <col min="12804" max="12804" width="15.6640625" style="2" customWidth="1"/>
    <col min="12805" max="12806" width="5.6640625" style="2" customWidth="1"/>
    <col min="12807" max="12807" width="13.6640625" style="2" customWidth="1"/>
    <col min="12808" max="12810" width="11.6640625" style="2" customWidth="1"/>
    <col min="12811" max="12811" width="6.6640625" style="2" customWidth="1"/>
    <col min="12812" max="12813" width="11.6640625" style="2" customWidth="1"/>
    <col min="12814" max="12815" width="14.6640625" style="2" customWidth="1"/>
    <col min="12816" max="12816" width="7.6640625" style="2" customWidth="1"/>
    <col min="12817" max="12817" width="9.109375" style="2"/>
    <col min="12818" max="12818" width="12.88671875" style="2" bestFit="1" customWidth="1"/>
    <col min="12819" max="13057" width="9.109375" style="2"/>
    <col min="13058" max="13058" width="5.6640625" style="2" customWidth="1"/>
    <col min="13059" max="13059" width="22.6640625" style="2" customWidth="1"/>
    <col min="13060" max="13060" width="15.6640625" style="2" customWidth="1"/>
    <col min="13061" max="13062" width="5.6640625" style="2" customWidth="1"/>
    <col min="13063" max="13063" width="13.6640625" style="2" customWidth="1"/>
    <col min="13064" max="13066" width="11.6640625" style="2" customWidth="1"/>
    <col min="13067" max="13067" width="6.6640625" style="2" customWidth="1"/>
    <col min="13068" max="13069" width="11.6640625" style="2" customWidth="1"/>
    <col min="13070" max="13071" width="14.6640625" style="2" customWidth="1"/>
    <col min="13072" max="13072" width="7.6640625" style="2" customWidth="1"/>
    <col min="13073" max="13073" width="9.109375" style="2"/>
    <col min="13074" max="13074" width="12.88671875" style="2" bestFit="1" customWidth="1"/>
    <col min="13075" max="13313" width="9.109375" style="2"/>
    <col min="13314" max="13314" width="5.6640625" style="2" customWidth="1"/>
    <col min="13315" max="13315" width="22.6640625" style="2" customWidth="1"/>
    <col min="13316" max="13316" width="15.6640625" style="2" customWidth="1"/>
    <col min="13317" max="13318" width="5.6640625" style="2" customWidth="1"/>
    <col min="13319" max="13319" width="13.6640625" style="2" customWidth="1"/>
    <col min="13320" max="13322" width="11.6640625" style="2" customWidth="1"/>
    <col min="13323" max="13323" width="6.6640625" style="2" customWidth="1"/>
    <col min="13324" max="13325" width="11.6640625" style="2" customWidth="1"/>
    <col min="13326" max="13327" width="14.6640625" style="2" customWidth="1"/>
    <col min="13328" max="13328" width="7.6640625" style="2" customWidth="1"/>
    <col min="13329" max="13329" width="9.109375" style="2"/>
    <col min="13330" max="13330" width="12.88671875" style="2" bestFit="1" customWidth="1"/>
    <col min="13331" max="13569" width="9.109375" style="2"/>
    <col min="13570" max="13570" width="5.6640625" style="2" customWidth="1"/>
    <col min="13571" max="13571" width="22.6640625" style="2" customWidth="1"/>
    <col min="13572" max="13572" width="15.6640625" style="2" customWidth="1"/>
    <col min="13573" max="13574" width="5.6640625" style="2" customWidth="1"/>
    <col min="13575" max="13575" width="13.6640625" style="2" customWidth="1"/>
    <col min="13576" max="13578" width="11.6640625" style="2" customWidth="1"/>
    <col min="13579" max="13579" width="6.6640625" style="2" customWidth="1"/>
    <col min="13580" max="13581" width="11.6640625" style="2" customWidth="1"/>
    <col min="13582" max="13583" width="14.6640625" style="2" customWidth="1"/>
    <col min="13584" max="13584" width="7.6640625" style="2" customWidth="1"/>
    <col min="13585" max="13585" width="9.109375" style="2"/>
    <col min="13586" max="13586" width="12.88671875" style="2" bestFit="1" customWidth="1"/>
    <col min="13587" max="13825" width="9.109375" style="2"/>
    <col min="13826" max="13826" width="5.6640625" style="2" customWidth="1"/>
    <col min="13827" max="13827" width="22.6640625" style="2" customWidth="1"/>
    <col min="13828" max="13828" width="15.6640625" style="2" customWidth="1"/>
    <col min="13829" max="13830" width="5.6640625" style="2" customWidth="1"/>
    <col min="13831" max="13831" width="13.6640625" style="2" customWidth="1"/>
    <col min="13832" max="13834" width="11.6640625" style="2" customWidth="1"/>
    <col min="13835" max="13835" width="6.6640625" style="2" customWidth="1"/>
    <col min="13836" max="13837" width="11.6640625" style="2" customWidth="1"/>
    <col min="13838" max="13839" width="14.6640625" style="2" customWidth="1"/>
    <col min="13840" max="13840" width="7.6640625" style="2" customWidth="1"/>
    <col min="13841" max="13841" width="9.109375" style="2"/>
    <col min="13842" max="13842" width="12.88671875" style="2" bestFit="1" customWidth="1"/>
    <col min="13843" max="14081" width="9.109375" style="2"/>
    <col min="14082" max="14082" width="5.6640625" style="2" customWidth="1"/>
    <col min="14083" max="14083" width="22.6640625" style="2" customWidth="1"/>
    <col min="14084" max="14084" width="15.6640625" style="2" customWidth="1"/>
    <col min="14085" max="14086" width="5.6640625" style="2" customWidth="1"/>
    <col min="14087" max="14087" width="13.6640625" style="2" customWidth="1"/>
    <col min="14088" max="14090" width="11.6640625" style="2" customWidth="1"/>
    <col min="14091" max="14091" width="6.6640625" style="2" customWidth="1"/>
    <col min="14092" max="14093" width="11.6640625" style="2" customWidth="1"/>
    <col min="14094" max="14095" width="14.6640625" style="2" customWidth="1"/>
    <col min="14096" max="14096" width="7.6640625" style="2" customWidth="1"/>
    <col min="14097" max="14097" width="9.109375" style="2"/>
    <col min="14098" max="14098" width="12.88671875" style="2" bestFit="1" customWidth="1"/>
    <col min="14099" max="14337" width="9.109375" style="2"/>
    <col min="14338" max="14338" width="5.6640625" style="2" customWidth="1"/>
    <col min="14339" max="14339" width="22.6640625" style="2" customWidth="1"/>
    <col min="14340" max="14340" width="15.6640625" style="2" customWidth="1"/>
    <col min="14341" max="14342" width="5.6640625" style="2" customWidth="1"/>
    <col min="14343" max="14343" width="13.6640625" style="2" customWidth="1"/>
    <col min="14344" max="14346" width="11.6640625" style="2" customWidth="1"/>
    <col min="14347" max="14347" width="6.6640625" style="2" customWidth="1"/>
    <col min="14348" max="14349" width="11.6640625" style="2" customWidth="1"/>
    <col min="14350" max="14351" width="14.6640625" style="2" customWidth="1"/>
    <col min="14352" max="14352" width="7.6640625" style="2" customWidth="1"/>
    <col min="14353" max="14353" width="9.109375" style="2"/>
    <col min="14354" max="14354" width="12.88671875" style="2" bestFit="1" customWidth="1"/>
    <col min="14355" max="14593" width="9.109375" style="2"/>
    <col min="14594" max="14594" width="5.6640625" style="2" customWidth="1"/>
    <col min="14595" max="14595" width="22.6640625" style="2" customWidth="1"/>
    <col min="14596" max="14596" width="15.6640625" style="2" customWidth="1"/>
    <col min="14597" max="14598" width="5.6640625" style="2" customWidth="1"/>
    <col min="14599" max="14599" width="13.6640625" style="2" customWidth="1"/>
    <col min="14600" max="14602" width="11.6640625" style="2" customWidth="1"/>
    <col min="14603" max="14603" width="6.6640625" style="2" customWidth="1"/>
    <col min="14604" max="14605" width="11.6640625" style="2" customWidth="1"/>
    <col min="14606" max="14607" width="14.6640625" style="2" customWidth="1"/>
    <col min="14608" max="14608" width="7.6640625" style="2" customWidth="1"/>
    <col min="14609" max="14609" width="9.109375" style="2"/>
    <col min="14610" max="14610" width="12.88671875" style="2" bestFit="1" customWidth="1"/>
    <col min="14611" max="14849" width="9.109375" style="2"/>
    <col min="14850" max="14850" width="5.6640625" style="2" customWidth="1"/>
    <col min="14851" max="14851" width="22.6640625" style="2" customWidth="1"/>
    <col min="14852" max="14852" width="15.6640625" style="2" customWidth="1"/>
    <col min="14853" max="14854" width="5.6640625" style="2" customWidth="1"/>
    <col min="14855" max="14855" width="13.6640625" style="2" customWidth="1"/>
    <col min="14856" max="14858" width="11.6640625" style="2" customWidth="1"/>
    <col min="14859" max="14859" width="6.6640625" style="2" customWidth="1"/>
    <col min="14860" max="14861" width="11.6640625" style="2" customWidth="1"/>
    <col min="14862" max="14863" width="14.6640625" style="2" customWidth="1"/>
    <col min="14864" max="14864" width="7.6640625" style="2" customWidth="1"/>
    <col min="14865" max="14865" width="9.109375" style="2"/>
    <col min="14866" max="14866" width="12.88671875" style="2" bestFit="1" customWidth="1"/>
    <col min="14867" max="15105" width="9.109375" style="2"/>
    <col min="15106" max="15106" width="5.6640625" style="2" customWidth="1"/>
    <col min="15107" max="15107" width="22.6640625" style="2" customWidth="1"/>
    <col min="15108" max="15108" width="15.6640625" style="2" customWidth="1"/>
    <col min="15109" max="15110" width="5.6640625" style="2" customWidth="1"/>
    <col min="15111" max="15111" width="13.6640625" style="2" customWidth="1"/>
    <col min="15112" max="15114" width="11.6640625" style="2" customWidth="1"/>
    <col min="15115" max="15115" width="6.6640625" style="2" customWidth="1"/>
    <col min="15116" max="15117" width="11.6640625" style="2" customWidth="1"/>
    <col min="15118" max="15119" width="14.6640625" style="2" customWidth="1"/>
    <col min="15120" max="15120" width="7.6640625" style="2" customWidth="1"/>
    <col min="15121" max="15121" width="9.109375" style="2"/>
    <col min="15122" max="15122" width="12.88671875" style="2" bestFit="1" customWidth="1"/>
    <col min="15123" max="15361" width="9.109375" style="2"/>
    <col min="15362" max="15362" width="5.6640625" style="2" customWidth="1"/>
    <col min="15363" max="15363" width="22.6640625" style="2" customWidth="1"/>
    <col min="15364" max="15364" width="15.6640625" style="2" customWidth="1"/>
    <col min="15365" max="15366" width="5.6640625" style="2" customWidth="1"/>
    <col min="15367" max="15367" width="13.6640625" style="2" customWidth="1"/>
    <col min="15368" max="15370" width="11.6640625" style="2" customWidth="1"/>
    <col min="15371" max="15371" width="6.6640625" style="2" customWidth="1"/>
    <col min="15372" max="15373" width="11.6640625" style="2" customWidth="1"/>
    <col min="15374" max="15375" width="14.6640625" style="2" customWidth="1"/>
    <col min="15376" max="15376" width="7.6640625" style="2" customWidth="1"/>
    <col min="15377" max="15377" width="9.109375" style="2"/>
    <col min="15378" max="15378" width="12.88671875" style="2" bestFit="1" customWidth="1"/>
    <col min="15379" max="15617" width="9.109375" style="2"/>
    <col min="15618" max="15618" width="5.6640625" style="2" customWidth="1"/>
    <col min="15619" max="15619" width="22.6640625" style="2" customWidth="1"/>
    <col min="15620" max="15620" width="15.6640625" style="2" customWidth="1"/>
    <col min="15621" max="15622" width="5.6640625" style="2" customWidth="1"/>
    <col min="15623" max="15623" width="13.6640625" style="2" customWidth="1"/>
    <col min="15624" max="15626" width="11.6640625" style="2" customWidth="1"/>
    <col min="15627" max="15627" width="6.6640625" style="2" customWidth="1"/>
    <col min="15628" max="15629" width="11.6640625" style="2" customWidth="1"/>
    <col min="15630" max="15631" width="14.6640625" style="2" customWidth="1"/>
    <col min="15632" max="15632" width="7.6640625" style="2" customWidth="1"/>
    <col min="15633" max="15633" width="9.109375" style="2"/>
    <col min="15634" max="15634" width="12.88671875" style="2" bestFit="1" customWidth="1"/>
    <col min="15635" max="15873" width="9.109375" style="2"/>
    <col min="15874" max="15874" width="5.6640625" style="2" customWidth="1"/>
    <col min="15875" max="15875" width="22.6640625" style="2" customWidth="1"/>
    <col min="15876" max="15876" width="15.6640625" style="2" customWidth="1"/>
    <col min="15877" max="15878" width="5.6640625" style="2" customWidth="1"/>
    <col min="15879" max="15879" width="13.6640625" style="2" customWidth="1"/>
    <col min="15880" max="15882" width="11.6640625" style="2" customWidth="1"/>
    <col min="15883" max="15883" width="6.6640625" style="2" customWidth="1"/>
    <col min="15884" max="15885" width="11.6640625" style="2" customWidth="1"/>
    <col min="15886" max="15887" width="14.6640625" style="2" customWidth="1"/>
    <col min="15888" max="15888" width="7.6640625" style="2" customWidth="1"/>
    <col min="15889" max="15889" width="9.109375" style="2"/>
    <col min="15890" max="15890" width="12.88671875" style="2" bestFit="1" customWidth="1"/>
    <col min="15891" max="16129" width="9.109375" style="2"/>
    <col min="16130" max="16130" width="5.6640625" style="2" customWidth="1"/>
    <col min="16131" max="16131" width="22.6640625" style="2" customWidth="1"/>
    <col min="16132" max="16132" width="15.6640625" style="2" customWidth="1"/>
    <col min="16133" max="16134" width="5.6640625" style="2" customWidth="1"/>
    <col min="16135" max="16135" width="13.6640625" style="2" customWidth="1"/>
    <col min="16136" max="16138" width="11.6640625" style="2" customWidth="1"/>
    <col min="16139" max="16139" width="6.6640625" style="2" customWidth="1"/>
    <col min="16140" max="16141" width="11.6640625" style="2" customWidth="1"/>
    <col min="16142" max="16143" width="14.6640625" style="2" customWidth="1"/>
    <col min="16144" max="16144" width="7.6640625" style="2" customWidth="1"/>
    <col min="16145" max="16145" width="9.109375" style="2"/>
    <col min="16146" max="16146" width="12.88671875" style="2" bestFit="1" customWidth="1"/>
    <col min="16147" max="16384" width="9.109375" style="2"/>
  </cols>
  <sheetData>
    <row r="1" spans="1:20" ht="14.1" customHeight="1" x14ac:dyDescent="0.25">
      <c r="A1" s="795" t="s">
        <v>14</v>
      </c>
      <c r="B1" s="795"/>
      <c r="C1" s="795"/>
      <c r="D1" s="795"/>
      <c r="E1" s="795"/>
      <c r="F1" s="795"/>
      <c r="G1" s="795"/>
      <c r="H1" s="795"/>
      <c r="I1" s="795"/>
      <c r="J1" s="795"/>
      <c r="K1" s="795"/>
      <c r="L1" s="795"/>
      <c r="M1" s="795"/>
      <c r="N1" s="795"/>
      <c r="O1" s="795"/>
      <c r="P1" s="795"/>
    </row>
    <row r="2" spans="1:20" ht="14.1" customHeight="1" x14ac:dyDescent="0.25">
      <c r="A2" s="795" t="s">
        <v>540</v>
      </c>
      <c r="B2" s="795"/>
      <c r="C2" s="795"/>
      <c r="D2" s="795"/>
      <c r="E2" s="795"/>
      <c r="F2" s="795"/>
      <c r="G2" s="795"/>
      <c r="H2" s="795"/>
      <c r="I2" s="795"/>
      <c r="J2" s="795"/>
      <c r="K2" s="795"/>
      <c r="L2" s="795"/>
      <c r="M2" s="795"/>
      <c r="N2" s="795"/>
      <c r="O2" s="795"/>
      <c r="P2" s="795"/>
      <c r="R2" s="6" t="s">
        <v>356</v>
      </c>
    </row>
    <row r="3" spans="1:20" ht="14.1" customHeight="1" x14ac:dyDescent="0.25">
      <c r="A3" s="796" t="s">
        <v>361</v>
      </c>
      <c r="B3" s="796"/>
      <c r="C3" s="796"/>
      <c r="D3" s="796"/>
      <c r="E3" s="796"/>
      <c r="F3" s="796"/>
      <c r="G3" s="796"/>
      <c r="H3" s="796"/>
      <c r="I3" s="796"/>
      <c r="J3" s="796"/>
      <c r="K3" s="796"/>
      <c r="L3" s="796"/>
      <c r="M3" s="796"/>
      <c r="N3" s="796"/>
      <c r="O3" s="796"/>
      <c r="P3" s="796"/>
      <c r="R3" s="6" t="s">
        <v>246</v>
      </c>
    </row>
    <row r="4" spans="1:20" ht="14.1" customHeight="1" x14ac:dyDescent="0.25">
      <c r="A4" s="795" t="s">
        <v>456</v>
      </c>
      <c r="B4" s="795"/>
      <c r="C4" s="795"/>
      <c r="D4" s="795"/>
      <c r="E4" s="795"/>
      <c r="F4" s="795"/>
      <c r="G4" s="795"/>
      <c r="H4" s="795"/>
      <c r="I4" s="795"/>
      <c r="J4" s="795"/>
      <c r="K4" s="795"/>
      <c r="L4" s="795"/>
      <c r="M4" s="795"/>
      <c r="N4" s="795"/>
      <c r="O4" s="795"/>
      <c r="P4" s="795"/>
      <c r="R4" s="6" t="s">
        <v>353</v>
      </c>
    </row>
    <row r="5" spans="1:20" ht="14.1" customHeight="1" x14ac:dyDescent="0.25">
      <c r="A5" s="795" t="s">
        <v>541</v>
      </c>
      <c r="B5" s="795"/>
      <c r="C5" s="795"/>
      <c r="D5" s="795"/>
      <c r="E5" s="795"/>
      <c r="F5" s="795"/>
      <c r="G5" s="795"/>
      <c r="H5" s="795"/>
      <c r="I5" s="795"/>
      <c r="J5" s="795"/>
      <c r="K5" s="795"/>
      <c r="L5" s="795"/>
      <c r="M5" s="795"/>
      <c r="N5" s="795"/>
      <c r="O5" s="795"/>
      <c r="P5" s="795"/>
      <c r="R5" s="6" t="s">
        <v>354</v>
      </c>
    </row>
    <row r="6" spans="1:20" ht="14.1" customHeight="1" x14ac:dyDescent="0.25">
      <c r="A6" s="795" t="s">
        <v>542</v>
      </c>
      <c r="B6" s="795"/>
      <c r="C6" s="795"/>
      <c r="D6" s="795"/>
      <c r="E6" s="795"/>
      <c r="F6" s="795"/>
      <c r="G6" s="795"/>
      <c r="H6" s="795"/>
      <c r="I6" s="795"/>
      <c r="J6" s="795"/>
      <c r="K6" s="795"/>
      <c r="L6" s="795"/>
      <c r="M6" s="795"/>
      <c r="N6" s="795"/>
      <c r="O6" s="795"/>
      <c r="P6" s="795"/>
      <c r="R6" s="6" t="s">
        <v>355</v>
      </c>
    </row>
    <row r="7" spans="1:20" ht="20.100000000000001" customHeight="1" x14ac:dyDescent="0.45">
      <c r="A7" s="199"/>
      <c r="B7" s="199"/>
      <c r="C7" s="199"/>
      <c r="D7" s="199"/>
      <c r="E7" s="199"/>
      <c r="F7" s="199"/>
      <c r="G7" s="199"/>
      <c r="H7" s="199"/>
      <c r="I7" s="199"/>
      <c r="J7" s="199"/>
      <c r="K7" s="199"/>
      <c r="L7" s="199"/>
      <c r="M7" s="199"/>
      <c r="N7" s="202"/>
      <c r="O7" s="202"/>
      <c r="P7" s="201"/>
      <c r="T7" s="35"/>
    </row>
    <row r="8" spans="1:20" ht="21.75" customHeight="1" x14ac:dyDescent="0.25">
      <c r="A8" s="798" t="s">
        <v>150</v>
      </c>
      <c r="B8" s="798"/>
      <c r="C8" s="798"/>
      <c r="D8" s="798"/>
      <c r="E8" s="798"/>
      <c r="F8" s="798"/>
      <c r="G8" s="798"/>
      <c r="H8" s="798"/>
      <c r="I8" s="798"/>
      <c r="J8" s="798"/>
      <c r="K8" s="798"/>
      <c r="L8" s="798"/>
      <c r="M8" s="798"/>
      <c r="N8" s="798"/>
      <c r="O8" s="798"/>
      <c r="P8" s="798"/>
    </row>
    <row r="9" spans="1:20" ht="14.1" customHeight="1" x14ac:dyDescent="0.3">
      <c r="A9" s="280"/>
      <c r="B9" s="280"/>
      <c r="C9" s="280"/>
      <c r="D9" s="280"/>
      <c r="E9" s="280"/>
      <c r="F9" s="280"/>
      <c r="G9" s="280"/>
      <c r="H9" s="280"/>
      <c r="I9" s="280"/>
      <c r="J9" s="280"/>
      <c r="K9" s="280"/>
      <c r="L9" s="280"/>
      <c r="M9" s="280"/>
      <c r="N9" s="281"/>
      <c r="O9" s="281"/>
      <c r="P9" s="282"/>
    </row>
    <row r="10" spans="1:20" ht="21" customHeight="1" x14ac:dyDescent="0.25">
      <c r="A10" s="797" t="str">
        <f>Estimate!C1</f>
        <v>PROPOSED CONSTRUCTION OF TWO STOREY RESIDENTIAL/APARTMENT BUILDING.</v>
      </c>
      <c r="B10" s="797"/>
      <c r="C10" s="797"/>
      <c r="D10" s="797"/>
      <c r="E10" s="797"/>
      <c r="F10" s="797"/>
      <c r="G10" s="797"/>
      <c r="H10" s="797"/>
      <c r="I10" s="797"/>
      <c r="J10" s="797"/>
      <c r="K10" s="797"/>
      <c r="L10" s="797"/>
      <c r="M10" s="797"/>
      <c r="N10" s="797"/>
      <c r="O10" s="797"/>
      <c r="P10" s="797"/>
    </row>
    <row r="11" spans="1:20" ht="14.1" customHeight="1" x14ac:dyDescent="0.25">
      <c r="A11" s="799" t="str">
        <f>Estimate!C2</f>
        <v>Maganay, Buug, Zamboanga Sibugay</v>
      </c>
      <c r="B11" s="799"/>
      <c r="C11" s="799"/>
      <c r="D11" s="799"/>
      <c r="E11" s="799"/>
      <c r="F11" s="799"/>
      <c r="G11" s="799"/>
      <c r="H11" s="799"/>
      <c r="I11" s="799"/>
      <c r="J11" s="799"/>
      <c r="K11" s="799"/>
      <c r="L11" s="799"/>
      <c r="M11" s="799"/>
      <c r="N11" s="799"/>
      <c r="O11" s="799"/>
      <c r="P11" s="799"/>
    </row>
    <row r="12" spans="1:20" ht="20.100000000000001" customHeight="1" x14ac:dyDescent="0.3">
      <c r="A12" s="283" t="s">
        <v>607</v>
      </c>
      <c r="B12" s="281"/>
      <c r="C12" s="281"/>
      <c r="D12" s="281"/>
      <c r="E12" s="281"/>
      <c r="F12" s="281"/>
      <c r="G12" s="281"/>
      <c r="H12" s="281"/>
      <c r="I12" s="281"/>
      <c r="J12" s="281"/>
      <c r="K12" s="281"/>
      <c r="L12" s="281"/>
      <c r="M12" s="281"/>
      <c r="N12" s="281"/>
      <c r="O12" s="281"/>
      <c r="P12" s="284"/>
    </row>
    <row r="13" spans="1:20" ht="20.100000000000001" customHeight="1" thickBot="1" x14ac:dyDescent="0.35">
      <c r="A13" s="285" t="s">
        <v>608</v>
      </c>
      <c r="B13" s="286"/>
      <c r="C13" s="286"/>
      <c r="D13" s="286"/>
      <c r="E13" s="286"/>
      <c r="F13" s="286"/>
      <c r="G13" s="286"/>
      <c r="H13" s="286"/>
      <c r="I13" s="286"/>
      <c r="J13" s="286"/>
      <c r="K13" s="281"/>
      <c r="L13" s="281"/>
      <c r="M13" s="281"/>
      <c r="N13" s="281"/>
      <c r="O13" s="287" t="s">
        <v>609</v>
      </c>
      <c r="P13" s="288" t="s">
        <v>666</v>
      </c>
      <c r="R13" s="162"/>
    </row>
    <row r="14" spans="1:20" s="3" customFormat="1" ht="15.9" customHeight="1" thickTop="1" thickBot="1" x14ac:dyDescent="0.35">
      <c r="A14" s="800" t="s">
        <v>35</v>
      </c>
      <c r="B14" s="801" t="s">
        <v>36</v>
      </c>
      <c r="C14" s="801"/>
      <c r="D14" s="801"/>
      <c r="E14" s="790" t="s">
        <v>268</v>
      </c>
      <c r="F14" s="790" t="s">
        <v>12</v>
      </c>
      <c r="G14" s="790" t="s">
        <v>37</v>
      </c>
      <c r="H14" s="790" t="s">
        <v>58</v>
      </c>
      <c r="I14" s="790"/>
      <c r="J14" s="790" t="s">
        <v>59</v>
      </c>
      <c r="K14" s="790"/>
      <c r="L14" s="791" t="s">
        <v>38</v>
      </c>
      <c r="M14" s="792"/>
      <c r="N14" s="790" t="s">
        <v>347</v>
      </c>
      <c r="O14" s="790" t="s">
        <v>39</v>
      </c>
      <c r="P14" s="789" t="s">
        <v>40</v>
      </c>
      <c r="Q14" s="32"/>
      <c r="R14" s="37"/>
    </row>
    <row r="15" spans="1:20" s="4" customFormat="1" ht="15.9" customHeight="1" thickTop="1" x14ac:dyDescent="0.3">
      <c r="A15" s="800"/>
      <c r="B15" s="802"/>
      <c r="C15" s="802"/>
      <c r="D15" s="802"/>
      <c r="E15" s="790"/>
      <c r="F15" s="790"/>
      <c r="G15" s="790"/>
      <c r="H15" s="289" t="s">
        <v>41</v>
      </c>
      <c r="I15" s="289" t="s">
        <v>42</v>
      </c>
      <c r="J15" s="290" t="s">
        <v>43</v>
      </c>
      <c r="K15" s="290" t="s">
        <v>44</v>
      </c>
      <c r="L15" s="793"/>
      <c r="M15" s="794"/>
      <c r="N15" s="790"/>
      <c r="O15" s="790"/>
      <c r="P15" s="789"/>
      <c r="Q15" s="33"/>
      <c r="R15" s="37"/>
    </row>
    <row r="16" spans="1:20" s="5" customFormat="1" ht="15.9" customHeight="1" x14ac:dyDescent="0.3">
      <c r="A16" s="291" t="s">
        <v>45</v>
      </c>
      <c r="B16" s="819" t="s">
        <v>46</v>
      </c>
      <c r="C16" s="819"/>
      <c r="D16" s="819"/>
      <c r="E16" s="292" t="s">
        <v>47</v>
      </c>
      <c r="F16" s="292" t="s">
        <v>48</v>
      </c>
      <c r="G16" s="292" t="s">
        <v>49</v>
      </c>
      <c r="H16" s="292" t="s">
        <v>56</v>
      </c>
      <c r="I16" s="292" t="s">
        <v>57</v>
      </c>
      <c r="J16" s="292" t="s">
        <v>50</v>
      </c>
      <c r="K16" s="292" t="s">
        <v>64</v>
      </c>
      <c r="L16" s="807" t="s">
        <v>62</v>
      </c>
      <c r="M16" s="808"/>
      <c r="N16" s="292" t="s">
        <v>63</v>
      </c>
      <c r="O16" s="292" t="s">
        <v>60</v>
      </c>
      <c r="P16" s="293" t="s">
        <v>61</v>
      </c>
      <c r="R16" s="37"/>
    </row>
    <row r="17" spans="1:18" s="5" customFormat="1" ht="15.9" customHeight="1" thickBot="1" x14ac:dyDescent="0.35">
      <c r="A17" s="294"/>
      <c r="B17" s="803"/>
      <c r="C17" s="803"/>
      <c r="D17" s="803"/>
      <c r="E17" s="295"/>
      <c r="F17" s="295"/>
      <c r="G17" s="295"/>
      <c r="H17" s="296">
        <f>Estimate!L7</f>
        <v>0.06</v>
      </c>
      <c r="I17" s="296">
        <f>Estimate!L8</f>
        <v>0.1</v>
      </c>
      <c r="J17" s="297" t="s">
        <v>345</v>
      </c>
      <c r="K17" s="295" t="s">
        <v>344</v>
      </c>
      <c r="L17" s="298">
        <v>0.05</v>
      </c>
      <c r="M17" s="299" t="s">
        <v>346</v>
      </c>
      <c r="N17" s="295" t="s">
        <v>348</v>
      </c>
      <c r="O17" s="295" t="s">
        <v>349</v>
      </c>
      <c r="P17" s="300" t="s">
        <v>350</v>
      </c>
      <c r="R17" s="37"/>
    </row>
    <row r="18" spans="1:18" s="7" customFormat="1" ht="15" customHeight="1" thickTop="1" x14ac:dyDescent="0.3">
      <c r="A18" s="301" t="s">
        <v>160</v>
      </c>
      <c r="B18" s="302" t="s">
        <v>83</v>
      </c>
      <c r="C18" s="308"/>
      <c r="D18" s="308"/>
      <c r="E18" s="309">
        <f>20.002+10.53</f>
        <v>30.531999999999996</v>
      </c>
      <c r="F18" s="310" t="s">
        <v>590</v>
      </c>
      <c r="G18" s="304">
        <f>Estimate!I22</f>
        <v>15959.333333333334</v>
      </c>
      <c r="H18" s="305">
        <f>H$17</f>
        <v>0.06</v>
      </c>
      <c r="I18" s="305">
        <f>I$17</f>
        <v>0.1</v>
      </c>
      <c r="J18" s="305">
        <f t="shared" ref="J18:J31" si="0">SUM(H18:I18)</f>
        <v>0.16</v>
      </c>
      <c r="K18" s="306">
        <f t="shared" ref="K18:K31" si="1">G18*J18</f>
        <v>2553.4933333333333</v>
      </c>
      <c r="L18" s="809">
        <f>(G18+K18)*0.05</f>
        <v>925.64133333333348</v>
      </c>
      <c r="M18" s="810"/>
      <c r="N18" s="306">
        <f t="shared" ref="N18:N25" si="2">SUM(K18+L18)</f>
        <v>3479.1346666666668</v>
      </c>
      <c r="O18" s="307">
        <f t="shared" ref="O18:O31" si="3">G18+N18</f>
        <v>19438.468000000001</v>
      </c>
      <c r="P18" s="307">
        <f>O18/E18</f>
        <v>636.65884973142943</v>
      </c>
      <c r="Q18" s="2"/>
      <c r="R18" s="37"/>
    </row>
    <row r="19" spans="1:18" s="7" customFormat="1" ht="15" customHeight="1" x14ac:dyDescent="0.3">
      <c r="A19" s="301" t="s">
        <v>161</v>
      </c>
      <c r="B19" s="302" t="s">
        <v>435</v>
      </c>
      <c r="C19" s="308"/>
      <c r="D19" s="308"/>
      <c r="E19" s="311">
        <f>ROUNDUP(8*6.8*(0.4),0)</f>
        <v>22</v>
      </c>
      <c r="F19" s="310" t="s">
        <v>4</v>
      </c>
      <c r="G19" s="304">
        <f>Estimate!I34</f>
        <v>4585</v>
      </c>
      <c r="H19" s="305">
        <f t="shared" ref="H19:I31" si="4">H$17</f>
        <v>0.06</v>
      </c>
      <c r="I19" s="305">
        <f t="shared" si="4"/>
        <v>0.1</v>
      </c>
      <c r="J19" s="305">
        <f t="shared" si="0"/>
        <v>0.16</v>
      </c>
      <c r="K19" s="306">
        <f t="shared" si="1"/>
        <v>733.6</v>
      </c>
      <c r="L19" s="820">
        <f>(G19+K19)*0.05</f>
        <v>265.93</v>
      </c>
      <c r="M19" s="821"/>
      <c r="N19" s="306">
        <f t="shared" si="2"/>
        <v>999.53</v>
      </c>
      <c r="O19" s="307">
        <f t="shared" si="3"/>
        <v>5584.53</v>
      </c>
      <c r="P19" s="307">
        <f t="shared" ref="P19:P31" si="5">O19/E19</f>
        <v>253.84227272727273</v>
      </c>
      <c r="Q19" s="2"/>
      <c r="R19" s="37"/>
    </row>
    <row r="20" spans="1:18" s="7" customFormat="1" ht="15" customHeight="1" x14ac:dyDescent="0.3">
      <c r="A20" s="301" t="s">
        <v>162</v>
      </c>
      <c r="B20" s="302" t="s">
        <v>370</v>
      </c>
      <c r="C20" s="308"/>
      <c r="D20" s="308"/>
      <c r="E20" s="311">
        <v>11.43</v>
      </c>
      <c r="F20" s="310" t="s">
        <v>590</v>
      </c>
      <c r="G20" s="304">
        <f>Estimate!I63</f>
        <v>148509.46</v>
      </c>
      <c r="H20" s="305">
        <f t="shared" si="4"/>
        <v>0.06</v>
      </c>
      <c r="I20" s="305">
        <f t="shared" si="4"/>
        <v>0.1</v>
      </c>
      <c r="J20" s="305">
        <f t="shared" si="0"/>
        <v>0.16</v>
      </c>
      <c r="K20" s="306">
        <f t="shared" si="1"/>
        <v>23761.513599999998</v>
      </c>
      <c r="L20" s="817">
        <f t="shared" ref="L20:L30" si="6">(G20+K20)*0.05</f>
        <v>8613.5486799999999</v>
      </c>
      <c r="M20" s="818"/>
      <c r="N20" s="306">
        <f t="shared" si="2"/>
        <v>32375.062279999998</v>
      </c>
      <c r="O20" s="307">
        <f t="shared" si="3"/>
        <v>180884.52227999998</v>
      </c>
      <c r="P20" s="307">
        <f t="shared" si="5"/>
        <v>15825.41752230971</v>
      </c>
      <c r="Q20" s="2"/>
      <c r="R20" s="37"/>
    </row>
    <row r="21" spans="1:18" s="7" customFormat="1" ht="15" customHeight="1" x14ac:dyDescent="0.3">
      <c r="A21" s="301" t="s">
        <v>135</v>
      </c>
      <c r="B21" s="302" t="s">
        <v>368</v>
      </c>
      <c r="C21" s="308"/>
      <c r="D21" s="308"/>
      <c r="E21" s="311">
        <v>135.54</v>
      </c>
      <c r="F21" s="310" t="s">
        <v>76</v>
      </c>
      <c r="G21" s="304">
        <f>Estimate!I88</f>
        <v>160345.965</v>
      </c>
      <c r="H21" s="305">
        <f t="shared" si="4"/>
        <v>0.06</v>
      </c>
      <c r="I21" s="305">
        <f t="shared" si="4"/>
        <v>0.1</v>
      </c>
      <c r="J21" s="305">
        <f t="shared" si="0"/>
        <v>0.16</v>
      </c>
      <c r="K21" s="306">
        <f t="shared" si="1"/>
        <v>25655.3544</v>
      </c>
      <c r="L21" s="817">
        <f t="shared" si="6"/>
        <v>9300.0659700000015</v>
      </c>
      <c r="M21" s="818"/>
      <c r="N21" s="306">
        <f t="shared" si="2"/>
        <v>34955.42037</v>
      </c>
      <c r="O21" s="307">
        <f t="shared" si="3"/>
        <v>195301.38537</v>
      </c>
      <c r="P21" s="307">
        <f t="shared" si="5"/>
        <v>1440.9132755644091</v>
      </c>
      <c r="Q21" s="2"/>
      <c r="R21" s="37"/>
    </row>
    <row r="22" spans="1:18" s="7" customFormat="1" ht="15" customHeight="1" x14ac:dyDescent="0.3">
      <c r="A22" s="301" t="s">
        <v>163</v>
      </c>
      <c r="B22" s="302" t="s">
        <v>77</v>
      </c>
      <c r="C22" s="308"/>
      <c r="D22" s="308"/>
      <c r="E22" s="311">
        <v>96.8</v>
      </c>
      <c r="F22" s="310" t="s">
        <v>591</v>
      </c>
      <c r="G22" s="304">
        <f>Estimate!I123</f>
        <v>82234.595000000001</v>
      </c>
      <c r="H22" s="305">
        <f t="shared" si="4"/>
        <v>0.06</v>
      </c>
      <c r="I22" s="305">
        <f t="shared" si="4"/>
        <v>0.1</v>
      </c>
      <c r="J22" s="305">
        <f t="shared" si="0"/>
        <v>0.16</v>
      </c>
      <c r="K22" s="306">
        <f t="shared" si="1"/>
        <v>13157.5352</v>
      </c>
      <c r="L22" s="817">
        <f t="shared" si="6"/>
        <v>4769.6065100000005</v>
      </c>
      <c r="M22" s="818"/>
      <c r="N22" s="306">
        <f t="shared" si="2"/>
        <v>17927.14171</v>
      </c>
      <c r="O22" s="307">
        <f t="shared" si="3"/>
        <v>100161.73671</v>
      </c>
      <c r="P22" s="307">
        <f t="shared" si="5"/>
        <v>1034.7286850206613</v>
      </c>
      <c r="Q22" s="2"/>
      <c r="R22" s="37"/>
    </row>
    <row r="23" spans="1:18" s="7" customFormat="1" ht="15" customHeight="1" x14ac:dyDescent="0.3">
      <c r="A23" s="301" t="s">
        <v>164</v>
      </c>
      <c r="B23" s="302" t="s">
        <v>71</v>
      </c>
      <c r="C23" s="308"/>
      <c r="D23" s="308"/>
      <c r="E23" s="312">
        <v>14</v>
      </c>
      <c r="F23" s="310" t="s">
        <v>87</v>
      </c>
      <c r="G23" s="304">
        <f>Estimate!I144</f>
        <v>68950</v>
      </c>
      <c r="H23" s="305">
        <f t="shared" si="4"/>
        <v>0.06</v>
      </c>
      <c r="I23" s="305">
        <f t="shared" si="4"/>
        <v>0.1</v>
      </c>
      <c r="J23" s="305">
        <f t="shared" si="0"/>
        <v>0.16</v>
      </c>
      <c r="K23" s="306">
        <f t="shared" si="1"/>
        <v>11032</v>
      </c>
      <c r="L23" s="817">
        <f t="shared" si="6"/>
        <v>3999.1000000000004</v>
      </c>
      <c r="M23" s="818"/>
      <c r="N23" s="306">
        <f t="shared" si="2"/>
        <v>15031.1</v>
      </c>
      <c r="O23" s="307">
        <f t="shared" si="3"/>
        <v>83981.1</v>
      </c>
      <c r="P23" s="307">
        <f t="shared" si="5"/>
        <v>5998.6500000000005</v>
      </c>
      <c r="Q23" s="2"/>
      <c r="R23" s="37"/>
    </row>
    <row r="24" spans="1:18" s="7" customFormat="1" ht="15" customHeight="1" x14ac:dyDescent="0.3">
      <c r="A24" s="301" t="s">
        <v>165</v>
      </c>
      <c r="B24" s="302" t="s">
        <v>408</v>
      </c>
      <c r="C24" s="308"/>
      <c r="D24" s="308"/>
      <c r="E24" s="311">
        <v>1</v>
      </c>
      <c r="F24" s="310" t="s">
        <v>21</v>
      </c>
      <c r="G24" s="304">
        <f>Estimate!I178</f>
        <v>83208.58</v>
      </c>
      <c r="H24" s="305">
        <f t="shared" si="4"/>
        <v>0.06</v>
      </c>
      <c r="I24" s="305">
        <f t="shared" si="4"/>
        <v>0.1</v>
      </c>
      <c r="J24" s="305">
        <f t="shared" si="0"/>
        <v>0.16</v>
      </c>
      <c r="K24" s="306">
        <f t="shared" si="1"/>
        <v>13313.372800000001</v>
      </c>
      <c r="L24" s="817">
        <f t="shared" si="6"/>
        <v>4826.09764</v>
      </c>
      <c r="M24" s="818"/>
      <c r="N24" s="306">
        <f t="shared" si="2"/>
        <v>18139.470440000001</v>
      </c>
      <c r="O24" s="307">
        <f t="shared" si="3"/>
        <v>101348.05044000001</v>
      </c>
      <c r="P24" s="307">
        <f t="shared" si="5"/>
        <v>101348.05044000001</v>
      </c>
      <c r="Q24" s="2"/>
      <c r="R24" s="37"/>
    </row>
    <row r="25" spans="1:18" s="7" customFormat="1" ht="15" customHeight="1" x14ac:dyDescent="0.3">
      <c r="A25" s="301" t="s">
        <v>166</v>
      </c>
      <c r="B25" s="302" t="s">
        <v>75</v>
      </c>
      <c r="C25" s="308"/>
      <c r="D25" s="308"/>
      <c r="E25" s="311">
        <v>98.56</v>
      </c>
      <c r="F25" s="310" t="s">
        <v>228</v>
      </c>
      <c r="G25" s="304">
        <f>Estimate!I197</f>
        <v>102247.465</v>
      </c>
      <c r="H25" s="305">
        <f t="shared" si="4"/>
        <v>0.06</v>
      </c>
      <c r="I25" s="305">
        <f t="shared" si="4"/>
        <v>0.1</v>
      </c>
      <c r="J25" s="305">
        <f t="shared" si="0"/>
        <v>0.16</v>
      </c>
      <c r="K25" s="306">
        <f t="shared" si="1"/>
        <v>16359.5944</v>
      </c>
      <c r="L25" s="817">
        <f t="shared" si="6"/>
        <v>5930.3529699999999</v>
      </c>
      <c r="M25" s="818"/>
      <c r="N25" s="306">
        <f t="shared" si="2"/>
        <v>22289.947370000002</v>
      </c>
      <c r="O25" s="307">
        <f t="shared" si="3"/>
        <v>124537.41237000001</v>
      </c>
      <c r="P25" s="307">
        <f t="shared" si="5"/>
        <v>1263.5695248579545</v>
      </c>
      <c r="Q25" s="2"/>
      <c r="R25" s="163"/>
    </row>
    <row r="26" spans="1:18" s="7" customFormat="1" ht="15" customHeight="1" x14ac:dyDescent="0.3">
      <c r="A26" s="301" t="s">
        <v>167</v>
      </c>
      <c r="B26" s="302" t="s">
        <v>30</v>
      </c>
      <c r="C26" s="308"/>
      <c r="D26" s="308"/>
      <c r="E26" s="311">
        <v>77.34</v>
      </c>
      <c r="F26" s="310" t="s">
        <v>76</v>
      </c>
      <c r="G26" s="304">
        <f>Estimate!I226</f>
        <v>242972.25</v>
      </c>
      <c r="H26" s="305">
        <f t="shared" si="4"/>
        <v>0.06</v>
      </c>
      <c r="I26" s="305">
        <f t="shared" si="4"/>
        <v>0.1</v>
      </c>
      <c r="J26" s="305">
        <f>SUM(H26:I26)</f>
        <v>0.16</v>
      </c>
      <c r="K26" s="306">
        <f>G26*J26</f>
        <v>38875.56</v>
      </c>
      <c r="L26" s="817">
        <f t="shared" si="6"/>
        <v>14092.390500000001</v>
      </c>
      <c r="M26" s="818"/>
      <c r="N26" s="306">
        <f>SUM(K26+L26)</f>
        <v>52967.950499999999</v>
      </c>
      <c r="O26" s="307">
        <f>G26+N26</f>
        <v>295940.20049999998</v>
      </c>
      <c r="P26" s="307">
        <f>O26/E26</f>
        <v>3826.4830682699762</v>
      </c>
      <c r="Q26" s="2"/>
      <c r="R26" s="37"/>
    </row>
    <row r="27" spans="1:18" s="7" customFormat="1" ht="15" customHeight="1" x14ac:dyDescent="0.3">
      <c r="A27" s="301" t="s">
        <v>168</v>
      </c>
      <c r="B27" s="302" t="s">
        <v>589</v>
      </c>
      <c r="C27" s="308"/>
      <c r="D27" s="308"/>
      <c r="E27" s="313">
        <f>1.5*3*1.8+1.2*1.2*1.5</f>
        <v>10.26</v>
      </c>
      <c r="F27" s="310" t="s">
        <v>4</v>
      </c>
      <c r="G27" s="304">
        <f>Estimate!I251</f>
        <v>30023.89</v>
      </c>
      <c r="H27" s="305">
        <f t="shared" si="4"/>
        <v>0.06</v>
      </c>
      <c r="I27" s="305">
        <f t="shared" si="4"/>
        <v>0.1</v>
      </c>
      <c r="J27" s="305">
        <f t="shared" si="0"/>
        <v>0.16</v>
      </c>
      <c r="K27" s="306">
        <f t="shared" si="1"/>
        <v>4803.8224</v>
      </c>
      <c r="L27" s="817">
        <f t="shared" si="6"/>
        <v>1741.38562</v>
      </c>
      <c r="M27" s="818"/>
      <c r="N27" s="306">
        <f t="shared" ref="N27:N31" si="7">SUM(K27+L27)</f>
        <v>6545.20802</v>
      </c>
      <c r="O27" s="307">
        <f t="shared" si="3"/>
        <v>36569.098019999998</v>
      </c>
      <c r="P27" s="307">
        <f t="shared" si="5"/>
        <v>3564.2395730994149</v>
      </c>
      <c r="Q27" s="2"/>
      <c r="R27" s="37"/>
    </row>
    <row r="28" spans="1:18" s="7" customFormat="1" ht="15" customHeight="1" x14ac:dyDescent="0.3">
      <c r="A28" s="301" t="s">
        <v>169</v>
      </c>
      <c r="B28" s="302" t="s">
        <v>78</v>
      </c>
      <c r="C28" s="308"/>
      <c r="D28" s="308"/>
      <c r="E28" s="312">
        <v>3</v>
      </c>
      <c r="F28" s="310" t="s">
        <v>245</v>
      </c>
      <c r="G28" s="304">
        <f>Estimate!I301</f>
        <v>96068.85</v>
      </c>
      <c r="H28" s="305">
        <f t="shared" si="4"/>
        <v>0.06</v>
      </c>
      <c r="I28" s="305">
        <f t="shared" si="4"/>
        <v>0.1</v>
      </c>
      <c r="J28" s="305">
        <f t="shared" si="0"/>
        <v>0.16</v>
      </c>
      <c r="K28" s="306">
        <f t="shared" si="1"/>
        <v>15371.016000000001</v>
      </c>
      <c r="L28" s="817">
        <f t="shared" si="6"/>
        <v>5571.993300000001</v>
      </c>
      <c r="M28" s="818"/>
      <c r="N28" s="306">
        <f t="shared" si="7"/>
        <v>20943.009300000002</v>
      </c>
      <c r="O28" s="307">
        <f t="shared" si="3"/>
        <v>117011.85930000001</v>
      </c>
      <c r="P28" s="307">
        <f t="shared" si="5"/>
        <v>39003.953100000006</v>
      </c>
      <c r="Q28" s="2"/>
      <c r="R28" s="37"/>
    </row>
    <row r="29" spans="1:18" s="7" customFormat="1" ht="15" customHeight="1" x14ac:dyDescent="0.3">
      <c r="A29" s="301" t="s">
        <v>170</v>
      </c>
      <c r="B29" s="302" t="s">
        <v>54</v>
      </c>
      <c r="C29" s="308"/>
      <c r="D29" s="308"/>
      <c r="E29" s="312">
        <v>1</v>
      </c>
      <c r="F29" s="310" t="s">
        <v>144</v>
      </c>
      <c r="G29" s="304">
        <f>Estimate!I347</f>
        <v>35592.699999999997</v>
      </c>
      <c r="H29" s="305">
        <f t="shared" si="4"/>
        <v>0.06</v>
      </c>
      <c r="I29" s="305">
        <f t="shared" si="4"/>
        <v>0.1</v>
      </c>
      <c r="J29" s="305">
        <f t="shared" si="0"/>
        <v>0.16</v>
      </c>
      <c r="K29" s="306">
        <f t="shared" si="1"/>
        <v>5694.8319999999994</v>
      </c>
      <c r="L29" s="817">
        <f t="shared" si="6"/>
        <v>2064.3766000000001</v>
      </c>
      <c r="M29" s="818"/>
      <c r="N29" s="306">
        <f t="shared" si="7"/>
        <v>7759.2085999999999</v>
      </c>
      <c r="O29" s="307">
        <f t="shared" si="3"/>
        <v>43351.908599999995</v>
      </c>
      <c r="P29" s="307">
        <f t="shared" si="5"/>
        <v>43351.908599999995</v>
      </c>
      <c r="Q29" s="2"/>
      <c r="R29" s="37"/>
    </row>
    <row r="30" spans="1:18" s="7" customFormat="1" ht="15" customHeight="1" x14ac:dyDescent="0.3">
      <c r="A30" s="314" t="s">
        <v>376</v>
      </c>
      <c r="B30" s="405" t="s">
        <v>55</v>
      </c>
      <c r="C30" s="406"/>
      <c r="D30" s="406"/>
      <c r="E30" s="413">
        <f>354.12</f>
        <v>354.12</v>
      </c>
      <c r="F30" s="407" t="s">
        <v>76</v>
      </c>
      <c r="G30" s="304">
        <f>Estimate!I377</f>
        <v>41278.1</v>
      </c>
      <c r="H30" s="305">
        <f t="shared" si="4"/>
        <v>0.06</v>
      </c>
      <c r="I30" s="305">
        <f t="shared" si="4"/>
        <v>0.1</v>
      </c>
      <c r="J30" s="305">
        <f t="shared" si="0"/>
        <v>0.16</v>
      </c>
      <c r="K30" s="306">
        <f t="shared" si="1"/>
        <v>6604.4960000000001</v>
      </c>
      <c r="L30" s="817">
        <f t="shared" si="6"/>
        <v>2394.1298000000002</v>
      </c>
      <c r="M30" s="818"/>
      <c r="N30" s="306">
        <f t="shared" si="7"/>
        <v>8998.6257999999998</v>
      </c>
      <c r="O30" s="307">
        <f t="shared" si="3"/>
        <v>50276.7258</v>
      </c>
      <c r="P30" s="307">
        <f t="shared" si="5"/>
        <v>141.97652151812946</v>
      </c>
      <c r="Q30" s="2"/>
      <c r="R30" s="37"/>
    </row>
    <row r="31" spans="1:18" s="7" customFormat="1" ht="15" customHeight="1" x14ac:dyDescent="0.3">
      <c r="A31" s="408" t="str">
        <f>Estimate!A378</f>
        <v>XIV.</v>
      </c>
      <c r="B31" s="409" t="str">
        <f>Estimate!B378</f>
        <v>WATER TOWER</v>
      </c>
      <c r="C31" s="410"/>
      <c r="D31" s="410"/>
      <c r="E31" s="411">
        <f>Estimate!F378</f>
        <v>1</v>
      </c>
      <c r="F31" s="412" t="str">
        <f>Estimate!G378</f>
        <v>unit</v>
      </c>
      <c r="G31" s="307">
        <f>Estimate!I411</f>
        <v>108238.095</v>
      </c>
      <c r="H31" s="305">
        <f t="shared" si="4"/>
        <v>0.06</v>
      </c>
      <c r="I31" s="305">
        <f t="shared" si="4"/>
        <v>0.1</v>
      </c>
      <c r="J31" s="305">
        <f t="shared" si="0"/>
        <v>0.16</v>
      </c>
      <c r="K31" s="306">
        <f t="shared" si="1"/>
        <v>17318.0952</v>
      </c>
      <c r="L31" s="817">
        <f t="shared" ref="L31" si="8">(G31+K31)*0.05</f>
        <v>6277.80951</v>
      </c>
      <c r="M31" s="818"/>
      <c r="N31" s="306">
        <f t="shared" si="7"/>
        <v>23595.904709999999</v>
      </c>
      <c r="O31" s="307">
        <f t="shared" si="3"/>
        <v>131833.99971</v>
      </c>
      <c r="P31" s="307">
        <f t="shared" si="5"/>
        <v>131833.99971</v>
      </c>
      <c r="Q31" s="2"/>
      <c r="R31" s="37"/>
    </row>
    <row r="32" spans="1:18" s="7" customFormat="1" ht="15" customHeight="1" thickBot="1" x14ac:dyDescent="0.35">
      <c r="A32" s="314"/>
      <c r="B32" s="315"/>
      <c r="C32" s="316"/>
      <c r="D32" s="316"/>
      <c r="E32" s="316"/>
      <c r="F32" s="317"/>
      <c r="G32" s="318"/>
      <c r="H32" s="305"/>
      <c r="I32" s="305"/>
      <c r="J32" s="305"/>
      <c r="K32" s="306"/>
      <c r="L32" s="817"/>
      <c r="M32" s="818"/>
      <c r="N32" s="319"/>
      <c r="O32" s="318"/>
      <c r="P32" s="318"/>
      <c r="Q32" s="2"/>
      <c r="R32" s="37"/>
    </row>
    <row r="33" spans="1:18" s="7" customFormat="1" ht="20.100000000000001" customHeight="1" thickTop="1" thickBot="1" x14ac:dyDescent="0.35">
      <c r="A33" s="804" t="s">
        <v>51</v>
      </c>
      <c r="B33" s="805"/>
      <c r="C33" s="806"/>
      <c r="D33" s="806"/>
      <c r="E33" s="320"/>
      <c r="F33" s="321"/>
      <c r="G33" s="322">
        <f>SUM(G18:G32)</f>
        <v>1220214.2833333332</v>
      </c>
      <c r="H33" s="323"/>
      <c r="I33" s="323"/>
      <c r="J33" s="323"/>
      <c r="K33" s="322">
        <f>SUM(K18:K32)</f>
        <v>195234.28533333336</v>
      </c>
      <c r="L33" s="822">
        <f>SUM(L18:L32)</f>
        <v>70772.428433333349</v>
      </c>
      <c r="M33" s="823"/>
      <c r="N33" s="322">
        <f>SUM(N18:N32)</f>
        <v>266006.71376666671</v>
      </c>
      <c r="O33" s="324">
        <f>SUM(O18:O32)</f>
        <v>1486220.9970999998</v>
      </c>
      <c r="P33" s="325"/>
      <c r="Q33" s="2"/>
      <c r="R33" s="37"/>
    </row>
    <row r="34" spans="1:18" s="7" customFormat="1" ht="12.9" customHeight="1" thickTop="1" x14ac:dyDescent="0.3">
      <c r="A34" s="815"/>
      <c r="B34" s="815"/>
      <c r="C34" s="815"/>
      <c r="D34" s="815"/>
      <c r="E34" s="815"/>
      <c r="F34" s="815"/>
      <c r="G34" s="281"/>
      <c r="H34" s="281"/>
      <c r="I34" s="281"/>
      <c r="J34" s="281"/>
      <c r="K34" s="281"/>
      <c r="L34" s="281"/>
      <c r="M34" s="281"/>
      <c r="N34" s="281"/>
      <c r="O34" s="281"/>
      <c r="P34" s="281"/>
      <c r="Q34" s="2"/>
      <c r="R34" s="37"/>
    </row>
    <row r="35" spans="1:18" s="7" customFormat="1" ht="12.9" customHeight="1" x14ac:dyDescent="0.3">
      <c r="A35" s="816"/>
      <c r="B35" s="816"/>
      <c r="C35" s="816"/>
      <c r="D35" s="816"/>
      <c r="E35" s="816"/>
      <c r="F35" s="816"/>
      <c r="G35" s="281"/>
      <c r="H35" s="281"/>
      <c r="I35" s="281"/>
      <c r="J35" s="281"/>
      <c r="K35" s="281"/>
      <c r="L35" s="281"/>
      <c r="M35" s="281"/>
      <c r="N35" s="281"/>
      <c r="O35" s="281"/>
      <c r="P35" s="281"/>
      <c r="Q35" s="2"/>
      <c r="R35" s="37"/>
    </row>
    <row r="36" spans="1:18" s="7" customFormat="1" ht="12.9" customHeight="1" x14ac:dyDescent="0.3">
      <c r="A36" s="282" t="s">
        <v>149</v>
      </c>
      <c r="B36" s="303"/>
      <c r="C36" s="282"/>
      <c r="D36" s="282" t="s">
        <v>547</v>
      </c>
      <c r="E36" s="303"/>
      <c r="F36" s="282"/>
      <c r="G36" s="282"/>
      <c r="H36" s="282" t="s">
        <v>549</v>
      </c>
      <c r="I36" s="303"/>
      <c r="J36" s="282"/>
      <c r="K36" s="282"/>
      <c r="L36" s="282"/>
      <c r="M36" s="282"/>
      <c r="N36" s="813" t="s">
        <v>546</v>
      </c>
      <c r="O36" s="813"/>
      <c r="P36" s="813"/>
      <c r="Q36" s="2"/>
      <c r="R36" s="37"/>
    </row>
    <row r="37" spans="1:18" s="7" customFormat="1" ht="12.9" customHeight="1" x14ac:dyDescent="0.3">
      <c r="A37" s="814" t="s">
        <v>636</v>
      </c>
      <c r="B37" s="814"/>
      <c r="C37" s="282"/>
      <c r="D37" s="814" t="s">
        <v>351</v>
      </c>
      <c r="E37" s="814"/>
      <c r="F37" s="814"/>
      <c r="G37" s="814"/>
      <c r="H37" s="282" t="s">
        <v>545</v>
      </c>
      <c r="I37" s="303"/>
      <c r="J37" s="282"/>
      <c r="K37" s="282"/>
      <c r="L37" s="282"/>
      <c r="M37" s="282"/>
      <c r="N37" s="282"/>
      <c r="O37" s="282"/>
      <c r="P37" s="282"/>
      <c r="Q37" s="2"/>
      <c r="R37" s="37"/>
    </row>
    <row r="38" spans="1:18" ht="12.9" customHeight="1" x14ac:dyDescent="0.3">
      <c r="A38" s="814"/>
      <c r="B38" s="814"/>
      <c r="C38" s="326"/>
      <c r="D38" s="814"/>
      <c r="E38" s="814"/>
      <c r="F38" s="814"/>
      <c r="G38" s="814"/>
      <c r="H38" s="814" t="s">
        <v>610</v>
      </c>
      <c r="I38" s="814"/>
      <c r="J38" s="814"/>
      <c r="K38" s="814"/>
      <c r="L38" s="330"/>
      <c r="M38" s="330"/>
      <c r="N38" s="814" t="s">
        <v>550</v>
      </c>
      <c r="O38" s="814"/>
      <c r="P38" s="814"/>
      <c r="R38" s="37"/>
    </row>
    <row r="39" spans="1:18" ht="12.9" customHeight="1" x14ac:dyDescent="0.3">
      <c r="A39" s="814"/>
      <c r="B39" s="814"/>
      <c r="C39" s="326"/>
      <c r="D39" s="814"/>
      <c r="E39" s="814"/>
      <c r="F39" s="814"/>
      <c r="G39" s="814"/>
      <c r="H39" s="814"/>
      <c r="I39" s="814"/>
      <c r="J39" s="814"/>
      <c r="K39" s="814"/>
      <c r="L39" s="330"/>
      <c r="M39" s="330"/>
      <c r="N39" s="814"/>
      <c r="O39" s="814"/>
      <c r="P39" s="814"/>
      <c r="R39" s="37"/>
    </row>
    <row r="40" spans="1:18" ht="12.9" customHeight="1" x14ac:dyDescent="0.3">
      <c r="A40" s="814"/>
      <c r="B40" s="814"/>
      <c r="C40" s="326"/>
      <c r="D40" s="814"/>
      <c r="E40" s="814"/>
      <c r="F40" s="814"/>
      <c r="G40" s="814"/>
      <c r="H40" s="814"/>
      <c r="I40" s="814"/>
      <c r="J40" s="814"/>
      <c r="K40" s="814"/>
      <c r="L40" s="330"/>
      <c r="M40" s="330"/>
      <c r="N40" s="814"/>
      <c r="O40" s="814"/>
      <c r="P40" s="814"/>
      <c r="R40" s="37"/>
    </row>
    <row r="41" spans="1:18" ht="12.9" customHeight="1" x14ac:dyDescent="0.3">
      <c r="A41" s="812" t="s">
        <v>404</v>
      </c>
      <c r="B41" s="812"/>
      <c r="C41" s="316"/>
      <c r="D41" s="812" t="s">
        <v>539</v>
      </c>
      <c r="E41" s="812"/>
      <c r="F41" s="812"/>
      <c r="G41" s="812"/>
      <c r="H41" s="812" t="s">
        <v>364</v>
      </c>
      <c r="I41" s="812"/>
      <c r="J41" s="812"/>
      <c r="K41" s="812"/>
      <c r="L41" s="316"/>
      <c r="M41" s="316"/>
      <c r="N41" s="812" t="s">
        <v>551</v>
      </c>
      <c r="O41" s="812"/>
      <c r="P41" s="812"/>
      <c r="R41" s="37"/>
    </row>
    <row r="42" spans="1:18" ht="12.9" customHeight="1" x14ac:dyDescent="0.3">
      <c r="A42" s="39"/>
      <c r="B42" s="39"/>
      <c r="C42" s="39"/>
      <c r="D42" s="39"/>
      <c r="E42" s="39"/>
      <c r="F42" s="39"/>
      <c r="G42" s="41"/>
      <c r="H42" s="40"/>
      <c r="I42" s="40"/>
      <c r="J42" s="40"/>
      <c r="K42" s="40"/>
      <c r="L42" s="40"/>
      <c r="M42" s="47"/>
      <c r="N42" s="811"/>
      <c r="O42" s="811"/>
      <c r="P42" s="811"/>
      <c r="R42" s="37"/>
    </row>
    <row r="43" spans="1:18" x14ac:dyDescent="0.25">
      <c r="R43" s="163"/>
    </row>
  </sheetData>
  <mergeCells count="52">
    <mergeCell ref="L20:M20"/>
    <mergeCell ref="L19:M19"/>
    <mergeCell ref="D37:G40"/>
    <mergeCell ref="L26:M26"/>
    <mergeCell ref="L25:M25"/>
    <mergeCell ref="L24:M24"/>
    <mergeCell ref="L23:M23"/>
    <mergeCell ref="L22:M22"/>
    <mergeCell ref="L27:M27"/>
    <mergeCell ref="L28:M28"/>
    <mergeCell ref="L29:M29"/>
    <mergeCell ref="L32:M32"/>
    <mergeCell ref="L33:M33"/>
    <mergeCell ref="L30:M30"/>
    <mergeCell ref="L31:M31"/>
    <mergeCell ref="G14:G15"/>
    <mergeCell ref="H14:I14"/>
    <mergeCell ref="N14:N15"/>
    <mergeCell ref="O14:O15"/>
    <mergeCell ref="B16:D16"/>
    <mergeCell ref="B17:D17"/>
    <mergeCell ref="A33:D33"/>
    <mergeCell ref="L16:M16"/>
    <mergeCell ref="L18:M18"/>
    <mergeCell ref="N42:P42"/>
    <mergeCell ref="N41:P41"/>
    <mergeCell ref="N36:P36"/>
    <mergeCell ref="N38:P40"/>
    <mergeCell ref="A41:B41"/>
    <mergeCell ref="A37:B40"/>
    <mergeCell ref="H38:K40"/>
    <mergeCell ref="H41:K41"/>
    <mergeCell ref="A34:F34"/>
    <mergeCell ref="A35:F35"/>
    <mergeCell ref="D41:G41"/>
    <mergeCell ref="L21:M21"/>
    <mergeCell ref="P14:P15"/>
    <mergeCell ref="J14:K14"/>
    <mergeCell ref="L14:M15"/>
    <mergeCell ref="A2:P2"/>
    <mergeCell ref="A1:P1"/>
    <mergeCell ref="A4:P4"/>
    <mergeCell ref="A3:P3"/>
    <mergeCell ref="A6:P6"/>
    <mergeCell ref="A5:P5"/>
    <mergeCell ref="A10:P10"/>
    <mergeCell ref="A8:P8"/>
    <mergeCell ref="A11:P11"/>
    <mergeCell ref="A14:A15"/>
    <mergeCell ref="B14:D15"/>
    <mergeCell ref="E14:E15"/>
    <mergeCell ref="F14:F15"/>
  </mergeCells>
  <printOptions horizontalCentered="1"/>
  <pageMargins left="1.25" right="0.25" top="0.5" bottom="0.5" header="0.3" footer="0.3"/>
  <pageSetup paperSize="9" scale="72" orientation="landscape" r:id="rId1"/>
  <drawing r:id="rId2"/>
  <legacy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K1020"/>
  <sheetViews>
    <sheetView view="pageBreakPreview" zoomScaleNormal="100" zoomScaleSheetLayoutView="100" workbookViewId="0">
      <selection activeCell="F402" sqref="F402"/>
    </sheetView>
  </sheetViews>
  <sheetFormatPr defaultRowHeight="13.2" x14ac:dyDescent="0.25"/>
  <cols>
    <col min="1" max="2" width="5.6640625" style="46" customWidth="1"/>
    <col min="3" max="3" width="40.6640625" style="46" customWidth="1"/>
    <col min="4" max="4" width="5.6640625" style="46" customWidth="1"/>
    <col min="5" max="5" width="14.6640625" style="46" customWidth="1"/>
    <col min="6" max="6" width="7.6640625" style="13" customWidth="1"/>
    <col min="7" max="7" width="7.6640625" style="46" customWidth="1"/>
    <col min="8" max="8" width="12.6640625" style="1" customWidth="1"/>
    <col min="9" max="9" width="14.6640625" style="1" customWidth="1"/>
    <col min="10" max="229" width="9.109375" style="46"/>
    <col min="230" max="230" width="5.5546875" style="46" customWidth="1"/>
    <col min="231" max="231" width="4.88671875" style="46" customWidth="1"/>
    <col min="232" max="232" width="2.6640625" style="46" customWidth="1"/>
    <col min="233" max="234" width="2.88671875" style="46" customWidth="1"/>
    <col min="235" max="235" width="2.6640625" style="46" customWidth="1"/>
    <col min="236" max="236" width="3.88671875" style="46" customWidth="1"/>
    <col min="237" max="237" width="25.6640625" style="46" customWidth="1"/>
    <col min="238" max="238" width="6.5546875" style="46" customWidth="1"/>
    <col min="239" max="239" width="7.33203125" style="46" customWidth="1"/>
    <col min="240" max="240" width="13.88671875" style="46" customWidth="1"/>
    <col min="241" max="241" width="16.5546875" style="46" customWidth="1"/>
    <col min="242" max="242" width="13.88671875" style="46" customWidth="1"/>
    <col min="243" max="243" width="11.109375" style="46" bestFit="1" customWidth="1"/>
    <col min="244" max="246" width="9.109375" style="46"/>
    <col min="247" max="247" width="10.88671875" style="46" customWidth="1"/>
    <col min="248" max="485" width="9.109375" style="46"/>
    <col min="486" max="486" width="5.5546875" style="46" customWidth="1"/>
    <col min="487" max="487" width="4.88671875" style="46" customWidth="1"/>
    <col min="488" max="488" width="2.6640625" style="46" customWidth="1"/>
    <col min="489" max="490" width="2.88671875" style="46" customWidth="1"/>
    <col min="491" max="491" width="2.6640625" style="46" customWidth="1"/>
    <col min="492" max="492" width="3.88671875" style="46" customWidth="1"/>
    <col min="493" max="493" width="25.6640625" style="46" customWidth="1"/>
    <col min="494" max="494" width="6.5546875" style="46" customWidth="1"/>
    <col min="495" max="495" width="7.33203125" style="46" customWidth="1"/>
    <col min="496" max="496" width="13.88671875" style="46" customWidth="1"/>
    <col min="497" max="497" width="16.5546875" style="46" customWidth="1"/>
    <col min="498" max="498" width="13.88671875" style="46" customWidth="1"/>
    <col min="499" max="499" width="11.109375" style="46" bestFit="1" customWidth="1"/>
    <col min="500" max="502" width="9.109375" style="46"/>
    <col min="503" max="503" width="10.88671875" style="46" customWidth="1"/>
    <col min="504" max="741" width="9.109375" style="46"/>
    <col min="742" max="742" width="5.5546875" style="46" customWidth="1"/>
    <col min="743" max="743" width="4.88671875" style="46" customWidth="1"/>
    <col min="744" max="744" width="2.6640625" style="46" customWidth="1"/>
    <col min="745" max="746" width="2.88671875" style="46" customWidth="1"/>
    <col min="747" max="747" width="2.6640625" style="46" customWidth="1"/>
    <col min="748" max="748" width="3.88671875" style="46" customWidth="1"/>
    <col min="749" max="749" width="25.6640625" style="46" customWidth="1"/>
    <col min="750" max="750" width="6.5546875" style="46" customWidth="1"/>
    <col min="751" max="751" width="7.33203125" style="46" customWidth="1"/>
    <col min="752" max="752" width="13.88671875" style="46" customWidth="1"/>
    <col min="753" max="753" width="16.5546875" style="46" customWidth="1"/>
    <col min="754" max="754" width="13.88671875" style="46" customWidth="1"/>
    <col min="755" max="755" width="11.109375" style="46" bestFit="1" customWidth="1"/>
    <col min="756" max="758" width="9.109375" style="46"/>
    <col min="759" max="759" width="10.88671875" style="46" customWidth="1"/>
    <col min="760" max="997" width="9.109375" style="46"/>
    <col min="998" max="998" width="5.5546875" style="46" customWidth="1"/>
    <col min="999" max="999" width="4.88671875" style="46" customWidth="1"/>
    <col min="1000" max="1000" width="2.6640625" style="46" customWidth="1"/>
    <col min="1001" max="1002" width="2.88671875" style="46" customWidth="1"/>
    <col min="1003" max="1003" width="2.6640625" style="46" customWidth="1"/>
    <col min="1004" max="1004" width="3.88671875" style="46" customWidth="1"/>
    <col min="1005" max="1005" width="25.6640625" style="46" customWidth="1"/>
    <col min="1006" max="1006" width="6.5546875" style="46" customWidth="1"/>
    <col min="1007" max="1007" width="7.33203125" style="46" customWidth="1"/>
    <col min="1008" max="1008" width="13.88671875" style="46" customWidth="1"/>
    <col min="1009" max="1009" width="16.5546875" style="46" customWidth="1"/>
    <col min="1010" max="1010" width="13.88671875" style="46" customWidth="1"/>
    <col min="1011" max="1011" width="11.109375" style="46" bestFit="1" customWidth="1"/>
    <col min="1012" max="1014" width="9.109375" style="46"/>
    <col min="1015" max="1015" width="10.88671875" style="46" customWidth="1"/>
    <col min="1016" max="1253" width="9.109375" style="46"/>
    <col min="1254" max="1254" width="5.5546875" style="46" customWidth="1"/>
    <col min="1255" max="1255" width="4.88671875" style="46" customWidth="1"/>
    <col min="1256" max="1256" width="2.6640625" style="46" customWidth="1"/>
    <col min="1257" max="1258" width="2.88671875" style="46" customWidth="1"/>
    <col min="1259" max="1259" width="2.6640625" style="46" customWidth="1"/>
    <col min="1260" max="1260" width="3.88671875" style="46" customWidth="1"/>
    <col min="1261" max="1261" width="25.6640625" style="46" customWidth="1"/>
    <col min="1262" max="1262" width="6.5546875" style="46" customWidth="1"/>
    <col min="1263" max="1263" width="7.33203125" style="46" customWidth="1"/>
    <col min="1264" max="1264" width="13.88671875" style="46" customWidth="1"/>
    <col min="1265" max="1265" width="16.5546875" style="46" customWidth="1"/>
    <col min="1266" max="1266" width="13.88671875" style="46" customWidth="1"/>
    <col min="1267" max="1267" width="11.109375" style="46" bestFit="1" customWidth="1"/>
    <col min="1268" max="1270" width="9.109375" style="46"/>
    <col min="1271" max="1271" width="10.88671875" style="46" customWidth="1"/>
    <col min="1272" max="1509" width="9.109375" style="46"/>
    <col min="1510" max="1510" width="5.5546875" style="46" customWidth="1"/>
    <col min="1511" max="1511" width="4.88671875" style="46" customWidth="1"/>
    <col min="1512" max="1512" width="2.6640625" style="46" customWidth="1"/>
    <col min="1513" max="1514" width="2.88671875" style="46" customWidth="1"/>
    <col min="1515" max="1515" width="2.6640625" style="46" customWidth="1"/>
    <col min="1516" max="1516" width="3.88671875" style="46" customWidth="1"/>
    <col min="1517" max="1517" width="25.6640625" style="46" customWidth="1"/>
    <col min="1518" max="1518" width="6.5546875" style="46" customWidth="1"/>
    <col min="1519" max="1519" width="7.33203125" style="46" customWidth="1"/>
    <col min="1520" max="1520" width="13.88671875" style="46" customWidth="1"/>
    <col min="1521" max="1521" width="16.5546875" style="46" customWidth="1"/>
    <col min="1522" max="1522" width="13.88671875" style="46" customWidth="1"/>
    <col min="1523" max="1523" width="11.109375" style="46" bestFit="1" customWidth="1"/>
    <col min="1524" max="1526" width="9.109375" style="46"/>
    <col min="1527" max="1527" width="10.88671875" style="46" customWidth="1"/>
    <col min="1528" max="1765" width="9.109375" style="46"/>
    <col min="1766" max="1766" width="5.5546875" style="46" customWidth="1"/>
    <col min="1767" max="1767" width="4.88671875" style="46" customWidth="1"/>
    <col min="1768" max="1768" width="2.6640625" style="46" customWidth="1"/>
    <col min="1769" max="1770" width="2.88671875" style="46" customWidth="1"/>
    <col min="1771" max="1771" width="2.6640625" style="46" customWidth="1"/>
    <col min="1772" max="1772" width="3.88671875" style="46" customWidth="1"/>
    <col min="1773" max="1773" width="25.6640625" style="46" customWidth="1"/>
    <col min="1774" max="1774" width="6.5546875" style="46" customWidth="1"/>
    <col min="1775" max="1775" width="7.33203125" style="46" customWidth="1"/>
    <col min="1776" max="1776" width="13.88671875" style="46" customWidth="1"/>
    <col min="1777" max="1777" width="16.5546875" style="46" customWidth="1"/>
    <col min="1778" max="1778" width="13.88671875" style="46" customWidth="1"/>
    <col min="1779" max="1779" width="11.109375" style="46" bestFit="1" customWidth="1"/>
    <col min="1780" max="1782" width="9.109375" style="46"/>
    <col min="1783" max="1783" width="10.88671875" style="46" customWidth="1"/>
    <col min="1784" max="2021" width="9.109375" style="46"/>
    <col min="2022" max="2022" width="5.5546875" style="46" customWidth="1"/>
    <col min="2023" max="2023" width="4.88671875" style="46" customWidth="1"/>
    <col min="2024" max="2024" width="2.6640625" style="46" customWidth="1"/>
    <col min="2025" max="2026" width="2.88671875" style="46" customWidth="1"/>
    <col min="2027" max="2027" width="2.6640625" style="46" customWidth="1"/>
    <col min="2028" max="2028" width="3.88671875" style="46" customWidth="1"/>
    <col min="2029" max="2029" width="25.6640625" style="46" customWidth="1"/>
    <col min="2030" max="2030" width="6.5546875" style="46" customWidth="1"/>
    <col min="2031" max="2031" width="7.33203125" style="46" customWidth="1"/>
    <col min="2032" max="2032" width="13.88671875" style="46" customWidth="1"/>
    <col min="2033" max="2033" width="16.5546875" style="46" customWidth="1"/>
    <col min="2034" max="2034" width="13.88671875" style="46" customWidth="1"/>
    <col min="2035" max="2035" width="11.109375" style="46" bestFit="1" customWidth="1"/>
    <col min="2036" max="2038" width="9.109375" style="46"/>
    <col min="2039" max="2039" width="10.88671875" style="46" customWidth="1"/>
    <col min="2040" max="2277" width="9.109375" style="46"/>
    <col min="2278" max="2278" width="5.5546875" style="46" customWidth="1"/>
    <col min="2279" max="2279" width="4.88671875" style="46" customWidth="1"/>
    <col min="2280" max="2280" width="2.6640625" style="46" customWidth="1"/>
    <col min="2281" max="2282" width="2.88671875" style="46" customWidth="1"/>
    <col min="2283" max="2283" width="2.6640625" style="46" customWidth="1"/>
    <col min="2284" max="2284" width="3.88671875" style="46" customWidth="1"/>
    <col min="2285" max="2285" width="25.6640625" style="46" customWidth="1"/>
    <col min="2286" max="2286" width="6.5546875" style="46" customWidth="1"/>
    <col min="2287" max="2287" width="7.33203125" style="46" customWidth="1"/>
    <col min="2288" max="2288" width="13.88671875" style="46" customWidth="1"/>
    <col min="2289" max="2289" width="16.5546875" style="46" customWidth="1"/>
    <col min="2290" max="2290" width="13.88671875" style="46" customWidth="1"/>
    <col min="2291" max="2291" width="11.109375" style="46" bestFit="1" customWidth="1"/>
    <col min="2292" max="2294" width="9.109375" style="46"/>
    <col min="2295" max="2295" width="10.88671875" style="46" customWidth="1"/>
    <col min="2296" max="2533" width="9.109375" style="46"/>
    <col min="2534" max="2534" width="5.5546875" style="46" customWidth="1"/>
    <col min="2535" max="2535" width="4.88671875" style="46" customWidth="1"/>
    <col min="2536" max="2536" width="2.6640625" style="46" customWidth="1"/>
    <col min="2537" max="2538" width="2.88671875" style="46" customWidth="1"/>
    <col min="2539" max="2539" width="2.6640625" style="46" customWidth="1"/>
    <col min="2540" max="2540" width="3.88671875" style="46" customWidth="1"/>
    <col min="2541" max="2541" width="25.6640625" style="46" customWidth="1"/>
    <col min="2542" max="2542" width="6.5546875" style="46" customWidth="1"/>
    <col min="2543" max="2543" width="7.33203125" style="46" customWidth="1"/>
    <col min="2544" max="2544" width="13.88671875" style="46" customWidth="1"/>
    <col min="2545" max="2545" width="16.5546875" style="46" customWidth="1"/>
    <col min="2546" max="2546" width="13.88671875" style="46" customWidth="1"/>
    <col min="2547" max="2547" width="11.109375" style="46" bestFit="1" customWidth="1"/>
    <col min="2548" max="2550" width="9.109375" style="46"/>
    <col min="2551" max="2551" width="10.88671875" style="46" customWidth="1"/>
    <col min="2552" max="2789" width="9.109375" style="46"/>
    <col min="2790" max="2790" width="5.5546875" style="46" customWidth="1"/>
    <col min="2791" max="2791" width="4.88671875" style="46" customWidth="1"/>
    <col min="2792" max="2792" width="2.6640625" style="46" customWidth="1"/>
    <col min="2793" max="2794" width="2.88671875" style="46" customWidth="1"/>
    <col min="2795" max="2795" width="2.6640625" style="46" customWidth="1"/>
    <col min="2796" max="2796" width="3.88671875" style="46" customWidth="1"/>
    <col min="2797" max="2797" width="25.6640625" style="46" customWidth="1"/>
    <col min="2798" max="2798" width="6.5546875" style="46" customWidth="1"/>
    <col min="2799" max="2799" width="7.33203125" style="46" customWidth="1"/>
    <col min="2800" max="2800" width="13.88671875" style="46" customWidth="1"/>
    <col min="2801" max="2801" width="16.5546875" style="46" customWidth="1"/>
    <col min="2802" max="2802" width="13.88671875" style="46" customWidth="1"/>
    <col min="2803" max="2803" width="11.109375" style="46" bestFit="1" customWidth="1"/>
    <col min="2804" max="2806" width="9.109375" style="46"/>
    <col min="2807" max="2807" width="10.88671875" style="46" customWidth="1"/>
    <col min="2808" max="3045" width="9.109375" style="46"/>
    <col min="3046" max="3046" width="5.5546875" style="46" customWidth="1"/>
    <col min="3047" max="3047" width="4.88671875" style="46" customWidth="1"/>
    <col min="3048" max="3048" width="2.6640625" style="46" customWidth="1"/>
    <col min="3049" max="3050" width="2.88671875" style="46" customWidth="1"/>
    <col min="3051" max="3051" width="2.6640625" style="46" customWidth="1"/>
    <col min="3052" max="3052" width="3.88671875" style="46" customWidth="1"/>
    <col min="3053" max="3053" width="25.6640625" style="46" customWidth="1"/>
    <col min="3054" max="3054" width="6.5546875" style="46" customWidth="1"/>
    <col min="3055" max="3055" width="7.33203125" style="46" customWidth="1"/>
    <col min="3056" max="3056" width="13.88671875" style="46" customWidth="1"/>
    <col min="3057" max="3057" width="16.5546875" style="46" customWidth="1"/>
    <col min="3058" max="3058" width="13.88671875" style="46" customWidth="1"/>
    <col min="3059" max="3059" width="11.109375" style="46" bestFit="1" customWidth="1"/>
    <col min="3060" max="3062" width="9.109375" style="46"/>
    <col min="3063" max="3063" width="10.88671875" style="46" customWidth="1"/>
    <col min="3064" max="3301" width="9.109375" style="46"/>
    <col min="3302" max="3302" width="5.5546875" style="46" customWidth="1"/>
    <col min="3303" max="3303" width="4.88671875" style="46" customWidth="1"/>
    <col min="3304" max="3304" width="2.6640625" style="46" customWidth="1"/>
    <col min="3305" max="3306" width="2.88671875" style="46" customWidth="1"/>
    <col min="3307" max="3307" width="2.6640625" style="46" customWidth="1"/>
    <col min="3308" max="3308" width="3.88671875" style="46" customWidth="1"/>
    <col min="3309" max="3309" width="25.6640625" style="46" customWidth="1"/>
    <col min="3310" max="3310" width="6.5546875" style="46" customWidth="1"/>
    <col min="3311" max="3311" width="7.33203125" style="46" customWidth="1"/>
    <col min="3312" max="3312" width="13.88671875" style="46" customWidth="1"/>
    <col min="3313" max="3313" width="16.5546875" style="46" customWidth="1"/>
    <col min="3314" max="3314" width="13.88671875" style="46" customWidth="1"/>
    <col min="3315" max="3315" width="11.109375" style="46" bestFit="1" customWidth="1"/>
    <col min="3316" max="3318" width="9.109375" style="46"/>
    <col min="3319" max="3319" width="10.88671875" style="46" customWidth="1"/>
    <col min="3320" max="3557" width="9.109375" style="46"/>
    <col min="3558" max="3558" width="5.5546875" style="46" customWidth="1"/>
    <col min="3559" max="3559" width="4.88671875" style="46" customWidth="1"/>
    <col min="3560" max="3560" width="2.6640625" style="46" customWidth="1"/>
    <col min="3561" max="3562" width="2.88671875" style="46" customWidth="1"/>
    <col min="3563" max="3563" width="2.6640625" style="46" customWidth="1"/>
    <col min="3564" max="3564" width="3.88671875" style="46" customWidth="1"/>
    <col min="3565" max="3565" width="25.6640625" style="46" customWidth="1"/>
    <col min="3566" max="3566" width="6.5546875" style="46" customWidth="1"/>
    <col min="3567" max="3567" width="7.33203125" style="46" customWidth="1"/>
    <col min="3568" max="3568" width="13.88671875" style="46" customWidth="1"/>
    <col min="3569" max="3569" width="16.5546875" style="46" customWidth="1"/>
    <col min="3570" max="3570" width="13.88671875" style="46" customWidth="1"/>
    <col min="3571" max="3571" width="11.109375" style="46" bestFit="1" customWidth="1"/>
    <col min="3572" max="3574" width="9.109375" style="46"/>
    <col min="3575" max="3575" width="10.88671875" style="46" customWidth="1"/>
    <col min="3576" max="3813" width="9.109375" style="46"/>
    <col min="3814" max="3814" width="5.5546875" style="46" customWidth="1"/>
    <col min="3815" max="3815" width="4.88671875" style="46" customWidth="1"/>
    <col min="3816" max="3816" width="2.6640625" style="46" customWidth="1"/>
    <col min="3817" max="3818" width="2.88671875" style="46" customWidth="1"/>
    <col min="3819" max="3819" width="2.6640625" style="46" customWidth="1"/>
    <col min="3820" max="3820" width="3.88671875" style="46" customWidth="1"/>
    <col min="3821" max="3821" width="25.6640625" style="46" customWidth="1"/>
    <col min="3822" max="3822" width="6.5546875" style="46" customWidth="1"/>
    <col min="3823" max="3823" width="7.33203125" style="46" customWidth="1"/>
    <col min="3824" max="3824" width="13.88671875" style="46" customWidth="1"/>
    <col min="3825" max="3825" width="16.5546875" style="46" customWidth="1"/>
    <col min="3826" max="3826" width="13.88671875" style="46" customWidth="1"/>
    <col min="3827" max="3827" width="11.109375" style="46" bestFit="1" customWidth="1"/>
    <col min="3828" max="3830" width="9.109375" style="46"/>
    <col min="3831" max="3831" width="10.88671875" style="46" customWidth="1"/>
    <col min="3832" max="4069" width="9.109375" style="46"/>
    <col min="4070" max="4070" width="5.5546875" style="46" customWidth="1"/>
    <col min="4071" max="4071" width="4.88671875" style="46" customWidth="1"/>
    <col min="4072" max="4072" width="2.6640625" style="46" customWidth="1"/>
    <col min="4073" max="4074" width="2.88671875" style="46" customWidth="1"/>
    <col min="4075" max="4075" width="2.6640625" style="46" customWidth="1"/>
    <col min="4076" max="4076" width="3.88671875" style="46" customWidth="1"/>
    <col min="4077" max="4077" width="25.6640625" style="46" customWidth="1"/>
    <col min="4078" max="4078" width="6.5546875" style="46" customWidth="1"/>
    <col min="4079" max="4079" width="7.33203125" style="46" customWidth="1"/>
    <col min="4080" max="4080" width="13.88671875" style="46" customWidth="1"/>
    <col min="4081" max="4081" width="16.5546875" style="46" customWidth="1"/>
    <col min="4082" max="4082" width="13.88671875" style="46" customWidth="1"/>
    <col min="4083" max="4083" width="11.109375" style="46" bestFit="1" customWidth="1"/>
    <col min="4084" max="4086" width="9.109375" style="46"/>
    <col min="4087" max="4087" width="10.88671875" style="46" customWidth="1"/>
    <col min="4088" max="4325" width="9.109375" style="46"/>
    <col min="4326" max="4326" width="5.5546875" style="46" customWidth="1"/>
    <col min="4327" max="4327" width="4.88671875" style="46" customWidth="1"/>
    <col min="4328" max="4328" width="2.6640625" style="46" customWidth="1"/>
    <col min="4329" max="4330" width="2.88671875" style="46" customWidth="1"/>
    <col min="4331" max="4331" width="2.6640625" style="46" customWidth="1"/>
    <col min="4332" max="4332" width="3.88671875" style="46" customWidth="1"/>
    <col min="4333" max="4333" width="25.6640625" style="46" customWidth="1"/>
    <col min="4334" max="4334" width="6.5546875" style="46" customWidth="1"/>
    <col min="4335" max="4335" width="7.33203125" style="46" customWidth="1"/>
    <col min="4336" max="4336" width="13.88671875" style="46" customWidth="1"/>
    <col min="4337" max="4337" width="16.5546875" style="46" customWidth="1"/>
    <col min="4338" max="4338" width="13.88671875" style="46" customWidth="1"/>
    <col min="4339" max="4339" width="11.109375" style="46" bestFit="1" customWidth="1"/>
    <col min="4340" max="4342" width="9.109375" style="46"/>
    <col min="4343" max="4343" width="10.88671875" style="46" customWidth="1"/>
    <col min="4344" max="4581" width="9.109375" style="46"/>
    <col min="4582" max="4582" width="5.5546875" style="46" customWidth="1"/>
    <col min="4583" max="4583" width="4.88671875" style="46" customWidth="1"/>
    <col min="4584" max="4584" width="2.6640625" style="46" customWidth="1"/>
    <col min="4585" max="4586" width="2.88671875" style="46" customWidth="1"/>
    <col min="4587" max="4587" width="2.6640625" style="46" customWidth="1"/>
    <col min="4588" max="4588" width="3.88671875" style="46" customWidth="1"/>
    <col min="4589" max="4589" width="25.6640625" style="46" customWidth="1"/>
    <col min="4590" max="4590" width="6.5546875" style="46" customWidth="1"/>
    <col min="4591" max="4591" width="7.33203125" style="46" customWidth="1"/>
    <col min="4592" max="4592" width="13.88671875" style="46" customWidth="1"/>
    <col min="4593" max="4593" width="16.5546875" style="46" customWidth="1"/>
    <col min="4594" max="4594" width="13.88671875" style="46" customWidth="1"/>
    <col min="4595" max="4595" width="11.109375" style="46" bestFit="1" customWidth="1"/>
    <col min="4596" max="4598" width="9.109375" style="46"/>
    <col min="4599" max="4599" width="10.88671875" style="46" customWidth="1"/>
    <col min="4600" max="4837" width="9.109375" style="46"/>
    <col min="4838" max="4838" width="5.5546875" style="46" customWidth="1"/>
    <col min="4839" max="4839" width="4.88671875" style="46" customWidth="1"/>
    <col min="4840" max="4840" width="2.6640625" style="46" customWidth="1"/>
    <col min="4841" max="4842" width="2.88671875" style="46" customWidth="1"/>
    <col min="4843" max="4843" width="2.6640625" style="46" customWidth="1"/>
    <col min="4844" max="4844" width="3.88671875" style="46" customWidth="1"/>
    <col min="4845" max="4845" width="25.6640625" style="46" customWidth="1"/>
    <col min="4846" max="4846" width="6.5546875" style="46" customWidth="1"/>
    <col min="4847" max="4847" width="7.33203125" style="46" customWidth="1"/>
    <col min="4848" max="4848" width="13.88671875" style="46" customWidth="1"/>
    <col min="4849" max="4849" width="16.5546875" style="46" customWidth="1"/>
    <col min="4850" max="4850" width="13.88671875" style="46" customWidth="1"/>
    <col min="4851" max="4851" width="11.109375" style="46" bestFit="1" customWidth="1"/>
    <col min="4852" max="4854" width="9.109375" style="46"/>
    <col min="4855" max="4855" width="10.88671875" style="46" customWidth="1"/>
    <col min="4856" max="5093" width="9.109375" style="46"/>
    <col min="5094" max="5094" width="5.5546875" style="46" customWidth="1"/>
    <col min="5095" max="5095" width="4.88671875" style="46" customWidth="1"/>
    <col min="5096" max="5096" width="2.6640625" style="46" customWidth="1"/>
    <col min="5097" max="5098" width="2.88671875" style="46" customWidth="1"/>
    <col min="5099" max="5099" width="2.6640625" style="46" customWidth="1"/>
    <col min="5100" max="5100" width="3.88671875" style="46" customWidth="1"/>
    <col min="5101" max="5101" width="25.6640625" style="46" customWidth="1"/>
    <col min="5102" max="5102" width="6.5546875" style="46" customWidth="1"/>
    <col min="5103" max="5103" width="7.33203125" style="46" customWidth="1"/>
    <col min="5104" max="5104" width="13.88671875" style="46" customWidth="1"/>
    <col min="5105" max="5105" width="16.5546875" style="46" customWidth="1"/>
    <col min="5106" max="5106" width="13.88671875" style="46" customWidth="1"/>
    <col min="5107" max="5107" width="11.109375" style="46" bestFit="1" customWidth="1"/>
    <col min="5108" max="5110" width="9.109375" style="46"/>
    <col min="5111" max="5111" width="10.88671875" style="46" customWidth="1"/>
    <col min="5112" max="5349" width="9.109375" style="46"/>
    <col min="5350" max="5350" width="5.5546875" style="46" customWidth="1"/>
    <col min="5351" max="5351" width="4.88671875" style="46" customWidth="1"/>
    <col min="5352" max="5352" width="2.6640625" style="46" customWidth="1"/>
    <col min="5353" max="5354" width="2.88671875" style="46" customWidth="1"/>
    <col min="5355" max="5355" width="2.6640625" style="46" customWidth="1"/>
    <col min="5356" max="5356" width="3.88671875" style="46" customWidth="1"/>
    <col min="5357" max="5357" width="25.6640625" style="46" customWidth="1"/>
    <col min="5358" max="5358" width="6.5546875" style="46" customWidth="1"/>
    <col min="5359" max="5359" width="7.33203125" style="46" customWidth="1"/>
    <col min="5360" max="5360" width="13.88671875" style="46" customWidth="1"/>
    <col min="5361" max="5361" width="16.5546875" style="46" customWidth="1"/>
    <col min="5362" max="5362" width="13.88671875" style="46" customWidth="1"/>
    <col min="5363" max="5363" width="11.109375" style="46" bestFit="1" customWidth="1"/>
    <col min="5364" max="5366" width="9.109375" style="46"/>
    <col min="5367" max="5367" width="10.88671875" style="46" customWidth="1"/>
    <col min="5368" max="5605" width="9.109375" style="46"/>
    <col min="5606" max="5606" width="5.5546875" style="46" customWidth="1"/>
    <col min="5607" max="5607" width="4.88671875" style="46" customWidth="1"/>
    <col min="5608" max="5608" width="2.6640625" style="46" customWidth="1"/>
    <col min="5609" max="5610" width="2.88671875" style="46" customWidth="1"/>
    <col min="5611" max="5611" width="2.6640625" style="46" customWidth="1"/>
    <col min="5612" max="5612" width="3.88671875" style="46" customWidth="1"/>
    <col min="5613" max="5613" width="25.6640625" style="46" customWidth="1"/>
    <col min="5614" max="5614" width="6.5546875" style="46" customWidth="1"/>
    <col min="5615" max="5615" width="7.33203125" style="46" customWidth="1"/>
    <col min="5616" max="5616" width="13.88671875" style="46" customWidth="1"/>
    <col min="5617" max="5617" width="16.5546875" style="46" customWidth="1"/>
    <col min="5618" max="5618" width="13.88671875" style="46" customWidth="1"/>
    <col min="5619" max="5619" width="11.109375" style="46" bestFit="1" customWidth="1"/>
    <col min="5620" max="5622" width="9.109375" style="46"/>
    <col min="5623" max="5623" width="10.88671875" style="46" customWidth="1"/>
    <col min="5624" max="5861" width="9.109375" style="46"/>
    <col min="5862" max="5862" width="5.5546875" style="46" customWidth="1"/>
    <col min="5863" max="5863" width="4.88671875" style="46" customWidth="1"/>
    <col min="5864" max="5864" width="2.6640625" style="46" customWidth="1"/>
    <col min="5865" max="5866" width="2.88671875" style="46" customWidth="1"/>
    <col min="5867" max="5867" width="2.6640625" style="46" customWidth="1"/>
    <col min="5868" max="5868" width="3.88671875" style="46" customWidth="1"/>
    <col min="5869" max="5869" width="25.6640625" style="46" customWidth="1"/>
    <col min="5870" max="5870" width="6.5546875" style="46" customWidth="1"/>
    <col min="5871" max="5871" width="7.33203125" style="46" customWidth="1"/>
    <col min="5872" max="5872" width="13.88671875" style="46" customWidth="1"/>
    <col min="5873" max="5873" width="16.5546875" style="46" customWidth="1"/>
    <col min="5874" max="5874" width="13.88671875" style="46" customWidth="1"/>
    <col min="5875" max="5875" width="11.109375" style="46" bestFit="1" customWidth="1"/>
    <col min="5876" max="5878" width="9.109375" style="46"/>
    <col min="5879" max="5879" width="10.88671875" style="46" customWidth="1"/>
    <col min="5880" max="6117" width="9.109375" style="46"/>
    <col min="6118" max="6118" width="5.5546875" style="46" customWidth="1"/>
    <col min="6119" max="6119" width="4.88671875" style="46" customWidth="1"/>
    <col min="6120" max="6120" width="2.6640625" style="46" customWidth="1"/>
    <col min="6121" max="6122" width="2.88671875" style="46" customWidth="1"/>
    <col min="6123" max="6123" width="2.6640625" style="46" customWidth="1"/>
    <col min="6124" max="6124" width="3.88671875" style="46" customWidth="1"/>
    <col min="6125" max="6125" width="25.6640625" style="46" customWidth="1"/>
    <col min="6126" max="6126" width="6.5546875" style="46" customWidth="1"/>
    <col min="6127" max="6127" width="7.33203125" style="46" customWidth="1"/>
    <col min="6128" max="6128" width="13.88671875" style="46" customWidth="1"/>
    <col min="6129" max="6129" width="16.5546875" style="46" customWidth="1"/>
    <col min="6130" max="6130" width="13.88671875" style="46" customWidth="1"/>
    <col min="6131" max="6131" width="11.109375" style="46" bestFit="1" customWidth="1"/>
    <col min="6132" max="6134" width="9.109375" style="46"/>
    <col min="6135" max="6135" width="10.88671875" style="46" customWidth="1"/>
    <col min="6136" max="6373" width="9.109375" style="46"/>
    <col min="6374" max="6374" width="5.5546875" style="46" customWidth="1"/>
    <col min="6375" max="6375" width="4.88671875" style="46" customWidth="1"/>
    <col min="6376" max="6376" width="2.6640625" style="46" customWidth="1"/>
    <col min="6377" max="6378" width="2.88671875" style="46" customWidth="1"/>
    <col min="6379" max="6379" width="2.6640625" style="46" customWidth="1"/>
    <col min="6380" max="6380" width="3.88671875" style="46" customWidth="1"/>
    <col min="6381" max="6381" width="25.6640625" style="46" customWidth="1"/>
    <col min="6382" max="6382" width="6.5546875" style="46" customWidth="1"/>
    <col min="6383" max="6383" width="7.33203125" style="46" customWidth="1"/>
    <col min="6384" max="6384" width="13.88671875" style="46" customWidth="1"/>
    <col min="6385" max="6385" width="16.5546875" style="46" customWidth="1"/>
    <col min="6386" max="6386" width="13.88671875" style="46" customWidth="1"/>
    <col min="6387" max="6387" width="11.109375" style="46" bestFit="1" customWidth="1"/>
    <col min="6388" max="6390" width="9.109375" style="46"/>
    <col min="6391" max="6391" width="10.88671875" style="46" customWidth="1"/>
    <col min="6392" max="6629" width="9.109375" style="46"/>
    <col min="6630" max="6630" width="5.5546875" style="46" customWidth="1"/>
    <col min="6631" max="6631" width="4.88671875" style="46" customWidth="1"/>
    <col min="6632" max="6632" width="2.6640625" style="46" customWidth="1"/>
    <col min="6633" max="6634" width="2.88671875" style="46" customWidth="1"/>
    <col min="6635" max="6635" width="2.6640625" style="46" customWidth="1"/>
    <col min="6636" max="6636" width="3.88671875" style="46" customWidth="1"/>
    <col min="6637" max="6637" width="25.6640625" style="46" customWidth="1"/>
    <col min="6638" max="6638" width="6.5546875" style="46" customWidth="1"/>
    <col min="6639" max="6639" width="7.33203125" style="46" customWidth="1"/>
    <col min="6640" max="6640" width="13.88671875" style="46" customWidth="1"/>
    <col min="6641" max="6641" width="16.5546875" style="46" customWidth="1"/>
    <col min="6642" max="6642" width="13.88671875" style="46" customWidth="1"/>
    <col min="6643" max="6643" width="11.109375" style="46" bestFit="1" customWidth="1"/>
    <col min="6644" max="6646" width="9.109375" style="46"/>
    <col min="6647" max="6647" width="10.88671875" style="46" customWidth="1"/>
    <col min="6648" max="6885" width="9.109375" style="46"/>
    <col min="6886" max="6886" width="5.5546875" style="46" customWidth="1"/>
    <col min="6887" max="6887" width="4.88671875" style="46" customWidth="1"/>
    <col min="6888" max="6888" width="2.6640625" style="46" customWidth="1"/>
    <col min="6889" max="6890" width="2.88671875" style="46" customWidth="1"/>
    <col min="6891" max="6891" width="2.6640625" style="46" customWidth="1"/>
    <col min="6892" max="6892" width="3.88671875" style="46" customWidth="1"/>
    <col min="6893" max="6893" width="25.6640625" style="46" customWidth="1"/>
    <col min="6894" max="6894" width="6.5546875" style="46" customWidth="1"/>
    <col min="6895" max="6895" width="7.33203125" style="46" customWidth="1"/>
    <col min="6896" max="6896" width="13.88671875" style="46" customWidth="1"/>
    <col min="6897" max="6897" width="16.5546875" style="46" customWidth="1"/>
    <col min="6898" max="6898" width="13.88671875" style="46" customWidth="1"/>
    <col min="6899" max="6899" width="11.109375" style="46" bestFit="1" customWidth="1"/>
    <col min="6900" max="6902" width="9.109375" style="46"/>
    <col min="6903" max="6903" width="10.88671875" style="46" customWidth="1"/>
    <col min="6904" max="7141" width="9.109375" style="46"/>
    <col min="7142" max="7142" width="5.5546875" style="46" customWidth="1"/>
    <col min="7143" max="7143" width="4.88671875" style="46" customWidth="1"/>
    <col min="7144" max="7144" width="2.6640625" style="46" customWidth="1"/>
    <col min="7145" max="7146" width="2.88671875" style="46" customWidth="1"/>
    <col min="7147" max="7147" width="2.6640625" style="46" customWidth="1"/>
    <col min="7148" max="7148" width="3.88671875" style="46" customWidth="1"/>
    <col min="7149" max="7149" width="25.6640625" style="46" customWidth="1"/>
    <col min="7150" max="7150" width="6.5546875" style="46" customWidth="1"/>
    <col min="7151" max="7151" width="7.33203125" style="46" customWidth="1"/>
    <col min="7152" max="7152" width="13.88671875" style="46" customWidth="1"/>
    <col min="7153" max="7153" width="16.5546875" style="46" customWidth="1"/>
    <col min="7154" max="7154" width="13.88671875" style="46" customWidth="1"/>
    <col min="7155" max="7155" width="11.109375" style="46" bestFit="1" customWidth="1"/>
    <col min="7156" max="7158" width="9.109375" style="46"/>
    <col min="7159" max="7159" width="10.88671875" style="46" customWidth="1"/>
    <col min="7160" max="7397" width="9.109375" style="46"/>
    <col min="7398" max="7398" width="5.5546875" style="46" customWidth="1"/>
    <col min="7399" max="7399" width="4.88671875" style="46" customWidth="1"/>
    <col min="7400" max="7400" width="2.6640625" style="46" customWidth="1"/>
    <col min="7401" max="7402" width="2.88671875" style="46" customWidth="1"/>
    <col min="7403" max="7403" width="2.6640625" style="46" customWidth="1"/>
    <col min="7404" max="7404" width="3.88671875" style="46" customWidth="1"/>
    <col min="7405" max="7405" width="25.6640625" style="46" customWidth="1"/>
    <col min="7406" max="7406" width="6.5546875" style="46" customWidth="1"/>
    <col min="7407" max="7407" width="7.33203125" style="46" customWidth="1"/>
    <col min="7408" max="7408" width="13.88671875" style="46" customWidth="1"/>
    <col min="7409" max="7409" width="16.5546875" style="46" customWidth="1"/>
    <col min="7410" max="7410" width="13.88671875" style="46" customWidth="1"/>
    <col min="7411" max="7411" width="11.109375" style="46" bestFit="1" customWidth="1"/>
    <col min="7412" max="7414" width="9.109375" style="46"/>
    <col min="7415" max="7415" width="10.88671875" style="46" customWidth="1"/>
    <col min="7416" max="7653" width="9.109375" style="46"/>
    <col min="7654" max="7654" width="5.5546875" style="46" customWidth="1"/>
    <col min="7655" max="7655" width="4.88671875" style="46" customWidth="1"/>
    <col min="7656" max="7656" width="2.6640625" style="46" customWidth="1"/>
    <col min="7657" max="7658" width="2.88671875" style="46" customWidth="1"/>
    <col min="7659" max="7659" width="2.6640625" style="46" customWidth="1"/>
    <col min="7660" max="7660" width="3.88671875" style="46" customWidth="1"/>
    <col min="7661" max="7661" width="25.6640625" style="46" customWidth="1"/>
    <col min="7662" max="7662" width="6.5546875" style="46" customWidth="1"/>
    <col min="7663" max="7663" width="7.33203125" style="46" customWidth="1"/>
    <col min="7664" max="7664" width="13.88671875" style="46" customWidth="1"/>
    <col min="7665" max="7665" width="16.5546875" style="46" customWidth="1"/>
    <col min="7666" max="7666" width="13.88671875" style="46" customWidth="1"/>
    <col min="7667" max="7667" width="11.109375" style="46" bestFit="1" customWidth="1"/>
    <col min="7668" max="7670" width="9.109375" style="46"/>
    <col min="7671" max="7671" width="10.88671875" style="46" customWidth="1"/>
    <col min="7672" max="7909" width="9.109375" style="46"/>
    <col min="7910" max="7910" width="5.5546875" style="46" customWidth="1"/>
    <col min="7911" max="7911" width="4.88671875" style="46" customWidth="1"/>
    <col min="7912" max="7912" width="2.6640625" style="46" customWidth="1"/>
    <col min="7913" max="7914" width="2.88671875" style="46" customWidth="1"/>
    <col min="7915" max="7915" width="2.6640625" style="46" customWidth="1"/>
    <col min="7916" max="7916" width="3.88671875" style="46" customWidth="1"/>
    <col min="7917" max="7917" width="25.6640625" style="46" customWidth="1"/>
    <col min="7918" max="7918" width="6.5546875" style="46" customWidth="1"/>
    <col min="7919" max="7919" width="7.33203125" style="46" customWidth="1"/>
    <col min="7920" max="7920" width="13.88671875" style="46" customWidth="1"/>
    <col min="7921" max="7921" width="16.5546875" style="46" customWidth="1"/>
    <col min="7922" max="7922" width="13.88671875" style="46" customWidth="1"/>
    <col min="7923" max="7923" width="11.109375" style="46" bestFit="1" customWidth="1"/>
    <col min="7924" max="7926" width="9.109375" style="46"/>
    <col min="7927" max="7927" width="10.88671875" style="46" customWidth="1"/>
    <col min="7928" max="8165" width="9.109375" style="46"/>
    <col min="8166" max="8166" width="5.5546875" style="46" customWidth="1"/>
    <col min="8167" max="8167" width="4.88671875" style="46" customWidth="1"/>
    <col min="8168" max="8168" width="2.6640625" style="46" customWidth="1"/>
    <col min="8169" max="8170" width="2.88671875" style="46" customWidth="1"/>
    <col min="8171" max="8171" width="2.6640625" style="46" customWidth="1"/>
    <col min="8172" max="8172" width="3.88671875" style="46" customWidth="1"/>
    <col min="8173" max="8173" width="25.6640625" style="46" customWidth="1"/>
    <col min="8174" max="8174" width="6.5546875" style="46" customWidth="1"/>
    <col min="8175" max="8175" width="7.33203125" style="46" customWidth="1"/>
    <col min="8176" max="8176" width="13.88671875" style="46" customWidth="1"/>
    <col min="8177" max="8177" width="16.5546875" style="46" customWidth="1"/>
    <col min="8178" max="8178" width="13.88671875" style="46" customWidth="1"/>
    <col min="8179" max="8179" width="11.109375" style="46" bestFit="1" customWidth="1"/>
    <col min="8180" max="8182" width="9.109375" style="46"/>
    <col min="8183" max="8183" width="10.88671875" style="46" customWidth="1"/>
    <col min="8184" max="8421" width="9.109375" style="46"/>
    <col min="8422" max="8422" width="5.5546875" style="46" customWidth="1"/>
    <col min="8423" max="8423" width="4.88671875" style="46" customWidth="1"/>
    <col min="8424" max="8424" width="2.6640625" style="46" customWidth="1"/>
    <col min="8425" max="8426" width="2.88671875" style="46" customWidth="1"/>
    <col min="8427" max="8427" width="2.6640625" style="46" customWidth="1"/>
    <col min="8428" max="8428" width="3.88671875" style="46" customWidth="1"/>
    <col min="8429" max="8429" width="25.6640625" style="46" customWidth="1"/>
    <col min="8430" max="8430" width="6.5546875" style="46" customWidth="1"/>
    <col min="8431" max="8431" width="7.33203125" style="46" customWidth="1"/>
    <col min="8432" max="8432" width="13.88671875" style="46" customWidth="1"/>
    <col min="8433" max="8433" width="16.5546875" style="46" customWidth="1"/>
    <col min="8434" max="8434" width="13.88671875" style="46" customWidth="1"/>
    <col min="8435" max="8435" width="11.109375" style="46" bestFit="1" customWidth="1"/>
    <col min="8436" max="8438" width="9.109375" style="46"/>
    <col min="8439" max="8439" width="10.88671875" style="46" customWidth="1"/>
    <col min="8440" max="8677" width="9.109375" style="46"/>
    <col min="8678" max="8678" width="5.5546875" style="46" customWidth="1"/>
    <col min="8679" max="8679" width="4.88671875" style="46" customWidth="1"/>
    <col min="8680" max="8680" width="2.6640625" style="46" customWidth="1"/>
    <col min="8681" max="8682" width="2.88671875" style="46" customWidth="1"/>
    <col min="8683" max="8683" width="2.6640625" style="46" customWidth="1"/>
    <col min="8684" max="8684" width="3.88671875" style="46" customWidth="1"/>
    <col min="8685" max="8685" width="25.6640625" style="46" customWidth="1"/>
    <col min="8686" max="8686" width="6.5546875" style="46" customWidth="1"/>
    <col min="8687" max="8687" width="7.33203125" style="46" customWidth="1"/>
    <col min="8688" max="8688" width="13.88671875" style="46" customWidth="1"/>
    <col min="8689" max="8689" width="16.5546875" style="46" customWidth="1"/>
    <col min="8690" max="8690" width="13.88671875" style="46" customWidth="1"/>
    <col min="8691" max="8691" width="11.109375" style="46" bestFit="1" customWidth="1"/>
    <col min="8692" max="8694" width="9.109375" style="46"/>
    <col min="8695" max="8695" width="10.88671875" style="46" customWidth="1"/>
    <col min="8696" max="8933" width="9.109375" style="46"/>
    <col min="8934" max="8934" width="5.5546875" style="46" customWidth="1"/>
    <col min="8935" max="8935" width="4.88671875" style="46" customWidth="1"/>
    <col min="8936" max="8936" width="2.6640625" style="46" customWidth="1"/>
    <col min="8937" max="8938" width="2.88671875" style="46" customWidth="1"/>
    <col min="8939" max="8939" width="2.6640625" style="46" customWidth="1"/>
    <col min="8940" max="8940" width="3.88671875" style="46" customWidth="1"/>
    <col min="8941" max="8941" width="25.6640625" style="46" customWidth="1"/>
    <col min="8942" max="8942" width="6.5546875" style="46" customWidth="1"/>
    <col min="8943" max="8943" width="7.33203125" style="46" customWidth="1"/>
    <col min="8944" max="8944" width="13.88671875" style="46" customWidth="1"/>
    <col min="8945" max="8945" width="16.5546875" style="46" customWidth="1"/>
    <col min="8946" max="8946" width="13.88671875" style="46" customWidth="1"/>
    <col min="8947" max="8947" width="11.109375" style="46" bestFit="1" customWidth="1"/>
    <col min="8948" max="8950" width="9.109375" style="46"/>
    <col min="8951" max="8951" width="10.88671875" style="46" customWidth="1"/>
    <col min="8952" max="9189" width="9.109375" style="46"/>
    <col min="9190" max="9190" width="5.5546875" style="46" customWidth="1"/>
    <col min="9191" max="9191" width="4.88671875" style="46" customWidth="1"/>
    <col min="9192" max="9192" width="2.6640625" style="46" customWidth="1"/>
    <col min="9193" max="9194" width="2.88671875" style="46" customWidth="1"/>
    <col min="9195" max="9195" width="2.6640625" style="46" customWidth="1"/>
    <col min="9196" max="9196" width="3.88671875" style="46" customWidth="1"/>
    <col min="9197" max="9197" width="25.6640625" style="46" customWidth="1"/>
    <col min="9198" max="9198" width="6.5546875" style="46" customWidth="1"/>
    <col min="9199" max="9199" width="7.33203125" style="46" customWidth="1"/>
    <col min="9200" max="9200" width="13.88671875" style="46" customWidth="1"/>
    <col min="9201" max="9201" width="16.5546875" style="46" customWidth="1"/>
    <col min="9202" max="9202" width="13.88671875" style="46" customWidth="1"/>
    <col min="9203" max="9203" width="11.109375" style="46" bestFit="1" customWidth="1"/>
    <col min="9204" max="9206" width="9.109375" style="46"/>
    <col min="9207" max="9207" width="10.88671875" style="46" customWidth="1"/>
    <col min="9208" max="9445" width="9.109375" style="46"/>
    <col min="9446" max="9446" width="5.5546875" style="46" customWidth="1"/>
    <col min="9447" max="9447" width="4.88671875" style="46" customWidth="1"/>
    <col min="9448" max="9448" width="2.6640625" style="46" customWidth="1"/>
    <col min="9449" max="9450" width="2.88671875" style="46" customWidth="1"/>
    <col min="9451" max="9451" width="2.6640625" style="46" customWidth="1"/>
    <col min="9452" max="9452" width="3.88671875" style="46" customWidth="1"/>
    <col min="9453" max="9453" width="25.6640625" style="46" customWidth="1"/>
    <col min="9454" max="9454" width="6.5546875" style="46" customWidth="1"/>
    <col min="9455" max="9455" width="7.33203125" style="46" customWidth="1"/>
    <col min="9456" max="9456" width="13.88671875" style="46" customWidth="1"/>
    <col min="9457" max="9457" width="16.5546875" style="46" customWidth="1"/>
    <col min="9458" max="9458" width="13.88671875" style="46" customWidth="1"/>
    <col min="9459" max="9459" width="11.109375" style="46" bestFit="1" customWidth="1"/>
    <col min="9460" max="9462" width="9.109375" style="46"/>
    <col min="9463" max="9463" width="10.88671875" style="46" customWidth="1"/>
    <col min="9464" max="9701" width="9.109375" style="46"/>
    <col min="9702" max="9702" width="5.5546875" style="46" customWidth="1"/>
    <col min="9703" max="9703" width="4.88671875" style="46" customWidth="1"/>
    <col min="9704" max="9704" width="2.6640625" style="46" customWidth="1"/>
    <col min="9705" max="9706" width="2.88671875" style="46" customWidth="1"/>
    <col min="9707" max="9707" width="2.6640625" style="46" customWidth="1"/>
    <col min="9708" max="9708" width="3.88671875" style="46" customWidth="1"/>
    <col min="9709" max="9709" width="25.6640625" style="46" customWidth="1"/>
    <col min="9710" max="9710" width="6.5546875" style="46" customWidth="1"/>
    <col min="9711" max="9711" width="7.33203125" style="46" customWidth="1"/>
    <col min="9712" max="9712" width="13.88671875" style="46" customWidth="1"/>
    <col min="9713" max="9713" width="16.5546875" style="46" customWidth="1"/>
    <col min="9714" max="9714" width="13.88671875" style="46" customWidth="1"/>
    <col min="9715" max="9715" width="11.109375" style="46" bestFit="1" customWidth="1"/>
    <col min="9716" max="9718" width="9.109375" style="46"/>
    <col min="9719" max="9719" width="10.88671875" style="46" customWidth="1"/>
    <col min="9720" max="9957" width="9.109375" style="46"/>
    <col min="9958" max="9958" width="5.5546875" style="46" customWidth="1"/>
    <col min="9959" max="9959" width="4.88671875" style="46" customWidth="1"/>
    <col min="9960" max="9960" width="2.6640625" style="46" customWidth="1"/>
    <col min="9961" max="9962" width="2.88671875" style="46" customWidth="1"/>
    <col min="9963" max="9963" width="2.6640625" style="46" customWidth="1"/>
    <col min="9964" max="9964" width="3.88671875" style="46" customWidth="1"/>
    <col min="9965" max="9965" width="25.6640625" style="46" customWidth="1"/>
    <col min="9966" max="9966" width="6.5546875" style="46" customWidth="1"/>
    <col min="9967" max="9967" width="7.33203125" style="46" customWidth="1"/>
    <col min="9968" max="9968" width="13.88671875" style="46" customWidth="1"/>
    <col min="9969" max="9969" width="16.5546875" style="46" customWidth="1"/>
    <col min="9970" max="9970" width="13.88671875" style="46" customWidth="1"/>
    <col min="9971" max="9971" width="11.109375" style="46" bestFit="1" customWidth="1"/>
    <col min="9972" max="9974" width="9.109375" style="46"/>
    <col min="9975" max="9975" width="10.88671875" style="46" customWidth="1"/>
    <col min="9976" max="10213" width="9.109375" style="46"/>
    <col min="10214" max="10214" width="5.5546875" style="46" customWidth="1"/>
    <col min="10215" max="10215" width="4.88671875" style="46" customWidth="1"/>
    <col min="10216" max="10216" width="2.6640625" style="46" customWidth="1"/>
    <col min="10217" max="10218" width="2.88671875" style="46" customWidth="1"/>
    <col min="10219" max="10219" width="2.6640625" style="46" customWidth="1"/>
    <col min="10220" max="10220" width="3.88671875" style="46" customWidth="1"/>
    <col min="10221" max="10221" width="25.6640625" style="46" customWidth="1"/>
    <col min="10222" max="10222" width="6.5546875" style="46" customWidth="1"/>
    <col min="10223" max="10223" width="7.33203125" style="46" customWidth="1"/>
    <col min="10224" max="10224" width="13.88671875" style="46" customWidth="1"/>
    <col min="10225" max="10225" width="16.5546875" style="46" customWidth="1"/>
    <col min="10226" max="10226" width="13.88671875" style="46" customWidth="1"/>
    <col min="10227" max="10227" width="11.109375" style="46" bestFit="1" customWidth="1"/>
    <col min="10228" max="10230" width="9.109375" style="46"/>
    <col min="10231" max="10231" width="10.88671875" style="46" customWidth="1"/>
    <col min="10232" max="10469" width="9.109375" style="46"/>
    <col min="10470" max="10470" width="5.5546875" style="46" customWidth="1"/>
    <col min="10471" max="10471" width="4.88671875" style="46" customWidth="1"/>
    <col min="10472" max="10472" width="2.6640625" style="46" customWidth="1"/>
    <col min="10473" max="10474" width="2.88671875" style="46" customWidth="1"/>
    <col min="10475" max="10475" width="2.6640625" style="46" customWidth="1"/>
    <col min="10476" max="10476" width="3.88671875" style="46" customWidth="1"/>
    <col min="10477" max="10477" width="25.6640625" style="46" customWidth="1"/>
    <col min="10478" max="10478" width="6.5546875" style="46" customWidth="1"/>
    <col min="10479" max="10479" width="7.33203125" style="46" customWidth="1"/>
    <col min="10480" max="10480" width="13.88671875" style="46" customWidth="1"/>
    <col min="10481" max="10481" width="16.5546875" style="46" customWidth="1"/>
    <col min="10482" max="10482" width="13.88671875" style="46" customWidth="1"/>
    <col min="10483" max="10483" width="11.109375" style="46" bestFit="1" customWidth="1"/>
    <col min="10484" max="10486" width="9.109375" style="46"/>
    <col min="10487" max="10487" width="10.88671875" style="46" customWidth="1"/>
    <col min="10488" max="10725" width="9.109375" style="46"/>
    <col min="10726" max="10726" width="5.5546875" style="46" customWidth="1"/>
    <col min="10727" max="10727" width="4.88671875" style="46" customWidth="1"/>
    <col min="10728" max="10728" width="2.6640625" style="46" customWidth="1"/>
    <col min="10729" max="10730" width="2.88671875" style="46" customWidth="1"/>
    <col min="10731" max="10731" width="2.6640625" style="46" customWidth="1"/>
    <col min="10732" max="10732" width="3.88671875" style="46" customWidth="1"/>
    <col min="10733" max="10733" width="25.6640625" style="46" customWidth="1"/>
    <col min="10734" max="10734" width="6.5546875" style="46" customWidth="1"/>
    <col min="10735" max="10735" width="7.33203125" style="46" customWidth="1"/>
    <col min="10736" max="10736" width="13.88671875" style="46" customWidth="1"/>
    <col min="10737" max="10737" width="16.5546875" style="46" customWidth="1"/>
    <col min="10738" max="10738" width="13.88671875" style="46" customWidth="1"/>
    <col min="10739" max="10739" width="11.109375" style="46" bestFit="1" customWidth="1"/>
    <col min="10740" max="10742" width="9.109375" style="46"/>
    <col min="10743" max="10743" width="10.88671875" style="46" customWidth="1"/>
    <col min="10744" max="10981" width="9.109375" style="46"/>
    <col min="10982" max="10982" width="5.5546875" style="46" customWidth="1"/>
    <col min="10983" max="10983" width="4.88671875" style="46" customWidth="1"/>
    <col min="10984" max="10984" width="2.6640625" style="46" customWidth="1"/>
    <col min="10985" max="10986" width="2.88671875" style="46" customWidth="1"/>
    <col min="10987" max="10987" width="2.6640625" style="46" customWidth="1"/>
    <col min="10988" max="10988" width="3.88671875" style="46" customWidth="1"/>
    <col min="10989" max="10989" width="25.6640625" style="46" customWidth="1"/>
    <col min="10990" max="10990" width="6.5546875" style="46" customWidth="1"/>
    <col min="10991" max="10991" width="7.33203125" style="46" customWidth="1"/>
    <col min="10992" max="10992" width="13.88671875" style="46" customWidth="1"/>
    <col min="10993" max="10993" width="16.5546875" style="46" customWidth="1"/>
    <col min="10994" max="10994" width="13.88671875" style="46" customWidth="1"/>
    <col min="10995" max="10995" width="11.109375" style="46" bestFit="1" customWidth="1"/>
    <col min="10996" max="10998" width="9.109375" style="46"/>
    <col min="10999" max="10999" width="10.88671875" style="46" customWidth="1"/>
    <col min="11000" max="11237" width="9.109375" style="46"/>
    <col min="11238" max="11238" width="5.5546875" style="46" customWidth="1"/>
    <col min="11239" max="11239" width="4.88671875" style="46" customWidth="1"/>
    <col min="11240" max="11240" width="2.6640625" style="46" customWidth="1"/>
    <col min="11241" max="11242" width="2.88671875" style="46" customWidth="1"/>
    <col min="11243" max="11243" width="2.6640625" style="46" customWidth="1"/>
    <col min="11244" max="11244" width="3.88671875" style="46" customWidth="1"/>
    <col min="11245" max="11245" width="25.6640625" style="46" customWidth="1"/>
    <col min="11246" max="11246" width="6.5546875" style="46" customWidth="1"/>
    <col min="11247" max="11247" width="7.33203125" style="46" customWidth="1"/>
    <col min="11248" max="11248" width="13.88671875" style="46" customWidth="1"/>
    <col min="11249" max="11249" width="16.5546875" style="46" customWidth="1"/>
    <col min="11250" max="11250" width="13.88671875" style="46" customWidth="1"/>
    <col min="11251" max="11251" width="11.109375" style="46" bestFit="1" customWidth="1"/>
    <col min="11252" max="11254" width="9.109375" style="46"/>
    <col min="11255" max="11255" width="10.88671875" style="46" customWidth="1"/>
    <col min="11256" max="11493" width="9.109375" style="46"/>
    <col min="11494" max="11494" width="5.5546875" style="46" customWidth="1"/>
    <col min="11495" max="11495" width="4.88671875" style="46" customWidth="1"/>
    <col min="11496" max="11496" width="2.6640625" style="46" customWidth="1"/>
    <col min="11497" max="11498" width="2.88671875" style="46" customWidth="1"/>
    <col min="11499" max="11499" width="2.6640625" style="46" customWidth="1"/>
    <col min="11500" max="11500" width="3.88671875" style="46" customWidth="1"/>
    <col min="11501" max="11501" width="25.6640625" style="46" customWidth="1"/>
    <col min="11502" max="11502" width="6.5546875" style="46" customWidth="1"/>
    <col min="11503" max="11503" width="7.33203125" style="46" customWidth="1"/>
    <col min="11504" max="11504" width="13.88671875" style="46" customWidth="1"/>
    <col min="11505" max="11505" width="16.5546875" style="46" customWidth="1"/>
    <col min="11506" max="11506" width="13.88671875" style="46" customWidth="1"/>
    <col min="11507" max="11507" width="11.109375" style="46" bestFit="1" customWidth="1"/>
    <col min="11508" max="11510" width="9.109375" style="46"/>
    <col min="11511" max="11511" width="10.88671875" style="46" customWidth="1"/>
    <col min="11512" max="11749" width="9.109375" style="46"/>
    <col min="11750" max="11750" width="5.5546875" style="46" customWidth="1"/>
    <col min="11751" max="11751" width="4.88671875" style="46" customWidth="1"/>
    <col min="11752" max="11752" width="2.6640625" style="46" customWidth="1"/>
    <col min="11753" max="11754" width="2.88671875" style="46" customWidth="1"/>
    <col min="11755" max="11755" width="2.6640625" style="46" customWidth="1"/>
    <col min="11756" max="11756" width="3.88671875" style="46" customWidth="1"/>
    <col min="11757" max="11757" width="25.6640625" style="46" customWidth="1"/>
    <col min="11758" max="11758" width="6.5546875" style="46" customWidth="1"/>
    <col min="11759" max="11759" width="7.33203125" style="46" customWidth="1"/>
    <col min="11760" max="11760" width="13.88671875" style="46" customWidth="1"/>
    <col min="11761" max="11761" width="16.5546875" style="46" customWidth="1"/>
    <col min="11762" max="11762" width="13.88671875" style="46" customWidth="1"/>
    <col min="11763" max="11763" width="11.109375" style="46" bestFit="1" customWidth="1"/>
    <col min="11764" max="11766" width="9.109375" style="46"/>
    <col min="11767" max="11767" width="10.88671875" style="46" customWidth="1"/>
    <col min="11768" max="12005" width="9.109375" style="46"/>
    <col min="12006" max="12006" width="5.5546875" style="46" customWidth="1"/>
    <col min="12007" max="12007" width="4.88671875" style="46" customWidth="1"/>
    <col min="12008" max="12008" width="2.6640625" style="46" customWidth="1"/>
    <col min="12009" max="12010" width="2.88671875" style="46" customWidth="1"/>
    <col min="12011" max="12011" width="2.6640625" style="46" customWidth="1"/>
    <col min="12012" max="12012" width="3.88671875" style="46" customWidth="1"/>
    <col min="12013" max="12013" width="25.6640625" style="46" customWidth="1"/>
    <col min="12014" max="12014" width="6.5546875" style="46" customWidth="1"/>
    <col min="12015" max="12015" width="7.33203125" style="46" customWidth="1"/>
    <col min="12016" max="12016" width="13.88671875" style="46" customWidth="1"/>
    <col min="12017" max="12017" width="16.5546875" style="46" customWidth="1"/>
    <col min="12018" max="12018" width="13.88671875" style="46" customWidth="1"/>
    <col min="12019" max="12019" width="11.109375" style="46" bestFit="1" customWidth="1"/>
    <col min="12020" max="12022" width="9.109375" style="46"/>
    <col min="12023" max="12023" width="10.88671875" style="46" customWidth="1"/>
    <col min="12024" max="12261" width="9.109375" style="46"/>
    <col min="12262" max="12262" width="5.5546875" style="46" customWidth="1"/>
    <col min="12263" max="12263" width="4.88671875" style="46" customWidth="1"/>
    <col min="12264" max="12264" width="2.6640625" style="46" customWidth="1"/>
    <col min="12265" max="12266" width="2.88671875" style="46" customWidth="1"/>
    <col min="12267" max="12267" width="2.6640625" style="46" customWidth="1"/>
    <col min="12268" max="12268" width="3.88671875" style="46" customWidth="1"/>
    <col min="12269" max="12269" width="25.6640625" style="46" customWidth="1"/>
    <col min="12270" max="12270" width="6.5546875" style="46" customWidth="1"/>
    <col min="12271" max="12271" width="7.33203125" style="46" customWidth="1"/>
    <col min="12272" max="12272" width="13.88671875" style="46" customWidth="1"/>
    <col min="12273" max="12273" width="16.5546875" style="46" customWidth="1"/>
    <col min="12274" max="12274" width="13.88671875" style="46" customWidth="1"/>
    <col min="12275" max="12275" width="11.109375" style="46" bestFit="1" customWidth="1"/>
    <col min="12276" max="12278" width="9.109375" style="46"/>
    <col min="12279" max="12279" width="10.88671875" style="46" customWidth="1"/>
    <col min="12280" max="12517" width="9.109375" style="46"/>
    <col min="12518" max="12518" width="5.5546875" style="46" customWidth="1"/>
    <col min="12519" max="12519" width="4.88671875" style="46" customWidth="1"/>
    <col min="12520" max="12520" width="2.6640625" style="46" customWidth="1"/>
    <col min="12521" max="12522" width="2.88671875" style="46" customWidth="1"/>
    <col min="12523" max="12523" width="2.6640625" style="46" customWidth="1"/>
    <col min="12524" max="12524" width="3.88671875" style="46" customWidth="1"/>
    <col min="12525" max="12525" width="25.6640625" style="46" customWidth="1"/>
    <col min="12526" max="12526" width="6.5546875" style="46" customWidth="1"/>
    <col min="12527" max="12527" width="7.33203125" style="46" customWidth="1"/>
    <col min="12528" max="12528" width="13.88671875" style="46" customWidth="1"/>
    <col min="12529" max="12529" width="16.5546875" style="46" customWidth="1"/>
    <col min="12530" max="12530" width="13.88671875" style="46" customWidth="1"/>
    <col min="12531" max="12531" width="11.109375" style="46" bestFit="1" customWidth="1"/>
    <col min="12532" max="12534" width="9.109375" style="46"/>
    <col min="12535" max="12535" width="10.88671875" style="46" customWidth="1"/>
    <col min="12536" max="12773" width="9.109375" style="46"/>
    <col min="12774" max="12774" width="5.5546875" style="46" customWidth="1"/>
    <col min="12775" max="12775" width="4.88671875" style="46" customWidth="1"/>
    <col min="12776" max="12776" width="2.6640625" style="46" customWidth="1"/>
    <col min="12777" max="12778" width="2.88671875" style="46" customWidth="1"/>
    <col min="12779" max="12779" width="2.6640625" style="46" customWidth="1"/>
    <col min="12780" max="12780" width="3.88671875" style="46" customWidth="1"/>
    <col min="12781" max="12781" width="25.6640625" style="46" customWidth="1"/>
    <col min="12782" max="12782" width="6.5546875" style="46" customWidth="1"/>
    <col min="12783" max="12783" width="7.33203125" style="46" customWidth="1"/>
    <col min="12784" max="12784" width="13.88671875" style="46" customWidth="1"/>
    <col min="12785" max="12785" width="16.5546875" style="46" customWidth="1"/>
    <col min="12786" max="12786" width="13.88671875" style="46" customWidth="1"/>
    <col min="12787" max="12787" width="11.109375" style="46" bestFit="1" customWidth="1"/>
    <col min="12788" max="12790" width="9.109375" style="46"/>
    <col min="12791" max="12791" width="10.88671875" style="46" customWidth="1"/>
    <col min="12792" max="13029" width="9.109375" style="46"/>
    <col min="13030" max="13030" width="5.5546875" style="46" customWidth="1"/>
    <col min="13031" max="13031" width="4.88671875" style="46" customWidth="1"/>
    <col min="13032" max="13032" width="2.6640625" style="46" customWidth="1"/>
    <col min="13033" max="13034" width="2.88671875" style="46" customWidth="1"/>
    <col min="13035" max="13035" width="2.6640625" style="46" customWidth="1"/>
    <col min="13036" max="13036" width="3.88671875" style="46" customWidth="1"/>
    <col min="13037" max="13037" width="25.6640625" style="46" customWidth="1"/>
    <col min="13038" max="13038" width="6.5546875" style="46" customWidth="1"/>
    <col min="13039" max="13039" width="7.33203125" style="46" customWidth="1"/>
    <col min="13040" max="13040" width="13.88671875" style="46" customWidth="1"/>
    <col min="13041" max="13041" width="16.5546875" style="46" customWidth="1"/>
    <col min="13042" max="13042" width="13.88671875" style="46" customWidth="1"/>
    <col min="13043" max="13043" width="11.109375" style="46" bestFit="1" customWidth="1"/>
    <col min="13044" max="13046" width="9.109375" style="46"/>
    <col min="13047" max="13047" width="10.88671875" style="46" customWidth="1"/>
    <col min="13048" max="13285" width="9.109375" style="46"/>
    <col min="13286" max="13286" width="5.5546875" style="46" customWidth="1"/>
    <col min="13287" max="13287" width="4.88671875" style="46" customWidth="1"/>
    <col min="13288" max="13288" width="2.6640625" style="46" customWidth="1"/>
    <col min="13289" max="13290" width="2.88671875" style="46" customWidth="1"/>
    <col min="13291" max="13291" width="2.6640625" style="46" customWidth="1"/>
    <col min="13292" max="13292" width="3.88671875" style="46" customWidth="1"/>
    <col min="13293" max="13293" width="25.6640625" style="46" customWidth="1"/>
    <col min="13294" max="13294" width="6.5546875" style="46" customWidth="1"/>
    <col min="13295" max="13295" width="7.33203125" style="46" customWidth="1"/>
    <col min="13296" max="13296" width="13.88671875" style="46" customWidth="1"/>
    <col min="13297" max="13297" width="16.5546875" style="46" customWidth="1"/>
    <col min="13298" max="13298" width="13.88671875" style="46" customWidth="1"/>
    <col min="13299" max="13299" width="11.109375" style="46" bestFit="1" customWidth="1"/>
    <col min="13300" max="13302" width="9.109375" style="46"/>
    <col min="13303" max="13303" width="10.88671875" style="46" customWidth="1"/>
    <col min="13304" max="13541" width="9.109375" style="46"/>
    <col min="13542" max="13542" width="5.5546875" style="46" customWidth="1"/>
    <col min="13543" max="13543" width="4.88671875" style="46" customWidth="1"/>
    <col min="13544" max="13544" width="2.6640625" style="46" customWidth="1"/>
    <col min="13545" max="13546" width="2.88671875" style="46" customWidth="1"/>
    <col min="13547" max="13547" width="2.6640625" style="46" customWidth="1"/>
    <col min="13548" max="13548" width="3.88671875" style="46" customWidth="1"/>
    <col min="13549" max="13549" width="25.6640625" style="46" customWidth="1"/>
    <col min="13550" max="13550" width="6.5546875" style="46" customWidth="1"/>
    <col min="13551" max="13551" width="7.33203125" style="46" customWidth="1"/>
    <col min="13552" max="13552" width="13.88671875" style="46" customWidth="1"/>
    <col min="13553" max="13553" width="16.5546875" style="46" customWidth="1"/>
    <col min="13554" max="13554" width="13.88671875" style="46" customWidth="1"/>
    <col min="13555" max="13555" width="11.109375" style="46" bestFit="1" customWidth="1"/>
    <col min="13556" max="13558" width="9.109375" style="46"/>
    <col min="13559" max="13559" width="10.88671875" style="46" customWidth="1"/>
    <col min="13560" max="13797" width="9.109375" style="46"/>
    <col min="13798" max="13798" width="5.5546875" style="46" customWidth="1"/>
    <col min="13799" max="13799" width="4.88671875" style="46" customWidth="1"/>
    <col min="13800" max="13800" width="2.6640625" style="46" customWidth="1"/>
    <col min="13801" max="13802" width="2.88671875" style="46" customWidth="1"/>
    <col min="13803" max="13803" width="2.6640625" style="46" customWidth="1"/>
    <col min="13804" max="13804" width="3.88671875" style="46" customWidth="1"/>
    <col min="13805" max="13805" width="25.6640625" style="46" customWidth="1"/>
    <col min="13806" max="13806" width="6.5546875" style="46" customWidth="1"/>
    <col min="13807" max="13807" width="7.33203125" style="46" customWidth="1"/>
    <col min="13808" max="13808" width="13.88671875" style="46" customWidth="1"/>
    <col min="13809" max="13809" width="16.5546875" style="46" customWidth="1"/>
    <col min="13810" max="13810" width="13.88671875" style="46" customWidth="1"/>
    <col min="13811" max="13811" width="11.109375" style="46" bestFit="1" customWidth="1"/>
    <col min="13812" max="13814" width="9.109375" style="46"/>
    <col min="13815" max="13815" width="10.88671875" style="46" customWidth="1"/>
    <col min="13816" max="14053" width="9.109375" style="46"/>
    <col min="14054" max="14054" width="5.5546875" style="46" customWidth="1"/>
    <col min="14055" max="14055" width="4.88671875" style="46" customWidth="1"/>
    <col min="14056" max="14056" width="2.6640625" style="46" customWidth="1"/>
    <col min="14057" max="14058" width="2.88671875" style="46" customWidth="1"/>
    <col min="14059" max="14059" width="2.6640625" style="46" customWidth="1"/>
    <col min="14060" max="14060" width="3.88671875" style="46" customWidth="1"/>
    <col min="14061" max="14061" width="25.6640625" style="46" customWidth="1"/>
    <col min="14062" max="14062" width="6.5546875" style="46" customWidth="1"/>
    <col min="14063" max="14063" width="7.33203125" style="46" customWidth="1"/>
    <col min="14064" max="14064" width="13.88671875" style="46" customWidth="1"/>
    <col min="14065" max="14065" width="16.5546875" style="46" customWidth="1"/>
    <col min="14066" max="14066" width="13.88671875" style="46" customWidth="1"/>
    <col min="14067" max="14067" width="11.109375" style="46" bestFit="1" customWidth="1"/>
    <col min="14068" max="14070" width="9.109375" style="46"/>
    <col min="14071" max="14071" width="10.88671875" style="46" customWidth="1"/>
    <col min="14072" max="14309" width="9.109375" style="46"/>
    <col min="14310" max="14310" width="5.5546875" style="46" customWidth="1"/>
    <col min="14311" max="14311" width="4.88671875" style="46" customWidth="1"/>
    <col min="14312" max="14312" width="2.6640625" style="46" customWidth="1"/>
    <col min="14313" max="14314" width="2.88671875" style="46" customWidth="1"/>
    <col min="14315" max="14315" width="2.6640625" style="46" customWidth="1"/>
    <col min="14316" max="14316" width="3.88671875" style="46" customWidth="1"/>
    <col min="14317" max="14317" width="25.6640625" style="46" customWidth="1"/>
    <col min="14318" max="14318" width="6.5546875" style="46" customWidth="1"/>
    <col min="14319" max="14319" width="7.33203125" style="46" customWidth="1"/>
    <col min="14320" max="14320" width="13.88671875" style="46" customWidth="1"/>
    <col min="14321" max="14321" width="16.5546875" style="46" customWidth="1"/>
    <col min="14322" max="14322" width="13.88671875" style="46" customWidth="1"/>
    <col min="14323" max="14323" width="11.109375" style="46" bestFit="1" customWidth="1"/>
    <col min="14324" max="14326" width="9.109375" style="46"/>
    <col min="14327" max="14327" width="10.88671875" style="46" customWidth="1"/>
    <col min="14328" max="14565" width="9.109375" style="46"/>
    <col min="14566" max="14566" width="5.5546875" style="46" customWidth="1"/>
    <col min="14567" max="14567" width="4.88671875" style="46" customWidth="1"/>
    <col min="14568" max="14568" width="2.6640625" style="46" customWidth="1"/>
    <col min="14569" max="14570" width="2.88671875" style="46" customWidth="1"/>
    <col min="14571" max="14571" width="2.6640625" style="46" customWidth="1"/>
    <col min="14572" max="14572" width="3.88671875" style="46" customWidth="1"/>
    <col min="14573" max="14573" width="25.6640625" style="46" customWidth="1"/>
    <col min="14574" max="14574" width="6.5546875" style="46" customWidth="1"/>
    <col min="14575" max="14575" width="7.33203125" style="46" customWidth="1"/>
    <col min="14576" max="14576" width="13.88671875" style="46" customWidth="1"/>
    <col min="14577" max="14577" width="16.5546875" style="46" customWidth="1"/>
    <col min="14578" max="14578" width="13.88671875" style="46" customWidth="1"/>
    <col min="14579" max="14579" width="11.109375" style="46" bestFit="1" customWidth="1"/>
    <col min="14580" max="14582" width="9.109375" style="46"/>
    <col min="14583" max="14583" width="10.88671875" style="46" customWidth="1"/>
    <col min="14584" max="14821" width="9.109375" style="46"/>
    <col min="14822" max="14822" width="5.5546875" style="46" customWidth="1"/>
    <col min="14823" max="14823" width="4.88671875" style="46" customWidth="1"/>
    <col min="14824" max="14824" width="2.6640625" style="46" customWidth="1"/>
    <col min="14825" max="14826" width="2.88671875" style="46" customWidth="1"/>
    <col min="14827" max="14827" width="2.6640625" style="46" customWidth="1"/>
    <col min="14828" max="14828" width="3.88671875" style="46" customWidth="1"/>
    <col min="14829" max="14829" width="25.6640625" style="46" customWidth="1"/>
    <col min="14830" max="14830" width="6.5546875" style="46" customWidth="1"/>
    <col min="14831" max="14831" width="7.33203125" style="46" customWidth="1"/>
    <col min="14832" max="14832" width="13.88671875" style="46" customWidth="1"/>
    <col min="14833" max="14833" width="16.5546875" style="46" customWidth="1"/>
    <col min="14834" max="14834" width="13.88671875" style="46" customWidth="1"/>
    <col min="14835" max="14835" width="11.109375" style="46" bestFit="1" customWidth="1"/>
    <col min="14836" max="14838" width="9.109375" style="46"/>
    <col min="14839" max="14839" width="10.88671875" style="46" customWidth="1"/>
    <col min="14840" max="15077" width="9.109375" style="46"/>
    <col min="15078" max="15078" width="5.5546875" style="46" customWidth="1"/>
    <col min="15079" max="15079" width="4.88671875" style="46" customWidth="1"/>
    <col min="15080" max="15080" width="2.6640625" style="46" customWidth="1"/>
    <col min="15081" max="15082" width="2.88671875" style="46" customWidth="1"/>
    <col min="15083" max="15083" width="2.6640625" style="46" customWidth="1"/>
    <col min="15084" max="15084" width="3.88671875" style="46" customWidth="1"/>
    <col min="15085" max="15085" width="25.6640625" style="46" customWidth="1"/>
    <col min="15086" max="15086" width="6.5546875" style="46" customWidth="1"/>
    <col min="15087" max="15087" width="7.33203125" style="46" customWidth="1"/>
    <col min="15088" max="15088" width="13.88671875" style="46" customWidth="1"/>
    <col min="15089" max="15089" width="16.5546875" style="46" customWidth="1"/>
    <col min="15090" max="15090" width="13.88671875" style="46" customWidth="1"/>
    <col min="15091" max="15091" width="11.109375" style="46" bestFit="1" customWidth="1"/>
    <col min="15092" max="15094" width="9.109375" style="46"/>
    <col min="15095" max="15095" width="10.88671875" style="46" customWidth="1"/>
    <col min="15096" max="15333" width="9.109375" style="46"/>
    <col min="15334" max="15334" width="5.5546875" style="46" customWidth="1"/>
    <col min="15335" max="15335" width="4.88671875" style="46" customWidth="1"/>
    <col min="15336" max="15336" width="2.6640625" style="46" customWidth="1"/>
    <col min="15337" max="15338" width="2.88671875" style="46" customWidth="1"/>
    <col min="15339" max="15339" width="2.6640625" style="46" customWidth="1"/>
    <col min="15340" max="15340" width="3.88671875" style="46" customWidth="1"/>
    <col min="15341" max="15341" width="25.6640625" style="46" customWidth="1"/>
    <col min="15342" max="15342" width="6.5546875" style="46" customWidth="1"/>
    <col min="15343" max="15343" width="7.33203125" style="46" customWidth="1"/>
    <col min="15344" max="15344" width="13.88671875" style="46" customWidth="1"/>
    <col min="15345" max="15345" width="16.5546875" style="46" customWidth="1"/>
    <col min="15346" max="15346" width="13.88671875" style="46" customWidth="1"/>
    <col min="15347" max="15347" width="11.109375" style="46" bestFit="1" customWidth="1"/>
    <col min="15348" max="15350" width="9.109375" style="46"/>
    <col min="15351" max="15351" width="10.88671875" style="46" customWidth="1"/>
    <col min="15352" max="15589" width="9.109375" style="46"/>
    <col min="15590" max="15590" width="5.5546875" style="46" customWidth="1"/>
    <col min="15591" max="15591" width="4.88671875" style="46" customWidth="1"/>
    <col min="15592" max="15592" width="2.6640625" style="46" customWidth="1"/>
    <col min="15593" max="15594" width="2.88671875" style="46" customWidth="1"/>
    <col min="15595" max="15595" width="2.6640625" style="46" customWidth="1"/>
    <col min="15596" max="15596" width="3.88671875" style="46" customWidth="1"/>
    <col min="15597" max="15597" width="25.6640625" style="46" customWidth="1"/>
    <col min="15598" max="15598" width="6.5546875" style="46" customWidth="1"/>
    <col min="15599" max="15599" width="7.33203125" style="46" customWidth="1"/>
    <col min="15600" max="15600" width="13.88671875" style="46" customWidth="1"/>
    <col min="15601" max="15601" width="16.5546875" style="46" customWidth="1"/>
    <col min="15602" max="15602" width="13.88671875" style="46" customWidth="1"/>
    <col min="15603" max="15603" width="11.109375" style="46" bestFit="1" customWidth="1"/>
    <col min="15604" max="15606" width="9.109375" style="46"/>
    <col min="15607" max="15607" width="10.88671875" style="46" customWidth="1"/>
    <col min="15608" max="15845" width="9.109375" style="46"/>
    <col min="15846" max="15846" width="5.5546875" style="46" customWidth="1"/>
    <col min="15847" max="15847" width="4.88671875" style="46" customWidth="1"/>
    <col min="15848" max="15848" width="2.6640625" style="46" customWidth="1"/>
    <col min="15849" max="15850" width="2.88671875" style="46" customWidth="1"/>
    <col min="15851" max="15851" width="2.6640625" style="46" customWidth="1"/>
    <col min="15852" max="15852" width="3.88671875" style="46" customWidth="1"/>
    <col min="15853" max="15853" width="25.6640625" style="46" customWidth="1"/>
    <col min="15854" max="15854" width="6.5546875" style="46" customWidth="1"/>
    <col min="15855" max="15855" width="7.33203125" style="46" customWidth="1"/>
    <col min="15856" max="15856" width="13.88671875" style="46" customWidth="1"/>
    <col min="15857" max="15857" width="16.5546875" style="46" customWidth="1"/>
    <col min="15858" max="15858" width="13.88671875" style="46" customWidth="1"/>
    <col min="15859" max="15859" width="11.109375" style="46" bestFit="1" customWidth="1"/>
    <col min="15860" max="15862" width="9.109375" style="46"/>
    <col min="15863" max="15863" width="10.88671875" style="46" customWidth="1"/>
    <col min="15864" max="16101" width="9.109375" style="46"/>
    <col min="16102" max="16102" width="5.5546875" style="46" customWidth="1"/>
    <col min="16103" max="16103" width="4.88671875" style="46" customWidth="1"/>
    <col min="16104" max="16104" width="2.6640625" style="46" customWidth="1"/>
    <col min="16105" max="16106" width="2.88671875" style="46" customWidth="1"/>
    <col min="16107" max="16107" width="2.6640625" style="46" customWidth="1"/>
    <col min="16108" max="16108" width="3.88671875" style="46" customWidth="1"/>
    <col min="16109" max="16109" width="25.6640625" style="46" customWidth="1"/>
    <col min="16110" max="16110" width="6.5546875" style="46" customWidth="1"/>
    <col min="16111" max="16111" width="7.33203125" style="46" customWidth="1"/>
    <col min="16112" max="16112" width="13.88671875" style="46" customWidth="1"/>
    <col min="16113" max="16113" width="16.5546875" style="46" customWidth="1"/>
    <col min="16114" max="16114" width="13.88671875" style="46" customWidth="1"/>
    <col min="16115" max="16115" width="11.109375" style="46" bestFit="1" customWidth="1"/>
    <col min="16116" max="16118" width="9.109375" style="46"/>
    <col min="16119" max="16119" width="10.88671875" style="46" customWidth="1"/>
    <col min="16120" max="16384" width="9.109375" style="46"/>
  </cols>
  <sheetData>
    <row r="1" spans="1:11" ht="12.9" customHeight="1" x14ac:dyDescent="0.3">
      <c r="A1" s="826" t="s">
        <v>525</v>
      </c>
      <c r="B1" s="826"/>
      <c r="C1" s="826"/>
      <c r="D1" s="826"/>
      <c r="E1" s="826"/>
      <c r="F1" s="826"/>
      <c r="G1" s="826"/>
      <c r="H1" s="826"/>
      <c r="I1" s="826"/>
      <c r="J1" s="8"/>
    </row>
    <row r="2" spans="1:11" ht="12.9" customHeight="1" x14ac:dyDescent="0.3">
      <c r="A2" s="826" t="s">
        <v>526</v>
      </c>
      <c r="B2" s="826"/>
      <c r="C2" s="826"/>
      <c r="D2" s="826"/>
      <c r="E2" s="826"/>
      <c r="F2" s="826"/>
      <c r="G2" s="826"/>
      <c r="H2" s="826"/>
      <c r="I2" s="826"/>
      <c r="J2" s="8"/>
    </row>
    <row r="3" spans="1:11" ht="12.9" customHeight="1" x14ac:dyDescent="0.3">
      <c r="A3" s="827" t="s">
        <v>527</v>
      </c>
      <c r="B3" s="827"/>
      <c r="C3" s="827"/>
      <c r="D3" s="827"/>
      <c r="E3" s="827"/>
      <c r="F3" s="827"/>
      <c r="G3" s="827"/>
      <c r="H3" s="827"/>
      <c r="I3" s="827"/>
      <c r="J3" s="8"/>
    </row>
    <row r="4" spans="1:11" ht="12.9" customHeight="1" x14ac:dyDescent="0.3">
      <c r="A4" s="827"/>
      <c r="B4" s="827"/>
      <c r="C4" s="827"/>
      <c r="D4" s="827"/>
      <c r="E4" s="827"/>
      <c r="F4" s="827"/>
      <c r="G4" s="827"/>
      <c r="H4" s="827"/>
      <c r="I4" s="827"/>
      <c r="J4" s="8"/>
    </row>
    <row r="5" spans="1:11" ht="12.9" customHeight="1" x14ac:dyDescent="0.3">
      <c r="A5" s="824" t="s">
        <v>15</v>
      </c>
      <c r="B5" s="824"/>
      <c r="C5" s="825" t="str">
        <f>Estimate!C1</f>
        <v>PROPOSED CONSTRUCTION OF TWO STOREY RESIDENTIAL/APARTMENT BUILDING.</v>
      </c>
      <c r="D5" s="825"/>
      <c r="E5" s="825"/>
      <c r="F5" s="825"/>
      <c r="G5" s="825"/>
      <c r="H5" s="825"/>
      <c r="I5" s="825"/>
      <c r="J5" s="8"/>
      <c r="K5" s="8"/>
    </row>
    <row r="6" spans="1:11" ht="12.9" customHeight="1" x14ac:dyDescent="0.3">
      <c r="A6" s="824" t="s">
        <v>16</v>
      </c>
      <c r="B6" s="824"/>
      <c r="C6" s="825" t="str">
        <f>Estimate!C2</f>
        <v>Maganay, Buug, Zamboanga Sibugay</v>
      </c>
      <c r="D6" s="825"/>
      <c r="E6" s="825"/>
      <c r="F6" s="825"/>
      <c r="G6" s="825"/>
      <c r="H6" s="825"/>
      <c r="I6" s="825"/>
      <c r="J6" s="8"/>
      <c r="K6" s="8"/>
    </row>
    <row r="7" spans="1:11" s="331" customFormat="1" ht="12.9" customHeight="1" thickBot="1" x14ac:dyDescent="0.35">
      <c r="A7" s="828"/>
      <c r="B7" s="828"/>
      <c r="C7" s="829"/>
      <c r="D7" s="829"/>
      <c r="E7" s="829"/>
      <c r="F7" s="829"/>
      <c r="G7" s="829"/>
      <c r="H7" s="829"/>
      <c r="I7" s="829"/>
    </row>
    <row r="8" spans="1:11" s="331" customFormat="1" ht="12.9" customHeight="1" thickTop="1" thickBot="1" x14ac:dyDescent="0.35">
      <c r="A8" s="830" t="s">
        <v>220</v>
      </c>
      <c r="B8" s="832" t="s">
        <v>53</v>
      </c>
      <c r="C8" s="832"/>
      <c r="D8" s="832"/>
      <c r="E8" s="832"/>
      <c r="F8" s="834" t="s">
        <v>13</v>
      </c>
      <c r="G8" s="836" t="s">
        <v>19</v>
      </c>
      <c r="H8" s="838" t="s">
        <v>52</v>
      </c>
      <c r="I8" s="840" t="s">
        <v>11</v>
      </c>
    </row>
    <row r="9" spans="1:11" s="331" customFormat="1" ht="12.9" customHeight="1" thickTop="1" thickBot="1" x14ac:dyDescent="0.35">
      <c r="A9" s="831"/>
      <c r="B9" s="833"/>
      <c r="C9" s="833"/>
      <c r="D9" s="833"/>
      <c r="E9" s="833"/>
      <c r="F9" s="835"/>
      <c r="G9" s="837"/>
      <c r="H9" s="839"/>
      <c r="I9" s="841"/>
    </row>
    <row r="10" spans="1:11" s="8" customFormat="1" ht="12" customHeight="1" x14ac:dyDescent="0.3">
      <c r="A10" s="327" t="s">
        <v>20</v>
      </c>
      <c r="B10" s="348" t="s">
        <v>83</v>
      </c>
      <c r="C10" s="349"/>
      <c r="D10" s="349"/>
      <c r="E10" s="329"/>
      <c r="F10" s="350">
        <f>Estimate!F7</f>
        <v>58.68</v>
      </c>
      <c r="G10" s="351" t="s">
        <v>137</v>
      </c>
      <c r="H10" s="341"/>
      <c r="I10" s="342"/>
    </row>
    <row r="11" spans="1:11" s="8" customFormat="1" ht="12" customHeight="1" x14ac:dyDescent="0.3">
      <c r="A11" s="203"/>
      <c r="B11" s="204" t="s">
        <v>22</v>
      </c>
      <c r="C11" s="205"/>
      <c r="D11" s="205"/>
      <c r="E11" s="206"/>
      <c r="F11" s="207"/>
      <c r="G11" s="208"/>
      <c r="H11" s="209"/>
      <c r="I11" s="210"/>
    </row>
    <row r="12" spans="1:11" s="8" customFormat="1" ht="12" customHeight="1" x14ac:dyDescent="0.3">
      <c r="A12" s="203"/>
      <c r="B12" s="211"/>
      <c r="C12" s="212" t="s">
        <v>507</v>
      </c>
      <c r="D12" s="213"/>
      <c r="E12" s="206"/>
      <c r="F12" s="207"/>
      <c r="G12" s="208"/>
      <c r="H12" s="209"/>
      <c r="I12" s="214"/>
    </row>
    <row r="13" spans="1:11" s="8" customFormat="1" ht="12" customHeight="1" x14ac:dyDescent="0.3">
      <c r="A13" s="203"/>
      <c r="B13" s="211"/>
      <c r="C13" s="205" t="s">
        <v>508</v>
      </c>
      <c r="D13" s="205"/>
      <c r="E13" s="206"/>
      <c r="F13" s="207"/>
      <c r="G13" s="208"/>
      <c r="H13" s="215"/>
      <c r="I13" s="216"/>
    </row>
    <row r="14" spans="1:11" s="8" customFormat="1" ht="12" customHeight="1" x14ac:dyDescent="0.3">
      <c r="A14" s="203"/>
      <c r="B14" s="211"/>
      <c r="C14" s="217" t="s">
        <v>509</v>
      </c>
      <c r="D14" s="217"/>
      <c r="E14" s="206"/>
      <c r="F14" s="207"/>
      <c r="G14" s="208"/>
      <c r="H14" s="215"/>
      <c r="I14" s="216"/>
    </row>
    <row r="15" spans="1:11" s="8" customFormat="1" ht="12" customHeight="1" x14ac:dyDescent="0.3">
      <c r="A15" s="203"/>
      <c r="B15" s="211"/>
      <c r="C15" s="205" t="s">
        <v>592</v>
      </c>
      <c r="D15" s="205"/>
      <c r="E15" s="206"/>
      <c r="F15" s="207"/>
      <c r="G15" s="208"/>
      <c r="H15" s="215"/>
      <c r="I15" s="216"/>
    </row>
    <row r="16" spans="1:11" s="8" customFormat="1" ht="12" customHeight="1" x14ac:dyDescent="0.3">
      <c r="A16" s="203"/>
      <c r="B16" s="218" t="s">
        <v>365</v>
      </c>
      <c r="C16" s="205"/>
      <c r="D16" s="205"/>
      <c r="E16" s="206"/>
      <c r="F16" s="207"/>
      <c r="G16" s="208"/>
      <c r="H16" s="215"/>
      <c r="I16" s="220"/>
    </row>
    <row r="17" spans="1:9" s="8" customFormat="1" ht="12" customHeight="1" x14ac:dyDescent="0.3">
      <c r="A17" s="203"/>
      <c r="B17" s="218"/>
      <c r="C17" s="205" t="s">
        <v>538</v>
      </c>
      <c r="D17" s="205"/>
      <c r="E17" s="206"/>
      <c r="F17" s="219"/>
      <c r="G17" s="208" t="s">
        <v>4</v>
      </c>
      <c r="H17" s="215"/>
      <c r="I17" s="216"/>
    </row>
    <row r="18" spans="1:9" s="8" customFormat="1" ht="12" customHeight="1" x14ac:dyDescent="0.3">
      <c r="A18" s="203"/>
      <c r="B18" s="218" t="s">
        <v>25</v>
      </c>
      <c r="C18" s="205"/>
      <c r="D18" s="205"/>
      <c r="E18" s="206"/>
      <c r="F18" s="219"/>
      <c r="G18" s="208"/>
      <c r="H18" s="215"/>
      <c r="I18" s="220"/>
    </row>
    <row r="19" spans="1:9" s="8" customFormat="1" ht="12" customHeight="1" x14ac:dyDescent="0.3">
      <c r="A19" s="203"/>
      <c r="B19" s="211"/>
      <c r="C19" s="217" t="s">
        <v>107</v>
      </c>
      <c r="D19" s="217"/>
      <c r="E19" s="221"/>
      <c r="F19" s="219"/>
      <c r="G19" s="208" t="s">
        <v>69</v>
      </c>
      <c r="H19" s="215"/>
      <c r="I19" s="220"/>
    </row>
    <row r="20" spans="1:9" s="8" customFormat="1" ht="12" customHeight="1" x14ac:dyDescent="0.3">
      <c r="A20" s="203"/>
      <c r="B20" s="211"/>
      <c r="C20" s="205" t="s">
        <v>84</v>
      </c>
      <c r="D20" s="205"/>
      <c r="E20" s="206"/>
      <c r="F20" s="219"/>
      <c r="G20" s="208" t="s">
        <v>0</v>
      </c>
      <c r="H20" s="215"/>
      <c r="I20" s="220"/>
    </row>
    <row r="21" spans="1:9" s="8" customFormat="1" ht="12" customHeight="1" x14ac:dyDescent="0.3">
      <c r="A21" s="203"/>
      <c r="B21" s="211"/>
      <c r="C21" s="217" t="s">
        <v>85</v>
      </c>
      <c r="D21" s="217"/>
      <c r="E21" s="221"/>
      <c r="F21" s="219"/>
      <c r="G21" s="208" t="s">
        <v>81</v>
      </c>
      <c r="H21" s="215"/>
      <c r="I21" s="220"/>
    </row>
    <row r="22" spans="1:9" s="8" customFormat="1" ht="12" customHeight="1" x14ac:dyDescent="0.3">
      <c r="A22" s="203"/>
      <c r="B22" s="211"/>
      <c r="C22" s="217"/>
      <c r="D22" s="217"/>
      <c r="E22" s="221"/>
      <c r="F22" s="219"/>
      <c r="G22" s="208"/>
      <c r="H22" s="215"/>
      <c r="I22" s="220"/>
    </row>
    <row r="23" spans="1:9" s="8" customFormat="1" ht="12" customHeight="1" x14ac:dyDescent="0.3">
      <c r="A23" s="203"/>
      <c r="B23" s="226"/>
      <c r="C23" s="332"/>
      <c r="D23" s="332"/>
      <c r="E23" s="332"/>
      <c r="F23" s="332"/>
      <c r="G23" s="332"/>
      <c r="H23" s="332"/>
      <c r="I23" s="343"/>
    </row>
    <row r="24" spans="1:9" s="8" customFormat="1" ht="12" customHeight="1" x14ac:dyDescent="0.3">
      <c r="A24" s="203"/>
      <c r="B24" s="333" t="s">
        <v>511</v>
      </c>
      <c r="C24" s="344"/>
      <c r="D24" s="344"/>
      <c r="E24" s="345"/>
      <c r="F24" s="344"/>
      <c r="G24" s="344"/>
      <c r="H24" s="344"/>
      <c r="I24" s="346"/>
    </row>
    <row r="25" spans="1:9" s="8" customFormat="1" ht="12" customHeight="1" x14ac:dyDescent="0.3">
      <c r="A25" s="203"/>
      <c r="B25" s="333"/>
      <c r="C25" s="344" t="s">
        <v>512</v>
      </c>
      <c r="D25" s="344"/>
      <c r="E25" s="344"/>
      <c r="F25" s="344"/>
      <c r="G25" s="344"/>
      <c r="H25" s="344"/>
      <c r="I25" s="346"/>
    </row>
    <row r="26" spans="1:9" s="8" customFormat="1" ht="12" customHeight="1" x14ac:dyDescent="0.3">
      <c r="A26" s="203"/>
      <c r="B26" s="334"/>
      <c r="C26" s="335"/>
      <c r="D26" s="335"/>
      <c r="E26" s="335"/>
      <c r="F26" s="335"/>
      <c r="G26" s="335"/>
      <c r="H26" s="335"/>
      <c r="I26" s="347"/>
    </row>
    <row r="27" spans="1:9" s="8" customFormat="1" ht="12" customHeight="1" x14ac:dyDescent="0.3">
      <c r="A27" s="352" t="s">
        <v>24</v>
      </c>
      <c r="B27" s="353" t="s">
        <v>435</v>
      </c>
      <c r="C27" s="354"/>
      <c r="D27" s="354"/>
      <c r="E27" s="355"/>
      <c r="F27" s="356">
        <f>ROUNDUP(8*6.8*(0.4),0)</f>
        <v>22</v>
      </c>
      <c r="G27" s="357" t="s">
        <v>4</v>
      </c>
      <c r="H27" s="358"/>
      <c r="I27" s="359"/>
    </row>
    <row r="28" spans="1:9" s="8" customFormat="1" ht="12" customHeight="1" x14ac:dyDescent="0.3">
      <c r="A28" s="203"/>
      <c r="B28" s="218" t="s">
        <v>22</v>
      </c>
      <c r="C28" s="205"/>
      <c r="D28" s="205"/>
      <c r="E28" s="206"/>
      <c r="F28" s="222"/>
      <c r="G28" s="223"/>
      <c r="H28" s="224"/>
      <c r="I28" s="216"/>
    </row>
    <row r="29" spans="1:9" s="8" customFormat="1" ht="12" customHeight="1" x14ac:dyDescent="0.3">
      <c r="A29" s="203"/>
      <c r="B29" s="211"/>
      <c r="C29" s="205" t="s">
        <v>106</v>
      </c>
      <c r="D29" s="205"/>
      <c r="E29" s="206"/>
      <c r="F29" s="222"/>
      <c r="G29" s="223"/>
      <c r="H29" s="224"/>
      <c r="I29" s="216"/>
    </row>
    <row r="30" spans="1:9" s="8" customFormat="1" ht="12" customHeight="1" x14ac:dyDescent="0.3">
      <c r="A30" s="203"/>
      <c r="B30" s="211"/>
      <c r="C30" s="205" t="s">
        <v>111</v>
      </c>
      <c r="D30" s="205"/>
      <c r="E30" s="206"/>
      <c r="F30" s="222"/>
      <c r="G30" s="223"/>
      <c r="H30" s="224"/>
      <c r="I30" s="216"/>
    </row>
    <row r="31" spans="1:9" s="8" customFormat="1" ht="12" customHeight="1" x14ac:dyDescent="0.3">
      <c r="A31" s="203"/>
      <c r="B31" s="225" t="s">
        <v>79</v>
      </c>
      <c r="C31" s="205" t="s">
        <v>327</v>
      </c>
      <c r="D31" s="205"/>
      <c r="E31" s="206"/>
      <c r="F31" s="222"/>
      <c r="G31" s="223"/>
      <c r="H31" s="224"/>
      <c r="I31" s="216"/>
    </row>
    <row r="32" spans="1:9" s="8" customFormat="1" ht="12" customHeight="1" x14ac:dyDescent="0.3">
      <c r="A32" s="203"/>
      <c r="B32" s="225"/>
      <c r="C32" s="205" t="s">
        <v>405</v>
      </c>
      <c r="D32" s="205"/>
      <c r="E32" s="206"/>
      <c r="F32" s="222"/>
      <c r="G32" s="223"/>
      <c r="H32" s="224"/>
      <c r="I32" s="216"/>
    </row>
    <row r="33" spans="1:9" s="8" customFormat="1" ht="12" customHeight="1" x14ac:dyDescent="0.3">
      <c r="A33" s="203"/>
      <c r="B33" s="225"/>
      <c r="C33" s="205" t="s">
        <v>413</v>
      </c>
      <c r="D33" s="205"/>
      <c r="E33" s="206"/>
      <c r="F33" s="222"/>
      <c r="G33" s="223"/>
      <c r="H33" s="224"/>
      <c r="I33" s="216"/>
    </row>
    <row r="34" spans="1:9" s="8" customFormat="1" ht="12" customHeight="1" x14ac:dyDescent="0.3">
      <c r="A34" s="203"/>
      <c r="B34" s="225"/>
      <c r="C34" s="205"/>
      <c r="D34" s="205"/>
      <c r="E34" s="206"/>
      <c r="F34" s="222"/>
      <c r="G34" s="223"/>
      <c r="H34" s="224"/>
      <c r="I34" s="216"/>
    </row>
    <row r="35" spans="1:9" s="8" customFormat="1" ht="12" customHeight="1" x14ac:dyDescent="0.3">
      <c r="A35" s="203"/>
      <c r="B35" s="218" t="s">
        <v>25</v>
      </c>
      <c r="C35" s="205"/>
      <c r="D35" s="205"/>
      <c r="E35" s="206"/>
      <c r="F35" s="222"/>
      <c r="G35" s="223"/>
      <c r="H35" s="224"/>
      <c r="I35" s="216"/>
    </row>
    <row r="36" spans="1:9" s="8" customFormat="1" ht="12" customHeight="1" x14ac:dyDescent="0.3">
      <c r="A36" s="203"/>
      <c r="B36" s="218"/>
      <c r="C36" s="205" t="s">
        <v>412</v>
      </c>
      <c r="D36" s="205"/>
      <c r="E36" s="206"/>
      <c r="F36" s="219"/>
      <c r="G36" s="208" t="s">
        <v>4</v>
      </c>
      <c r="H36" s="215"/>
      <c r="I36" s="220"/>
    </row>
    <row r="37" spans="1:9" s="8" customFormat="1" ht="12" customHeight="1" x14ac:dyDescent="0.3">
      <c r="A37" s="203"/>
      <c r="B37" s="211"/>
      <c r="C37" s="205"/>
      <c r="D37" s="205"/>
      <c r="E37" s="206"/>
      <c r="F37" s="207"/>
      <c r="G37" s="208"/>
      <c r="H37" s="215"/>
      <c r="I37" s="220"/>
    </row>
    <row r="38" spans="1:9" s="8" customFormat="1" ht="12" customHeight="1" x14ac:dyDescent="0.3">
      <c r="A38" s="203"/>
      <c r="B38" s="226"/>
      <c r="C38" s="332"/>
      <c r="D38" s="332"/>
      <c r="E38" s="332"/>
      <c r="F38" s="332"/>
      <c r="G38" s="332"/>
      <c r="H38" s="332"/>
      <c r="I38" s="343"/>
    </row>
    <row r="39" spans="1:9" s="8" customFormat="1" ht="12" customHeight="1" x14ac:dyDescent="0.3">
      <c r="A39" s="203"/>
      <c r="B39" s="333" t="s">
        <v>511</v>
      </c>
      <c r="C39" s="344"/>
      <c r="D39" s="344"/>
      <c r="E39" s="345"/>
      <c r="F39" s="344"/>
      <c r="G39" s="344"/>
      <c r="H39" s="344"/>
      <c r="I39" s="346"/>
    </row>
    <row r="40" spans="1:9" s="8" customFormat="1" ht="12" customHeight="1" x14ac:dyDescent="0.3">
      <c r="A40" s="203"/>
      <c r="B40" s="333"/>
      <c r="C40" s="344" t="s">
        <v>512</v>
      </c>
      <c r="D40" s="344"/>
      <c r="E40" s="344"/>
      <c r="F40" s="344"/>
      <c r="G40" s="344"/>
      <c r="H40" s="344"/>
      <c r="I40" s="346"/>
    </row>
    <row r="41" spans="1:9" s="8" customFormat="1" ht="12" customHeight="1" x14ac:dyDescent="0.3">
      <c r="A41" s="203"/>
      <c r="B41" s="334"/>
      <c r="C41" s="335"/>
      <c r="D41" s="335"/>
      <c r="E41" s="335"/>
      <c r="F41" s="335"/>
      <c r="G41" s="335"/>
      <c r="H41" s="335"/>
      <c r="I41" s="347"/>
    </row>
    <row r="42" spans="1:9" s="8" customFormat="1" ht="12" customHeight="1" x14ac:dyDescent="0.3">
      <c r="A42" s="352" t="s">
        <v>27</v>
      </c>
      <c r="B42" s="353" t="s">
        <v>370</v>
      </c>
      <c r="C42" s="354"/>
      <c r="D42" s="354"/>
      <c r="E42" s="355"/>
      <c r="F42" s="356">
        <f>Estimate!F35</f>
        <v>0</v>
      </c>
      <c r="G42" s="360" t="s">
        <v>112</v>
      </c>
      <c r="H42" s="358"/>
      <c r="I42" s="359"/>
    </row>
    <row r="43" spans="1:9" s="8" customFormat="1" ht="12" customHeight="1" x14ac:dyDescent="0.3">
      <c r="A43" s="203"/>
      <c r="B43" s="204" t="s">
        <v>22</v>
      </c>
      <c r="C43" s="205"/>
      <c r="D43" s="205"/>
      <c r="E43" s="206"/>
      <c r="F43" s="222"/>
      <c r="G43" s="208"/>
      <c r="H43" s="215"/>
      <c r="I43" s="220"/>
    </row>
    <row r="44" spans="1:9" s="8" customFormat="1" ht="12" customHeight="1" x14ac:dyDescent="0.3">
      <c r="A44" s="203"/>
      <c r="B44" s="227" t="s">
        <v>177</v>
      </c>
      <c r="C44" s="205"/>
      <c r="D44" s="205"/>
      <c r="E44" s="206"/>
      <c r="F44" s="222"/>
      <c r="G44" s="208"/>
      <c r="H44" s="215"/>
      <c r="I44" s="220"/>
    </row>
    <row r="45" spans="1:9" s="8" customFormat="1" ht="12" customHeight="1" x14ac:dyDescent="0.3">
      <c r="A45" s="203"/>
      <c r="B45" s="227" t="s">
        <v>178</v>
      </c>
      <c r="C45" s="205"/>
      <c r="D45" s="205"/>
      <c r="E45" s="206"/>
      <c r="F45" s="222"/>
      <c r="G45" s="208"/>
      <c r="H45" s="215"/>
      <c r="I45" s="220"/>
    </row>
    <row r="46" spans="1:9" s="8" customFormat="1" ht="12" customHeight="1" x14ac:dyDescent="0.3">
      <c r="A46" s="203"/>
      <c r="B46" s="228" t="s">
        <v>171</v>
      </c>
      <c r="C46" s="229" t="s">
        <v>555</v>
      </c>
      <c r="D46" s="205"/>
      <c r="E46" s="230"/>
      <c r="F46" s="222"/>
      <c r="G46" s="208"/>
      <c r="H46" s="215"/>
      <c r="I46" s="220"/>
    </row>
    <row r="47" spans="1:9" s="8" customFormat="1" ht="12" customHeight="1" x14ac:dyDescent="0.3">
      <c r="A47" s="203"/>
      <c r="B47" s="228" t="s">
        <v>172</v>
      </c>
      <c r="C47" s="229" t="s">
        <v>556</v>
      </c>
      <c r="D47" s="205"/>
      <c r="E47" s="230"/>
      <c r="F47" s="222"/>
      <c r="G47" s="208"/>
      <c r="H47" s="215"/>
      <c r="I47" s="220"/>
    </row>
    <row r="48" spans="1:9" s="8" customFormat="1" ht="12" customHeight="1" x14ac:dyDescent="0.3">
      <c r="A48" s="203"/>
      <c r="B48" s="228" t="s">
        <v>173</v>
      </c>
      <c r="C48" s="231" t="s">
        <v>543</v>
      </c>
      <c r="D48" s="205"/>
      <c r="E48" s="230"/>
      <c r="F48" s="222"/>
      <c r="G48" s="208"/>
      <c r="H48" s="215"/>
      <c r="I48" s="220"/>
    </row>
    <row r="49" spans="1:9" s="8" customFormat="1" ht="12" customHeight="1" x14ac:dyDescent="0.3">
      <c r="A49" s="203"/>
      <c r="B49" s="228"/>
      <c r="C49" s="231" t="s">
        <v>531</v>
      </c>
      <c r="D49" s="205"/>
      <c r="E49" s="230"/>
      <c r="F49" s="222"/>
      <c r="G49" s="208"/>
      <c r="H49" s="215"/>
      <c r="I49" s="220"/>
    </row>
    <row r="50" spans="1:9" s="8" customFormat="1" ht="12" customHeight="1" x14ac:dyDescent="0.3">
      <c r="A50" s="203"/>
      <c r="B50" s="232" t="s">
        <v>79</v>
      </c>
      <c r="C50" s="212" t="s">
        <v>401</v>
      </c>
      <c r="D50" s="205"/>
      <c r="E50" s="230"/>
      <c r="F50" s="222"/>
      <c r="G50" s="208"/>
      <c r="H50" s="215"/>
      <c r="I50" s="220"/>
    </row>
    <row r="51" spans="1:9" s="8" customFormat="1" ht="12" customHeight="1" x14ac:dyDescent="0.3">
      <c r="A51" s="203"/>
      <c r="B51" s="228" t="s">
        <v>174</v>
      </c>
      <c r="C51" s="229" t="s">
        <v>557</v>
      </c>
      <c r="D51" s="205"/>
      <c r="E51" s="230"/>
      <c r="F51" s="222"/>
      <c r="G51" s="208"/>
      <c r="H51" s="215"/>
      <c r="I51" s="220"/>
    </row>
    <row r="52" spans="1:9" s="8" customFormat="1" ht="12" customHeight="1" x14ac:dyDescent="0.3">
      <c r="A52" s="203"/>
      <c r="B52" s="233" t="s">
        <v>175</v>
      </c>
      <c r="C52" s="231" t="s">
        <v>328</v>
      </c>
      <c r="D52" s="205"/>
      <c r="E52" s="230"/>
      <c r="F52" s="222"/>
      <c r="G52" s="208"/>
      <c r="H52" s="215"/>
      <c r="I52" s="220"/>
    </row>
    <row r="53" spans="1:9" s="8" customFormat="1" ht="12" customHeight="1" x14ac:dyDescent="0.3">
      <c r="A53" s="203"/>
      <c r="B53" s="233" t="s">
        <v>558</v>
      </c>
      <c r="C53" s="231" t="s">
        <v>559</v>
      </c>
      <c r="D53" s="205"/>
      <c r="E53" s="230"/>
      <c r="F53" s="222"/>
      <c r="G53" s="208"/>
      <c r="H53" s="215"/>
      <c r="I53" s="220"/>
    </row>
    <row r="54" spans="1:9" s="8" customFormat="1" ht="12" customHeight="1" x14ac:dyDescent="0.3">
      <c r="A54" s="203"/>
      <c r="B54" s="232" t="s">
        <v>79</v>
      </c>
      <c r="C54" s="205" t="s">
        <v>108</v>
      </c>
      <c r="D54" s="205"/>
      <c r="E54" s="206"/>
      <c r="F54" s="222"/>
      <c r="G54" s="208"/>
      <c r="H54" s="215"/>
      <c r="I54" s="220"/>
    </row>
    <row r="55" spans="1:9" s="8" customFormat="1" ht="12" customHeight="1" x14ac:dyDescent="0.3">
      <c r="A55" s="203"/>
      <c r="B55" s="227"/>
      <c r="C55" s="205" t="s">
        <v>138</v>
      </c>
      <c r="D55" s="205"/>
      <c r="E55" s="206"/>
      <c r="F55" s="222"/>
      <c r="G55" s="208"/>
      <c r="H55" s="215"/>
      <c r="I55" s="220"/>
    </row>
    <row r="56" spans="1:9" s="8" customFormat="1" ht="12" customHeight="1" x14ac:dyDescent="0.3">
      <c r="A56" s="203"/>
      <c r="B56" s="227"/>
      <c r="C56" s="205" t="s">
        <v>469</v>
      </c>
      <c r="D56" s="205"/>
      <c r="E56" s="206"/>
      <c r="F56" s="222"/>
      <c r="G56" s="208"/>
      <c r="H56" s="215"/>
      <c r="I56" s="220"/>
    </row>
    <row r="57" spans="1:9" s="8" customFormat="1" ht="12" customHeight="1" x14ac:dyDescent="0.3">
      <c r="A57" s="203"/>
      <c r="B57" s="204" t="s">
        <v>25</v>
      </c>
      <c r="C57" s="217"/>
      <c r="D57" s="205"/>
      <c r="E57" s="230"/>
      <c r="F57" s="222"/>
      <c r="G57" s="208"/>
      <c r="H57" s="215"/>
      <c r="I57" s="220"/>
    </row>
    <row r="58" spans="1:9" s="8" customFormat="1" ht="12" customHeight="1" x14ac:dyDescent="0.3">
      <c r="A58" s="203"/>
      <c r="B58" s="204"/>
      <c r="C58" s="205" t="s">
        <v>3</v>
      </c>
      <c r="D58" s="205"/>
      <c r="E58" s="206"/>
      <c r="F58" s="219"/>
      <c r="G58" s="208" t="s">
        <v>2</v>
      </c>
      <c r="H58" s="215"/>
      <c r="I58" s="220"/>
    </row>
    <row r="59" spans="1:9" s="8" customFormat="1" ht="12" customHeight="1" x14ac:dyDescent="0.3">
      <c r="A59" s="203"/>
      <c r="B59" s="204"/>
      <c r="C59" s="205" t="s">
        <v>73</v>
      </c>
      <c r="D59" s="205"/>
      <c r="E59" s="206"/>
      <c r="F59" s="219"/>
      <c r="G59" s="208" t="s">
        <v>4</v>
      </c>
      <c r="H59" s="215"/>
      <c r="I59" s="220"/>
    </row>
    <row r="60" spans="1:9" s="8" customFormat="1" ht="12" customHeight="1" x14ac:dyDescent="0.3">
      <c r="A60" s="203"/>
      <c r="B60" s="204"/>
      <c r="C60" s="205" t="s">
        <v>67</v>
      </c>
      <c r="D60" s="205"/>
      <c r="E60" s="206"/>
      <c r="F60" s="219"/>
      <c r="G60" s="208" t="s">
        <v>4</v>
      </c>
      <c r="H60" s="215"/>
      <c r="I60" s="220"/>
    </row>
    <row r="61" spans="1:9" s="8" customFormat="1" ht="12" customHeight="1" x14ac:dyDescent="0.3">
      <c r="A61" s="203"/>
      <c r="B61" s="204"/>
      <c r="C61" s="205" t="s">
        <v>70</v>
      </c>
      <c r="D61" s="205"/>
      <c r="E61" s="206"/>
      <c r="F61" s="219"/>
      <c r="G61" s="208" t="s">
        <v>0</v>
      </c>
      <c r="H61" s="215"/>
      <c r="I61" s="220"/>
    </row>
    <row r="62" spans="1:9" s="8" customFormat="1" ht="12" customHeight="1" x14ac:dyDescent="0.3">
      <c r="A62" s="203"/>
      <c r="B62" s="211"/>
      <c r="C62" s="205" t="s">
        <v>189</v>
      </c>
      <c r="D62" s="205"/>
      <c r="E62" s="206"/>
      <c r="F62" s="219"/>
      <c r="G62" s="208" t="s">
        <v>179</v>
      </c>
      <c r="H62" s="215"/>
      <c r="I62" s="220"/>
    </row>
    <row r="63" spans="1:9" s="8" customFormat="1" ht="12" customHeight="1" x14ac:dyDescent="0.3">
      <c r="A63" s="203"/>
      <c r="B63" s="211"/>
      <c r="C63" s="205" t="s">
        <v>188</v>
      </c>
      <c r="D63" s="205"/>
      <c r="E63" s="206"/>
      <c r="F63" s="219"/>
      <c r="G63" s="208" t="s">
        <v>179</v>
      </c>
      <c r="H63" s="215"/>
      <c r="I63" s="220"/>
    </row>
    <row r="64" spans="1:9" s="8" customFormat="1" ht="12" customHeight="1" x14ac:dyDescent="0.3">
      <c r="A64" s="203"/>
      <c r="B64" s="211"/>
      <c r="C64" s="205" t="s">
        <v>367</v>
      </c>
      <c r="D64" s="205"/>
      <c r="E64" s="206"/>
      <c r="F64" s="219"/>
      <c r="G64" s="208" t="s">
        <v>179</v>
      </c>
      <c r="H64" s="215"/>
      <c r="I64" s="220"/>
    </row>
    <row r="65" spans="1:9" s="8" customFormat="1" ht="12" customHeight="1" x14ac:dyDescent="0.3">
      <c r="A65" s="203"/>
      <c r="B65" s="211"/>
      <c r="C65" s="205" t="s">
        <v>74</v>
      </c>
      <c r="D65" s="205"/>
      <c r="E65" s="230"/>
      <c r="F65" s="219"/>
      <c r="G65" s="208" t="s">
        <v>1</v>
      </c>
      <c r="H65" s="215"/>
      <c r="I65" s="220"/>
    </row>
    <row r="66" spans="1:9" s="8" customFormat="1" ht="12" customHeight="1" x14ac:dyDescent="0.3">
      <c r="A66" s="203"/>
      <c r="B66" s="211"/>
      <c r="C66" s="205"/>
      <c r="D66" s="205"/>
      <c r="E66" s="230"/>
      <c r="F66" s="219"/>
      <c r="G66" s="208"/>
      <c r="H66" s="215"/>
      <c r="I66" s="220"/>
    </row>
    <row r="67" spans="1:9" s="8" customFormat="1" ht="12" customHeight="1" x14ac:dyDescent="0.3">
      <c r="A67" s="203"/>
      <c r="B67" s="226"/>
      <c r="C67" s="332"/>
      <c r="D67" s="332"/>
      <c r="E67" s="332"/>
      <c r="F67" s="332"/>
      <c r="G67" s="332"/>
      <c r="H67" s="332"/>
      <c r="I67" s="343"/>
    </row>
    <row r="68" spans="1:9" s="8" customFormat="1" ht="12" customHeight="1" x14ac:dyDescent="0.3">
      <c r="A68" s="203"/>
      <c r="B68" s="333" t="s">
        <v>511</v>
      </c>
      <c r="C68" s="344"/>
      <c r="D68" s="344"/>
      <c r="E68" s="345"/>
      <c r="F68" s="344"/>
      <c r="G68" s="344"/>
      <c r="H68" s="344"/>
      <c r="I68" s="346"/>
    </row>
    <row r="69" spans="1:9" s="8" customFormat="1" ht="12" customHeight="1" x14ac:dyDescent="0.3">
      <c r="A69" s="203"/>
      <c r="B69" s="333"/>
      <c r="C69" s="344" t="s">
        <v>512</v>
      </c>
      <c r="D69" s="344"/>
      <c r="E69" s="344"/>
      <c r="F69" s="344"/>
      <c r="G69" s="344"/>
      <c r="H69" s="344"/>
      <c r="I69" s="346"/>
    </row>
    <row r="70" spans="1:9" s="8" customFormat="1" ht="12" customHeight="1" x14ac:dyDescent="0.3">
      <c r="A70" s="203"/>
      <c r="B70" s="334"/>
      <c r="C70" s="335"/>
      <c r="D70" s="335"/>
      <c r="E70" s="335"/>
      <c r="F70" s="335"/>
      <c r="G70" s="335"/>
      <c r="H70" s="335"/>
      <c r="I70" s="347"/>
    </row>
    <row r="71" spans="1:9" s="8" customFormat="1" ht="12" customHeight="1" x14ac:dyDescent="0.3">
      <c r="A71" s="352" t="s">
        <v>28</v>
      </c>
      <c r="B71" s="353" t="s">
        <v>368</v>
      </c>
      <c r="C71" s="354"/>
      <c r="D71" s="354"/>
      <c r="E71" s="355"/>
      <c r="F71" s="356">
        <f>Estimate!F64</f>
        <v>0</v>
      </c>
      <c r="G71" s="360" t="s">
        <v>371</v>
      </c>
      <c r="H71" s="358"/>
      <c r="I71" s="359"/>
    </row>
    <row r="72" spans="1:9" s="8" customFormat="1" ht="12" customHeight="1" x14ac:dyDescent="0.3">
      <c r="A72" s="203"/>
      <c r="B72" s="204" t="s">
        <v>22</v>
      </c>
      <c r="C72" s="205"/>
      <c r="D72" s="205"/>
      <c r="E72" s="206"/>
      <c r="F72" s="222"/>
      <c r="G72" s="208"/>
      <c r="H72" s="215"/>
      <c r="I72" s="220"/>
    </row>
    <row r="73" spans="1:9" s="8" customFormat="1" ht="12" customHeight="1" x14ac:dyDescent="0.3">
      <c r="A73" s="203"/>
      <c r="B73" s="211" t="s">
        <v>475</v>
      </c>
      <c r="C73" s="217"/>
      <c r="D73" s="217"/>
      <c r="E73" s="206"/>
      <c r="F73" s="207"/>
      <c r="G73" s="208"/>
      <c r="H73" s="215"/>
      <c r="I73" s="216"/>
    </row>
    <row r="74" spans="1:9" s="8" customFormat="1" ht="12" customHeight="1" x14ac:dyDescent="0.3">
      <c r="A74" s="203"/>
      <c r="B74" s="228" t="s">
        <v>171</v>
      </c>
      <c r="C74" s="217" t="s">
        <v>560</v>
      </c>
      <c r="D74" s="217"/>
      <c r="E74" s="206"/>
      <c r="F74" s="222">
        <f>(0.3*0.15)*40</f>
        <v>1.7999999999999998</v>
      </c>
      <c r="G74" s="208" t="s">
        <v>4</v>
      </c>
      <c r="H74" s="215"/>
      <c r="I74" s="216"/>
    </row>
    <row r="75" spans="1:9" s="8" customFormat="1" ht="12" customHeight="1" x14ac:dyDescent="0.3">
      <c r="A75" s="203"/>
      <c r="B75" s="228" t="s">
        <v>172</v>
      </c>
      <c r="C75" s="217" t="s">
        <v>561</v>
      </c>
      <c r="D75" s="217"/>
      <c r="E75" s="206"/>
      <c r="F75" s="222">
        <f>(0.3*0.1)*14.1</f>
        <v>0.42299999999999999</v>
      </c>
      <c r="G75" s="208" t="s">
        <v>4</v>
      </c>
      <c r="H75" s="215"/>
      <c r="I75" s="216"/>
    </row>
    <row r="76" spans="1:9" s="8" customFormat="1" ht="12" customHeight="1" x14ac:dyDescent="0.3">
      <c r="A76" s="203"/>
      <c r="B76" s="211" t="s">
        <v>594</v>
      </c>
      <c r="C76" s="217"/>
      <c r="D76" s="217"/>
      <c r="E76" s="206"/>
      <c r="F76" s="207"/>
      <c r="G76" s="208"/>
      <c r="H76" s="215"/>
      <c r="I76" s="216"/>
    </row>
    <row r="77" spans="1:9" s="8" customFormat="1" ht="12" customHeight="1" x14ac:dyDescent="0.3">
      <c r="A77" s="203"/>
      <c r="B77" s="211" t="s">
        <v>595</v>
      </c>
      <c r="C77" s="217"/>
      <c r="D77" s="217"/>
      <c r="E77" s="206"/>
      <c r="F77" s="207"/>
      <c r="G77" s="208"/>
      <c r="H77" s="215"/>
      <c r="I77" s="216"/>
    </row>
    <row r="78" spans="1:9" s="8" customFormat="1" ht="12" customHeight="1" x14ac:dyDescent="0.3">
      <c r="A78" s="203"/>
      <c r="B78" s="225" t="s">
        <v>79</v>
      </c>
      <c r="C78" s="234" t="s">
        <v>375</v>
      </c>
      <c r="D78" s="217"/>
      <c r="E78" s="206"/>
      <c r="F78" s="207"/>
      <c r="G78" s="208"/>
      <c r="H78" s="215"/>
      <c r="I78" s="216"/>
    </row>
    <row r="79" spans="1:9" s="8" customFormat="1" ht="12" customHeight="1" x14ac:dyDescent="0.3">
      <c r="A79" s="203"/>
      <c r="B79" s="211"/>
      <c r="C79" s="234"/>
      <c r="D79" s="217"/>
      <c r="E79" s="206"/>
      <c r="F79" s="207"/>
      <c r="G79" s="208"/>
      <c r="H79" s="215"/>
      <c r="I79" s="216"/>
    </row>
    <row r="80" spans="1:9" s="8" customFormat="1" ht="12" customHeight="1" x14ac:dyDescent="0.3">
      <c r="A80" s="203"/>
      <c r="B80" s="204" t="s">
        <v>25</v>
      </c>
      <c r="C80" s="217"/>
      <c r="D80" s="217"/>
      <c r="E80" s="206"/>
      <c r="F80" s="207"/>
      <c r="G80" s="208"/>
      <c r="H80" s="215"/>
      <c r="I80" s="216"/>
    </row>
    <row r="81" spans="1:9" s="8" customFormat="1" ht="12" customHeight="1" x14ac:dyDescent="0.3">
      <c r="A81" s="203"/>
      <c r="B81" s="204"/>
      <c r="C81" s="205" t="s">
        <v>3</v>
      </c>
      <c r="D81" s="217"/>
      <c r="E81" s="206"/>
      <c r="F81" s="219"/>
      <c r="G81" s="208" t="s">
        <v>2</v>
      </c>
      <c r="H81" s="215"/>
      <c r="I81" s="216"/>
    </row>
    <row r="82" spans="1:9" s="8" customFormat="1" ht="12" customHeight="1" x14ac:dyDescent="0.3">
      <c r="A82" s="203"/>
      <c r="B82" s="204"/>
      <c r="C82" s="205" t="s">
        <v>73</v>
      </c>
      <c r="D82" s="217"/>
      <c r="E82" s="206"/>
      <c r="F82" s="219"/>
      <c r="G82" s="208" t="s">
        <v>4</v>
      </c>
      <c r="H82" s="215"/>
      <c r="I82" s="220"/>
    </row>
    <row r="83" spans="1:9" s="8" customFormat="1" ht="12" customHeight="1" x14ac:dyDescent="0.3">
      <c r="A83" s="203"/>
      <c r="B83" s="204"/>
      <c r="C83" s="205" t="s">
        <v>67</v>
      </c>
      <c r="D83" s="217"/>
      <c r="E83" s="206"/>
      <c r="F83" s="219"/>
      <c r="G83" s="208" t="s">
        <v>4</v>
      </c>
      <c r="H83" s="215"/>
      <c r="I83" s="220"/>
    </row>
    <row r="84" spans="1:9" s="8" customFormat="1" ht="12" customHeight="1" x14ac:dyDescent="0.3">
      <c r="A84" s="203"/>
      <c r="B84" s="204"/>
      <c r="C84" s="205" t="s">
        <v>65</v>
      </c>
      <c r="D84" s="217"/>
      <c r="E84" s="206"/>
      <c r="F84" s="219"/>
      <c r="G84" s="208" t="s">
        <v>4</v>
      </c>
      <c r="H84" s="215"/>
      <c r="I84" s="220"/>
    </row>
    <row r="85" spans="1:9" s="8" customFormat="1" ht="12" customHeight="1" x14ac:dyDescent="0.3">
      <c r="A85" s="203"/>
      <c r="B85" s="211"/>
      <c r="C85" s="205" t="s">
        <v>70</v>
      </c>
      <c r="D85" s="217"/>
      <c r="E85" s="206"/>
      <c r="F85" s="219"/>
      <c r="G85" s="208" t="s">
        <v>0</v>
      </c>
      <c r="H85" s="215"/>
      <c r="I85" s="220"/>
    </row>
    <row r="86" spans="1:9" s="8" customFormat="1" ht="12" customHeight="1" x14ac:dyDescent="0.3">
      <c r="A86" s="203"/>
      <c r="B86" s="211"/>
      <c r="C86" s="205" t="s">
        <v>189</v>
      </c>
      <c r="D86" s="217"/>
      <c r="E86" s="206"/>
      <c r="F86" s="219"/>
      <c r="G86" s="208" t="s">
        <v>179</v>
      </c>
      <c r="H86" s="215"/>
      <c r="I86" s="220"/>
    </row>
    <row r="87" spans="1:9" s="8" customFormat="1" ht="12" customHeight="1" x14ac:dyDescent="0.3">
      <c r="A87" s="203"/>
      <c r="B87" s="211"/>
      <c r="C87" s="205" t="s">
        <v>188</v>
      </c>
      <c r="D87" s="217"/>
      <c r="E87" s="206"/>
      <c r="F87" s="219"/>
      <c r="G87" s="208" t="s">
        <v>179</v>
      </c>
      <c r="H87" s="215"/>
      <c r="I87" s="220"/>
    </row>
    <row r="88" spans="1:9" s="8" customFormat="1" ht="12" customHeight="1" x14ac:dyDescent="0.3">
      <c r="A88" s="203"/>
      <c r="B88" s="211"/>
      <c r="C88" s="205" t="s">
        <v>74</v>
      </c>
      <c r="D88" s="217"/>
      <c r="E88" s="206"/>
      <c r="F88" s="219"/>
      <c r="G88" s="208" t="s">
        <v>1</v>
      </c>
      <c r="H88" s="215"/>
      <c r="I88" s="220"/>
    </row>
    <row r="89" spans="1:9" s="8" customFormat="1" ht="12" customHeight="1" x14ac:dyDescent="0.3">
      <c r="A89" s="203"/>
      <c r="B89" s="211"/>
      <c r="C89" s="205" t="s">
        <v>148</v>
      </c>
      <c r="D89" s="217"/>
      <c r="E89" s="206"/>
      <c r="F89" s="219"/>
      <c r="G89" s="208" t="s">
        <v>1</v>
      </c>
      <c r="H89" s="215"/>
      <c r="I89" s="220"/>
    </row>
    <row r="90" spans="1:9" s="8" customFormat="1" ht="12" customHeight="1" x14ac:dyDescent="0.3">
      <c r="A90" s="203"/>
      <c r="B90" s="211"/>
      <c r="C90" s="205" t="s">
        <v>562</v>
      </c>
      <c r="D90" s="217"/>
      <c r="E90" s="206"/>
      <c r="F90" s="219"/>
      <c r="G90" s="208" t="s">
        <v>1</v>
      </c>
      <c r="H90" s="215"/>
      <c r="I90" s="220"/>
    </row>
    <row r="91" spans="1:9" s="8" customFormat="1" ht="12" customHeight="1" x14ac:dyDescent="0.3">
      <c r="A91" s="203"/>
      <c r="B91" s="211"/>
      <c r="C91" s="205"/>
      <c r="D91" s="217"/>
      <c r="E91" s="206"/>
      <c r="F91" s="219"/>
      <c r="G91" s="208"/>
      <c r="H91" s="215"/>
      <c r="I91" s="220"/>
    </row>
    <row r="92" spans="1:9" s="8" customFormat="1" ht="12" customHeight="1" x14ac:dyDescent="0.3">
      <c r="A92" s="203"/>
      <c r="B92" s="226"/>
      <c r="C92" s="332"/>
      <c r="D92" s="332"/>
      <c r="E92" s="332"/>
      <c r="F92" s="332"/>
      <c r="G92" s="332"/>
      <c r="H92" s="332"/>
      <c r="I92" s="343"/>
    </row>
    <row r="93" spans="1:9" s="8" customFormat="1" ht="12" customHeight="1" x14ac:dyDescent="0.3">
      <c r="A93" s="203"/>
      <c r="B93" s="333" t="s">
        <v>511</v>
      </c>
      <c r="C93" s="344"/>
      <c r="D93" s="344"/>
      <c r="E93" s="345"/>
      <c r="F93" s="344"/>
      <c r="G93" s="344"/>
      <c r="H93" s="344"/>
      <c r="I93" s="346"/>
    </row>
    <row r="94" spans="1:9" s="8" customFormat="1" ht="12" customHeight="1" x14ac:dyDescent="0.3">
      <c r="A94" s="203"/>
      <c r="B94" s="333"/>
      <c r="C94" s="344" t="s">
        <v>512</v>
      </c>
      <c r="D94" s="344"/>
      <c r="E94" s="344"/>
      <c r="F94" s="344"/>
      <c r="G94" s="344"/>
      <c r="H94" s="344"/>
      <c r="I94" s="346"/>
    </row>
    <row r="95" spans="1:9" s="8" customFormat="1" ht="12" customHeight="1" x14ac:dyDescent="0.3">
      <c r="A95" s="203"/>
      <c r="B95" s="334"/>
      <c r="C95" s="335"/>
      <c r="D95" s="335"/>
      <c r="E95" s="335"/>
      <c r="F95" s="335"/>
      <c r="G95" s="335"/>
      <c r="H95" s="335"/>
      <c r="I95" s="347"/>
    </row>
    <row r="96" spans="1:9" s="8" customFormat="1" ht="12" customHeight="1" x14ac:dyDescent="0.3">
      <c r="A96" s="352" t="s">
        <v>29</v>
      </c>
      <c r="B96" s="353" t="s">
        <v>77</v>
      </c>
      <c r="C96" s="354"/>
      <c r="D96" s="354"/>
      <c r="E96" s="355"/>
      <c r="F96" s="356">
        <f>Estimate!F89</f>
        <v>0</v>
      </c>
      <c r="G96" s="360" t="s">
        <v>113</v>
      </c>
      <c r="H96" s="358"/>
      <c r="I96" s="359"/>
    </row>
    <row r="97" spans="1:9" s="8" customFormat="1" ht="12" customHeight="1" x14ac:dyDescent="0.3">
      <c r="A97" s="203"/>
      <c r="B97" s="204" t="s">
        <v>22</v>
      </c>
      <c r="C97" s="205"/>
      <c r="D97" s="205"/>
      <c r="E97" s="206"/>
      <c r="F97" s="222"/>
      <c r="G97" s="223"/>
      <c r="H97" s="224"/>
      <c r="I97" s="216"/>
    </row>
    <row r="98" spans="1:9" s="8" customFormat="1" ht="12" customHeight="1" x14ac:dyDescent="0.3">
      <c r="A98" s="203"/>
      <c r="B98" s="211"/>
      <c r="C98" s="235" t="s">
        <v>415</v>
      </c>
      <c r="D98" s="205"/>
      <c r="E98" s="206"/>
      <c r="F98" s="222"/>
      <c r="G98" s="223"/>
      <c r="H98" s="224"/>
      <c r="I98" s="216"/>
    </row>
    <row r="99" spans="1:9" s="8" customFormat="1" ht="12" customHeight="1" x14ac:dyDescent="0.3">
      <c r="A99" s="203"/>
      <c r="B99" s="211"/>
      <c r="C99" s="235" t="s">
        <v>416</v>
      </c>
      <c r="D99" s="236"/>
      <c r="E99" s="206"/>
      <c r="F99" s="222"/>
      <c r="G99" s="223"/>
      <c r="H99" s="224"/>
      <c r="I99" s="216"/>
    </row>
    <row r="100" spans="1:9" s="8" customFormat="1" ht="12" customHeight="1" x14ac:dyDescent="0.3">
      <c r="A100" s="203"/>
      <c r="B100" s="211"/>
      <c r="C100" s="205" t="s">
        <v>255</v>
      </c>
      <c r="D100" s="205"/>
      <c r="E100" s="206"/>
      <c r="F100" s="222"/>
      <c r="G100" s="223"/>
      <c r="H100" s="224"/>
      <c r="I100" s="216"/>
    </row>
    <row r="101" spans="1:9" s="8" customFormat="1" ht="12" customHeight="1" x14ac:dyDescent="0.3">
      <c r="A101" s="203"/>
      <c r="B101" s="211"/>
      <c r="C101" s="205" t="s">
        <v>417</v>
      </c>
      <c r="D101" s="205"/>
      <c r="E101" s="206"/>
      <c r="F101" s="222"/>
      <c r="G101" s="223"/>
      <c r="H101" s="224"/>
      <c r="I101" s="216"/>
    </row>
    <row r="102" spans="1:9" s="8" customFormat="1" ht="12" customHeight="1" x14ac:dyDescent="0.3">
      <c r="A102" s="203"/>
      <c r="B102" s="211"/>
      <c r="C102" s="205"/>
      <c r="D102" s="205"/>
      <c r="E102" s="206"/>
      <c r="F102" s="222"/>
      <c r="G102" s="223"/>
      <c r="H102" s="224"/>
      <c r="I102" s="216"/>
    </row>
    <row r="103" spans="1:9" s="8" customFormat="1" ht="12" customHeight="1" x14ac:dyDescent="0.3">
      <c r="A103" s="203"/>
      <c r="B103" s="204" t="s">
        <v>25</v>
      </c>
      <c r="C103" s="205"/>
      <c r="D103" s="205"/>
      <c r="E103" s="206"/>
      <c r="F103" s="222"/>
      <c r="G103" s="223"/>
      <c r="H103" s="224"/>
      <c r="I103" s="216"/>
    </row>
    <row r="104" spans="1:9" s="8" customFormat="1" ht="12" customHeight="1" x14ac:dyDescent="0.3">
      <c r="A104" s="203"/>
      <c r="B104" s="225" t="s">
        <v>563</v>
      </c>
      <c r="C104" s="205"/>
      <c r="D104" s="205"/>
      <c r="E104" s="206"/>
      <c r="F104" s="222"/>
      <c r="G104" s="208"/>
      <c r="H104" s="215"/>
      <c r="I104" s="220"/>
    </row>
    <row r="105" spans="1:9" s="8" customFormat="1" ht="12" customHeight="1" x14ac:dyDescent="0.3">
      <c r="A105" s="203"/>
      <c r="B105" s="211"/>
      <c r="C105" s="235" t="s">
        <v>382</v>
      </c>
      <c r="D105" s="235"/>
      <c r="E105" s="237"/>
      <c r="F105" s="219"/>
      <c r="G105" s="238" t="s">
        <v>147</v>
      </c>
      <c r="H105" s="239"/>
      <c r="I105" s="240"/>
    </row>
    <row r="106" spans="1:9" s="8" customFormat="1" ht="12" customHeight="1" x14ac:dyDescent="0.3">
      <c r="A106" s="203"/>
      <c r="B106" s="211"/>
      <c r="C106" s="235" t="s">
        <v>383</v>
      </c>
      <c r="D106" s="235"/>
      <c r="E106" s="237"/>
      <c r="F106" s="219"/>
      <c r="G106" s="238" t="s">
        <v>179</v>
      </c>
      <c r="H106" s="239"/>
      <c r="I106" s="240"/>
    </row>
    <row r="107" spans="1:9" s="8" customFormat="1" ht="12" customHeight="1" x14ac:dyDescent="0.3">
      <c r="A107" s="203"/>
      <c r="B107" s="211"/>
      <c r="C107" s="235" t="s">
        <v>384</v>
      </c>
      <c r="D107" s="235"/>
      <c r="E107" s="237"/>
      <c r="F107" s="219"/>
      <c r="G107" s="238" t="s">
        <v>179</v>
      </c>
      <c r="H107" s="239"/>
      <c r="I107" s="240"/>
    </row>
    <row r="108" spans="1:9" s="8" customFormat="1" ht="12" customHeight="1" x14ac:dyDescent="0.3">
      <c r="A108" s="203"/>
      <c r="B108" s="211"/>
      <c r="C108" s="205" t="s">
        <v>385</v>
      </c>
      <c r="D108" s="205"/>
      <c r="E108" s="206"/>
      <c r="F108" s="219"/>
      <c r="G108" s="208" t="s">
        <v>179</v>
      </c>
      <c r="H108" s="215"/>
      <c r="I108" s="220"/>
    </row>
    <row r="109" spans="1:9" s="8" customFormat="1" ht="12" customHeight="1" x14ac:dyDescent="0.3">
      <c r="A109" s="203"/>
      <c r="B109" s="211"/>
      <c r="C109" s="235" t="s">
        <v>386</v>
      </c>
      <c r="D109" s="235"/>
      <c r="E109" s="237"/>
      <c r="F109" s="219"/>
      <c r="G109" s="238" t="s">
        <v>1</v>
      </c>
      <c r="H109" s="239"/>
      <c r="I109" s="240"/>
    </row>
    <row r="110" spans="1:9" s="8" customFormat="1" ht="12" customHeight="1" x14ac:dyDescent="0.3">
      <c r="A110" s="203"/>
      <c r="B110" s="211"/>
      <c r="C110" s="235" t="s">
        <v>241</v>
      </c>
      <c r="D110" s="235"/>
      <c r="E110" s="237"/>
      <c r="F110" s="219"/>
      <c r="G110" s="238" t="s">
        <v>1</v>
      </c>
      <c r="H110" s="239"/>
      <c r="I110" s="240"/>
    </row>
    <row r="111" spans="1:9" s="8" customFormat="1" ht="12" customHeight="1" x14ac:dyDescent="0.3">
      <c r="A111" s="203"/>
      <c r="B111" s="211"/>
      <c r="C111" s="235" t="s">
        <v>74</v>
      </c>
      <c r="D111" s="235"/>
      <c r="E111" s="237"/>
      <c r="F111" s="219"/>
      <c r="G111" s="238" t="s">
        <v>1</v>
      </c>
      <c r="H111" s="239"/>
      <c r="I111" s="240"/>
    </row>
    <row r="112" spans="1:9" s="8" customFormat="1" ht="12" customHeight="1" x14ac:dyDescent="0.3">
      <c r="A112" s="203"/>
      <c r="B112" s="211"/>
      <c r="C112" s="235" t="s">
        <v>229</v>
      </c>
      <c r="D112" s="235"/>
      <c r="E112" s="237"/>
      <c r="F112" s="219"/>
      <c r="G112" s="238" t="s">
        <v>1</v>
      </c>
      <c r="H112" s="239"/>
      <c r="I112" s="240"/>
    </row>
    <row r="113" spans="1:9" s="8" customFormat="1" ht="12" customHeight="1" x14ac:dyDescent="0.3">
      <c r="A113" s="203"/>
      <c r="B113" s="211"/>
      <c r="C113" s="235" t="s">
        <v>387</v>
      </c>
      <c r="D113" s="235"/>
      <c r="E113" s="237"/>
      <c r="F113" s="219"/>
      <c r="G113" s="238" t="s">
        <v>1</v>
      </c>
      <c r="H113" s="239"/>
      <c r="I113" s="240"/>
    </row>
    <row r="114" spans="1:9" s="8" customFormat="1" ht="12" customHeight="1" x14ac:dyDescent="0.3">
      <c r="A114" s="203"/>
      <c r="B114" s="211"/>
      <c r="C114" s="235" t="s">
        <v>388</v>
      </c>
      <c r="D114" s="235"/>
      <c r="E114" s="237"/>
      <c r="F114" s="219"/>
      <c r="G114" s="238" t="s">
        <v>0</v>
      </c>
      <c r="H114" s="239"/>
      <c r="I114" s="240"/>
    </row>
    <row r="115" spans="1:9" s="8" customFormat="1" ht="12" customHeight="1" x14ac:dyDescent="0.3">
      <c r="A115" s="203"/>
      <c r="B115" s="211"/>
      <c r="C115" s="235" t="s">
        <v>389</v>
      </c>
      <c r="D115" s="235"/>
      <c r="E115" s="237"/>
      <c r="F115" s="219"/>
      <c r="G115" s="238" t="s">
        <v>1</v>
      </c>
      <c r="H115" s="239"/>
      <c r="I115" s="240"/>
    </row>
    <row r="116" spans="1:9" s="8" customFormat="1" ht="12" customHeight="1" x14ac:dyDescent="0.3">
      <c r="A116" s="203"/>
      <c r="B116" s="211"/>
      <c r="C116" s="235" t="s">
        <v>390</v>
      </c>
      <c r="D116" s="235"/>
      <c r="E116" s="237"/>
      <c r="F116" s="219"/>
      <c r="G116" s="238" t="s">
        <v>1</v>
      </c>
      <c r="H116" s="239"/>
      <c r="I116" s="240"/>
    </row>
    <row r="117" spans="1:9" s="8" customFormat="1" ht="12" customHeight="1" x14ac:dyDescent="0.3">
      <c r="A117" s="203"/>
      <c r="B117" s="225" t="s">
        <v>391</v>
      </c>
      <c r="C117" s="235"/>
      <c r="D117" s="235"/>
      <c r="E117" s="237"/>
      <c r="F117" s="219"/>
      <c r="G117" s="238"/>
      <c r="H117" s="239"/>
      <c r="I117" s="240"/>
    </row>
    <row r="118" spans="1:9" s="8" customFormat="1" ht="12" customHeight="1" x14ac:dyDescent="0.3">
      <c r="A118" s="203"/>
      <c r="B118" s="211"/>
      <c r="C118" s="235" t="s">
        <v>611</v>
      </c>
      <c r="D118" s="235"/>
      <c r="E118" s="237"/>
      <c r="F118" s="219"/>
      <c r="G118" s="238" t="s">
        <v>1</v>
      </c>
      <c r="H118" s="239"/>
      <c r="I118" s="240"/>
    </row>
    <row r="119" spans="1:9" s="8" customFormat="1" ht="12" customHeight="1" x14ac:dyDescent="0.3">
      <c r="A119" s="203"/>
      <c r="B119" s="211"/>
      <c r="C119" s="235" t="s">
        <v>183</v>
      </c>
      <c r="D119" s="235"/>
      <c r="E119" s="237"/>
      <c r="F119" s="219"/>
      <c r="G119" s="238" t="s">
        <v>80</v>
      </c>
      <c r="H119" s="239"/>
      <c r="I119" s="240"/>
    </row>
    <row r="120" spans="1:9" s="8" customFormat="1" ht="12" customHeight="1" x14ac:dyDescent="0.3">
      <c r="A120" s="203"/>
      <c r="B120" s="211"/>
      <c r="C120" s="235" t="s">
        <v>187</v>
      </c>
      <c r="D120" s="235"/>
      <c r="E120" s="237"/>
      <c r="F120" s="219"/>
      <c r="G120" s="238" t="s">
        <v>66</v>
      </c>
      <c r="H120" s="239"/>
      <c r="I120" s="240"/>
    </row>
    <row r="121" spans="1:9" s="8" customFormat="1" ht="12" customHeight="1" x14ac:dyDescent="0.3">
      <c r="A121" s="203"/>
      <c r="B121" s="225" t="s">
        <v>564</v>
      </c>
      <c r="C121" s="205"/>
      <c r="D121" s="205"/>
      <c r="E121" s="206"/>
      <c r="F121" s="219"/>
      <c r="G121" s="208"/>
      <c r="H121" s="215"/>
      <c r="I121" s="220"/>
    </row>
    <row r="122" spans="1:9" s="8" customFormat="1" ht="12" customHeight="1" x14ac:dyDescent="0.3">
      <c r="A122" s="203"/>
      <c r="B122" s="211"/>
      <c r="C122" s="205" t="s">
        <v>565</v>
      </c>
      <c r="D122" s="205"/>
      <c r="E122" s="206"/>
      <c r="F122" s="219"/>
      <c r="G122" s="208" t="s">
        <v>69</v>
      </c>
      <c r="H122" s="215"/>
      <c r="I122" s="220"/>
    </row>
    <row r="123" spans="1:9" s="8" customFormat="1" ht="12" customHeight="1" x14ac:dyDescent="0.3">
      <c r="A123" s="203"/>
      <c r="B123" s="211"/>
      <c r="C123" s="205" t="s">
        <v>566</v>
      </c>
      <c r="D123" s="205"/>
      <c r="E123" s="206"/>
      <c r="F123" s="219"/>
      <c r="G123" s="208" t="s">
        <v>69</v>
      </c>
      <c r="H123" s="215"/>
      <c r="I123" s="220"/>
    </row>
    <row r="124" spans="1:9" s="8" customFormat="1" ht="12" customHeight="1" x14ac:dyDescent="0.3">
      <c r="A124" s="203"/>
      <c r="B124" s="211"/>
      <c r="C124" s="205" t="s">
        <v>110</v>
      </c>
      <c r="D124" s="205"/>
      <c r="E124" s="206"/>
      <c r="F124" s="219"/>
      <c r="G124" s="208" t="s">
        <v>0</v>
      </c>
      <c r="H124" s="215"/>
      <c r="I124" s="220"/>
    </row>
    <row r="125" spans="1:9" s="8" customFormat="1" ht="12" customHeight="1" x14ac:dyDescent="0.3">
      <c r="A125" s="203"/>
      <c r="B125" s="241" t="s">
        <v>306</v>
      </c>
      <c r="C125" s="205"/>
      <c r="D125" s="205"/>
      <c r="E125" s="206"/>
      <c r="F125" s="219"/>
      <c r="G125" s="223"/>
      <c r="H125" s="215"/>
      <c r="I125" s="220"/>
    </row>
    <row r="126" spans="1:9" s="8" customFormat="1" ht="12" customHeight="1" x14ac:dyDescent="0.3">
      <c r="A126" s="203"/>
      <c r="B126" s="211"/>
      <c r="C126" s="205" t="s">
        <v>397</v>
      </c>
      <c r="D126" s="205"/>
      <c r="E126" s="206"/>
      <c r="F126" s="219"/>
      <c r="G126" s="208" t="s">
        <v>69</v>
      </c>
      <c r="H126" s="224"/>
      <c r="I126" s="216"/>
    </row>
    <row r="127" spans="1:9" s="8" customFormat="1" ht="12" customHeight="1" x14ac:dyDescent="0.3">
      <c r="A127" s="203"/>
      <c r="B127" s="211"/>
      <c r="C127" s="205" t="s">
        <v>398</v>
      </c>
      <c r="D127" s="205"/>
      <c r="E127" s="206"/>
      <c r="F127" s="219"/>
      <c r="G127" s="208" t="s">
        <v>69</v>
      </c>
      <c r="H127" s="215"/>
      <c r="I127" s="220"/>
    </row>
    <row r="128" spans="1:9" s="8" customFormat="1" ht="12" customHeight="1" x14ac:dyDescent="0.3">
      <c r="A128" s="203"/>
      <c r="B128" s="211"/>
      <c r="C128" s="205" t="s">
        <v>182</v>
      </c>
      <c r="D128" s="205"/>
      <c r="E128" s="206"/>
      <c r="F128" s="219"/>
      <c r="G128" s="208" t="s">
        <v>147</v>
      </c>
      <c r="H128" s="215"/>
      <c r="I128" s="220"/>
    </row>
    <row r="129" spans="1:9" s="8" customFormat="1" ht="12" customHeight="1" x14ac:dyDescent="0.3">
      <c r="A129" s="203"/>
      <c r="B129" s="225"/>
      <c r="C129" s="205" t="s">
        <v>145</v>
      </c>
      <c r="D129" s="205"/>
      <c r="E129" s="206"/>
      <c r="F129" s="219"/>
      <c r="G129" s="208" t="s">
        <v>0</v>
      </c>
      <c r="H129" s="215"/>
      <c r="I129" s="220"/>
    </row>
    <row r="130" spans="1:9" s="8" customFormat="1" ht="12" customHeight="1" x14ac:dyDescent="0.3">
      <c r="A130" s="203"/>
      <c r="B130" s="211"/>
      <c r="C130" s="205" t="s">
        <v>151</v>
      </c>
      <c r="D130" s="205"/>
      <c r="E130" s="206"/>
      <c r="F130" s="219"/>
      <c r="G130" s="208" t="s">
        <v>0</v>
      </c>
      <c r="H130" s="215"/>
      <c r="I130" s="220"/>
    </row>
    <row r="131" spans="1:9" s="8" customFormat="1" ht="12" customHeight="1" x14ac:dyDescent="0.3">
      <c r="A131" s="203"/>
      <c r="B131" s="211"/>
      <c r="C131" s="205" t="s">
        <v>110</v>
      </c>
      <c r="D131" s="205"/>
      <c r="E131" s="206"/>
      <c r="F131" s="219"/>
      <c r="G131" s="208" t="s">
        <v>0</v>
      </c>
      <c r="H131" s="215"/>
      <c r="I131" s="220"/>
    </row>
    <row r="132" spans="1:9" s="8" customFormat="1" ht="12" customHeight="1" x14ac:dyDescent="0.3">
      <c r="A132" s="203"/>
      <c r="B132" s="211"/>
      <c r="C132" s="205" t="s">
        <v>266</v>
      </c>
      <c r="D132" s="205"/>
      <c r="E132" s="206"/>
      <c r="F132" s="219"/>
      <c r="G132" s="208" t="s">
        <v>0</v>
      </c>
      <c r="H132" s="215"/>
      <c r="I132" s="220"/>
    </row>
    <row r="133" spans="1:9" s="8" customFormat="1" ht="12" customHeight="1" x14ac:dyDescent="0.3">
      <c r="A133" s="203"/>
      <c r="B133" s="211"/>
      <c r="C133" s="205"/>
      <c r="D133" s="205"/>
      <c r="E133" s="206"/>
      <c r="F133" s="222"/>
      <c r="G133" s="208"/>
      <c r="H133" s="361"/>
      <c r="I133" s="220"/>
    </row>
    <row r="134" spans="1:9" s="8" customFormat="1" ht="12" customHeight="1" x14ac:dyDescent="0.3">
      <c r="A134" s="203"/>
      <c r="B134" s="226"/>
      <c r="C134" s="332"/>
      <c r="D134" s="332"/>
      <c r="E134" s="332"/>
      <c r="F134" s="332"/>
      <c r="G134" s="332"/>
      <c r="H134" s="332"/>
      <c r="I134" s="343"/>
    </row>
    <row r="135" spans="1:9" s="8" customFormat="1" ht="12" customHeight="1" x14ac:dyDescent="0.3">
      <c r="A135" s="203"/>
      <c r="B135" s="333" t="s">
        <v>511</v>
      </c>
      <c r="C135" s="344"/>
      <c r="D135" s="344"/>
      <c r="E135" s="345"/>
      <c r="F135" s="344"/>
      <c r="G135" s="344"/>
      <c r="H135" s="344"/>
      <c r="I135" s="346"/>
    </row>
    <row r="136" spans="1:9" s="8" customFormat="1" ht="12" customHeight="1" x14ac:dyDescent="0.3">
      <c r="A136" s="203"/>
      <c r="B136" s="333"/>
      <c r="C136" s="344" t="s">
        <v>512</v>
      </c>
      <c r="D136" s="344"/>
      <c r="E136" s="344"/>
      <c r="F136" s="344"/>
      <c r="G136" s="344"/>
      <c r="H136" s="344"/>
      <c r="I136" s="346"/>
    </row>
    <row r="137" spans="1:9" s="8" customFormat="1" ht="12" customHeight="1" x14ac:dyDescent="0.3">
      <c r="A137" s="203"/>
      <c r="B137" s="334"/>
      <c r="C137" s="335"/>
      <c r="D137" s="335"/>
      <c r="E137" s="335"/>
      <c r="F137" s="335"/>
      <c r="G137" s="335"/>
      <c r="H137" s="335"/>
      <c r="I137" s="347"/>
    </row>
    <row r="138" spans="1:9" s="8" customFormat="1" ht="12" customHeight="1" x14ac:dyDescent="0.3">
      <c r="A138" s="352" t="s">
        <v>31</v>
      </c>
      <c r="B138" s="353" t="s">
        <v>71</v>
      </c>
      <c r="C138" s="354"/>
      <c r="D138" s="354"/>
      <c r="E138" s="355"/>
      <c r="F138" s="362">
        <f>Estimate!F124</f>
        <v>31</v>
      </c>
      <c r="G138" s="360" t="s">
        <v>87</v>
      </c>
      <c r="H138" s="358"/>
      <c r="I138" s="359"/>
    </row>
    <row r="139" spans="1:9" s="8" customFormat="1" ht="12" customHeight="1" x14ac:dyDescent="0.3">
      <c r="A139" s="242"/>
      <c r="B139" s="204" t="s">
        <v>22</v>
      </c>
      <c r="C139" s="205"/>
      <c r="D139" s="205"/>
      <c r="E139" s="206"/>
      <c r="F139" s="222"/>
      <c r="G139" s="208"/>
      <c r="H139" s="209"/>
      <c r="I139" s="243"/>
    </row>
    <row r="140" spans="1:9" s="8" customFormat="1" ht="12" customHeight="1" x14ac:dyDescent="0.3">
      <c r="A140" s="242"/>
      <c r="B140" s="227"/>
      <c r="C140" s="229" t="s">
        <v>568</v>
      </c>
      <c r="D140" s="229"/>
      <c r="E140" s="206"/>
      <c r="F140" s="222"/>
      <c r="G140" s="208"/>
      <c r="H140" s="209"/>
      <c r="I140" s="243"/>
    </row>
    <row r="141" spans="1:9" s="8" customFormat="1" ht="12" customHeight="1" x14ac:dyDescent="0.3">
      <c r="A141" s="242"/>
      <c r="B141" s="227"/>
      <c r="C141" s="229" t="s">
        <v>567</v>
      </c>
      <c r="D141" s="229"/>
      <c r="E141" s="206"/>
      <c r="F141" s="222"/>
      <c r="G141" s="208"/>
      <c r="H141" s="209"/>
      <c r="I141" s="243"/>
    </row>
    <row r="142" spans="1:9" s="8" customFormat="1" ht="12" customHeight="1" x14ac:dyDescent="0.3">
      <c r="A142" s="242"/>
      <c r="B142" s="227"/>
      <c r="C142" s="229"/>
      <c r="D142" s="229"/>
      <c r="E142" s="206"/>
      <c r="F142" s="222"/>
      <c r="G142" s="208"/>
      <c r="H142" s="209"/>
      <c r="I142" s="243"/>
    </row>
    <row r="143" spans="1:9" s="8" customFormat="1" ht="12" customHeight="1" x14ac:dyDescent="0.3">
      <c r="A143" s="242"/>
      <c r="B143" s="218" t="s">
        <v>25</v>
      </c>
      <c r="C143" s="205"/>
      <c r="D143" s="205"/>
      <c r="E143" s="206"/>
      <c r="F143" s="222"/>
      <c r="G143" s="208"/>
      <c r="H143" s="209"/>
      <c r="I143" s="243"/>
    </row>
    <row r="144" spans="1:9" s="8" customFormat="1" ht="12" customHeight="1" x14ac:dyDescent="0.3">
      <c r="A144" s="242"/>
      <c r="B144" s="225" t="s">
        <v>72</v>
      </c>
      <c r="C144" s="205"/>
      <c r="D144" s="205"/>
      <c r="E144" s="206"/>
      <c r="F144" s="222"/>
      <c r="G144" s="208"/>
      <c r="H144" s="209"/>
      <c r="I144" s="243"/>
    </row>
    <row r="145" spans="1:9" s="8" customFormat="1" ht="12" customHeight="1" x14ac:dyDescent="0.3">
      <c r="A145" s="242"/>
      <c r="B145" s="211" t="s">
        <v>571</v>
      </c>
      <c r="C145" s="229"/>
      <c r="D145" s="229"/>
      <c r="E145" s="221"/>
      <c r="F145" s="219"/>
      <c r="G145" s="208" t="s">
        <v>10</v>
      </c>
      <c r="H145" s="244"/>
      <c r="I145" s="220"/>
    </row>
    <row r="146" spans="1:9" s="8" customFormat="1" ht="12" customHeight="1" x14ac:dyDescent="0.3">
      <c r="A146" s="242"/>
      <c r="B146" s="211" t="s">
        <v>572</v>
      </c>
      <c r="C146" s="229"/>
      <c r="D146" s="229"/>
      <c r="E146" s="221"/>
      <c r="F146" s="219"/>
      <c r="G146" s="208" t="s">
        <v>6</v>
      </c>
      <c r="H146" s="244"/>
      <c r="I146" s="220"/>
    </row>
    <row r="147" spans="1:9" s="8" customFormat="1" ht="12" customHeight="1" x14ac:dyDescent="0.3">
      <c r="A147" s="242"/>
      <c r="B147" s="211" t="s">
        <v>570</v>
      </c>
      <c r="C147" s="229"/>
      <c r="D147" s="229"/>
      <c r="E147" s="221"/>
      <c r="F147" s="219"/>
      <c r="G147" s="208" t="s">
        <v>10</v>
      </c>
      <c r="H147" s="244"/>
      <c r="I147" s="220"/>
    </row>
    <row r="148" spans="1:9" s="8" customFormat="1" ht="12" customHeight="1" x14ac:dyDescent="0.3">
      <c r="A148" s="242"/>
      <c r="B148" s="211" t="s">
        <v>569</v>
      </c>
      <c r="C148" s="229"/>
      <c r="D148" s="229"/>
      <c r="E148" s="221"/>
      <c r="F148" s="219"/>
      <c r="G148" s="208" t="s">
        <v>10</v>
      </c>
      <c r="H148" s="244"/>
      <c r="I148" s="220"/>
    </row>
    <row r="149" spans="1:9" s="8" customFormat="1" ht="12" customHeight="1" x14ac:dyDescent="0.3">
      <c r="A149" s="242"/>
      <c r="B149" s="211"/>
      <c r="C149" s="229"/>
      <c r="D149" s="229"/>
      <c r="E149" s="221"/>
      <c r="F149" s="219"/>
      <c r="G149" s="208"/>
      <c r="H149" s="244"/>
      <c r="I149" s="220"/>
    </row>
    <row r="150" spans="1:9" s="8" customFormat="1" ht="12" customHeight="1" x14ac:dyDescent="0.3">
      <c r="A150" s="242"/>
      <c r="B150" s="225" t="s">
        <v>136</v>
      </c>
      <c r="C150" s="217"/>
      <c r="D150" s="217"/>
      <c r="E150" s="221"/>
      <c r="F150" s="219"/>
      <c r="G150" s="208"/>
      <c r="H150" s="244"/>
      <c r="I150" s="220"/>
    </row>
    <row r="151" spans="1:9" s="8" customFormat="1" ht="12" customHeight="1" x14ac:dyDescent="0.3">
      <c r="A151" s="242"/>
      <c r="B151" s="211" t="s">
        <v>256</v>
      </c>
      <c r="C151" s="229"/>
      <c r="D151" s="229"/>
      <c r="E151" s="221"/>
      <c r="F151" s="219"/>
      <c r="G151" s="208" t="s">
        <v>6</v>
      </c>
      <c r="H151" s="244"/>
      <c r="I151" s="220"/>
    </row>
    <row r="152" spans="1:9" s="8" customFormat="1" ht="12" customHeight="1" x14ac:dyDescent="0.3">
      <c r="A152" s="242"/>
      <c r="B152" s="227" t="s">
        <v>192</v>
      </c>
      <c r="C152" s="229"/>
      <c r="D152" s="229"/>
      <c r="E152" s="206"/>
      <c r="F152" s="219"/>
      <c r="G152" s="208"/>
      <c r="H152" s="244"/>
      <c r="I152" s="220"/>
    </row>
    <row r="153" spans="1:9" s="8" customFormat="1" ht="12" customHeight="1" x14ac:dyDescent="0.3">
      <c r="A153" s="242"/>
      <c r="B153" s="211" t="s">
        <v>257</v>
      </c>
      <c r="C153" s="229"/>
      <c r="D153" s="229"/>
      <c r="E153" s="206"/>
      <c r="F153" s="219"/>
      <c r="G153" s="208" t="s">
        <v>10</v>
      </c>
      <c r="H153" s="215"/>
      <c r="I153" s="220"/>
    </row>
    <row r="154" spans="1:9" s="8" customFormat="1" ht="12" customHeight="1" x14ac:dyDescent="0.3">
      <c r="A154" s="242"/>
      <c r="B154" s="227" t="s">
        <v>191</v>
      </c>
      <c r="C154" s="229"/>
      <c r="D154" s="229"/>
      <c r="E154" s="206"/>
      <c r="F154" s="219"/>
      <c r="G154" s="208"/>
      <c r="H154" s="244"/>
      <c r="I154" s="220"/>
    </row>
    <row r="155" spans="1:9" s="8" customFormat="1" ht="12" customHeight="1" x14ac:dyDescent="0.3">
      <c r="A155" s="242"/>
      <c r="B155" s="211" t="s">
        <v>324</v>
      </c>
      <c r="C155" s="229"/>
      <c r="D155" s="229"/>
      <c r="E155" s="206"/>
      <c r="F155" s="219"/>
      <c r="G155" s="208" t="s">
        <v>6</v>
      </c>
      <c r="H155" s="215"/>
      <c r="I155" s="220"/>
    </row>
    <row r="156" spans="1:9" s="8" customFormat="1" ht="12" customHeight="1" x14ac:dyDescent="0.3">
      <c r="A156" s="242"/>
      <c r="B156" s="227" t="s">
        <v>325</v>
      </c>
      <c r="C156" s="229"/>
      <c r="D156" s="229"/>
      <c r="E156" s="206"/>
      <c r="F156" s="207"/>
      <c r="G156" s="208"/>
      <c r="H156" s="244"/>
      <c r="I156" s="220"/>
    </row>
    <row r="157" spans="1:9" s="8" customFormat="1" ht="12" customHeight="1" x14ac:dyDescent="0.3">
      <c r="A157" s="242"/>
      <c r="B157" s="227"/>
      <c r="C157" s="229"/>
      <c r="D157" s="229"/>
      <c r="E157" s="206"/>
      <c r="F157" s="207"/>
      <c r="G157" s="208"/>
      <c r="H157" s="244"/>
      <c r="I157" s="220"/>
    </row>
    <row r="158" spans="1:9" s="8" customFormat="1" ht="12" customHeight="1" x14ac:dyDescent="0.3">
      <c r="A158" s="203"/>
      <c r="B158" s="226"/>
      <c r="C158" s="332"/>
      <c r="D158" s="332"/>
      <c r="E158" s="332"/>
      <c r="F158" s="332"/>
      <c r="G158" s="332"/>
      <c r="H158" s="332"/>
      <c r="I158" s="343"/>
    </row>
    <row r="159" spans="1:9" s="8" customFormat="1" ht="12" customHeight="1" x14ac:dyDescent="0.3">
      <c r="A159" s="203"/>
      <c r="B159" s="333" t="s">
        <v>511</v>
      </c>
      <c r="C159" s="344"/>
      <c r="D159" s="344"/>
      <c r="E159" s="345"/>
      <c r="F159" s="344"/>
      <c r="G159" s="344"/>
      <c r="H159" s="344"/>
      <c r="I159" s="346"/>
    </row>
    <row r="160" spans="1:9" s="8" customFormat="1" ht="12" customHeight="1" x14ac:dyDescent="0.3">
      <c r="A160" s="203"/>
      <c r="B160" s="333"/>
      <c r="C160" s="344" t="s">
        <v>512</v>
      </c>
      <c r="D160" s="344"/>
      <c r="E160" s="344"/>
      <c r="F160" s="344"/>
      <c r="G160" s="344"/>
      <c r="H160" s="344"/>
      <c r="I160" s="346"/>
    </row>
    <row r="161" spans="1:9" s="8" customFormat="1" ht="12" customHeight="1" x14ac:dyDescent="0.3">
      <c r="A161" s="203"/>
      <c r="B161" s="334"/>
      <c r="C161" s="335"/>
      <c r="D161" s="335"/>
      <c r="E161" s="335"/>
      <c r="F161" s="335"/>
      <c r="G161" s="335"/>
      <c r="H161" s="335"/>
      <c r="I161" s="347"/>
    </row>
    <row r="162" spans="1:9" s="8" customFormat="1" ht="12" customHeight="1" x14ac:dyDescent="0.3">
      <c r="A162" s="352" t="s">
        <v>32</v>
      </c>
      <c r="B162" s="353" t="s">
        <v>408</v>
      </c>
      <c r="C162" s="354"/>
      <c r="D162" s="354"/>
      <c r="E162" s="355"/>
      <c r="F162" s="356">
        <f>Estimate!F145</f>
        <v>0</v>
      </c>
      <c r="G162" s="357" t="s">
        <v>21</v>
      </c>
      <c r="H162" s="358"/>
      <c r="I162" s="359"/>
    </row>
    <row r="163" spans="1:9" s="8" customFormat="1" ht="12" customHeight="1" x14ac:dyDescent="0.3">
      <c r="A163" s="242"/>
      <c r="B163" s="204" t="s">
        <v>22</v>
      </c>
      <c r="C163" s="217"/>
      <c r="D163" s="217"/>
      <c r="E163" s="221"/>
      <c r="F163" s="222"/>
      <c r="G163" s="208"/>
      <c r="H163" s="224"/>
      <c r="I163" s="216"/>
    </row>
    <row r="164" spans="1:9" s="8" customFormat="1" ht="12" customHeight="1" x14ac:dyDescent="0.3">
      <c r="A164" s="242"/>
      <c r="B164" s="227"/>
      <c r="C164" s="217" t="s">
        <v>419</v>
      </c>
      <c r="D164" s="217"/>
      <c r="E164" s="221"/>
      <c r="F164" s="222"/>
      <c r="G164" s="208"/>
      <c r="H164" s="224"/>
      <c r="I164" s="216"/>
    </row>
    <row r="165" spans="1:9" s="8" customFormat="1" ht="12" customHeight="1" x14ac:dyDescent="0.3">
      <c r="A165" s="242"/>
      <c r="B165" s="227"/>
      <c r="C165" s="217" t="s">
        <v>420</v>
      </c>
      <c r="D165" s="217"/>
      <c r="E165" s="221"/>
      <c r="F165" s="222"/>
      <c r="G165" s="208"/>
      <c r="H165" s="224"/>
      <c r="I165" s="216"/>
    </row>
    <row r="166" spans="1:9" s="8" customFormat="1" ht="12" customHeight="1" x14ac:dyDescent="0.3">
      <c r="A166" s="242"/>
      <c r="B166" s="227"/>
      <c r="C166" s="217" t="s">
        <v>573</v>
      </c>
      <c r="D166" s="217"/>
      <c r="E166" s="221"/>
      <c r="F166" s="222"/>
      <c r="G166" s="208"/>
      <c r="H166" s="224"/>
      <c r="I166" s="216"/>
    </row>
    <row r="167" spans="1:9" s="8" customFormat="1" ht="12" customHeight="1" x14ac:dyDescent="0.3">
      <c r="A167" s="242"/>
      <c r="B167" s="227"/>
      <c r="C167" s="217" t="s">
        <v>574</v>
      </c>
      <c r="D167" s="217"/>
      <c r="E167" s="221"/>
      <c r="F167" s="222"/>
      <c r="G167" s="208"/>
      <c r="H167" s="224"/>
      <c r="I167" s="216"/>
    </row>
    <row r="168" spans="1:9" s="8" customFormat="1" ht="12" customHeight="1" x14ac:dyDescent="0.3">
      <c r="A168" s="242"/>
      <c r="B168" s="227"/>
      <c r="C168" s="217" t="s">
        <v>596</v>
      </c>
      <c r="D168" s="217"/>
      <c r="E168" s="221"/>
      <c r="F168" s="222"/>
      <c r="G168" s="208"/>
      <c r="H168" s="224"/>
      <c r="I168" s="216"/>
    </row>
    <row r="169" spans="1:9" s="8" customFormat="1" ht="12" customHeight="1" x14ac:dyDescent="0.3">
      <c r="A169" s="242"/>
      <c r="B169" s="227"/>
      <c r="C169" s="217"/>
      <c r="D169" s="217"/>
      <c r="E169" s="221"/>
      <c r="F169" s="222"/>
      <c r="G169" s="208"/>
      <c r="H169" s="224"/>
      <c r="I169" s="216"/>
    </row>
    <row r="170" spans="1:9" s="8" customFormat="1" ht="12" customHeight="1" x14ac:dyDescent="0.3">
      <c r="A170" s="242"/>
      <c r="B170" s="204" t="s">
        <v>25</v>
      </c>
      <c r="C170" s="217"/>
      <c r="D170" s="217"/>
      <c r="E170" s="221"/>
      <c r="F170" s="222"/>
      <c r="G170" s="208"/>
      <c r="H170" s="224"/>
      <c r="I170" s="216"/>
    </row>
    <row r="171" spans="1:9" s="8" customFormat="1" ht="12" customHeight="1" x14ac:dyDescent="0.3">
      <c r="A171" s="242"/>
      <c r="B171" s="245" t="s">
        <v>418</v>
      </c>
      <c r="C171" s="217"/>
      <c r="D171" s="217"/>
      <c r="E171" s="221"/>
      <c r="F171" s="222"/>
      <c r="G171" s="208"/>
      <c r="H171" s="224"/>
      <c r="I171" s="216"/>
    </row>
    <row r="172" spans="1:9" s="8" customFormat="1" ht="12" customHeight="1" x14ac:dyDescent="0.3">
      <c r="A172" s="242"/>
      <c r="B172" s="232"/>
      <c r="C172" s="217" t="s">
        <v>575</v>
      </c>
      <c r="D172" s="217"/>
      <c r="E172" s="221"/>
      <c r="F172" s="219"/>
      <c r="G172" s="208" t="s">
        <v>179</v>
      </c>
      <c r="H172" s="224"/>
      <c r="I172" s="216"/>
    </row>
    <row r="173" spans="1:9" s="8" customFormat="1" ht="12" customHeight="1" x14ac:dyDescent="0.3">
      <c r="A173" s="242"/>
      <c r="B173" s="232"/>
      <c r="C173" s="217" t="s">
        <v>576</v>
      </c>
      <c r="D173" s="217"/>
      <c r="E173" s="221"/>
      <c r="F173" s="219"/>
      <c r="G173" s="208" t="s">
        <v>179</v>
      </c>
      <c r="H173" s="215"/>
      <c r="I173" s="220"/>
    </row>
    <row r="174" spans="1:9" s="8" customFormat="1" ht="12" customHeight="1" x14ac:dyDescent="0.3">
      <c r="A174" s="242"/>
      <c r="B174" s="232"/>
      <c r="C174" s="217" t="s">
        <v>399</v>
      </c>
      <c r="D174" s="217"/>
      <c r="E174" s="221"/>
      <c r="F174" s="219"/>
      <c r="G174" s="208" t="s">
        <v>179</v>
      </c>
      <c r="H174" s="215"/>
      <c r="I174" s="220"/>
    </row>
    <row r="175" spans="1:9" s="8" customFormat="1" ht="12" customHeight="1" x14ac:dyDescent="0.3">
      <c r="A175" s="242"/>
      <c r="B175" s="232"/>
      <c r="C175" s="217" t="s">
        <v>309</v>
      </c>
      <c r="D175" s="217"/>
      <c r="E175" s="221"/>
      <c r="F175" s="219"/>
      <c r="G175" s="208" t="s">
        <v>179</v>
      </c>
      <c r="H175" s="215"/>
      <c r="I175" s="220"/>
    </row>
    <row r="176" spans="1:9" s="8" customFormat="1" ht="12" customHeight="1" x14ac:dyDescent="0.3">
      <c r="A176" s="242"/>
      <c r="B176" s="232"/>
      <c r="C176" s="217" t="s">
        <v>307</v>
      </c>
      <c r="D176" s="217"/>
      <c r="E176" s="221"/>
      <c r="F176" s="219"/>
      <c r="G176" s="208" t="s">
        <v>179</v>
      </c>
      <c r="H176" s="215"/>
      <c r="I176" s="220"/>
    </row>
    <row r="177" spans="1:9" s="8" customFormat="1" ht="12" customHeight="1" x14ac:dyDescent="0.3">
      <c r="A177" s="242"/>
      <c r="B177" s="232"/>
      <c r="C177" s="217" t="s">
        <v>308</v>
      </c>
      <c r="D177" s="217"/>
      <c r="E177" s="221"/>
      <c r="F177" s="219"/>
      <c r="G177" s="208" t="s">
        <v>179</v>
      </c>
      <c r="H177" s="215"/>
      <c r="I177" s="220"/>
    </row>
    <row r="178" spans="1:9" s="8" customFormat="1" ht="12" customHeight="1" x14ac:dyDescent="0.3">
      <c r="A178" s="242"/>
      <c r="B178" s="232" t="s">
        <v>465</v>
      </c>
      <c r="C178" s="217"/>
      <c r="D178" s="217"/>
      <c r="E178" s="221"/>
      <c r="F178" s="219"/>
      <c r="G178" s="208"/>
      <c r="H178" s="215"/>
      <c r="I178" s="220"/>
    </row>
    <row r="179" spans="1:9" s="8" customFormat="1" ht="12" customHeight="1" x14ac:dyDescent="0.3">
      <c r="A179" s="242"/>
      <c r="B179" s="232"/>
      <c r="C179" s="217" t="s">
        <v>342</v>
      </c>
      <c r="D179" s="217"/>
      <c r="E179" s="246"/>
      <c r="F179" s="219"/>
      <c r="G179" s="238" t="s">
        <v>179</v>
      </c>
      <c r="H179" s="215"/>
      <c r="I179" s="220"/>
    </row>
    <row r="180" spans="1:9" s="8" customFormat="1" ht="12" customHeight="1" x14ac:dyDescent="0.3">
      <c r="A180" s="242"/>
      <c r="B180" s="232"/>
      <c r="C180" s="217" t="s">
        <v>343</v>
      </c>
      <c r="D180" s="217"/>
      <c r="E180" s="246"/>
      <c r="F180" s="219"/>
      <c r="G180" s="238" t="s">
        <v>1</v>
      </c>
      <c r="H180" s="215"/>
      <c r="I180" s="220"/>
    </row>
    <row r="181" spans="1:9" s="8" customFormat="1" ht="12" customHeight="1" x14ac:dyDescent="0.3">
      <c r="A181" s="242"/>
      <c r="B181" s="232"/>
      <c r="C181" s="217" t="s">
        <v>464</v>
      </c>
      <c r="D181" s="217"/>
      <c r="E181" s="246"/>
      <c r="F181" s="219"/>
      <c r="G181" s="238" t="s">
        <v>1</v>
      </c>
      <c r="H181" s="215"/>
      <c r="I181" s="220"/>
    </row>
    <row r="182" spans="1:9" s="8" customFormat="1" ht="12" customHeight="1" x14ac:dyDescent="0.3">
      <c r="A182" s="242"/>
      <c r="B182" s="247" t="s">
        <v>407</v>
      </c>
      <c r="C182" s="217"/>
      <c r="D182" s="217"/>
      <c r="E182" s="246"/>
      <c r="F182" s="219"/>
      <c r="G182" s="238"/>
      <c r="H182" s="215"/>
      <c r="I182" s="220"/>
    </row>
    <row r="183" spans="1:9" s="8" customFormat="1" ht="12" customHeight="1" x14ac:dyDescent="0.3">
      <c r="A183" s="242"/>
      <c r="B183" s="232"/>
      <c r="C183" s="212" t="s">
        <v>528</v>
      </c>
      <c r="D183" s="235"/>
      <c r="E183" s="248"/>
      <c r="F183" s="219"/>
      <c r="G183" s="238" t="s">
        <v>21</v>
      </c>
      <c r="H183" s="215"/>
      <c r="I183" s="220"/>
    </row>
    <row r="184" spans="1:9" s="8" customFormat="1" ht="12" customHeight="1" x14ac:dyDescent="0.3">
      <c r="A184" s="242"/>
      <c r="B184" s="232"/>
      <c r="C184" s="212" t="s">
        <v>597</v>
      </c>
      <c r="D184" s="235"/>
      <c r="E184" s="248"/>
      <c r="F184" s="219"/>
      <c r="G184" s="238" t="s">
        <v>406</v>
      </c>
      <c r="H184" s="215"/>
      <c r="I184" s="220"/>
    </row>
    <row r="185" spans="1:9" s="8" customFormat="1" ht="12" customHeight="1" x14ac:dyDescent="0.3">
      <c r="A185" s="242"/>
      <c r="B185" s="232"/>
      <c r="C185" s="212" t="s">
        <v>598</v>
      </c>
      <c r="D185" s="235"/>
      <c r="E185" s="248"/>
      <c r="F185" s="219"/>
      <c r="G185" s="238"/>
      <c r="H185" s="215"/>
      <c r="I185" s="220"/>
    </row>
    <row r="186" spans="1:9" s="8" customFormat="1" ht="12" customHeight="1" x14ac:dyDescent="0.3">
      <c r="A186" s="242"/>
      <c r="B186" s="232"/>
      <c r="C186" s="212" t="s">
        <v>599</v>
      </c>
      <c r="D186" s="235"/>
      <c r="E186" s="248"/>
      <c r="F186" s="219"/>
      <c r="G186" s="238"/>
      <c r="H186" s="215"/>
      <c r="I186" s="220"/>
    </row>
    <row r="187" spans="1:9" s="8" customFormat="1" ht="12" customHeight="1" x14ac:dyDescent="0.3">
      <c r="A187" s="242"/>
      <c r="B187" s="232" t="s">
        <v>79</v>
      </c>
      <c r="C187" s="249" t="s">
        <v>409</v>
      </c>
      <c r="D187" s="235"/>
      <c r="E187" s="248"/>
      <c r="F187" s="219"/>
      <c r="G187" s="238"/>
      <c r="H187" s="215"/>
      <c r="I187" s="220"/>
    </row>
    <row r="188" spans="1:9" s="8" customFormat="1" ht="12" customHeight="1" x14ac:dyDescent="0.3">
      <c r="A188" s="242"/>
      <c r="B188" s="232" t="s">
        <v>467</v>
      </c>
      <c r="C188" s="212"/>
      <c r="D188" s="235"/>
      <c r="E188" s="248"/>
      <c r="F188" s="219"/>
      <c r="G188" s="238"/>
      <c r="H188" s="215"/>
      <c r="I188" s="220"/>
    </row>
    <row r="189" spans="1:9" s="8" customFormat="1" ht="12" customHeight="1" x14ac:dyDescent="0.3">
      <c r="A189" s="242"/>
      <c r="B189" s="232"/>
      <c r="C189" s="217" t="s">
        <v>98</v>
      </c>
      <c r="D189" s="217"/>
      <c r="E189" s="221"/>
      <c r="F189" s="219"/>
      <c r="G189" s="208" t="s">
        <v>7</v>
      </c>
      <c r="H189" s="215"/>
      <c r="I189" s="220"/>
    </row>
    <row r="190" spans="1:9" s="8" customFormat="1" ht="12" customHeight="1" x14ac:dyDescent="0.3">
      <c r="A190" s="242"/>
      <c r="B190" s="232"/>
      <c r="C190" s="217" t="s">
        <v>8</v>
      </c>
      <c r="D190" s="217"/>
      <c r="E190" s="221"/>
      <c r="F190" s="219"/>
      <c r="G190" s="208" t="s">
        <v>7</v>
      </c>
      <c r="H190" s="215"/>
      <c r="I190" s="220"/>
    </row>
    <row r="191" spans="1:9" s="8" customFormat="1" ht="12" customHeight="1" x14ac:dyDescent="0.3">
      <c r="A191" s="242"/>
      <c r="B191" s="232"/>
      <c r="C191" s="212" t="s">
        <v>105</v>
      </c>
      <c r="D191" s="235"/>
      <c r="E191" s="248"/>
      <c r="F191" s="219"/>
      <c r="G191" s="238" t="s">
        <v>1</v>
      </c>
      <c r="H191" s="215"/>
      <c r="I191" s="220"/>
    </row>
    <row r="192" spans="1:9" s="8" customFormat="1" ht="12" customHeight="1" x14ac:dyDescent="0.3">
      <c r="A192" s="242"/>
      <c r="B192" s="232" t="s">
        <v>463</v>
      </c>
      <c r="C192" s="217"/>
      <c r="D192" s="217"/>
      <c r="E192" s="221"/>
      <c r="F192" s="219"/>
      <c r="G192" s="238"/>
      <c r="H192" s="215"/>
      <c r="I192" s="220"/>
    </row>
    <row r="193" spans="1:9" s="8" customFormat="1" ht="12" customHeight="1" x14ac:dyDescent="0.3">
      <c r="A193" s="242"/>
      <c r="B193" s="232"/>
      <c r="C193" s="217" t="s">
        <v>109</v>
      </c>
      <c r="D193" s="217"/>
      <c r="E193" s="221"/>
      <c r="F193" s="219"/>
      <c r="G193" s="208" t="s">
        <v>146</v>
      </c>
      <c r="H193" s="215"/>
      <c r="I193" s="220"/>
    </row>
    <row r="194" spans="1:9" s="8" customFormat="1" ht="12" customHeight="1" x14ac:dyDescent="0.3">
      <c r="A194" s="242"/>
      <c r="B194" s="232"/>
      <c r="C194" s="217" t="s">
        <v>193</v>
      </c>
      <c r="D194" s="217"/>
      <c r="E194" s="221"/>
      <c r="F194" s="219"/>
      <c r="G194" s="208" t="s">
        <v>68</v>
      </c>
      <c r="H194" s="215"/>
      <c r="I194" s="220"/>
    </row>
    <row r="195" spans="1:9" s="8" customFormat="1" ht="12" customHeight="1" x14ac:dyDescent="0.3">
      <c r="A195" s="242"/>
      <c r="B195" s="232"/>
      <c r="C195" s="217" t="s">
        <v>210</v>
      </c>
      <c r="D195" s="217"/>
      <c r="E195" s="221"/>
      <c r="F195" s="219"/>
      <c r="G195" s="208" t="s">
        <v>68</v>
      </c>
      <c r="H195" s="215"/>
      <c r="I195" s="220"/>
    </row>
    <row r="196" spans="1:9" s="8" customFormat="1" ht="12" customHeight="1" x14ac:dyDescent="0.3">
      <c r="A196" s="242"/>
      <c r="B196" s="232"/>
      <c r="C196" s="217"/>
      <c r="D196" s="217"/>
      <c r="E196" s="221"/>
      <c r="F196" s="207"/>
      <c r="G196" s="208"/>
      <c r="H196" s="215"/>
      <c r="I196" s="220"/>
    </row>
    <row r="197" spans="1:9" s="8" customFormat="1" ht="12" customHeight="1" x14ac:dyDescent="0.3">
      <c r="A197" s="203"/>
      <c r="B197" s="226"/>
      <c r="C197" s="332"/>
      <c r="D197" s="332"/>
      <c r="E197" s="332"/>
      <c r="F197" s="332"/>
      <c r="G197" s="332"/>
      <c r="H197" s="332"/>
      <c r="I197" s="343"/>
    </row>
    <row r="198" spans="1:9" s="8" customFormat="1" ht="12" customHeight="1" x14ac:dyDescent="0.3">
      <c r="A198" s="203"/>
      <c r="B198" s="333" t="s">
        <v>511</v>
      </c>
      <c r="C198" s="344"/>
      <c r="D198" s="344"/>
      <c r="E198" s="345"/>
      <c r="F198" s="344"/>
      <c r="G198" s="344"/>
      <c r="H198" s="344"/>
      <c r="I198" s="346"/>
    </row>
    <row r="199" spans="1:9" s="8" customFormat="1" ht="12" customHeight="1" x14ac:dyDescent="0.3">
      <c r="A199" s="203"/>
      <c r="B199" s="333"/>
      <c r="C199" s="344" t="s">
        <v>512</v>
      </c>
      <c r="D199" s="344"/>
      <c r="E199" s="344"/>
      <c r="F199" s="344"/>
      <c r="G199" s="344"/>
      <c r="H199" s="344"/>
      <c r="I199" s="346"/>
    </row>
    <row r="200" spans="1:9" s="8" customFormat="1" ht="12" customHeight="1" x14ac:dyDescent="0.3">
      <c r="A200" s="203"/>
      <c r="B200" s="334"/>
      <c r="C200" s="335"/>
      <c r="D200" s="335"/>
      <c r="E200" s="335"/>
      <c r="F200" s="335"/>
      <c r="G200" s="335"/>
      <c r="H200" s="335"/>
      <c r="I200" s="347"/>
    </row>
    <row r="201" spans="1:9" s="8" customFormat="1" ht="12" customHeight="1" x14ac:dyDescent="0.3">
      <c r="A201" s="352" t="s">
        <v>82</v>
      </c>
      <c r="B201" s="353" t="s">
        <v>75</v>
      </c>
      <c r="C201" s="354"/>
      <c r="D201" s="354"/>
      <c r="E201" s="355"/>
      <c r="F201" s="356">
        <f>Estimate!F179</f>
        <v>221</v>
      </c>
      <c r="G201" s="357" t="s">
        <v>228</v>
      </c>
      <c r="H201" s="358"/>
      <c r="I201" s="359"/>
    </row>
    <row r="202" spans="1:9" s="8" customFormat="1" ht="12" customHeight="1" x14ac:dyDescent="0.3">
      <c r="A202" s="242"/>
      <c r="B202" s="204" t="s">
        <v>22</v>
      </c>
      <c r="C202" s="217"/>
      <c r="D202" s="217"/>
      <c r="E202" s="221"/>
      <c r="F202" s="207"/>
      <c r="G202" s="208"/>
      <c r="H202" s="215"/>
      <c r="I202" s="220"/>
    </row>
    <row r="203" spans="1:9" s="8" customFormat="1" ht="12" customHeight="1" x14ac:dyDescent="0.3">
      <c r="A203" s="242"/>
      <c r="B203" s="232"/>
      <c r="C203" s="217" t="s">
        <v>411</v>
      </c>
      <c r="D203" s="217"/>
      <c r="E203" s="221"/>
      <c r="F203" s="207"/>
      <c r="G203" s="208"/>
      <c r="H203" s="215"/>
      <c r="I203" s="220"/>
    </row>
    <row r="204" spans="1:9" s="8" customFormat="1" ht="12" customHeight="1" x14ac:dyDescent="0.3">
      <c r="A204" s="242"/>
      <c r="B204" s="232"/>
      <c r="C204" s="217" t="s">
        <v>425</v>
      </c>
      <c r="D204" s="217"/>
      <c r="E204" s="221"/>
      <c r="F204" s="207"/>
      <c r="G204" s="208"/>
      <c r="H204" s="215"/>
      <c r="I204" s="220"/>
    </row>
    <row r="205" spans="1:9" s="8" customFormat="1" ht="12" customHeight="1" x14ac:dyDescent="0.3">
      <c r="A205" s="242"/>
      <c r="B205" s="232"/>
      <c r="C205" s="217" t="s">
        <v>424</v>
      </c>
      <c r="D205" s="217"/>
      <c r="E205" s="221"/>
      <c r="F205" s="207"/>
      <c r="G205" s="208"/>
      <c r="H205" s="215"/>
      <c r="I205" s="220"/>
    </row>
    <row r="206" spans="1:9" s="8" customFormat="1" ht="12" customHeight="1" x14ac:dyDescent="0.3">
      <c r="A206" s="242"/>
      <c r="B206" s="232"/>
      <c r="C206" s="217"/>
      <c r="D206" s="217"/>
      <c r="E206" s="221"/>
      <c r="F206" s="207"/>
      <c r="G206" s="208"/>
      <c r="H206" s="215"/>
      <c r="I206" s="220"/>
    </row>
    <row r="207" spans="1:9" s="8" customFormat="1" ht="12" customHeight="1" x14ac:dyDescent="0.3">
      <c r="A207" s="242"/>
      <c r="B207" s="204" t="s">
        <v>25</v>
      </c>
      <c r="C207" s="217"/>
      <c r="D207" s="217"/>
      <c r="E207" s="221"/>
      <c r="F207" s="207"/>
      <c r="G207" s="208"/>
      <c r="H207" s="215"/>
      <c r="I207" s="220"/>
    </row>
    <row r="208" spans="1:9" s="8" customFormat="1" ht="12" customHeight="1" x14ac:dyDescent="0.3">
      <c r="A208" s="242"/>
      <c r="B208" s="232"/>
      <c r="C208" s="217" t="s">
        <v>410</v>
      </c>
      <c r="D208" s="217"/>
      <c r="E208" s="221"/>
      <c r="F208" s="219"/>
      <c r="G208" s="208" t="s">
        <v>228</v>
      </c>
      <c r="H208" s="215"/>
      <c r="I208" s="220"/>
    </row>
    <row r="209" spans="1:9" s="8" customFormat="1" ht="12" customHeight="1" x14ac:dyDescent="0.3">
      <c r="A209" s="242"/>
      <c r="B209" s="232"/>
      <c r="C209" s="217" t="s">
        <v>234</v>
      </c>
      <c r="D209" s="217"/>
      <c r="E209" s="221"/>
      <c r="F209" s="219"/>
      <c r="G209" s="208" t="s">
        <v>179</v>
      </c>
      <c r="H209" s="215"/>
      <c r="I209" s="220"/>
    </row>
    <row r="210" spans="1:9" s="8" customFormat="1" ht="12" customHeight="1" x14ac:dyDescent="0.3">
      <c r="A210" s="242"/>
      <c r="B210" s="232"/>
      <c r="C210" s="217" t="s">
        <v>393</v>
      </c>
      <c r="D210" s="217"/>
      <c r="E210" s="221"/>
      <c r="F210" s="219"/>
      <c r="G210" s="208" t="s">
        <v>179</v>
      </c>
      <c r="H210" s="215"/>
      <c r="I210" s="220"/>
    </row>
    <row r="211" spans="1:9" s="8" customFormat="1" ht="12" customHeight="1" x14ac:dyDescent="0.3">
      <c r="A211" s="242"/>
      <c r="B211" s="232"/>
      <c r="C211" s="217" t="s">
        <v>180</v>
      </c>
      <c r="D211" s="217"/>
      <c r="E211" s="221"/>
      <c r="F211" s="219"/>
      <c r="G211" s="208" t="s">
        <v>1</v>
      </c>
      <c r="H211" s="215"/>
      <c r="I211" s="220"/>
    </row>
    <row r="212" spans="1:9" s="8" customFormat="1" ht="12" customHeight="1" x14ac:dyDescent="0.3">
      <c r="A212" s="242"/>
      <c r="B212" s="232"/>
      <c r="C212" s="217" t="s">
        <v>229</v>
      </c>
      <c r="D212" s="217"/>
      <c r="E212" s="221"/>
      <c r="F212" s="219"/>
      <c r="G212" s="208" t="s">
        <v>1</v>
      </c>
      <c r="H212" s="215"/>
      <c r="I212" s="220"/>
    </row>
    <row r="213" spans="1:9" s="8" customFormat="1" ht="12" customHeight="1" x14ac:dyDescent="0.3">
      <c r="A213" s="242"/>
      <c r="B213" s="232"/>
      <c r="C213" s="217" t="s">
        <v>230</v>
      </c>
      <c r="D213" s="217"/>
      <c r="E213" s="221"/>
      <c r="F213" s="219"/>
      <c r="G213" s="208" t="s">
        <v>231</v>
      </c>
      <c r="H213" s="215"/>
      <c r="I213" s="220"/>
    </row>
    <row r="214" spans="1:9" s="8" customFormat="1" ht="12" customHeight="1" x14ac:dyDescent="0.3">
      <c r="A214" s="242"/>
      <c r="B214" s="232"/>
      <c r="C214" s="217" t="s">
        <v>232</v>
      </c>
      <c r="D214" s="217"/>
      <c r="E214" s="221"/>
      <c r="F214" s="219"/>
      <c r="G214" s="208" t="s">
        <v>233</v>
      </c>
      <c r="H214" s="215"/>
      <c r="I214" s="220"/>
    </row>
    <row r="215" spans="1:9" s="8" customFormat="1" ht="12" customHeight="1" x14ac:dyDescent="0.3">
      <c r="A215" s="242"/>
      <c r="B215" s="232"/>
      <c r="C215" s="217"/>
      <c r="D215" s="217"/>
      <c r="E215" s="221"/>
      <c r="F215" s="207"/>
      <c r="G215" s="208"/>
      <c r="H215" s="215"/>
      <c r="I215" s="220"/>
    </row>
    <row r="216" spans="1:9" s="8" customFormat="1" ht="12" customHeight="1" x14ac:dyDescent="0.3">
      <c r="A216" s="203"/>
      <c r="B216" s="226"/>
      <c r="C216" s="332"/>
      <c r="D216" s="332"/>
      <c r="E216" s="332"/>
      <c r="F216" s="332"/>
      <c r="G216" s="332"/>
      <c r="H216" s="332"/>
      <c r="I216" s="343"/>
    </row>
    <row r="217" spans="1:9" s="8" customFormat="1" ht="12" customHeight="1" x14ac:dyDescent="0.3">
      <c r="A217" s="203"/>
      <c r="B217" s="333" t="s">
        <v>511</v>
      </c>
      <c r="C217" s="344"/>
      <c r="D217" s="344"/>
      <c r="E217" s="345"/>
      <c r="F217" s="344"/>
      <c r="G217" s="344"/>
      <c r="H217" s="344"/>
      <c r="I217" s="346"/>
    </row>
    <row r="218" spans="1:9" s="8" customFormat="1" ht="12" customHeight="1" x14ac:dyDescent="0.3">
      <c r="A218" s="203"/>
      <c r="B218" s="333"/>
      <c r="C218" s="344" t="s">
        <v>512</v>
      </c>
      <c r="D218" s="344"/>
      <c r="E218" s="344"/>
      <c r="F218" s="344"/>
      <c r="G218" s="344"/>
      <c r="H218" s="344"/>
      <c r="I218" s="346"/>
    </row>
    <row r="219" spans="1:9" s="8" customFormat="1" ht="12" customHeight="1" x14ac:dyDescent="0.3">
      <c r="A219" s="203"/>
      <c r="B219" s="334"/>
      <c r="C219" s="335"/>
      <c r="D219" s="335"/>
      <c r="E219" s="335"/>
      <c r="F219" s="335"/>
      <c r="G219" s="335"/>
      <c r="H219" s="335"/>
      <c r="I219" s="347"/>
    </row>
    <row r="220" spans="1:9" s="8" customFormat="1" ht="12" customHeight="1" x14ac:dyDescent="0.3">
      <c r="A220" s="352" t="s">
        <v>88</v>
      </c>
      <c r="B220" s="353" t="s">
        <v>30</v>
      </c>
      <c r="C220" s="354"/>
      <c r="D220" s="354"/>
      <c r="E220" s="355"/>
      <c r="F220" s="356">
        <f>Estimate!F198</f>
        <v>352.21</v>
      </c>
      <c r="G220" s="357" t="s">
        <v>76</v>
      </c>
      <c r="H220" s="358"/>
      <c r="I220" s="359"/>
    </row>
    <row r="221" spans="1:9" s="8" customFormat="1" ht="12" customHeight="1" x14ac:dyDescent="0.3">
      <c r="A221" s="242"/>
      <c r="B221" s="204" t="s">
        <v>22</v>
      </c>
      <c r="C221" s="217"/>
      <c r="D221" s="217"/>
      <c r="E221" s="221"/>
      <c r="F221" s="222"/>
      <c r="G221" s="250"/>
      <c r="H221" s="251"/>
      <c r="I221" s="220"/>
    </row>
    <row r="222" spans="1:9" s="8" customFormat="1" ht="12" customHeight="1" x14ac:dyDescent="0.3">
      <c r="A222" s="242"/>
      <c r="B222" s="227"/>
      <c r="C222" s="205" t="s">
        <v>600</v>
      </c>
      <c r="D222" s="205"/>
      <c r="E222" s="221"/>
      <c r="F222" s="222"/>
      <c r="G222" s="250"/>
      <c r="H222" s="251"/>
      <c r="I222" s="220"/>
    </row>
    <row r="223" spans="1:9" s="8" customFormat="1" ht="12" customHeight="1" x14ac:dyDescent="0.3">
      <c r="A223" s="242"/>
      <c r="B223" s="227"/>
      <c r="C223" s="205" t="s">
        <v>601</v>
      </c>
      <c r="D223" s="205"/>
      <c r="E223" s="221"/>
      <c r="F223" s="222"/>
      <c r="G223" s="250"/>
      <c r="H223" s="251"/>
      <c r="I223" s="220"/>
    </row>
    <row r="224" spans="1:9" s="8" customFormat="1" ht="12" customHeight="1" x14ac:dyDescent="0.3">
      <c r="A224" s="242"/>
      <c r="B224" s="227"/>
      <c r="C224" s="205" t="s">
        <v>602</v>
      </c>
      <c r="D224" s="205"/>
      <c r="E224" s="221"/>
      <c r="F224" s="222"/>
      <c r="G224" s="250"/>
      <c r="H224" s="251"/>
      <c r="I224" s="220"/>
    </row>
    <row r="225" spans="1:9" s="8" customFormat="1" ht="12" customHeight="1" x14ac:dyDescent="0.3">
      <c r="A225" s="242"/>
      <c r="B225" s="227"/>
      <c r="C225" s="212" t="s">
        <v>402</v>
      </c>
      <c r="D225" s="213"/>
      <c r="E225" s="221"/>
      <c r="F225" s="222"/>
      <c r="G225" s="250"/>
      <c r="H225" s="251"/>
      <c r="I225" s="220"/>
    </row>
    <row r="226" spans="1:9" s="8" customFormat="1" ht="12" customHeight="1" x14ac:dyDescent="0.3">
      <c r="A226" s="242"/>
      <c r="B226" s="227"/>
      <c r="C226" s="213"/>
      <c r="D226" s="213"/>
      <c r="E226" s="221"/>
      <c r="F226" s="222"/>
      <c r="G226" s="250"/>
      <c r="H226" s="251"/>
      <c r="I226" s="220"/>
    </row>
    <row r="227" spans="1:9" s="8" customFormat="1" ht="12" customHeight="1" x14ac:dyDescent="0.3">
      <c r="A227" s="242"/>
      <c r="B227" s="204" t="s">
        <v>25</v>
      </c>
      <c r="C227" s="217"/>
      <c r="D227" s="217"/>
      <c r="E227" s="221"/>
      <c r="F227" s="222"/>
      <c r="G227" s="250"/>
      <c r="H227" s="251"/>
      <c r="I227" s="220"/>
    </row>
    <row r="228" spans="1:9" s="8" customFormat="1" ht="12" customHeight="1" x14ac:dyDescent="0.3">
      <c r="A228" s="242"/>
      <c r="B228" s="232" t="s">
        <v>442</v>
      </c>
      <c r="C228" s="217"/>
      <c r="D228" s="217"/>
      <c r="E228" s="221"/>
      <c r="F228" s="222"/>
      <c r="G228" s="250"/>
      <c r="H228" s="251"/>
      <c r="I228" s="220"/>
    </row>
    <row r="229" spans="1:9" s="8" customFormat="1" ht="12" customHeight="1" x14ac:dyDescent="0.3">
      <c r="A229" s="242"/>
      <c r="B229" s="232" t="s">
        <v>79</v>
      </c>
      <c r="C229" s="234" t="s">
        <v>460</v>
      </c>
      <c r="D229" s="234"/>
      <c r="E229" s="221"/>
      <c r="F229" s="222"/>
      <c r="G229" s="250"/>
      <c r="H229" s="251"/>
      <c r="I229" s="220"/>
    </row>
    <row r="230" spans="1:9" s="8" customFormat="1" ht="12" customHeight="1" x14ac:dyDescent="0.3">
      <c r="A230" s="242"/>
      <c r="B230" s="232"/>
      <c r="C230" s="234" t="s">
        <v>577</v>
      </c>
      <c r="D230" s="234"/>
      <c r="E230" s="221"/>
      <c r="F230" s="222"/>
      <c r="G230" s="250"/>
      <c r="H230" s="251"/>
      <c r="I230" s="220"/>
    </row>
    <row r="231" spans="1:9" s="8" customFormat="1" ht="12" customHeight="1" x14ac:dyDescent="0.3">
      <c r="A231" s="242"/>
      <c r="B231" s="232"/>
      <c r="C231" s="234" t="s">
        <v>445</v>
      </c>
      <c r="D231" s="234"/>
      <c r="E231" s="221"/>
      <c r="F231" s="222"/>
      <c r="G231" s="250"/>
      <c r="H231" s="251"/>
      <c r="I231" s="220"/>
    </row>
    <row r="232" spans="1:9" s="8" customFormat="1" ht="12" customHeight="1" x14ac:dyDescent="0.3">
      <c r="A232" s="242"/>
      <c r="B232" s="232" t="s">
        <v>443</v>
      </c>
      <c r="C232" s="205"/>
      <c r="D232" s="205"/>
      <c r="E232" s="221"/>
      <c r="F232" s="219"/>
      <c r="G232" s="250"/>
      <c r="H232" s="251"/>
      <c r="I232" s="220"/>
    </row>
    <row r="233" spans="1:9" s="8" customFormat="1" ht="12" customHeight="1" x14ac:dyDescent="0.3">
      <c r="A233" s="242"/>
      <c r="B233" s="232" t="s">
        <v>79</v>
      </c>
      <c r="C233" s="252" t="s">
        <v>444</v>
      </c>
      <c r="D233" s="205"/>
      <c r="E233" s="221"/>
      <c r="F233" s="219"/>
      <c r="G233" s="250"/>
      <c r="H233" s="251"/>
      <c r="I233" s="220"/>
    </row>
    <row r="234" spans="1:9" s="8" customFormat="1" ht="12" customHeight="1" x14ac:dyDescent="0.3">
      <c r="A234" s="242"/>
      <c r="B234" s="232" t="s">
        <v>578</v>
      </c>
      <c r="C234" s="234"/>
      <c r="D234" s="205"/>
      <c r="E234" s="221"/>
      <c r="F234" s="219"/>
      <c r="G234" s="250"/>
      <c r="H234" s="251"/>
      <c r="I234" s="220"/>
    </row>
    <row r="235" spans="1:9" s="8" customFormat="1" ht="12" customHeight="1" x14ac:dyDescent="0.3">
      <c r="A235" s="242"/>
      <c r="B235" s="227"/>
      <c r="C235" s="205" t="s">
        <v>603</v>
      </c>
      <c r="D235" s="205"/>
      <c r="E235" s="221"/>
      <c r="F235" s="219"/>
      <c r="G235" s="250" t="s">
        <v>1</v>
      </c>
      <c r="H235" s="215"/>
      <c r="I235" s="220"/>
    </row>
    <row r="236" spans="1:9" s="8" customFormat="1" ht="12" customHeight="1" x14ac:dyDescent="0.3">
      <c r="A236" s="242"/>
      <c r="B236" s="227"/>
      <c r="C236" s="205" t="s">
        <v>604</v>
      </c>
      <c r="D236" s="205"/>
      <c r="E236" s="221"/>
      <c r="F236" s="219"/>
      <c r="G236" s="250" t="s">
        <v>1</v>
      </c>
      <c r="H236" s="215"/>
      <c r="I236" s="220"/>
    </row>
    <row r="237" spans="1:9" s="8" customFormat="1" ht="12" customHeight="1" x14ac:dyDescent="0.3">
      <c r="A237" s="242"/>
      <c r="B237" s="227"/>
      <c r="C237" s="205" t="s">
        <v>605</v>
      </c>
      <c r="D237" s="205"/>
      <c r="E237" s="221"/>
      <c r="F237" s="219"/>
      <c r="G237" s="250" t="s">
        <v>1</v>
      </c>
      <c r="H237" s="215"/>
      <c r="I237" s="220"/>
    </row>
    <row r="238" spans="1:9" s="8" customFormat="1" ht="12" customHeight="1" x14ac:dyDescent="0.3">
      <c r="A238" s="242"/>
      <c r="B238" s="227"/>
      <c r="C238" s="205" t="s">
        <v>225</v>
      </c>
      <c r="D238" s="205"/>
      <c r="E238" s="221"/>
      <c r="F238" s="219"/>
      <c r="G238" s="250" t="s">
        <v>1</v>
      </c>
      <c r="H238" s="215"/>
      <c r="I238" s="220"/>
    </row>
    <row r="239" spans="1:9" s="8" customFormat="1" ht="12" customHeight="1" x14ac:dyDescent="0.3">
      <c r="A239" s="242"/>
      <c r="B239" s="227"/>
      <c r="C239" s="205" t="s">
        <v>312</v>
      </c>
      <c r="D239" s="205"/>
      <c r="E239" s="221"/>
      <c r="F239" s="219"/>
      <c r="G239" s="250" t="s">
        <v>1</v>
      </c>
      <c r="H239" s="251"/>
      <c r="I239" s="220"/>
    </row>
    <row r="240" spans="1:9" s="8" customFormat="1" ht="12" customHeight="1" x14ac:dyDescent="0.3">
      <c r="A240" s="242"/>
      <c r="B240" s="227"/>
      <c r="C240" s="205" t="s">
        <v>455</v>
      </c>
      <c r="D240" s="205"/>
      <c r="E240" s="221"/>
      <c r="F240" s="219"/>
      <c r="G240" s="250" t="s">
        <v>118</v>
      </c>
      <c r="H240" s="251"/>
      <c r="I240" s="220"/>
    </row>
    <row r="241" spans="1:9" s="8" customFormat="1" ht="12" customHeight="1" x14ac:dyDescent="0.3">
      <c r="A241" s="242"/>
      <c r="B241" s="227"/>
      <c r="C241" s="205" t="s">
        <v>3</v>
      </c>
      <c r="D241" s="205"/>
      <c r="E241" s="221"/>
      <c r="F241" s="219"/>
      <c r="G241" s="250" t="s">
        <v>2</v>
      </c>
      <c r="H241" s="215"/>
      <c r="I241" s="220"/>
    </row>
    <row r="242" spans="1:9" s="8" customFormat="1" ht="12" customHeight="1" x14ac:dyDescent="0.3">
      <c r="A242" s="242"/>
      <c r="B242" s="227"/>
      <c r="C242" s="205" t="s">
        <v>65</v>
      </c>
      <c r="D242" s="205"/>
      <c r="E242" s="221"/>
      <c r="F242" s="219"/>
      <c r="G242" s="250" t="s">
        <v>4</v>
      </c>
      <c r="H242" s="215"/>
      <c r="I242" s="220"/>
    </row>
    <row r="243" spans="1:9" s="8" customFormat="1" ht="12" customHeight="1" x14ac:dyDescent="0.3">
      <c r="A243" s="242"/>
      <c r="B243" s="227"/>
      <c r="C243" s="205" t="s">
        <v>158</v>
      </c>
      <c r="D243" s="205"/>
      <c r="E243" s="221"/>
      <c r="F243" s="219"/>
      <c r="G243" s="250" t="s">
        <v>5</v>
      </c>
      <c r="H243" s="215"/>
      <c r="I243" s="220"/>
    </row>
    <row r="244" spans="1:9" s="8" customFormat="1" ht="12" customHeight="1" x14ac:dyDescent="0.3">
      <c r="A244" s="242"/>
      <c r="B244" s="227"/>
      <c r="C244" s="205" t="s">
        <v>159</v>
      </c>
      <c r="D244" s="205"/>
      <c r="E244" s="221"/>
      <c r="F244" s="219"/>
      <c r="G244" s="250" t="s">
        <v>219</v>
      </c>
      <c r="H244" s="215"/>
      <c r="I244" s="220"/>
    </row>
    <row r="245" spans="1:9" s="8" customFormat="1" ht="12" customHeight="1" x14ac:dyDescent="0.3">
      <c r="A245" s="242"/>
      <c r="B245" s="227"/>
      <c r="C245" s="205" t="s">
        <v>240</v>
      </c>
      <c r="D245" s="205"/>
      <c r="E245" s="221"/>
      <c r="F245" s="219"/>
      <c r="G245" s="250" t="s">
        <v>226</v>
      </c>
      <c r="H245" s="215"/>
      <c r="I245" s="220"/>
    </row>
    <row r="246" spans="1:9" s="8" customFormat="1" ht="12" customHeight="1" x14ac:dyDescent="0.3">
      <c r="A246" s="242"/>
      <c r="B246" s="227"/>
      <c r="C246" s="205"/>
      <c r="D246" s="205"/>
      <c r="E246" s="221"/>
      <c r="F246" s="207"/>
      <c r="G246" s="250"/>
      <c r="H246" s="251"/>
      <c r="I246" s="220"/>
    </row>
    <row r="247" spans="1:9" s="8" customFormat="1" ht="12" customHeight="1" x14ac:dyDescent="0.3">
      <c r="A247" s="203"/>
      <c r="B247" s="226"/>
      <c r="C247" s="332"/>
      <c r="D247" s="332"/>
      <c r="E247" s="332"/>
      <c r="F247" s="332"/>
      <c r="G247" s="332"/>
      <c r="H247" s="332"/>
      <c r="I247" s="343"/>
    </row>
    <row r="248" spans="1:9" s="8" customFormat="1" ht="12" customHeight="1" x14ac:dyDescent="0.3">
      <c r="A248" s="203"/>
      <c r="B248" s="333" t="s">
        <v>511</v>
      </c>
      <c r="C248" s="344"/>
      <c r="D248" s="344"/>
      <c r="E248" s="345"/>
      <c r="F248" s="344"/>
      <c r="G248" s="344"/>
      <c r="H248" s="344"/>
      <c r="I248" s="346"/>
    </row>
    <row r="249" spans="1:9" s="8" customFormat="1" ht="12" customHeight="1" x14ac:dyDescent="0.3">
      <c r="A249" s="203"/>
      <c r="B249" s="333"/>
      <c r="C249" s="344" t="s">
        <v>512</v>
      </c>
      <c r="D249" s="344"/>
      <c r="E249" s="344"/>
      <c r="F249" s="344"/>
      <c r="G249" s="344"/>
      <c r="H249" s="344"/>
      <c r="I249" s="346"/>
    </row>
    <row r="250" spans="1:9" s="8" customFormat="1" ht="12" customHeight="1" x14ac:dyDescent="0.3">
      <c r="A250" s="203"/>
      <c r="B250" s="334"/>
      <c r="C250" s="335"/>
      <c r="D250" s="335"/>
      <c r="E250" s="335"/>
      <c r="F250" s="335"/>
      <c r="G250" s="335"/>
      <c r="H250" s="335"/>
      <c r="I250" s="347"/>
    </row>
    <row r="251" spans="1:9" s="8" customFormat="1" ht="12" customHeight="1" x14ac:dyDescent="0.3">
      <c r="A251" s="352" t="s">
        <v>95</v>
      </c>
      <c r="B251" s="353" t="s">
        <v>589</v>
      </c>
      <c r="C251" s="354"/>
      <c r="D251" s="354"/>
      <c r="E251" s="355"/>
      <c r="F251" s="363">
        <f>Estimate!F227</f>
        <v>27</v>
      </c>
      <c r="G251" s="360" t="s">
        <v>4</v>
      </c>
      <c r="H251" s="364"/>
      <c r="I251" s="365"/>
    </row>
    <row r="252" spans="1:9" s="8" customFormat="1" ht="12" customHeight="1" x14ac:dyDescent="0.3">
      <c r="A252" s="203"/>
      <c r="B252" s="254" t="s">
        <v>22</v>
      </c>
      <c r="C252" s="229"/>
      <c r="D252" s="229"/>
      <c r="E252" s="255"/>
      <c r="F252" s="256"/>
      <c r="G252" s="208"/>
      <c r="H252" s="257"/>
      <c r="I252" s="258"/>
    </row>
    <row r="253" spans="1:9" s="8" customFormat="1" ht="12" customHeight="1" x14ac:dyDescent="0.3">
      <c r="A253" s="203"/>
      <c r="B253" s="211" t="s">
        <v>606</v>
      </c>
      <c r="C253" s="205"/>
      <c r="D253" s="205"/>
      <c r="E253" s="206"/>
      <c r="F253" s="256"/>
      <c r="G253" s="208"/>
      <c r="H253" s="257"/>
      <c r="I253" s="258"/>
    </row>
    <row r="254" spans="1:9" s="8" customFormat="1" ht="12" customHeight="1" x14ac:dyDescent="0.3">
      <c r="A254" s="203"/>
      <c r="B254" s="211" t="s">
        <v>142</v>
      </c>
      <c r="C254" s="205"/>
      <c r="D254" s="205"/>
      <c r="E254" s="206"/>
      <c r="F254" s="256"/>
      <c r="G254" s="208"/>
      <c r="H254" s="257"/>
      <c r="I254" s="258"/>
    </row>
    <row r="255" spans="1:9" s="8" customFormat="1" ht="12" customHeight="1" x14ac:dyDescent="0.3">
      <c r="A255" s="203"/>
      <c r="B255" s="211" t="s">
        <v>143</v>
      </c>
      <c r="C255" s="205"/>
      <c r="D255" s="205"/>
      <c r="E255" s="206"/>
      <c r="F255" s="256"/>
      <c r="G255" s="208"/>
      <c r="H255" s="257"/>
      <c r="I255" s="258"/>
    </row>
    <row r="256" spans="1:9" s="8" customFormat="1" ht="12" customHeight="1" x14ac:dyDescent="0.3">
      <c r="A256" s="259"/>
      <c r="B256" s="232" t="s">
        <v>79</v>
      </c>
      <c r="C256" s="252" t="s">
        <v>426</v>
      </c>
      <c r="D256" s="205"/>
      <c r="E256" s="206"/>
      <c r="F256" s="256"/>
      <c r="G256" s="260"/>
      <c r="H256" s="257"/>
      <c r="I256" s="258"/>
    </row>
    <row r="257" spans="1:9" s="8" customFormat="1" ht="12" customHeight="1" x14ac:dyDescent="0.3">
      <c r="A257" s="203"/>
      <c r="B257" s="227"/>
      <c r="C257" s="252" t="s">
        <v>427</v>
      </c>
      <c r="D257" s="205"/>
      <c r="E257" s="206"/>
      <c r="F257" s="256"/>
      <c r="G257" s="260"/>
      <c r="H257" s="260"/>
      <c r="I257" s="261"/>
    </row>
    <row r="258" spans="1:9" s="8" customFormat="1" ht="12" customHeight="1" x14ac:dyDescent="0.3">
      <c r="A258" s="203"/>
      <c r="B258" s="227"/>
      <c r="C258" s="252" t="s">
        <v>583</v>
      </c>
      <c r="D258" s="205"/>
      <c r="E258" s="206"/>
      <c r="F258" s="256"/>
      <c r="G258" s="260"/>
      <c r="H258" s="260"/>
      <c r="I258" s="261"/>
    </row>
    <row r="259" spans="1:9" s="8" customFormat="1" ht="12" customHeight="1" x14ac:dyDescent="0.3">
      <c r="A259" s="203"/>
      <c r="B259" s="227"/>
      <c r="C259" s="252" t="s">
        <v>429</v>
      </c>
      <c r="D259" s="205"/>
      <c r="E259" s="206"/>
      <c r="F259" s="256"/>
      <c r="G259" s="260"/>
      <c r="H259" s="260"/>
      <c r="I259" s="261"/>
    </row>
    <row r="260" spans="1:9" s="8" customFormat="1" ht="12" customHeight="1" x14ac:dyDescent="0.3">
      <c r="A260" s="203"/>
      <c r="B260" s="227"/>
      <c r="C260" s="252"/>
      <c r="D260" s="205"/>
      <c r="E260" s="206"/>
      <c r="F260" s="256"/>
      <c r="G260" s="260"/>
      <c r="H260" s="260"/>
      <c r="I260" s="261"/>
    </row>
    <row r="261" spans="1:9" s="8" customFormat="1" ht="12" customHeight="1" x14ac:dyDescent="0.3">
      <c r="A261" s="203"/>
      <c r="B261" s="254" t="s">
        <v>25</v>
      </c>
      <c r="C261" s="205"/>
      <c r="D261" s="205"/>
      <c r="E261" s="206"/>
      <c r="F261" s="256"/>
      <c r="G261" s="208"/>
      <c r="H261" s="260"/>
      <c r="I261" s="261"/>
    </row>
    <row r="262" spans="1:9" s="8" customFormat="1" ht="12" customHeight="1" x14ac:dyDescent="0.3">
      <c r="A262" s="203"/>
      <c r="B262" s="211"/>
      <c r="C262" s="217" t="s">
        <v>3</v>
      </c>
      <c r="D262" s="217"/>
      <c r="E262" s="230"/>
      <c r="F262" s="219"/>
      <c r="G262" s="208" t="s">
        <v>2</v>
      </c>
      <c r="H262" s="257"/>
      <c r="I262" s="258"/>
    </row>
    <row r="263" spans="1:9" s="8" customFormat="1" ht="12" customHeight="1" x14ac:dyDescent="0.3">
      <c r="A263" s="203"/>
      <c r="B263" s="211"/>
      <c r="C263" s="205" t="s">
        <v>73</v>
      </c>
      <c r="D263" s="205"/>
      <c r="E263" s="230"/>
      <c r="F263" s="219"/>
      <c r="G263" s="208" t="s">
        <v>4</v>
      </c>
      <c r="H263" s="215"/>
      <c r="I263" s="258"/>
    </row>
    <row r="264" spans="1:9" s="8" customFormat="1" ht="12" customHeight="1" x14ac:dyDescent="0.3">
      <c r="A264" s="203"/>
      <c r="B264" s="211"/>
      <c r="C264" s="205" t="s">
        <v>67</v>
      </c>
      <c r="D264" s="205"/>
      <c r="E264" s="230"/>
      <c r="F264" s="219"/>
      <c r="G264" s="208" t="s">
        <v>4</v>
      </c>
      <c r="H264" s="215"/>
      <c r="I264" s="258"/>
    </row>
    <row r="265" spans="1:9" s="8" customFormat="1" ht="12" customHeight="1" x14ac:dyDescent="0.3">
      <c r="A265" s="203"/>
      <c r="B265" s="211"/>
      <c r="C265" s="205" t="s">
        <v>70</v>
      </c>
      <c r="D265" s="205"/>
      <c r="E265" s="230"/>
      <c r="F265" s="219"/>
      <c r="G265" s="208" t="s">
        <v>0</v>
      </c>
      <c r="H265" s="215"/>
      <c r="I265" s="258"/>
    </row>
    <row r="266" spans="1:9" s="8" customFormat="1" ht="12" customHeight="1" x14ac:dyDescent="0.3">
      <c r="A266" s="203"/>
      <c r="B266" s="211"/>
      <c r="C266" s="205" t="s">
        <v>189</v>
      </c>
      <c r="D266" s="205"/>
      <c r="E266" s="230"/>
      <c r="F266" s="219"/>
      <c r="G266" s="208" t="s">
        <v>1</v>
      </c>
      <c r="H266" s="215"/>
      <c r="I266" s="258"/>
    </row>
    <row r="267" spans="1:9" s="8" customFormat="1" ht="12" customHeight="1" x14ac:dyDescent="0.3">
      <c r="A267" s="203"/>
      <c r="B267" s="211"/>
      <c r="C267" s="205" t="s">
        <v>188</v>
      </c>
      <c r="D267" s="205"/>
      <c r="E267" s="230"/>
      <c r="F267" s="219"/>
      <c r="G267" s="208" t="s">
        <v>1</v>
      </c>
      <c r="H267" s="215"/>
      <c r="I267" s="258"/>
    </row>
    <row r="268" spans="1:9" s="8" customFormat="1" ht="12" customHeight="1" x14ac:dyDescent="0.3">
      <c r="A268" s="203"/>
      <c r="B268" s="211"/>
      <c r="C268" s="205" t="s">
        <v>74</v>
      </c>
      <c r="D268" s="205"/>
      <c r="E268" s="230"/>
      <c r="F268" s="219"/>
      <c r="G268" s="208" t="s">
        <v>68</v>
      </c>
      <c r="H268" s="215"/>
      <c r="I268" s="258"/>
    </row>
    <row r="269" spans="1:9" s="8" customFormat="1" ht="12" customHeight="1" x14ac:dyDescent="0.3">
      <c r="A269" s="203"/>
      <c r="B269" s="211"/>
      <c r="C269" s="205" t="s">
        <v>148</v>
      </c>
      <c r="D269" s="205"/>
      <c r="E269" s="230"/>
      <c r="F269" s="219"/>
      <c r="G269" s="208" t="s">
        <v>1</v>
      </c>
      <c r="H269" s="215"/>
      <c r="I269" s="258"/>
    </row>
    <row r="270" spans="1:9" s="8" customFormat="1" ht="12" customHeight="1" x14ac:dyDescent="0.3">
      <c r="A270" s="203"/>
      <c r="B270" s="211"/>
      <c r="C270" s="205" t="s">
        <v>139</v>
      </c>
      <c r="D270" s="205"/>
      <c r="E270" s="230"/>
      <c r="F270" s="219"/>
      <c r="G270" s="208" t="s">
        <v>140</v>
      </c>
      <c r="H270" s="215"/>
      <c r="I270" s="258"/>
    </row>
    <row r="271" spans="1:9" s="8" customFormat="1" ht="12" customHeight="1" x14ac:dyDescent="0.3">
      <c r="A271" s="203"/>
      <c r="B271" s="211"/>
      <c r="C271" s="205"/>
      <c r="D271" s="205"/>
      <c r="E271" s="230"/>
      <c r="F271" s="262"/>
      <c r="G271" s="208"/>
      <c r="H271" s="215"/>
      <c r="I271" s="258"/>
    </row>
    <row r="272" spans="1:9" s="8" customFormat="1" ht="12" customHeight="1" x14ac:dyDescent="0.3">
      <c r="A272" s="203"/>
      <c r="B272" s="226"/>
      <c r="C272" s="332"/>
      <c r="D272" s="332"/>
      <c r="E272" s="332"/>
      <c r="F272" s="332"/>
      <c r="G272" s="332"/>
      <c r="H272" s="332"/>
      <c r="I272" s="343"/>
    </row>
    <row r="273" spans="1:9" s="8" customFormat="1" ht="12" customHeight="1" x14ac:dyDescent="0.3">
      <c r="A273" s="203"/>
      <c r="B273" s="333" t="s">
        <v>511</v>
      </c>
      <c r="C273" s="344"/>
      <c r="D273" s="344"/>
      <c r="E273" s="345"/>
      <c r="F273" s="344"/>
      <c r="G273" s="344"/>
      <c r="H273" s="344"/>
      <c r="I273" s="346"/>
    </row>
    <row r="274" spans="1:9" s="8" customFormat="1" ht="12" customHeight="1" x14ac:dyDescent="0.3">
      <c r="A274" s="203"/>
      <c r="B274" s="333"/>
      <c r="C274" s="344" t="s">
        <v>512</v>
      </c>
      <c r="D274" s="344"/>
      <c r="E274" s="344"/>
      <c r="F274" s="344"/>
      <c r="G274" s="344"/>
      <c r="H274" s="344"/>
      <c r="I274" s="346"/>
    </row>
    <row r="275" spans="1:9" s="8" customFormat="1" ht="12" customHeight="1" x14ac:dyDescent="0.3">
      <c r="A275" s="203"/>
      <c r="B275" s="334"/>
      <c r="C275" s="335"/>
      <c r="D275" s="335"/>
      <c r="E275" s="335"/>
      <c r="F275" s="335"/>
      <c r="G275" s="335"/>
      <c r="H275" s="335"/>
      <c r="I275" s="347"/>
    </row>
    <row r="276" spans="1:9" s="8" customFormat="1" ht="12" customHeight="1" x14ac:dyDescent="0.3">
      <c r="A276" s="352" t="s">
        <v>96</v>
      </c>
      <c r="B276" s="353" t="s">
        <v>78</v>
      </c>
      <c r="C276" s="354"/>
      <c r="D276" s="354"/>
      <c r="E276" s="355"/>
      <c r="F276" s="362">
        <f>Estimate!F252</f>
        <v>0</v>
      </c>
      <c r="G276" s="357" t="s">
        <v>245</v>
      </c>
      <c r="H276" s="358"/>
      <c r="I276" s="365"/>
    </row>
    <row r="277" spans="1:9" s="8" customFormat="1" ht="12" customHeight="1" x14ac:dyDescent="0.3">
      <c r="A277" s="263"/>
      <c r="B277" s="204" t="s">
        <v>22</v>
      </c>
      <c r="C277" s="217"/>
      <c r="D277" s="217"/>
      <c r="E277" s="221"/>
      <c r="F277" s="222"/>
      <c r="G277" s="264"/>
      <c r="H277" s="251"/>
      <c r="I277" s="220"/>
    </row>
    <row r="278" spans="1:9" s="8" customFormat="1" ht="12" customHeight="1" x14ac:dyDescent="0.3">
      <c r="A278" s="263"/>
      <c r="B278" s="211"/>
      <c r="C278" s="217" t="s">
        <v>430</v>
      </c>
      <c r="D278" s="217"/>
      <c r="E278" s="221"/>
      <c r="F278" s="222"/>
      <c r="G278" s="264"/>
      <c r="H278" s="251"/>
      <c r="I278" s="220"/>
    </row>
    <row r="279" spans="1:9" s="8" customFormat="1" ht="12" customHeight="1" x14ac:dyDescent="0.3">
      <c r="A279" s="263"/>
      <c r="B279" s="211"/>
      <c r="C279" s="217" t="s">
        <v>114</v>
      </c>
      <c r="D279" s="217"/>
      <c r="E279" s="221"/>
      <c r="F279" s="222"/>
      <c r="G279" s="264"/>
      <c r="H279" s="251"/>
      <c r="I279" s="220"/>
    </row>
    <row r="280" spans="1:9" s="8" customFormat="1" ht="12" customHeight="1" x14ac:dyDescent="0.3">
      <c r="A280" s="263"/>
      <c r="B280" s="211"/>
      <c r="C280" s="217" t="s">
        <v>115</v>
      </c>
      <c r="D280" s="217"/>
      <c r="E280" s="221"/>
      <c r="F280" s="222"/>
      <c r="G280" s="264"/>
      <c r="H280" s="251"/>
      <c r="I280" s="220"/>
    </row>
    <row r="281" spans="1:9" s="8" customFormat="1" ht="12" customHeight="1" x14ac:dyDescent="0.3">
      <c r="A281" s="263"/>
      <c r="B281" s="211"/>
      <c r="C281" s="217"/>
      <c r="D281" s="217"/>
      <c r="E281" s="221"/>
      <c r="F281" s="222"/>
      <c r="G281" s="264"/>
      <c r="H281" s="251"/>
      <c r="I281" s="220"/>
    </row>
    <row r="282" spans="1:9" s="8" customFormat="1" ht="12" customHeight="1" x14ac:dyDescent="0.3">
      <c r="A282" s="263"/>
      <c r="B282" s="204" t="s">
        <v>25</v>
      </c>
      <c r="C282" s="217"/>
      <c r="D282" s="217"/>
      <c r="E282" s="221"/>
      <c r="F282" s="222"/>
      <c r="G282" s="264"/>
      <c r="H282" s="251"/>
      <c r="I282" s="220"/>
    </row>
    <row r="283" spans="1:9" s="8" customFormat="1" ht="12" customHeight="1" x14ac:dyDescent="0.3">
      <c r="A283" s="263"/>
      <c r="B283" s="366" t="s">
        <v>116</v>
      </c>
      <c r="C283" s="265"/>
      <c r="D283" s="265"/>
      <c r="E283" s="266"/>
      <c r="F283" s="222"/>
      <c r="G283" s="264"/>
      <c r="H283" s="251"/>
      <c r="I283" s="220"/>
    </row>
    <row r="284" spans="1:9" s="8" customFormat="1" ht="12" customHeight="1" x14ac:dyDescent="0.3">
      <c r="A284" s="263"/>
      <c r="B284" s="367"/>
      <c r="C284" s="368" t="s">
        <v>502</v>
      </c>
      <c r="D284" s="368"/>
      <c r="E284" s="267"/>
      <c r="F284" s="219"/>
      <c r="G284" s="369" t="s">
        <v>146</v>
      </c>
      <c r="H284" s="268"/>
      <c r="I284" s="269"/>
    </row>
    <row r="285" spans="1:9" s="8" customFormat="1" ht="12" customHeight="1" x14ac:dyDescent="0.3">
      <c r="A285" s="263"/>
      <c r="B285" s="367"/>
      <c r="C285" s="370" t="s">
        <v>614</v>
      </c>
      <c r="D285" s="370"/>
      <c r="E285" s="371"/>
      <c r="F285" s="219"/>
      <c r="G285" s="372" t="s">
        <v>80</v>
      </c>
      <c r="H285" s="270"/>
      <c r="I285" s="269"/>
    </row>
    <row r="286" spans="1:9" s="8" customFormat="1" ht="12" customHeight="1" x14ac:dyDescent="0.3">
      <c r="A286" s="263"/>
      <c r="B286" s="373" t="s">
        <v>117</v>
      </c>
      <c r="C286" s="374"/>
      <c r="D286" s="374"/>
      <c r="E286" s="267"/>
      <c r="F286" s="219"/>
      <c r="G286" s="264"/>
      <c r="H286" s="272"/>
      <c r="I286" s="269"/>
    </row>
    <row r="287" spans="1:9" s="8" customFormat="1" ht="12" customHeight="1" x14ac:dyDescent="0.3">
      <c r="A287" s="263"/>
      <c r="B287" s="373"/>
      <c r="C287" s="375" t="s">
        <v>198</v>
      </c>
      <c r="D287" s="375"/>
      <c r="E287" s="267"/>
      <c r="F287" s="219"/>
      <c r="G287" s="264"/>
      <c r="H287" s="272"/>
      <c r="I287" s="269"/>
    </row>
    <row r="288" spans="1:9" s="8" customFormat="1" ht="12" customHeight="1" x14ac:dyDescent="0.3">
      <c r="A288" s="263"/>
      <c r="B288" s="376"/>
      <c r="C288" s="375" t="s">
        <v>265</v>
      </c>
      <c r="D288" s="375"/>
      <c r="E288" s="267"/>
      <c r="F288" s="219"/>
      <c r="G288" s="264" t="s">
        <v>89</v>
      </c>
      <c r="H288" s="377"/>
      <c r="I288" s="269"/>
    </row>
    <row r="289" spans="1:9" s="8" customFormat="1" ht="12" customHeight="1" x14ac:dyDescent="0.3">
      <c r="A289" s="263"/>
      <c r="B289" s="376"/>
      <c r="C289" s="375" t="s">
        <v>262</v>
      </c>
      <c r="D289" s="375"/>
      <c r="E289" s="267"/>
      <c r="F289" s="219"/>
      <c r="G289" s="264"/>
      <c r="H289" s="272"/>
      <c r="I289" s="269"/>
    </row>
    <row r="290" spans="1:9" s="8" customFormat="1" ht="12" customHeight="1" x14ac:dyDescent="0.3">
      <c r="A290" s="263"/>
      <c r="B290" s="376"/>
      <c r="C290" s="375" t="s">
        <v>263</v>
      </c>
      <c r="D290" s="375"/>
      <c r="E290" s="267"/>
      <c r="F290" s="219"/>
      <c r="G290" s="264"/>
      <c r="H290" s="272"/>
      <c r="I290" s="269"/>
    </row>
    <row r="291" spans="1:9" s="8" customFormat="1" ht="12" customHeight="1" x14ac:dyDescent="0.3">
      <c r="A291" s="263"/>
      <c r="B291" s="376"/>
      <c r="C291" s="375" t="s">
        <v>264</v>
      </c>
      <c r="D291" s="375"/>
      <c r="E291" s="267"/>
      <c r="F291" s="219"/>
      <c r="G291" s="264"/>
      <c r="H291" s="272"/>
      <c r="I291" s="269"/>
    </row>
    <row r="292" spans="1:9" s="8" customFormat="1" ht="12" customHeight="1" x14ac:dyDescent="0.3">
      <c r="A292" s="263"/>
      <c r="B292" s="367" t="s">
        <v>153</v>
      </c>
      <c r="C292" s="368"/>
      <c r="D292" s="368"/>
      <c r="E292" s="267"/>
      <c r="F292" s="219"/>
      <c r="G292" s="369"/>
      <c r="H292" s="268"/>
      <c r="I292" s="269"/>
    </row>
    <row r="293" spans="1:9" s="8" customFormat="1" ht="12" customHeight="1" x14ac:dyDescent="0.3">
      <c r="A293" s="263"/>
      <c r="B293" s="367"/>
      <c r="C293" s="231" t="s">
        <v>470</v>
      </c>
      <c r="D293" s="231"/>
      <c r="E293" s="378"/>
      <c r="F293" s="219"/>
      <c r="G293" s="379" t="s">
        <v>6</v>
      </c>
      <c r="H293" s="274"/>
      <c r="I293" s="240"/>
    </row>
    <row r="294" spans="1:9" s="8" customFormat="1" ht="12" customHeight="1" x14ac:dyDescent="0.3">
      <c r="A294" s="263"/>
      <c r="B294" s="367"/>
      <c r="C294" s="231" t="s">
        <v>612</v>
      </c>
      <c r="D294" s="231"/>
      <c r="E294" s="246"/>
      <c r="F294" s="219"/>
      <c r="G294" s="379" t="s">
        <v>6</v>
      </c>
      <c r="H294" s="274"/>
      <c r="I294" s="240"/>
    </row>
    <row r="295" spans="1:9" s="8" customFormat="1" ht="12" customHeight="1" x14ac:dyDescent="0.3">
      <c r="A295" s="263"/>
      <c r="B295" s="380" t="s">
        <v>235</v>
      </c>
      <c r="C295" s="375"/>
      <c r="D295" s="375"/>
      <c r="E295" s="267"/>
      <c r="F295" s="219"/>
      <c r="G295" s="369"/>
      <c r="H295" s="268"/>
      <c r="I295" s="269"/>
    </row>
    <row r="296" spans="1:9" s="8" customFormat="1" ht="12" customHeight="1" x14ac:dyDescent="0.3">
      <c r="A296" s="263"/>
      <c r="B296" s="367"/>
      <c r="C296" s="375" t="s">
        <v>194</v>
      </c>
      <c r="D296" s="375"/>
      <c r="E296" s="267"/>
      <c r="F296" s="219"/>
      <c r="G296" s="369" t="s">
        <v>6</v>
      </c>
      <c r="H296" s="268"/>
      <c r="I296" s="269"/>
    </row>
    <row r="297" spans="1:9" s="8" customFormat="1" ht="12" customHeight="1" x14ac:dyDescent="0.3">
      <c r="A297" s="263"/>
      <c r="B297" s="367"/>
      <c r="C297" s="381" t="s">
        <v>195</v>
      </c>
      <c r="D297" s="381"/>
      <c r="E297" s="267"/>
      <c r="F297" s="219"/>
      <c r="G297" s="369" t="s">
        <v>6</v>
      </c>
      <c r="H297" s="377"/>
      <c r="I297" s="269"/>
    </row>
    <row r="298" spans="1:9" s="8" customFormat="1" ht="12" customHeight="1" x14ac:dyDescent="0.3">
      <c r="A298" s="263"/>
      <c r="B298" s="367"/>
      <c r="C298" s="381" t="s">
        <v>196</v>
      </c>
      <c r="D298" s="381"/>
      <c r="E298" s="267"/>
      <c r="F298" s="219"/>
      <c r="G298" s="264" t="s">
        <v>6</v>
      </c>
      <c r="H298" s="268"/>
      <c r="I298" s="269"/>
    </row>
    <row r="299" spans="1:9" s="8" customFormat="1" ht="12" customHeight="1" x14ac:dyDescent="0.3">
      <c r="A299" s="263"/>
      <c r="B299" s="367"/>
      <c r="C299" s="381" t="s">
        <v>197</v>
      </c>
      <c r="D299" s="381"/>
      <c r="E299" s="267"/>
      <c r="F299" s="219"/>
      <c r="G299" s="264" t="s">
        <v>10</v>
      </c>
      <c r="H299" s="268"/>
      <c r="I299" s="269"/>
    </row>
    <row r="300" spans="1:9" s="8" customFormat="1" ht="12" customHeight="1" x14ac:dyDescent="0.3">
      <c r="A300" s="263"/>
      <c r="B300" s="382" t="s">
        <v>462</v>
      </c>
      <c r="C300" s="374"/>
      <c r="D300" s="374"/>
      <c r="E300" s="267"/>
      <c r="F300" s="219"/>
      <c r="G300" s="264"/>
      <c r="H300" s="272"/>
      <c r="I300" s="269"/>
    </row>
    <row r="301" spans="1:9" s="8" customFormat="1" ht="12" customHeight="1" x14ac:dyDescent="0.3">
      <c r="A301" s="263"/>
      <c r="B301" s="376"/>
      <c r="C301" s="368" t="s">
        <v>200</v>
      </c>
      <c r="D301" s="368"/>
      <c r="E301" s="267"/>
      <c r="F301" s="219"/>
      <c r="G301" s="264" t="s">
        <v>80</v>
      </c>
      <c r="H301" s="383"/>
      <c r="I301" s="269"/>
    </row>
    <row r="302" spans="1:9" s="8" customFormat="1" ht="12" customHeight="1" x14ac:dyDescent="0.3">
      <c r="A302" s="263"/>
      <c r="B302" s="376"/>
      <c r="C302" s="368" t="s">
        <v>199</v>
      </c>
      <c r="D302" s="368"/>
      <c r="E302" s="267"/>
      <c r="F302" s="219"/>
      <c r="G302" s="264" t="s">
        <v>81</v>
      </c>
      <c r="H302" s="383"/>
      <c r="I302" s="269"/>
    </row>
    <row r="303" spans="1:9" s="8" customFormat="1" ht="12" customHeight="1" x14ac:dyDescent="0.3">
      <c r="A303" s="263"/>
      <c r="B303" s="376"/>
      <c r="C303" s="368" t="s">
        <v>201</v>
      </c>
      <c r="D303" s="368"/>
      <c r="E303" s="267"/>
      <c r="F303" s="219"/>
      <c r="G303" s="264" t="s">
        <v>1</v>
      </c>
      <c r="H303" s="383"/>
      <c r="I303" s="269"/>
    </row>
    <row r="304" spans="1:9" s="8" customFormat="1" ht="12" customHeight="1" x14ac:dyDescent="0.3">
      <c r="A304" s="263"/>
      <c r="B304" s="376"/>
      <c r="C304" s="368" t="s">
        <v>236</v>
      </c>
      <c r="D304" s="368"/>
      <c r="E304" s="267"/>
      <c r="F304" s="219"/>
      <c r="G304" s="264" t="s">
        <v>1</v>
      </c>
      <c r="H304" s="383"/>
      <c r="I304" s="269"/>
    </row>
    <row r="305" spans="1:9" s="8" customFormat="1" ht="12" customHeight="1" x14ac:dyDescent="0.3">
      <c r="A305" s="263"/>
      <c r="B305" s="376"/>
      <c r="C305" s="368" t="s">
        <v>237</v>
      </c>
      <c r="D305" s="368"/>
      <c r="E305" s="267"/>
      <c r="F305" s="219"/>
      <c r="G305" s="264" t="s">
        <v>68</v>
      </c>
      <c r="H305" s="383"/>
      <c r="I305" s="269"/>
    </row>
    <row r="306" spans="1:9" s="8" customFormat="1" ht="12" customHeight="1" x14ac:dyDescent="0.3">
      <c r="A306" s="263"/>
      <c r="B306" s="376"/>
      <c r="C306" s="368" t="s">
        <v>238</v>
      </c>
      <c r="D306" s="368"/>
      <c r="E306" s="267"/>
      <c r="F306" s="219"/>
      <c r="G306" s="264" t="s">
        <v>118</v>
      </c>
      <c r="H306" s="383"/>
      <c r="I306" s="269"/>
    </row>
    <row r="307" spans="1:9" s="8" customFormat="1" ht="12" customHeight="1" x14ac:dyDescent="0.3">
      <c r="A307" s="263"/>
      <c r="B307" s="373" t="s">
        <v>202</v>
      </c>
      <c r="C307" s="368"/>
      <c r="D307" s="368"/>
      <c r="E307" s="267"/>
      <c r="F307" s="219"/>
      <c r="G307" s="264"/>
      <c r="H307" s="383"/>
      <c r="I307" s="269"/>
    </row>
    <row r="308" spans="1:9" s="8" customFormat="1" ht="12" customHeight="1" x14ac:dyDescent="0.3">
      <c r="A308" s="263"/>
      <c r="B308" s="376"/>
      <c r="C308" s="368" t="s">
        <v>203</v>
      </c>
      <c r="D308" s="368"/>
      <c r="E308" s="267"/>
      <c r="F308" s="219"/>
      <c r="G308" s="264" t="s">
        <v>86</v>
      </c>
      <c r="H308" s="383"/>
      <c r="I308" s="269"/>
    </row>
    <row r="309" spans="1:9" s="8" customFormat="1" ht="12" customHeight="1" x14ac:dyDescent="0.3">
      <c r="A309" s="263"/>
      <c r="B309" s="376"/>
      <c r="C309" s="368" t="s">
        <v>204</v>
      </c>
      <c r="D309" s="368"/>
      <c r="E309" s="267"/>
      <c r="F309" s="219"/>
      <c r="G309" s="264" t="s">
        <v>86</v>
      </c>
      <c r="H309" s="383"/>
      <c r="I309" s="269"/>
    </row>
    <row r="310" spans="1:9" s="8" customFormat="1" ht="12" customHeight="1" x14ac:dyDescent="0.3">
      <c r="A310" s="263"/>
      <c r="B310" s="376"/>
      <c r="C310" s="368" t="s">
        <v>205</v>
      </c>
      <c r="D310" s="368"/>
      <c r="E310" s="267"/>
      <c r="F310" s="219"/>
      <c r="G310" s="264" t="s">
        <v>81</v>
      </c>
      <c r="H310" s="383"/>
      <c r="I310" s="269"/>
    </row>
    <row r="311" spans="1:9" s="8" customFormat="1" ht="12" customHeight="1" x14ac:dyDescent="0.3">
      <c r="A311" s="263"/>
      <c r="B311" s="376"/>
      <c r="C311" s="368" t="s">
        <v>90</v>
      </c>
      <c r="D311" s="368"/>
      <c r="E311" s="267"/>
      <c r="F311" s="219"/>
      <c r="G311" s="264" t="s">
        <v>146</v>
      </c>
      <c r="H311" s="383"/>
      <c r="I311" s="269"/>
    </row>
    <row r="312" spans="1:9" s="8" customFormat="1" ht="12" customHeight="1" x14ac:dyDescent="0.3">
      <c r="A312" s="263"/>
      <c r="B312" s="376"/>
      <c r="C312" s="368" t="s">
        <v>91</v>
      </c>
      <c r="D312" s="368"/>
      <c r="E312" s="267"/>
      <c r="F312" s="219"/>
      <c r="G312" s="264" t="s">
        <v>146</v>
      </c>
      <c r="H312" s="383"/>
      <c r="I312" s="269"/>
    </row>
    <row r="313" spans="1:9" s="8" customFormat="1" ht="12" customHeight="1" x14ac:dyDescent="0.3">
      <c r="A313" s="263"/>
      <c r="B313" s="376"/>
      <c r="C313" s="368" t="s">
        <v>92</v>
      </c>
      <c r="D313" s="368"/>
      <c r="E313" s="267"/>
      <c r="F313" s="219"/>
      <c r="G313" s="264" t="s">
        <v>93</v>
      </c>
      <c r="H313" s="383"/>
      <c r="I313" s="269"/>
    </row>
    <row r="314" spans="1:9" s="8" customFormat="1" ht="12" customHeight="1" x14ac:dyDescent="0.3">
      <c r="A314" s="263"/>
      <c r="B314" s="376"/>
      <c r="C314" s="368" t="s">
        <v>94</v>
      </c>
      <c r="D314" s="368"/>
      <c r="E314" s="267"/>
      <c r="F314" s="219"/>
      <c r="G314" s="264" t="s">
        <v>93</v>
      </c>
      <c r="H314" s="383"/>
      <c r="I314" s="269"/>
    </row>
    <row r="315" spans="1:9" s="8" customFormat="1" ht="12" customHeight="1" x14ac:dyDescent="0.3">
      <c r="A315" s="263"/>
      <c r="B315" s="376"/>
      <c r="C315" s="368" t="s">
        <v>239</v>
      </c>
      <c r="D315" s="368"/>
      <c r="E315" s="267"/>
      <c r="F315" s="219"/>
      <c r="G315" s="264" t="s">
        <v>233</v>
      </c>
      <c r="H315" s="383"/>
      <c r="I315" s="269"/>
    </row>
    <row r="316" spans="1:9" s="8" customFormat="1" ht="12" customHeight="1" x14ac:dyDescent="0.3">
      <c r="A316" s="263"/>
      <c r="B316" s="376"/>
      <c r="C316" s="368" t="s">
        <v>206</v>
      </c>
      <c r="D316" s="368"/>
      <c r="E316" s="267"/>
      <c r="F316" s="219"/>
      <c r="G316" s="264" t="s">
        <v>152</v>
      </c>
      <c r="H316" s="383"/>
      <c r="I316" s="269"/>
    </row>
    <row r="317" spans="1:9" s="8" customFormat="1" ht="12" customHeight="1" x14ac:dyDescent="0.3">
      <c r="A317" s="263"/>
      <c r="B317" s="376"/>
      <c r="C317" s="368" t="s">
        <v>207</v>
      </c>
      <c r="D317" s="368"/>
      <c r="E317" s="267"/>
      <c r="F317" s="219"/>
      <c r="G317" s="264" t="s">
        <v>80</v>
      </c>
      <c r="H317" s="383"/>
      <c r="I317" s="269"/>
    </row>
    <row r="318" spans="1:9" s="8" customFormat="1" ht="12" customHeight="1" x14ac:dyDescent="0.3">
      <c r="A318" s="263"/>
      <c r="B318" s="376"/>
      <c r="C318" s="368" t="s">
        <v>208</v>
      </c>
      <c r="D318" s="368"/>
      <c r="E318" s="267"/>
      <c r="F318" s="219"/>
      <c r="G318" s="264" t="s">
        <v>80</v>
      </c>
      <c r="H318" s="383"/>
      <c r="I318" s="269"/>
    </row>
    <row r="319" spans="1:9" s="8" customFormat="1" ht="12" customHeight="1" x14ac:dyDescent="0.3">
      <c r="A319" s="263"/>
      <c r="B319" s="376"/>
      <c r="C319" s="368" t="s">
        <v>209</v>
      </c>
      <c r="D319" s="368"/>
      <c r="E319" s="267"/>
      <c r="F319" s="219"/>
      <c r="G319" s="264" t="s">
        <v>66</v>
      </c>
      <c r="H319" s="383"/>
      <c r="I319" s="269"/>
    </row>
    <row r="320" spans="1:9" s="8" customFormat="1" ht="12" customHeight="1" x14ac:dyDescent="0.3">
      <c r="A320" s="263"/>
      <c r="B320" s="376"/>
      <c r="C320" s="368"/>
      <c r="D320" s="368"/>
      <c r="E320" s="267"/>
      <c r="F320" s="275"/>
      <c r="G320" s="264"/>
      <c r="H320" s="383"/>
      <c r="I320" s="269"/>
    </row>
    <row r="321" spans="1:9" s="8" customFormat="1" ht="12" customHeight="1" x14ac:dyDescent="0.3">
      <c r="A321" s="203"/>
      <c r="B321" s="226"/>
      <c r="C321" s="332"/>
      <c r="D321" s="332"/>
      <c r="E321" s="332"/>
      <c r="F321" s="332"/>
      <c r="G321" s="332"/>
      <c r="H321" s="332"/>
      <c r="I321" s="343"/>
    </row>
    <row r="322" spans="1:9" s="8" customFormat="1" ht="12" customHeight="1" x14ac:dyDescent="0.3">
      <c r="A322" s="203"/>
      <c r="B322" s="333" t="s">
        <v>511</v>
      </c>
      <c r="C322" s="344"/>
      <c r="D322" s="344"/>
      <c r="E322" s="345"/>
      <c r="F322" s="344"/>
      <c r="G322" s="344"/>
      <c r="H322" s="344"/>
      <c r="I322" s="346"/>
    </row>
    <row r="323" spans="1:9" s="8" customFormat="1" ht="12" customHeight="1" x14ac:dyDescent="0.3">
      <c r="A323" s="203"/>
      <c r="B323" s="333"/>
      <c r="C323" s="344" t="s">
        <v>512</v>
      </c>
      <c r="D323" s="344"/>
      <c r="E323" s="344"/>
      <c r="F323" s="344"/>
      <c r="G323" s="344"/>
      <c r="H323" s="344"/>
      <c r="I323" s="346"/>
    </row>
    <row r="324" spans="1:9" s="8" customFormat="1" ht="12" customHeight="1" x14ac:dyDescent="0.3">
      <c r="A324" s="203"/>
      <c r="B324" s="334"/>
      <c r="C324" s="335"/>
      <c r="D324" s="335"/>
      <c r="E324" s="335"/>
      <c r="F324" s="335"/>
      <c r="G324" s="335"/>
      <c r="H324" s="335"/>
      <c r="I324" s="347"/>
    </row>
    <row r="325" spans="1:9" s="8" customFormat="1" ht="12" customHeight="1" x14ac:dyDescent="0.3">
      <c r="A325" s="352" t="s">
        <v>157</v>
      </c>
      <c r="B325" s="353" t="s">
        <v>54</v>
      </c>
      <c r="C325" s="354"/>
      <c r="D325" s="354"/>
      <c r="E325" s="355"/>
      <c r="F325" s="362">
        <f>Estimate!F302</f>
        <v>1</v>
      </c>
      <c r="G325" s="357" t="s">
        <v>144</v>
      </c>
      <c r="H325" s="358"/>
      <c r="I325" s="359"/>
    </row>
    <row r="326" spans="1:9" s="8" customFormat="1" ht="12" customHeight="1" x14ac:dyDescent="0.3">
      <c r="A326" s="263"/>
      <c r="B326" s="204" t="s">
        <v>22</v>
      </c>
      <c r="C326" s="217"/>
      <c r="D326" s="217"/>
      <c r="E326" s="221"/>
      <c r="F326" s="222"/>
      <c r="G326" s="264"/>
      <c r="H326" s="251"/>
      <c r="I326" s="220"/>
    </row>
    <row r="327" spans="1:9" s="8" customFormat="1" ht="12" customHeight="1" x14ac:dyDescent="0.3">
      <c r="A327" s="263"/>
      <c r="B327" s="227"/>
      <c r="C327" s="217" t="s">
        <v>438</v>
      </c>
      <c r="D327" s="217"/>
      <c r="E327" s="221"/>
      <c r="F327" s="222"/>
      <c r="G327" s="264"/>
      <c r="H327" s="251"/>
      <c r="I327" s="220"/>
    </row>
    <row r="328" spans="1:9" s="8" customFormat="1" ht="12" customHeight="1" x14ac:dyDescent="0.3">
      <c r="A328" s="263"/>
      <c r="B328" s="227"/>
      <c r="C328" s="217" t="s">
        <v>439</v>
      </c>
      <c r="D328" s="217"/>
      <c r="E328" s="230"/>
      <c r="F328" s="222"/>
      <c r="G328" s="264"/>
      <c r="H328" s="251"/>
      <c r="I328" s="220"/>
    </row>
    <row r="329" spans="1:9" s="8" customFormat="1" ht="12" customHeight="1" x14ac:dyDescent="0.3">
      <c r="A329" s="263"/>
      <c r="B329" s="227"/>
      <c r="C329" s="217" t="s">
        <v>127</v>
      </c>
      <c r="D329" s="217"/>
      <c r="E329" s="221"/>
      <c r="F329" s="222"/>
      <c r="G329" s="264"/>
      <c r="H329" s="251"/>
      <c r="I329" s="220"/>
    </row>
    <row r="330" spans="1:9" s="8" customFormat="1" ht="12" customHeight="1" x14ac:dyDescent="0.3">
      <c r="A330" s="263"/>
      <c r="B330" s="227"/>
      <c r="C330" s="212" t="s">
        <v>322</v>
      </c>
      <c r="D330" s="213"/>
      <c r="E330" s="221"/>
      <c r="F330" s="222"/>
      <c r="G330" s="264"/>
      <c r="H330" s="251"/>
      <c r="I330" s="220"/>
    </row>
    <row r="331" spans="1:9" s="8" customFormat="1" ht="12" customHeight="1" x14ac:dyDescent="0.3">
      <c r="A331" s="263"/>
      <c r="B331" s="227"/>
      <c r="C331" s="213"/>
      <c r="D331" s="213"/>
      <c r="E331" s="221"/>
      <c r="F331" s="222"/>
      <c r="G331" s="264"/>
      <c r="H331" s="251"/>
      <c r="I331" s="220"/>
    </row>
    <row r="332" spans="1:9" s="8" customFormat="1" ht="12" customHeight="1" x14ac:dyDescent="0.3">
      <c r="A332" s="263"/>
      <c r="B332" s="204" t="s">
        <v>25</v>
      </c>
      <c r="C332" s="217"/>
      <c r="D332" s="217"/>
      <c r="E332" s="221"/>
      <c r="F332" s="222"/>
      <c r="G332" s="264"/>
      <c r="H332" s="251"/>
      <c r="I332" s="220"/>
    </row>
    <row r="333" spans="1:9" s="8" customFormat="1" ht="12" customHeight="1" x14ac:dyDescent="0.3">
      <c r="A333" s="263"/>
      <c r="B333" s="225" t="s">
        <v>119</v>
      </c>
      <c r="C333" s="217"/>
      <c r="D333" s="217"/>
      <c r="E333" s="221"/>
      <c r="F333" s="222"/>
      <c r="G333" s="264"/>
      <c r="H333" s="251"/>
      <c r="I333" s="220"/>
    </row>
    <row r="334" spans="1:9" s="8" customFormat="1" ht="12" customHeight="1" x14ac:dyDescent="0.3">
      <c r="A334" s="263"/>
      <c r="B334" s="227"/>
      <c r="C334" s="205" t="s">
        <v>298</v>
      </c>
      <c r="D334" s="205"/>
      <c r="E334" s="221"/>
      <c r="F334" s="207"/>
      <c r="G334" s="264" t="s">
        <v>10</v>
      </c>
      <c r="H334" s="251"/>
      <c r="I334" s="220"/>
    </row>
    <row r="335" spans="1:9" s="8" customFormat="1" ht="12" customHeight="1" x14ac:dyDescent="0.3">
      <c r="A335" s="263"/>
      <c r="B335" s="227"/>
      <c r="C335" s="205" t="s">
        <v>299</v>
      </c>
      <c r="D335" s="205"/>
      <c r="E335" s="221"/>
      <c r="F335" s="207"/>
      <c r="G335" s="264"/>
      <c r="H335" s="251"/>
      <c r="I335" s="220"/>
    </row>
    <row r="336" spans="1:9" s="8" customFormat="1" ht="12" customHeight="1" x14ac:dyDescent="0.3">
      <c r="A336" s="263"/>
      <c r="B336" s="227"/>
      <c r="C336" s="205" t="s">
        <v>313</v>
      </c>
      <c r="D336" s="217"/>
      <c r="E336" s="221"/>
      <c r="F336" s="207"/>
      <c r="G336" s="264" t="s">
        <v>10</v>
      </c>
      <c r="H336" s="251"/>
      <c r="I336" s="220"/>
    </row>
    <row r="337" spans="1:9" s="8" customFormat="1" ht="12" customHeight="1" x14ac:dyDescent="0.3">
      <c r="A337" s="263"/>
      <c r="B337" s="227"/>
      <c r="C337" s="205" t="s">
        <v>314</v>
      </c>
      <c r="D337" s="217"/>
      <c r="E337" s="221"/>
      <c r="F337" s="207"/>
      <c r="G337" s="264"/>
      <c r="H337" s="251"/>
      <c r="I337" s="220"/>
    </row>
    <row r="338" spans="1:9" s="8" customFormat="1" ht="12" customHeight="1" x14ac:dyDescent="0.3">
      <c r="A338" s="263"/>
      <c r="B338" s="227"/>
      <c r="C338" s="231" t="s">
        <v>321</v>
      </c>
      <c r="D338" s="217"/>
      <c r="E338" s="206"/>
      <c r="F338" s="207"/>
      <c r="G338" s="264" t="s">
        <v>6</v>
      </c>
      <c r="H338" s="251"/>
      <c r="I338" s="220"/>
    </row>
    <row r="339" spans="1:9" s="8" customFormat="1" ht="12" customHeight="1" x14ac:dyDescent="0.3">
      <c r="A339" s="263"/>
      <c r="B339" s="227"/>
      <c r="C339" s="235" t="s">
        <v>544</v>
      </c>
      <c r="D339" s="217"/>
      <c r="E339" s="206"/>
      <c r="F339" s="207"/>
      <c r="G339" s="264" t="s">
        <v>1</v>
      </c>
      <c r="H339" s="251"/>
      <c r="I339" s="220"/>
    </row>
    <row r="340" spans="1:9" s="8" customFormat="1" ht="12" customHeight="1" x14ac:dyDescent="0.3">
      <c r="A340" s="263"/>
      <c r="B340" s="227"/>
      <c r="C340" s="235" t="s">
        <v>318</v>
      </c>
      <c r="D340" s="217"/>
      <c r="E340" s="221"/>
      <c r="F340" s="207"/>
      <c r="G340" s="264" t="s">
        <v>68</v>
      </c>
      <c r="H340" s="336"/>
      <c r="I340" s="220"/>
    </row>
    <row r="341" spans="1:9" s="8" customFormat="1" ht="12" customHeight="1" x14ac:dyDescent="0.3">
      <c r="A341" s="263"/>
      <c r="B341" s="227"/>
      <c r="C341" s="205" t="s">
        <v>120</v>
      </c>
      <c r="D341" s="217"/>
      <c r="E341" s="221"/>
      <c r="F341" s="207"/>
      <c r="G341" s="264" t="s">
        <v>10</v>
      </c>
      <c r="H341" s="251"/>
      <c r="I341" s="220"/>
    </row>
    <row r="342" spans="1:9" s="8" customFormat="1" ht="12" customHeight="1" x14ac:dyDescent="0.3">
      <c r="A342" s="263"/>
      <c r="B342" s="225" t="s">
        <v>128</v>
      </c>
      <c r="C342" s="217"/>
      <c r="D342" s="217"/>
      <c r="E342" s="221"/>
      <c r="F342" s="207"/>
      <c r="G342" s="264"/>
      <c r="H342" s="251"/>
      <c r="I342" s="220"/>
    </row>
    <row r="343" spans="1:9" s="8" customFormat="1" ht="12" customHeight="1" x14ac:dyDescent="0.3">
      <c r="A343" s="263"/>
      <c r="B343" s="211"/>
      <c r="C343" s="205" t="s">
        <v>253</v>
      </c>
      <c r="D343" s="205"/>
      <c r="E343" s="276"/>
      <c r="F343" s="207"/>
      <c r="G343" s="208" t="s">
        <v>80</v>
      </c>
      <c r="H343" s="251"/>
      <c r="I343" s="220"/>
    </row>
    <row r="344" spans="1:9" s="8" customFormat="1" ht="12" customHeight="1" x14ac:dyDescent="0.3">
      <c r="A344" s="263"/>
      <c r="B344" s="211"/>
      <c r="C344" s="205" t="s">
        <v>252</v>
      </c>
      <c r="D344" s="205"/>
      <c r="E344" s="276"/>
      <c r="F344" s="207"/>
      <c r="G344" s="208" t="s">
        <v>1</v>
      </c>
      <c r="H344" s="251"/>
      <c r="I344" s="220"/>
    </row>
    <row r="345" spans="1:9" s="8" customFormat="1" ht="12" customHeight="1" x14ac:dyDescent="0.3">
      <c r="A345" s="263"/>
      <c r="B345" s="211"/>
      <c r="C345" s="205" t="s">
        <v>251</v>
      </c>
      <c r="D345" s="205"/>
      <c r="E345" s="276"/>
      <c r="F345" s="207"/>
      <c r="G345" s="208" t="s">
        <v>1</v>
      </c>
      <c r="H345" s="209"/>
      <c r="I345" s="220"/>
    </row>
    <row r="346" spans="1:9" s="8" customFormat="1" ht="12" customHeight="1" x14ac:dyDescent="0.3">
      <c r="A346" s="263"/>
      <c r="B346" s="211"/>
      <c r="C346" s="205" t="s">
        <v>250</v>
      </c>
      <c r="D346" s="205"/>
      <c r="E346" s="276"/>
      <c r="F346" s="207"/>
      <c r="G346" s="208" t="s">
        <v>1</v>
      </c>
      <c r="H346" s="209"/>
      <c r="I346" s="220"/>
    </row>
    <row r="347" spans="1:9" s="8" customFormat="1" ht="12" customHeight="1" x14ac:dyDescent="0.3">
      <c r="A347" s="263"/>
      <c r="B347" s="211"/>
      <c r="C347" s="205" t="s">
        <v>249</v>
      </c>
      <c r="D347" s="205"/>
      <c r="E347" s="276"/>
      <c r="F347" s="207"/>
      <c r="G347" s="208" t="s">
        <v>1</v>
      </c>
      <c r="H347" s="209"/>
      <c r="I347" s="220"/>
    </row>
    <row r="348" spans="1:9" s="8" customFormat="1" ht="12" customHeight="1" x14ac:dyDescent="0.3">
      <c r="A348" s="263"/>
      <c r="B348" s="211"/>
      <c r="C348" s="217" t="s">
        <v>134</v>
      </c>
      <c r="D348" s="217"/>
      <c r="E348" s="221"/>
      <c r="F348" s="207"/>
      <c r="G348" s="208" t="s">
        <v>1</v>
      </c>
      <c r="H348" s="209"/>
      <c r="I348" s="220"/>
    </row>
    <row r="349" spans="1:9" s="8" customFormat="1" ht="12" customHeight="1" x14ac:dyDescent="0.3">
      <c r="A349" s="263"/>
      <c r="B349" s="211"/>
      <c r="C349" s="217" t="s">
        <v>436</v>
      </c>
      <c r="D349" s="217"/>
      <c r="E349" s="221"/>
      <c r="F349" s="207"/>
      <c r="G349" s="208" t="s">
        <v>68</v>
      </c>
      <c r="H349" s="209"/>
      <c r="I349" s="220"/>
    </row>
    <row r="350" spans="1:9" s="8" customFormat="1" ht="12" customHeight="1" x14ac:dyDescent="0.3">
      <c r="A350" s="263"/>
      <c r="B350" s="225" t="s">
        <v>437</v>
      </c>
      <c r="C350" s="217"/>
      <c r="D350" s="217"/>
      <c r="E350" s="221"/>
      <c r="F350" s="207"/>
      <c r="G350" s="264"/>
      <c r="H350" s="251"/>
      <c r="I350" s="220"/>
    </row>
    <row r="351" spans="1:9" s="8" customFormat="1" ht="12" customHeight="1" x14ac:dyDescent="0.3">
      <c r="A351" s="263"/>
      <c r="B351" s="211"/>
      <c r="C351" s="217" t="s">
        <v>132</v>
      </c>
      <c r="D351" s="217"/>
      <c r="E351" s="221"/>
      <c r="F351" s="207"/>
      <c r="G351" s="264" t="s">
        <v>1</v>
      </c>
      <c r="H351" s="251"/>
      <c r="I351" s="220"/>
    </row>
    <row r="352" spans="1:9" s="8" customFormat="1" ht="12" customHeight="1" x14ac:dyDescent="0.3">
      <c r="A352" s="263"/>
      <c r="B352" s="211"/>
      <c r="C352" s="217" t="s">
        <v>584</v>
      </c>
      <c r="D352" s="217"/>
      <c r="E352" s="221"/>
      <c r="F352" s="207"/>
      <c r="G352" s="264" t="s">
        <v>1</v>
      </c>
      <c r="H352" s="251"/>
      <c r="I352" s="220"/>
    </row>
    <row r="353" spans="1:9" s="8" customFormat="1" ht="12" customHeight="1" x14ac:dyDescent="0.3">
      <c r="A353" s="263"/>
      <c r="B353" s="211"/>
      <c r="C353" s="217" t="s">
        <v>121</v>
      </c>
      <c r="D353" s="217"/>
      <c r="E353" s="221"/>
      <c r="F353" s="207"/>
      <c r="G353" s="264" t="s">
        <v>1</v>
      </c>
      <c r="H353" s="251"/>
      <c r="I353" s="220"/>
    </row>
    <row r="354" spans="1:9" s="8" customFormat="1" ht="12" customHeight="1" x14ac:dyDescent="0.3">
      <c r="A354" s="263"/>
      <c r="B354" s="211"/>
      <c r="C354" s="217" t="s">
        <v>585</v>
      </c>
      <c r="D354" s="217"/>
      <c r="E354" s="221"/>
      <c r="F354" s="207"/>
      <c r="G354" s="264" t="s">
        <v>68</v>
      </c>
      <c r="H354" s="251"/>
      <c r="I354" s="220"/>
    </row>
    <row r="355" spans="1:9" s="8" customFormat="1" ht="12" customHeight="1" x14ac:dyDescent="0.3">
      <c r="A355" s="263"/>
      <c r="B355" s="211"/>
      <c r="C355" s="217" t="s">
        <v>586</v>
      </c>
      <c r="D355" s="217"/>
      <c r="E355" s="221"/>
      <c r="F355" s="207"/>
      <c r="G355" s="264" t="s">
        <v>68</v>
      </c>
      <c r="H355" s="251"/>
      <c r="I355" s="220"/>
    </row>
    <row r="356" spans="1:9" s="8" customFormat="1" ht="12" customHeight="1" x14ac:dyDescent="0.3">
      <c r="A356" s="263"/>
      <c r="B356" s="211"/>
      <c r="C356" s="217" t="s">
        <v>129</v>
      </c>
      <c r="D356" s="217"/>
      <c r="E356" s="221"/>
      <c r="F356" s="207"/>
      <c r="G356" s="264" t="s">
        <v>1</v>
      </c>
      <c r="H356" s="251"/>
      <c r="I356" s="220"/>
    </row>
    <row r="357" spans="1:9" s="8" customFormat="1" ht="12" customHeight="1" x14ac:dyDescent="0.3">
      <c r="A357" s="263"/>
      <c r="B357" s="211"/>
      <c r="C357" s="217" t="s">
        <v>587</v>
      </c>
      <c r="D357" s="217"/>
      <c r="E357" s="221"/>
      <c r="F357" s="207"/>
      <c r="G357" s="264" t="s">
        <v>1</v>
      </c>
      <c r="H357" s="251"/>
      <c r="I357" s="220"/>
    </row>
    <row r="358" spans="1:9" s="8" customFormat="1" ht="12" customHeight="1" x14ac:dyDescent="0.3">
      <c r="A358" s="263"/>
      <c r="B358" s="211"/>
      <c r="C358" s="217" t="s">
        <v>154</v>
      </c>
      <c r="D358" s="217"/>
      <c r="E358" s="221"/>
      <c r="F358" s="207"/>
      <c r="G358" s="264" t="s">
        <v>1</v>
      </c>
      <c r="H358" s="251"/>
      <c r="I358" s="220"/>
    </row>
    <row r="359" spans="1:9" s="8" customFormat="1" ht="12" customHeight="1" x14ac:dyDescent="0.3">
      <c r="A359" s="263"/>
      <c r="B359" s="211"/>
      <c r="C359" s="217" t="s">
        <v>588</v>
      </c>
      <c r="D359" s="217"/>
      <c r="E359" s="221"/>
      <c r="F359" s="207"/>
      <c r="G359" s="264" t="s">
        <v>1</v>
      </c>
      <c r="H359" s="251"/>
      <c r="I359" s="220"/>
    </row>
    <row r="360" spans="1:9" s="8" customFormat="1" ht="12" customHeight="1" x14ac:dyDescent="0.3">
      <c r="A360" s="263"/>
      <c r="B360" s="211"/>
      <c r="C360" s="217" t="s">
        <v>126</v>
      </c>
      <c r="D360" s="217"/>
      <c r="E360" s="221"/>
      <c r="F360" s="207"/>
      <c r="G360" s="264" t="s">
        <v>1</v>
      </c>
      <c r="H360" s="251"/>
      <c r="I360" s="220"/>
    </row>
    <row r="361" spans="1:9" s="8" customFormat="1" ht="12" customHeight="1" x14ac:dyDescent="0.3">
      <c r="A361" s="263"/>
      <c r="B361" s="225" t="s">
        <v>589</v>
      </c>
      <c r="C361" s="217"/>
      <c r="D361" s="217"/>
      <c r="E361" s="221"/>
      <c r="F361" s="207"/>
      <c r="G361" s="264"/>
      <c r="H361" s="251"/>
      <c r="I361" s="220"/>
    </row>
    <row r="362" spans="1:9" s="8" customFormat="1" ht="12" customHeight="1" x14ac:dyDescent="0.3">
      <c r="A362" s="263"/>
      <c r="B362" s="211"/>
      <c r="C362" s="217" t="s">
        <v>132</v>
      </c>
      <c r="D362" s="217"/>
      <c r="E362" s="221"/>
      <c r="F362" s="207"/>
      <c r="G362" s="264" t="s">
        <v>118</v>
      </c>
      <c r="H362" s="251"/>
      <c r="I362" s="220"/>
    </row>
    <row r="363" spans="1:9" s="8" customFormat="1" ht="12" customHeight="1" x14ac:dyDescent="0.3">
      <c r="A363" s="263"/>
      <c r="B363" s="211"/>
      <c r="C363" s="217" t="s">
        <v>122</v>
      </c>
      <c r="D363" s="217"/>
      <c r="E363" s="221"/>
      <c r="F363" s="207"/>
      <c r="G363" s="264" t="s">
        <v>1</v>
      </c>
      <c r="H363" s="251"/>
      <c r="I363" s="220"/>
    </row>
    <row r="364" spans="1:9" s="8" customFormat="1" ht="12" customHeight="1" x14ac:dyDescent="0.3">
      <c r="A364" s="263"/>
      <c r="B364" s="211"/>
      <c r="C364" s="217" t="s">
        <v>126</v>
      </c>
      <c r="D364" s="217"/>
      <c r="E364" s="221"/>
      <c r="F364" s="207"/>
      <c r="G364" s="264" t="s">
        <v>1</v>
      </c>
      <c r="H364" s="251"/>
      <c r="I364" s="220"/>
    </row>
    <row r="365" spans="1:9" s="8" customFormat="1" ht="12" customHeight="1" x14ac:dyDescent="0.3">
      <c r="A365" s="263"/>
      <c r="B365" s="211"/>
      <c r="C365" s="217" t="s">
        <v>131</v>
      </c>
      <c r="D365" s="217"/>
      <c r="E365" s="221"/>
      <c r="F365" s="207"/>
      <c r="G365" s="264" t="s">
        <v>68</v>
      </c>
      <c r="H365" s="251"/>
      <c r="I365" s="220"/>
    </row>
    <row r="366" spans="1:9" s="8" customFormat="1" ht="12" customHeight="1" x14ac:dyDescent="0.3">
      <c r="A366" s="263"/>
      <c r="B366" s="211"/>
      <c r="C366" s="217"/>
      <c r="D366" s="217"/>
      <c r="E366" s="221"/>
      <c r="F366" s="207"/>
      <c r="G366" s="264"/>
      <c r="H366" s="251"/>
      <c r="I366" s="220"/>
    </row>
    <row r="367" spans="1:9" s="8" customFormat="1" ht="12" customHeight="1" x14ac:dyDescent="0.3">
      <c r="A367" s="203"/>
      <c r="B367" s="226"/>
      <c r="C367" s="332"/>
      <c r="D367" s="332"/>
      <c r="E367" s="332"/>
      <c r="F367" s="332"/>
      <c r="G367" s="332"/>
      <c r="H367" s="332"/>
      <c r="I367" s="343"/>
    </row>
    <row r="368" spans="1:9" s="8" customFormat="1" ht="12" customHeight="1" x14ac:dyDescent="0.3">
      <c r="A368" s="203"/>
      <c r="B368" s="333" t="s">
        <v>511</v>
      </c>
      <c r="C368" s="344"/>
      <c r="D368" s="344"/>
      <c r="E368" s="345"/>
      <c r="F368" s="344"/>
      <c r="G368" s="344"/>
      <c r="H368" s="344"/>
      <c r="I368" s="346"/>
    </row>
    <row r="369" spans="1:9" s="8" customFormat="1" ht="12" customHeight="1" x14ac:dyDescent="0.3">
      <c r="A369" s="203"/>
      <c r="B369" s="333"/>
      <c r="C369" s="344" t="s">
        <v>512</v>
      </c>
      <c r="D369" s="344"/>
      <c r="E369" s="344"/>
      <c r="F369" s="344"/>
      <c r="G369" s="344"/>
      <c r="H369" s="344"/>
      <c r="I369" s="346"/>
    </row>
    <row r="370" spans="1:9" s="8" customFormat="1" ht="12" customHeight="1" x14ac:dyDescent="0.3">
      <c r="A370" s="203"/>
      <c r="B370" s="334"/>
      <c r="C370" s="335"/>
      <c r="D370" s="335"/>
      <c r="E370" s="335"/>
      <c r="F370" s="335"/>
      <c r="G370" s="335"/>
      <c r="H370" s="335"/>
      <c r="I370" s="347"/>
    </row>
    <row r="371" spans="1:9" s="8" customFormat="1" ht="12" customHeight="1" x14ac:dyDescent="0.3">
      <c r="A371" s="352" t="s">
        <v>369</v>
      </c>
      <c r="B371" s="353" t="s">
        <v>55</v>
      </c>
      <c r="C371" s="354"/>
      <c r="D371" s="354"/>
      <c r="E371" s="355"/>
      <c r="F371" s="356">
        <f>Estimate!F348</f>
        <v>0</v>
      </c>
      <c r="G371" s="357" t="s">
        <v>76</v>
      </c>
      <c r="H371" s="358"/>
      <c r="I371" s="359"/>
    </row>
    <row r="372" spans="1:9" s="8" customFormat="1" ht="12" customHeight="1" x14ac:dyDescent="0.3">
      <c r="A372" s="242"/>
      <c r="B372" s="204" t="s">
        <v>22</v>
      </c>
      <c r="C372" s="217"/>
      <c r="D372" s="217"/>
      <c r="E372" s="221"/>
      <c r="F372" s="222"/>
      <c r="G372" s="250"/>
      <c r="H372" s="251"/>
      <c r="I372" s="220"/>
    </row>
    <row r="373" spans="1:9" s="8" customFormat="1" ht="12" customHeight="1" x14ac:dyDescent="0.3">
      <c r="A373" s="242"/>
      <c r="B373" s="227"/>
      <c r="C373" s="205" t="s">
        <v>579</v>
      </c>
      <c r="D373" s="205"/>
      <c r="E373" s="221"/>
      <c r="F373" s="222"/>
      <c r="G373" s="250"/>
      <c r="H373" s="251"/>
      <c r="I373" s="220"/>
    </row>
    <row r="374" spans="1:9" s="8" customFormat="1" ht="12" customHeight="1" x14ac:dyDescent="0.3">
      <c r="A374" s="242"/>
      <c r="B374" s="227"/>
      <c r="C374" s="205" t="s">
        <v>432</v>
      </c>
      <c r="D374" s="205"/>
      <c r="E374" s="221"/>
      <c r="F374" s="222"/>
      <c r="G374" s="250"/>
      <c r="H374" s="251"/>
      <c r="I374" s="220"/>
    </row>
    <row r="375" spans="1:9" s="8" customFormat="1" ht="12" customHeight="1" x14ac:dyDescent="0.3">
      <c r="A375" s="242"/>
      <c r="B375" s="227"/>
      <c r="C375" s="205" t="s">
        <v>433</v>
      </c>
      <c r="D375" s="205"/>
      <c r="E375" s="221"/>
      <c r="F375" s="222"/>
      <c r="G375" s="250"/>
      <c r="H375" s="251"/>
      <c r="I375" s="220"/>
    </row>
    <row r="376" spans="1:9" s="8" customFormat="1" ht="12" customHeight="1" x14ac:dyDescent="0.3">
      <c r="A376" s="242"/>
      <c r="B376" s="232" t="s">
        <v>79</v>
      </c>
      <c r="C376" s="252" t="s">
        <v>440</v>
      </c>
      <c r="D376" s="205"/>
      <c r="E376" s="221"/>
      <c r="F376" s="222"/>
      <c r="G376" s="250"/>
      <c r="H376" s="251"/>
      <c r="I376" s="220"/>
    </row>
    <row r="377" spans="1:9" s="8" customFormat="1" ht="12" customHeight="1" x14ac:dyDescent="0.3">
      <c r="A377" s="242"/>
      <c r="B377" s="232"/>
      <c r="C377" s="252" t="s">
        <v>258</v>
      </c>
      <c r="D377" s="205"/>
      <c r="E377" s="221"/>
      <c r="F377" s="222"/>
      <c r="G377" s="250"/>
      <c r="H377" s="251"/>
      <c r="I377" s="220"/>
    </row>
    <row r="378" spans="1:9" s="8" customFormat="1" ht="12" customHeight="1" x14ac:dyDescent="0.3">
      <c r="A378" s="242"/>
      <c r="B378" s="204" t="s">
        <v>25</v>
      </c>
      <c r="C378" s="217"/>
      <c r="D378" s="217"/>
      <c r="E378" s="221"/>
      <c r="F378" s="222"/>
      <c r="G378" s="250"/>
      <c r="H378" s="251"/>
      <c r="I378" s="220"/>
    </row>
    <row r="379" spans="1:9" s="8" customFormat="1" ht="12" customHeight="1" x14ac:dyDescent="0.3">
      <c r="A379" s="242"/>
      <c r="B379" s="232" t="s">
        <v>580</v>
      </c>
      <c r="C379" s="277"/>
      <c r="D379" s="278"/>
      <c r="E379" s="221"/>
      <c r="F379" s="222"/>
      <c r="G379" s="250"/>
      <c r="H379" s="251"/>
      <c r="I379" s="220"/>
    </row>
    <row r="380" spans="1:9" s="8" customFormat="1" ht="12" customHeight="1" x14ac:dyDescent="0.3">
      <c r="A380" s="242"/>
      <c r="B380" s="227"/>
      <c r="C380" s="205" t="s">
        <v>97</v>
      </c>
      <c r="D380" s="205"/>
      <c r="E380" s="221"/>
      <c r="F380" s="219"/>
      <c r="G380" s="250" t="s">
        <v>156</v>
      </c>
      <c r="H380" s="251"/>
      <c r="I380" s="220"/>
    </row>
    <row r="381" spans="1:9" s="8" customFormat="1" ht="12" customHeight="1" x14ac:dyDescent="0.3">
      <c r="A381" s="242"/>
      <c r="B381" s="227"/>
      <c r="C381" s="205" t="s">
        <v>338</v>
      </c>
      <c r="D381" s="205"/>
      <c r="E381" s="221"/>
      <c r="F381" s="219"/>
      <c r="G381" s="250" t="s">
        <v>7</v>
      </c>
      <c r="H381" s="251"/>
      <c r="I381" s="220"/>
    </row>
    <row r="382" spans="1:9" s="8" customFormat="1" ht="12" customHeight="1" x14ac:dyDescent="0.3">
      <c r="A382" s="242"/>
      <c r="B382" s="227"/>
      <c r="C382" s="205" t="s">
        <v>339</v>
      </c>
      <c r="D382" s="205"/>
      <c r="E382" s="221"/>
      <c r="F382" s="219"/>
      <c r="G382" s="250" t="s">
        <v>7</v>
      </c>
      <c r="H382" s="251"/>
      <c r="I382" s="220"/>
    </row>
    <row r="383" spans="1:9" s="8" customFormat="1" ht="12" customHeight="1" x14ac:dyDescent="0.3">
      <c r="A383" s="242"/>
      <c r="B383" s="227"/>
      <c r="C383" s="205" t="s">
        <v>434</v>
      </c>
      <c r="D383" s="205"/>
      <c r="E383" s="221"/>
      <c r="F383" s="219"/>
      <c r="G383" s="250" t="s">
        <v>7</v>
      </c>
      <c r="H383" s="251"/>
      <c r="I383" s="220"/>
    </row>
    <row r="384" spans="1:9" s="8" customFormat="1" ht="12" customHeight="1" x14ac:dyDescent="0.3">
      <c r="A384" s="242"/>
      <c r="B384" s="245" t="s">
        <v>581</v>
      </c>
      <c r="C384" s="205"/>
      <c r="D384" s="205"/>
      <c r="E384" s="221"/>
      <c r="F384" s="219"/>
      <c r="G384" s="250"/>
      <c r="H384" s="251"/>
      <c r="I384" s="220"/>
    </row>
    <row r="385" spans="1:9" s="8" customFormat="1" ht="12" customHeight="1" x14ac:dyDescent="0.3">
      <c r="A385" s="242"/>
      <c r="B385" s="227"/>
      <c r="C385" s="205" t="s">
        <v>340</v>
      </c>
      <c r="D385" s="205"/>
      <c r="E385" s="221"/>
      <c r="F385" s="219"/>
      <c r="G385" s="250" t="s">
        <v>7</v>
      </c>
      <c r="H385" s="251"/>
      <c r="I385" s="220"/>
    </row>
    <row r="386" spans="1:9" s="8" customFormat="1" ht="12" customHeight="1" x14ac:dyDescent="0.3">
      <c r="A386" s="242"/>
      <c r="B386" s="227"/>
      <c r="C386" s="205" t="s">
        <v>341</v>
      </c>
      <c r="D386" s="205"/>
      <c r="E386" s="221"/>
      <c r="F386" s="219"/>
      <c r="G386" s="250" t="s">
        <v>7</v>
      </c>
      <c r="H386" s="251"/>
      <c r="I386" s="220"/>
    </row>
    <row r="387" spans="1:9" s="8" customFormat="1" ht="12" customHeight="1" x14ac:dyDescent="0.3">
      <c r="A387" s="242"/>
      <c r="B387" s="227"/>
      <c r="C387" s="205" t="s">
        <v>8</v>
      </c>
      <c r="D387" s="205"/>
      <c r="E387" s="221"/>
      <c r="F387" s="219"/>
      <c r="G387" s="250" t="s">
        <v>7</v>
      </c>
      <c r="H387" s="251"/>
      <c r="I387" s="220"/>
    </row>
    <row r="388" spans="1:9" s="8" customFormat="1" ht="12" customHeight="1" x14ac:dyDescent="0.3">
      <c r="A388" s="242"/>
      <c r="B388" s="245" t="s">
        <v>227</v>
      </c>
      <c r="C388" s="205"/>
      <c r="D388" s="205"/>
      <c r="E388" s="221"/>
      <c r="F388" s="219"/>
      <c r="G388" s="250"/>
      <c r="H388" s="251"/>
      <c r="I388" s="220"/>
    </row>
    <row r="389" spans="1:9" s="8" customFormat="1" ht="12" customHeight="1" x14ac:dyDescent="0.3">
      <c r="A389" s="242"/>
      <c r="B389" s="227"/>
      <c r="C389" s="205" t="s">
        <v>99</v>
      </c>
      <c r="D389" s="205"/>
      <c r="E389" s="221"/>
      <c r="F389" s="219"/>
      <c r="G389" s="250" t="s">
        <v>7</v>
      </c>
      <c r="H389" s="251"/>
      <c r="I389" s="220"/>
    </row>
    <row r="390" spans="1:9" s="8" customFormat="1" ht="12" customHeight="1" x14ac:dyDescent="0.3">
      <c r="A390" s="242"/>
      <c r="B390" s="211"/>
      <c r="C390" s="205" t="s">
        <v>100</v>
      </c>
      <c r="D390" s="205"/>
      <c r="E390" s="221"/>
      <c r="F390" s="219"/>
      <c r="G390" s="250" t="s">
        <v>101</v>
      </c>
      <c r="H390" s="251"/>
      <c r="I390" s="220"/>
    </row>
    <row r="391" spans="1:9" s="8" customFormat="1" ht="12" customHeight="1" x14ac:dyDescent="0.3">
      <c r="A391" s="242"/>
      <c r="B391" s="211"/>
      <c r="C391" s="205" t="s">
        <v>102</v>
      </c>
      <c r="D391" s="205"/>
      <c r="E391" s="221"/>
      <c r="F391" s="219"/>
      <c r="G391" s="250" t="s">
        <v>101</v>
      </c>
      <c r="H391" s="251"/>
      <c r="I391" s="220"/>
    </row>
    <row r="392" spans="1:9" s="8" customFormat="1" ht="12" customHeight="1" x14ac:dyDescent="0.3">
      <c r="A392" s="242"/>
      <c r="B392" s="211"/>
      <c r="C392" s="205" t="s">
        <v>103</v>
      </c>
      <c r="D392" s="205"/>
      <c r="E392" s="221"/>
      <c r="F392" s="219"/>
      <c r="G392" s="250" t="s">
        <v>1</v>
      </c>
      <c r="H392" s="251"/>
      <c r="I392" s="220"/>
    </row>
    <row r="393" spans="1:9" s="8" customFormat="1" ht="12" customHeight="1" x14ac:dyDescent="0.3">
      <c r="A393" s="242"/>
      <c r="B393" s="211"/>
      <c r="C393" s="205" t="s">
        <v>104</v>
      </c>
      <c r="D393" s="205"/>
      <c r="E393" s="221"/>
      <c r="F393" s="219"/>
      <c r="G393" s="250" t="s">
        <v>6</v>
      </c>
      <c r="H393" s="251"/>
      <c r="I393" s="220"/>
    </row>
    <row r="394" spans="1:9" s="8" customFormat="1" ht="12" customHeight="1" x14ac:dyDescent="0.3">
      <c r="A394" s="242"/>
      <c r="B394" s="211"/>
      <c r="C394" s="279" t="s">
        <v>212</v>
      </c>
      <c r="D394" s="236"/>
      <c r="E394" s="221"/>
      <c r="F394" s="219"/>
      <c r="G394" s="250" t="s">
        <v>1</v>
      </c>
      <c r="H394" s="251"/>
      <c r="I394" s="220"/>
    </row>
    <row r="395" spans="1:9" s="8" customFormat="1" ht="12" customHeight="1" x14ac:dyDescent="0.3">
      <c r="A395" s="242"/>
      <c r="B395" s="211"/>
      <c r="C395" s="205" t="s">
        <v>105</v>
      </c>
      <c r="D395" s="205"/>
      <c r="E395" s="221"/>
      <c r="F395" s="219"/>
      <c r="G395" s="250" t="s">
        <v>1</v>
      </c>
      <c r="H395" s="251"/>
      <c r="I395" s="220"/>
    </row>
    <row r="396" spans="1:9" s="8" customFormat="1" ht="12" customHeight="1" x14ac:dyDescent="0.3">
      <c r="A396" s="242"/>
      <c r="B396" s="211"/>
      <c r="C396" s="205"/>
      <c r="D396" s="205"/>
      <c r="E396" s="221"/>
      <c r="F396" s="207"/>
      <c r="G396" s="250"/>
      <c r="H396" s="251"/>
      <c r="I396" s="220"/>
    </row>
    <row r="397" spans="1:9" s="8" customFormat="1" ht="12" customHeight="1" x14ac:dyDescent="0.3">
      <c r="A397" s="203"/>
      <c r="B397" s="226"/>
      <c r="C397" s="332"/>
      <c r="D397" s="332"/>
      <c r="E397" s="332"/>
      <c r="F397" s="332"/>
      <c r="G397" s="332"/>
      <c r="H397" s="332"/>
      <c r="I397" s="343"/>
    </row>
    <row r="398" spans="1:9" s="8" customFormat="1" ht="12" customHeight="1" x14ac:dyDescent="0.3">
      <c r="A398" s="203"/>
      <c r="B398" s="333" t="s">
        <v>511</v>
      </c>
      <c r="C398" s="344"/>
      <c r="D398" s="344"/>
      <c r="E398" s="345"/>
      <c r="F398" s="344"/>
      <c r="G398" s="344"/>
      <c r="H398" s="344"/>
      <c r="I398" s="346"/>
    </row>
    <row r="399" spans="1:9" s="8" customFormat="1" ht="12" customHeight="1" x14ac:dyDescent="0.3">
      <c r="A399" s="203"/>
      <c r="B399" s="333"/>
      <c r="C399" s="344" t="s">
        <v>512</v>
      </c>
      <c r="D399" s="344"/>
      <c r="E399" s="344"/>
      <c r="F399" s="344"/>
      <c r="G399" s="344"/>
      <c r="H399" s="344"/>
      <c r="I399" s="346"/>
    </row>
    <row r="400" spans="1:9" s="8" customFormat="1" ht="12" customHeight="1" thickBot="1" x14ac:dyDescent="0.35">
      <c r="A400" s="328"/>
      <c r="B400" s="337"/>
      <c r="C400" s="338"/>
      <c r="D400" s="338"/>
      <c r="E400" s="338"/>
      <c r="F400" s="338"/>
      <c r="G400" s="338"/>
      <c r="H400" s="338"/>
      <c r="I400" s="384"/>
    </row>
    <row r="401" spans="1:9" s="8" customFormat="1" ht="14.1" customHeight="1" x14ac:dyDescent="0.3">
      <c r="A401" s="422" t="s">
        <v>554</v>
      </c>
      <c r="B401" s="423" t="s">
        <v>617</v>
      </c>
      <c r="C401" s="424"/>
      <c r="D401" s="424"/>
      <c r="E401" s="425"/>
      <c r="F401" s="429">
        <f>Estimate!F378</f>
        <v>1</v>
      </c>
      <c r="G401" s="426" t="s">
        <v>144</v>
      </c>
      <c r="H401" s="427"/>
      <c r="I401" s="428"/>
    </row>
    <row r="402" spans="1:9" s="8" customFormat="1" ht="14.1" customHeight="1" x14ac:dyDescent="0.3">
      <c r="A402" s="242"/>
      <c r="B402" s="204" t="s">
        <v>22</v>
      </c>
      <c r="C402" s="217"/>
      <c r="D402" s="217"/>
      <c r="E402" s="221"/>
      <c r="F402" s="222"/>
      <c r="G402" s="250"/>
      <c r="H402" s="251"/>
      <c r="I402" s="220"/>
    </row>
    <row r="403" spans="1:9" s="8" customFormat="1" ht="14.1" customHeight="1" x14ac:dyDescent="0.3">
      <c r="A403" s="242"/>
      <c r="B403" s="227"/>
      <c r="C403" s="205" t="s">
        <v>618</v>
      </c>
      <c r="D403" s="205"/>
      <c r="E403" s="221"/>
      <c r="F403" s="222"/>
      <c r="G403" s="250"/>
      <c r="H403" s="251"/>
      <c r="I403" s="220"/>
    </row>
    <row r="404" spans="1:9" s="8" customFormat="1" ht="14.1" customHeight="1" x14ac:dyDescent="0.3">
      <c r="A404" s="242"/>
      <c r="B404" s="227"/>
      <c r="C404" s="205" t="s">
        <v>619</v>
      </c>
      <c r="D404" s="205"/>
      <c r="E404" s="221"/>
      <c r="F404" s="222"/>
      <c r="G404" s="250"/>
      <c r="H404" s="251"/>
      <c r="I404" s="220"/>
    </row>
    <row r="405" spans="1:9" s="8" customFormat="1" ht="14.1" customHeight="1" x14ac:dyDescent="0.3">
      <c r="A405" s="242"/>
      <c r="B405" s="227"/>
      <c r="C405" s="205" t="s">
        <v>620</v>
      </c>
      <c r="D405" s="205"/>
      <c r="E405" s="221"/>
      <c r="F405" s="222"/>
      <c r="G405" s="250"/>
      <c r="H405" s="251"/>
      <c r="I405" s="220"/>
    </row>
    <row r="406" spans="1:9" s="8" customFormat="1" ht="14.1" customHeight="1" x14ac:dyDescent="0.3">
      <c r="A406" s="203"/>
      <c r="B406" s="404"/>
      <c r="C406" s="227" t="s">
        <v>629</v>
      </c>
      <c r="D406" s="205"/>
      <c r="E406" s="206"/>
      <c r="F406" s="222"/>
      <c r="G406" s="208"/>
      <c r="H406" s="215"/>
      <c r="I406" s="220"/>
    </row>
    <row r="407" spans="1:9" s="8" customFormat="1" ht="14.1" customHeight="1" x14ac:dyDescent="0.3">
      <c r="A407" s="203"/>
      <c r="C407" s="227" t="s">
        <v>178</v>
      </c>
      <c r="D407" s="205"/>
      <c r="E407" s="205"/>
      <c r="F407" s="206"/>
      <c r="G407" s="222"/>
      <c r="H407" s="208"/>
      <c r="I407" s="220"/>
    </row>
    <row r="408" spans="1:9" s="8" customFormat="1" ht="14.1" customHeight="1" x14ac:dyDescent="0.3">
      <c r="A408" s="203"/>
      <c r="B408" s="228"/>
      <c r="C408" s="229" t="s">
        <v>630</v>
      </c>
      <c r="D408" s="205"/>
      <c r="E408" s="230"/>
      <c r="F408" s="222"/>
      <c r="G408" s="208"/>
      <c r="H408" s="402"/>
      <c r="I408" s="403"/>
    </row>
    <row r="409" spans="1:9" s="8" customFormat="1" ht="14.1" customHeight="1" x14ac:dyDescent="0.3">
      <c r="A409" s="203"/>
      <c r="B409" s="228"/>
      <c r="C409" s="231" t="s">
        <v>631</v>
      </c>
      <c r="D409" s="205"/>
      <c r="E409" s="230"/>
      <c r="F409" s="222"/>
      <c r="G409" s="208"/>
      <c r="H409" s="402"/>
      <c r="I409" s="403"/>
    </row>
    <row r="410" spans="1:9" s="8" customFormat="1" ht="14.1" customHeight="1" x14ac:dyDescent="0.3">
      <c r="A410" s="242"/>
      <c r="B410" s="204" t="s">
        <v>25</v>
      </c>
      <c r="C410" s="217"/>
      <c r="D410" s="217"/>
      <c r="E410" s="221"/>
      <c r="F410" s="222"/>
      <c r="G410" s="250"/>
      <c r="H410" s="251"/>
      <c r="I410" s="220"/>
    </row>
    <row r="411" spans="1:9" s="8" customFormat="1" ht="14.1" customHeight="1" x14ac:dyDescent="0.3">
      <c r="A411" s="242"/>
      <c r="B411" s="227"/>
      <c r="C411" s="205" t="s">
        <v>621</v>
      </c>
      <c r="D411" s="205"/>
      <c r="E411" s="221"/>
      <c r="F411" s="219"/>
      <c r="G411" s="250" t="s">
        <v>632</v>
      </c>
      <c r="H411" s="251"/>
      <c r="I411" s="220"/>
    </row>
    <row r="412" spans="1:9" s="8" customFormat="1" ht="14.1" customHeight="1" x14ac:dyDescent="0.3">
      <c r="A412" s="242"/>
      <c r="B412" s="227"/>
      <c r="C412" s="205" t="s">
        <v>623</v>
      </c>
      <c r="D412" s="205"/>
      <c r="E412" s="221"/>
      <c r="F412" s="219"/>
      <c r="G412" s="250" t="s">
        <v>1</v>
      </c>
      <c r="H412" s="251"/>
      <c r="I412" s="220"/>
    </row>
    <row r="413" spans="1:9" s="8" customFormat="1" ht="14.1" customHeight="1" x14ac:dyDescent="0.3">
      <c r="A413" s="242"/>
      <c r="B413" s="227"/>
      <c r="C413" s="205" t="s">
        <v>622</v>
      </c>
      <c r="D413" s="205"/>
      <c r="E413" s="221"/>
      <c r="F413" s="219"/>
      <c r="G413" s="250" t="s">
        <v>1</v>
      </c>
      <c r="H413" s="251"/>
      <c r="I413" s="220"/>
    </row>
    <row r="414" spans="1:9" s="8" customFormat="1" ht="14.1" customHeight="1" x14ac:dyDescent="0.3">
      <c r="A414" s="242"/>
      <c r="B414" s="227"/>
      <c r="C414" s="205" t="s">
        <v>624</v>
      </c>
      <c r="D414" s="205"/>
      <c r="E414" s="221"/>
      <c r="F414" s="219"/>
      <c r="G414" s="250" t="s">
        <v>1</v>
      </c>
      <c r="H414" s="251"/>
      <c r="I414" s="220"/>
    </row>
    <row r="415" spans="1:9" s="8" customFormat="1" ht="14.1" customHeight="1" x14ac:dyDescent="0.3">
      <c r="A415" s="242"/>
      <c r="B415" s="245"/>
      <c r="C415" s="205" t="s">
        <v>625</v>
      </c>
      <c r="D415" s="205"/>
      <c r="E415" s="221"/>
      <c r="F415" s="219"/>
      <c r="G415" s="250" t="s">
        <v>1</v>
      </c>
      <c r="H415" s="251"/>
      <c r="I415" s="220"/>
    </row>
    <row r="416" spans="1:9" s="8" customFormat="1" ht="14.1" customHeight="1" x14ac:dyDescent="0.3">
      <c r="A416" s="242"/>
      <c r="B416" s="227"/>
      <c r="C416" s="205" t="s">
        <v>626</v>
      </c>
      <c r="D416" s="205"/>
      <c r="E416" s="221"/>
      <c r="F416" s="219"/>
      <c r="G416" s="250" t="s">
        <v>1</v>
      </c>
      <c r="H416" s="251"/>
      <c r="I416" s="220"/>
    </row>
    <row r="417" spans="1:9" s="8" customFormat="1" ht="14.1" customHeight="1" x14ac:dyDescent="0.3">
      <c r="A417" s="242"/>
      <c r="B417" s="227"/>
      <c r="C417" s="205" t="s">
        <v>627</v>
      </c>
      <c r="D417" s="205"/>
      <c r="E417" s="221"/>
      <c r="F417" s="219"/>
      <c r="G417" s="250" t="s">
        <v>1</v>
      </c>
      <c r="H417" s="251"/>
      <c r="I417" s="220"/>
    </row>
    <row r="418" spans="1:9" s="8" customFormat="1" ht="14.1" customHeight="1" x14ac:dyDescent="0.3">
      <c r="A418" s="242"/>
      <c r="B418" s="227"/>
      <c r="C418" s="205" t="s">
        <v>628</v>
      </c>
      <c r="D418" s="205"/>
      <c r="E418" s="221"/>
      <c r="F418" s="219"/>
      <c r="G418" s="250" t="s">
        <v>1</v>
      </c>
      <c r="H418" s="251"/>
      <c r="I418" s="220"/>
    </row>
    <row r="419" spans="1:9" s="8" customFormat="1" ht="14.1" customHeight="1" x14ac:dyDescent="0.3">
      <c r="A419" s="242"/>
      <c r="B419" s="227"/>
      <c r="C419" s="205" t="s">
        <v>624</v>
      </c>
      <c r="D419" s="205"/>
      <c r="E419" s="221"/>
      <c r="F419" s="219"/>
      <c r="G419" s="250" t="s">
        <v>1</v>
      </c>
      <c r="H419" s="251"/>
      <c r="I419" s="220"/>
    </row>
    <row r="420" spans="1:9" s="8" customFormat="1" ht="14.1" customHeight="1" x14ac:dyDescent="0.3">
      <c r="A420" s="203"/>
      <c r="B420" s="204"/>
      <c r="C420" s="205" t="s">
        <v>3</v>
      </c>
      <c r="D420" s="217"/>
      <c r="E420" s="206"/>
      <c r="F420" s="219"/>
      <c r="G420" s="208" t="s">
        <v>2</v>
      </c>
      <c r="H420" s="215"/>
      <c r="I420" s="220"/>
    </row>
    <row r="421" spans="1:9" s="8" customFormat="1" ht="14.1" customHeight="1" x14ac:dyDescent="0.3">
      <c r="A421" s="203"/>
      <c r="B421" s="204"/>
      <c r="C421" s="205" t="s">
        <v>73</v>
      </c>
      <c r="D421" s="217"/>
      <c r="E421" s="206"/>
      <c r="F421" s="219"/>
      <c r="G421" s="208" t="s">
        <v>4</v>
      </c>
      <c r="H421" s="215"/>
      <c r="I421" s="220"/>
    </row>
    <row r="422" spans="1:9" s="8" customFormat="1" ht="14.1" customHeight="1" x14ac:dyDescent="0.3">
      <c r="A422" s="203"/>
      <c r="B422" s="204"/>
      <c r="C422" s="205" t="s">
        <v>67</v>
      </c>
      <c r="D422" s="217"/>
      <c r="E422" s="206"/>
      <c r="F422" s="219"/>
      <c r="G422" s="208" t="s">
        <v>4</v>
      </c>
      <c r="H422" s="215"/>
      <c r="I422" s="220"/>
    </row>
    <row r="423" spans="1:9" s="8" customFormat="1" ht="14.1" customHeight="1" x14ac:dyDescent="0.3">
      <c r="A423" s="203"/>
      <c r="B423" s="211"/>
      <c r="C423" s="205" t="s">
        <v>70</v>
      </c>
      <c r="D423" s="217"/>
      <c r="E423" s="206"/>
      <c r="F423" s="219"/>
      <c r="G423" s="208" t="s">
        <v>0</v>
      </c>
      <c r="H423" s="215"/>
      <c r="I423" s="220"/>
    </row>
    <row r="424" spans="1:9" s="8" customFormat="1" ht="14.1" customHeight="1" x14ac:dyDescent="0.3">
      <c r="A424" s="203"/>
      <c r="B424" s="211"/>
      <c r="C424" s="205" t="s">
        <v>189</v>
      </c>
      <c r="D424" s="217"/>
      <c r="E424" s="206"/>
      <c r="F424" s="219"/>
      <c r="G424" s="208" t="s">
        <v>1</v>
      </c>
      <c r="H424" s="215"/>
      <c r="I424" s="220"/>
    </row>
    <row r="425" spans="1:9" s="8" customFormat="1" ht="14.1" customHeight="1" x14ac:dyDescent="0.3">
      <c r="A425" s="203"/>
      <c r="B425" s="211"/>
      <c r="C425" s="205" t="s">
        <v>188</v>
      </c>
      <c r="D425" s="217"/>
      <c r="E425" s="206"/>
      <c r="F425" s="219"/>
      <c r="G425" s="208" t="s">
        <v>1</v>
      </c>
      <c r="H425" s="215"/>
      <c r="I425" s="220"/>
    </row>
    <row r="426" spans="1:9" s="8" customFormat="1" ht="14.1" customHeight="1" x14ac:dyDescent="0.3">
      <c r="A426" s="203"/>
      <c r="B426" s="211"/>
      <c r="C426" s="205" t="s">
        <v>74</v>
      </c>
      <c r="D426" s="217"/>
      <c r="E426" s="206"/>
      <c r="F426" s="219"/>
      <c r="G426" s="208" t="s">
        <v>1</v>
      </c>
      <c r="H426" s="215"/>
      <c r="I426" s="220"/>
    </row>
    <row r="427" spans="1:9" s="8" customFormat="1" ht="14.1" customHeight="1" x14ac:dyDescent="0.3">
      <c r="A427" s="242"/>
      <c r="B427" s="245" t="s">
        <v>227</v>
      </c>
      <c r="C427" s="205"/>
      <c r="D427" s="205"/>
      <c r="E427" s="221"/>
      <c r="F427" s="219"/>
      <c r="G427" s="250"/>
      <c r="H427" s="251"/>
      <c r="I427" s="220"/>
    </row>
    <row r="428" spans="1:9" s="8" customFormat="1" ht="14.1" customHeight="1" x14ac:dyDescent="0.3">
      <c r="A428" s="242"/>
      <c r="B428" s="227"/>
      <c r="C428" s="205" t="s">
        <v>633</v>
      </c>
      <c r="D428" s="205"/>
      <c r="E428" s="221"/>
      <c r="F428" s="219"/>
      <c r="G428" s="250" t="s">
        <v>7</v>
      </c>
      <c r="H428" s="251"/>
      <c r="I428" s="220"/>
    </row>
    <row r="429" spans="1:9" s="8" customFormat="1" ht="14.1" customHeight="1" x14ac:dyDescent="0.3">
      <c r="A429" s="242"/>
      <c r="B429" s="227"/>
      <c r="C429" s="205" t="s">
        <v>634</v>
      </c>
      <c r="D429" s="205"/>
      <c r="E429" s="221"/>
      <c r="F429" s="219"/>
      <c r="G429" s="250" t="s">
        <v>7</v>
      </c>
      <c r="H429" s="251"/>
      <c r="I429" s="220"/>
    </row>
    <row r="430" spans="1:9" s="8" customFormat="1" ht="14.1" customHeight="1" x14ac:dyDescent="0.3">
      <c r="A430" s="242"/>
      <c r="B430" s="253"/>
      <c r="C430" s="205" t="s">
        <v>103</v>
      </c>
      <c r="D430" s="205"/>
      <c r="E430" s="221"/>
      <c r="F430" s="219"/>
      <c r="G430" s="250" t="s">
        <v>1</v>
      </c>
      <c r="H430" s="251"/>
      <c r="I430" s="220"/>
    </row>
    <row r="431" spans="1:9" s="8" customFormat="1" ht="14.1" customHeight="1" x14ac:dyDescent="0.3">
      <c r="A431" s="242"/>
      <c r="B431" s="253"/>
      <c r="C431" s="205" t="s">
        <v>105</v>
      </c>
      <c r="D431" s="205"/>
      <c r="E431" s="221"/>
      <c r="F431" s="219"/>
      <c r="G431" s="250" t="s">
        <v>1</v>
      </c>
      <c r="H431" s="251"/>
      <c r="I431" s="220"/>
    </row>
    <row r="432" spans="1:9" s="8" customFormat="1" ht="14.1" customHeight="1" x14ac:dyDescent="0.3">
      <c r="A432" s="242"/>
      <c r="B432" s="253"/>
      <c r="C432" s="205"/>
      <c r="D432" s="205"/>
      <c r="E432" s="221"/>
      <c r="F432" s="207"/>
      <c r="G432" s="250"/>
      <c r="H432" s="251"/>
      <c r="I432" s="220"/>
    </row>
    <row r="433" spans="1:9" s="8" customFormat="1" ht="12" customHeight="1" x14ac:dyDescent="0.3">
      <c r="A433" s="203"/>
      <c r="B433" s="226"/>
      <c r="C433" s="332"/>
      <c r="D433" s="332"/>
      <c r="E433" s="332"/>
      <c r="F433" s="332"/>
      <c r="G433" s="332"/>
      <c r="H433" s="332"/>
      <c r="I433" s="343"/>
    </row>
    <row r="434" spans="1:9" s="8" customFormat="1" ht="12" customHeight="1" x14ac:dyDescent="0.3">
      <c r="A434" s="203"/>
      <c r="B434" s="333" t="s">
        <v>511</v>
      </c>
      <c r="C434" s="344"/>
      <c r="D434" s="344"/>
      <c r="E434" s="345"/>
      <c r="F434" s="344"/>
      <c r="G434" s="344"/>
      <c r="H434" s="344"/>
      <c r="I434" s="346"/>
    </row>
    <row r="435" spans="1:9" s="8" customFormat="1" ht="12" customHeight="1" x14ac:dyDescent="0.3">
      <c r="A435" s="203"/>
      <c r="B435" s="333"/>
      <c r="C435" s="344" t="s">
        <v>512</v>
      </c>
      <c r="D435" s="344"/>
      <c r="E435" s="344"/>
      <c r="F435" s="344"/>
      <c r="G435" s="344"/>
      <c r="H435" s="344"/>
      <c r="I435" s="346"/>
    </row>
    <row r="436" spans="1:9" s="8" customFormat="1" ht="12" customHeight="1" thickBot="1" x14ac:dyDescent="0.35">
      <c r="A436" s="328"/>
      <c r="B436" s="337"/>
      <c r="C436" s="338"/>
      <c r="D436" s="338"/>
      <c r="E436" s="338"/>
      <c r="F436" s="338"/>
      <c r="G436" s="338"/>
      <c r="H436" s="338"/>
      <c r="I436" s="384"/>
    </row>
    <row r="437" spans="1:9" ht="13.8" x14ac:dyDescent="0.3">
      <c r="A437" s="278"/>
      <c r="B437" s="278"/>
      <c r="C437" s="278"/>
      <c r="D437" s="278"/>
      <c r="E437" s="278"/>
      <c r="F437" s="278"/>
      <c r="G437" s="278"/>
      <c r="H437" s="278"/>
      <c r="I437" s="278"/>
    </row>
    <row r="438" spans="1:9" ht="13.8" x14ac:dyDescent="0.3">
      <c r="A438" s="278"/>
      <c r="B438" s="278"/>
      <c r="C438" s="278"/>
      <c r="D438" s="278"/>
      <c r="E438" s="278"/>
      <c r="F438" s="278"/>
      <c r="G438" s="278"/>
      <c r="H438" s="278"/>
      <c r="I438" s="278"/>
    </row>
    <row r="439" spans="1:9" ht="13.8" x14ac:dyDescent="0.25">
      <c r="A439" s="843" t="s">
        <v>513</v>
      </c>
      <c r="B439" s="843"/>
      <c r="C439" s="843"/>
      <c r="D439" s="843"/>
      <c r="E439" s="843"/>
      <c r="F439" s="843"/>
      <c r="G439" s="843"/>
      <c r="H439" s="843"/>
      <c r="I439" s="843"/>
    </row>
    <row r="440" spans="1:9" ht="14.4" x14ac:dyDescent="0.3">
      <c r="A440" s="385" t="s">
        <v>160</v>
      </c>
      <c r="B440" s="386" t="s">
        <v>553</v>
      </c>
      <c r="C440" s="386"/>
      <c r="D440" s="386"/>
      <c r="E440" s="278"/>
      <c r="F440" s="387" t="s">
        <v>514</v>
      </c>
      <c r="G440" s="388"/>
      <c r="H440" s="339"/>
      <c r="I440" s="389"/>
    </row>
    <row r="441" spans="1:9" ht="14.4" x14ac:dyDescent="0.3">
      <c r="A441" s="390" t="s">
        <v>161</v>
      </c>
      <c r="B441" s="386" t="s">
        <v>83</v>
      </c>
      <c r="C441" s="386"/>
      <c r="D441" s="386"/>
      <c r="E441" s="278"/>
      <c r="F441" s="387" t="s">
        <v>514</v>
      </c>
      <c r="G441" s="388"/>
      <c r="H441" s="339"/>
      <c r="I441" s="389"/>
    </row>
    <row r="442" spans="1:9" ht="14.4" x14ac:dyDescent="0.3">
      <c r="A442" s="390" t="s">
        <v>162</v>
      </c>
      <c r="B442" s="386" t="s">
        <v>435</v>
      </c>
      <c r="C442" s="386"/>
      <c r="D442" s="386"/>
      <c r="E442" s="278"/>
      <c r="F442" s="387" t="s">
        <v>514</v>
      </c>
      <c r="G442" s="388"/>
      <c r="H442" s="339"/>
      <c r="I442" s="389"/>
    </row>
    <row r="443" spans="1:9" ht="14.4" x14ac:dyDescent="0.3">
      <c r="A443" s="390" t="s">
        <v>135</v>
      </c>
      <c r="B443" s="386" t="s">
        <v>370</v>
      </c>
      <c r="C443" s="386"/>
      <c r="D443" s="386"/>
      <c r="E443" s="278"/>
      <c r="F443" s="387" t="s">
        <v>514</v>
      </c>
      <c r="G443" s="388"/>
      <c r="H443" s="339"/>
      <c r="I443" s="389"/>
    </row>
    <row r="444" spans="1:9" ht="14.4" x14ac:dyDescent="0.3">
      <c r="A444" s="390" t="s">
        <v>163</v>
      </c>
      <c r="B444" s="386" t="s">
        <v>368</v>
      </c>
      <c r="C444" s="386"/>
      <c r="D444" s="386"/>
      <c r="E444" s="278"/>
      <c r="F444" s="387" t="s">
        <v>514</v>
      </c>
      <c r="G444" s="388"/>
      <c r="H444" s="339"/>
      <c r="I444" s="389"/>
    </row>
    <row r="445" spans="1:9" ht="14.4" x14ac:dyDescent="0.3">
      <c r="A445" s="390" t="s">
        <v>164</v>
      </c>
      <c r="B445" s="386" t="s">
        <v>77</v>
      </c>
      <c r="C445" s="386"/>
      <c r="D445" s="386"/>
      <c r="E445" s="278"/>
      <c r="F445" s="387" t="s">
        <v>514</v>
      </c>
      <c r="G445" s="388"/>
      <c r="H445" s="339"/>
      <c r="I445" s="389"/>
    </row>
    <row r="446" spans="1:9" ht="14.4" x14ac:dyDescent="0.3">
      <c r="A446" s="390" t="s">
        <v>165</v>
      </c>
      <c r="B446" s="386" t="s">
        <v>71</v>
      </c>
      <c r="C446" s="386"/>
      <c r="D446" s="386"/>
      <c r="E446" s="278"/>
      <c r="F446" s="387" t="s">
        <v>514</v>
      </c>
      <c r="G446" s="388"/>
      <c r="H446" s="339"/>
      <c r="I446" s="389"/>
    </row>
    <row r="447" spans="1:9" ht="14.4" x14ac:dyDescent="0.3">
      <c r="A447" s="390" t="s">
        <v>166</v>
      </c>
      <c r="B447" s="386" t="s">
        <v>408</v>
      </c>
      <c r="C447" s="386"/>
      <c r="D447" s="386"/>
      <c r="E447" s="278"/>
      <c r="F447" s="387" t="s">
        <v>514</v>
      </c>
      <c r="G447" s="388"/>
      <c r="H447" s="339"/>
      <c r="I447" s="389"/>
    </row>
    <row r="448" spans="1:9" ht="14.4" x14ac:dyDescent="0.3">
      <c r="A448" s="390" t="s">
        <v>167</v>
      </c>
      <c r="B448" s="386" t="s">
        <v>75</v>
      </c>
      <c r="C448" s="386"/>
      <c r="D448" s="386"/>
      <c r="E448" s="278"/>
      <c r="F448" s="387" t="s">
        <v>514</v>
      </c>
      <c r="G448" s="388"/>
      <c r="H448" s="339"/>
      <c r="I448" s="389"/>
    </row>
    <row r="449" spans="1:9" ht="14.4" x14ac:dyDescent="0.3">
      <c r="A449" s="390" t="s">
        <v>168</v>
      </c>
      <c r="B449" s="386" t="s">
        <v>30</v>
      </c>
      <c r="C449" s="386"/>
      <c r="D449" s="386"/>
      <c r="E449" s="278"/>
      <c r="F449" s="387" t="s">
        <v>514</v>
      </c>
      <c r="G449" s="388"/>
      <c r="H449" s="339"/>
      <c r="I449" s="389"/>
    </row>
    <row r="450" spans="1:9" ht="14.4" x14ac:dyDescent="0.3">
      <c r="A450" s="390" t="s">
        <v>169</v>
      </c>
      <c r="B450" s="278" t="s">
        <v>593</v>
      </c>
      <c r="C450" s="386"/>
      <c r="D450" s="386"/>
      <c r="E450" s="278"/>
      <c r="F450" s="387" t="s">
        <v>514</v>
      </c>
      <c r="G450" s="388"/>
      <c r="H450" s="339"/>
      <c r="I450" s="389"/>
    </row>
    <row r="451" spans="1:9" ht="14.4" x14ac:dyDescent="0.3">
      <c r="A451" s="390" t="s">
        <v>170</v>
      </c>
      <c r="B451" s="386" t="s">
        <v>78</v>
      </c>
      <c r="C451" s="386"/>
      <c r="D451" s="386"/>
      <c r="E451" s="278"/>
      <c r="F451" s="387" t="s">
        <v>514</v>
      </c>
      <c r="G451" s="388"/>
      <c r="H451" s="339"/>
      <c r="I451" s="389"/>
    </row>
    <row r="452" spans="1:9" ht="14.4" x14ac:dyDescent="0.3">
      <c r="A452" s="390" t="s">
        <v>376</v>
      </c>
      <c r="B452" s="386" t="s">
        <v>54</v>
      </c>
      <c r="C452" s="386"/>
      <c r="D452" s="386"/>
      <c r="E452" s="278"/>
      <c r="F452" s="387" t="s">
        <v>514</v>
      </c>
      <c r="G452" s="388"/>
      <c r="H452" s="339"/>
      <c r="I452" s="389"/>
    </row>
    <row r="453" spans="1:9" ht="14.4" x14ac:dyDescent="0.3">
      <c r="A453" s="390" t="s">
        <v>582</v>
      </c>
      <c r="B453" s="386" t="s">
        <v>55</v>
      </c>
      <c r="C453" s="386"/>
      <c r="D453" s="386"/>
      <c r="E453" s="278"/>
      <c r="F453" s="387" t="s">
        <v>514</v>
      </c>
      <c r="G453" s="388"/>
      <c r="H453" s="339"/>
      <c r="I453" s="389"/>
    </row>
    <row r="454" spans="1:9" ht="14.4" x14ac:dyDescent="0.3">
      <c r="A454" s="390" t="str">
        <f>A401</f>
        <v>XIV.</v>
      </c>
      <c r="B454" s="386" t="str">
        <f>B401</f>
        <v>Water tower</v>
      </c>
      <c r="C454" s="386"/>
      <c r="D454" s="386"/>
      <c r="E454" s="278"/>
      <c r="F454" s="395" t="s">
        <v>514</v>
      </c>
      <c r="G454" s="388"/>
      <c r="H454" s="339"/>
      <c r="I454" s="389"/>
    </row>
    <row r="455" spans="1:9" ht="15" thickBot="1" x14ac:dyDescent="0.35">
      <c r="A455" s="391"/>
      <c r="B455" s="391"/>
      <c r="C455" s="391"/>
      <c r="D455" s="391"/>
      <c r="E455" s="388"/>
      <c r="F455" s="388"/>
      <c r="G455" s="392"/>
      <c r="H455" s="392"/>
      <c r="I455" s="389"/>
    </row>
    <row r="456" spans="1:9" ht="15" thickTop="1" x14ac:dyDescent="0.3">
      <c r="A456" s="393"/>
      <c r="B456" s="393"/>
      <c r="C456" s="393"/>
      <c r="D456" s="393"/>
      <c r="E456" s="388"/>
      <c r="F456" s="388"/>
      <c r="G456" s="389"/>
      <c r="H456" s="389"/>
      <c r="I456" s="389"/>
    </row>
    <row r="457" spans="1:9" ht="13.8" x14ac:dyDescent="0.3">
      <c r="A457" s="394" t="s">
        <v>515</v>
      </c>
      <c r="B457" s="394"/>
      <c r="C457" s="394"/>
      <c r="D457" s="394"/>
      <c r="E457" s="842" t="s">
        <v>516</v>
      </c>
      <c r="F457" s="842"/>
      <c r="G457" s="389"/>
      <c r="H457" s="339"/>
      <c r="I457" s="389"/>
    </row>
    <row r="458" spans="1:9" ht="13.8" x14ac:dyDescent="0.3">
      <c r="A458" s="394" t="s">
        <v>517</v>
      </c>
      <c r="B458" s="394"/>
      <c r="C458" s="394"/>
      <c r="D458" s="394"/>
      <c r="E458" s="842" t="s">
        <v>516</v>
      </c>
      <c r="F458" s="842"/>
      <c r="G458" s="389"/>
      <c r="H458" s="339"/>
      <c r="I458" s="389"/>
    </row>
    <row r="459" spans="1:9" ht="13.8" x14ac:dyDescent="0.3">
      <c r="A459" s="394" t="s">
        <v>532</v>
      </c>
      <c r="B459" s="394"/>
      <c r="C459" s="394"/>
      <c r="D459" s="394"/>
      <c r="E459" s="842" t="s">
        <v>516</v>
      </c>
      <c r="F459" s="842"/>
      <c r="G459" s="389"/>
      <c r="H459" s="339"/>
      <c r="I459" s="389"/>
    </row>
    <row r="460" spans="1:9" ht="13.8" x14ac:dyDescent="0.3">
      <c r="A460" s="394" t="s">
        <v>613</v>
      </c>
      <c r="B460" s="394"/>
      <c r="C460" s="394"/>
      <c r="D460" s="394"/>
      <c r="E460" s="842" t="s">
        <v>516</v>
      </c>
      <c r="F460" s="842"/>
      <c r="G460" s="389"/>
      <c r="H460" s="339"/>
      <c r="I460" s="389"/>
    </row>
    <row r="461" spans="1:9" ht="13.8" x14ac:dyDescent="0.3">
      <c r="A461" s="394"/>
      <c r="B461" s="394"/>
      <c r="C461" s="394"/>
      <c r="D461" s="394"/>
      <c r="E461" s="387"/>
      <c r="F461" s="387"/>
      <c r="G461" s="389"/>
      <c r="H461" s="340"/>
      <c r="I461" s="389"/>
    </row>
    <row r="462" spans="1:9" ht="13.8" x14ac:dyDescent="0.3">
      <c r="A462" s="394" t="s">
        <v>533</v>
      </c>
      <c r="B462" s="394"/>
      <c r="C462" s="394"/>
      <c r="D462" s="394"/>
      <c r="E462" s="842" t="s">
        <v>516</v>
      </c>
      <c r="F462" s="842"/>
      <c r="G462" s="389"/>
      <c r="H462" s="339"/>
      <c r="I462" s="389"/>
    </row>
    <row r="463" spans="1:9" ht="13.8" x14ac:dyDescent="0.3">
      <c r="A463" s="394" t="s">
        <v>534</v>
      </c>
      <c r="B463" s="394"/>
      <c r="C463" s="394"/>
      <c r="D463" s="394"/>
      <c r="E463" s="842" t="s">
        <v>516</v>
      </c>
      <c r="F463" s="842"/>
      <c r="G463" s="389"/>
      <c r="H463" s="339"/>
      <c r="I463" s="389"/>
    </row>
    <row r="464" spans="1:9" ht="13.8" x14ac:dyDescent="0.3">
      <c r="A464" s="394" t="s">
        <v>552</v>
      </c>
      <c r="B464" s="394"/>
      <c r="C464" s="394"/>
      <c r="D464" s="394"/>
      <c r="E464" s="842" t="s">
        <v>516</v>
      </c>
      <c r="F464" s="842"/>
      <c r="G464" s="389"/>
      <c r="H464" s="339"/>
      <c r="I464" s="389"/>
    </row>
    <row r="465" spans="1:9" ht="13.8" x14ac:dyDescent="0.3">
      <c r="A465" s="394" t="s">
        <v>536</v>
      </c>
      <c r="B465" s="394"/>
      <c r="C465" s="394"/>
      <c r="D465" s="394"/>
      <c r="E465" s="842" t="s">
        <v>516</v>
      </c>
      <c r="F465" s="842"/>
      <c r="G465" s="389"/>
      <c r="H465" s="339"/>
      <c r="I465" s="389"/>
    </row>
    <row r="466" spans="1:9" ht="13.8" x14ac:dyDescent="0.3">
      <c r="A466" s="394"/>
      <c r="B466" s="394"/>
      <c r="C466" s="394"/>
      <c r="D466" s="394"/>
      <c r="E466" s="387"/>
      <c r="F466" s="387"/>
      <c r="G466" s="389"/>
      <c r="H466" s="340"/>
      <c r="I466" s="389"/>
    </row>
    <row r="467" spans="1:9" ht="14.4" x14ac:dyDescent="0.3">
      <c r="A467" s="396" t="s">
        <v>615</v>
      </c>
      <c r="B467" s="396"/>
      <c r="C467" s="396"/>
      <c r="D467" s="396"/>
      <c r="E467" s="842" t="s">
        <v>516</v>
      </c>
      <c r="F467" s="842"/>
      <c r="G467" s="389"/>
      <c r="H467" s="339"/>
      <c r="I467" s="389"/>
    </row>
    <row r="468" spans="1:9" ht="14.4" x14ac:dyDescent="0.3">
      <c r="A468" s="393"/>
      <c r="B468" s="393"/>
      <c r="C468" s="393"/>
      <c r="D468" s="393"/>
      <c r="E468" s="397"/>
      <c r="F468" s="397"/>
      <c r="G468" s="389"/>
      <c r="H468" s="389"/>
      <c r="I468" s="389"/>
    </row>
    <row r="469" spans="1:9" ht="14.4" x14ac:dyDescent="0.3">
      <c r="A469" s="394" t="s">
        <v>518</v>
      </c>
      <c r="B469" s="394"/>
      <c r="C469" s="394"/>
      <c r="D469" s="394"/>
      <c r="E469" s="394"/>
      <c r="F469" s="397"/>
      <c r="G469" s="389"/>
      <c r="H469" s="389"/>
      <c r="I469" s="389"/>
    </row>
    <row r="470" spans="1:9" ht="14.4" x14ac:dyDescent="0.3">
      <c r="A470" s="394"/>
      <c r="B470" s="394"/>
      <c r="C470" s="394"/>
      <c r="D470" s="394"/>
      <c r="E470" s="394"/>
      <c r="F470" s="397"/>
      <c r="G470" s="389"/>
      <c r="H470" s="389"/>
      <c r="I470" s="389"/>
    </row>
    <row r="471" spans="1:9" ht="13.8" x14ac:dyDescent="0.3">
      <c r="A471" s="394" t="s">
        <v>519</v>
      </c>
      <c r="B471" s="394"/>
      <c r="C471" s="394"/>
      <c r="D471" s="394"/>
      <c r="E471" s="278"/>
      <c r="F471" s="278"/>
      <c r="G471" s="394" t="s">
        <v>520</v>
      </c>
      <c r="H471" s="389"/>
      <c r="I471" s="389"/>
    </row>
    <row r="472" spans="1:9" ht="14.4" x14ac:dyDescent="0.3">
      <c r="A472" s="398" t="s">
        <v>521</v>
      </c>
      <c r="B472" s="398"/>
      <c r="C472" s="398"/>
      <c r="D472" s="398"/>
      <c r="E472" s="399"/>
      <c r="F472" s="400"/>
      <c r="G472" s="401"/>
      <c r="H472" s="401"/>
      <c r="I472" s="401"/>
    </row>
    <row r="473" spans="1:9" ht="14.4" x14ac:dyDescent="0.3">
      <c r="A473" s="398"/>
      <c r="B473" s="398"/>
      <c r="C473" s="398"/>
      <c r="D473" s="398"/>
      <c r="E473" s="399"/>
      <c r="F473" s="400"/>
      <c r="G473" s="401"/>
      <c r="H473" s="401"/>
      <c r="I473" s="401"/>
    </row>
    <row r="474" spans="1:9" ht="14.4" x14ac:dyDescent="0.3">
      <c r="A474" s="398" t="s">
        <v>522</v>
      </c>
      <c r="B474" s="398"/>
      <c r="C474" s="398"/>
      <c r="D474" s="398"/>
      <c r="E474" s="399"/>
      <c r="F474" s="400"/>
      <c r="G474" s="401"/>
      <c r="H474" s="401"/>
      <c r="I474" s="16"/>
    </row>
    <row r="475" spans="1:9" ht="14.4" x14ac:dyDescent="0.3">
      <c r="A475" s="398" t="s">
        <v>523</v>
      </c>
      <c r="B475" s="398"/>
      <c r="C475" s="398"/>
      <c r="D475" s="398"/>
      <c r="E475" s="399"/>
      <c r="F475" s="400"/>
      <c r="G475" s="401"/>
      <c r="H475" s="401"/>
      <c r="I475" s="12"/>
    </row>
    <row r="476" spans="1:9" ht="14.4" x14ac:dyDescent="0.3">
      <c r="A476" s="398"/>
      <c r="B476" s="398"/>
      <c r="C476" s="398"/>
      <c r="D476" s="398"/>
      <c r="E476" s="399"/>
      <c r="F476" s="400"/>
      <c r="G476" s="401"/>
      <c r="H476" s="401"/>
      <c r="I476" s="12"/>
    </row>
    <row r="477" spans="1:9" ht="14.4" x14ac:dyDescent="0.3">
      <c r="A477" s="398" t="s">
        <v>522</v>
      </c>
      <c r="B477" s="398"/>
      <c r="C477" s="398"/>
      <c r="D477" s="398"/>
      <c r="E477" s="399"/>
      <c r="F477" s="400"/>
      <c r="G477" s="401"/>
      <c r="H477" s="401"/>
      <c r="I477" s="12"/>
    </row>
    <row r="478" spans="1:9" ht="14.4" x14ac:dyDescent="0.3">
      <c r="A478" s="398" t="s">
        <v>524</v>
      </c>
      <c r="B478" s="398"/>
      <c r="C478" s="398"/>
      <c r="D478" s="398"/>
      <c r="E478" s="399"/>
      <c r="F478" s="400"/>
      <c r="G478" s="401"/>
      <c r="H478" s="401"/>
      <c r="I478" s="15"/>
    </row>
    <row r="488" spans="6:9" x14ac:dyDescent="0.25">
      <c r="F488" s="46"/>
      <c r="H488" s="46"/>
      <c r="I488" s="46"/>
    </row>
    <row r="489" spans="6:9" x14ac:dyDescent="0.25">
      <c r="F489" s="46"/>
      <c r="H489" s="46"/>
      <c r="I489" s="46"/>
    </row>
    <row r="490" spans="6:9" x14ac:dyDescent="0.25">
      <c r="F490" s="46"/>
      <c r="H490" s="46"/>
      <c r="I490" s="46"/>
    </row>
    <row r="491" spans="6:9" x14ac:dyDescent="0.25">
      <c r="F491" s="46"/>
      <c r="H491" s="46"/>
      <c r="I491" s="46"/>
    </row>
    <row r="492" spans="6:9" x14ac:dyDescent="0.25">
      <c r="F492" s="46"/>
      <c r="H492" s="46"/>
      <c r="I492" s="46"/>
    </row>
    <row r="493" spans="6:9" x14ac:dyDescent="0.25">
      <c r="F493" s="46"/>
      <c r="H493" s="46"/>
      <c r="I493" s="46"/>
    </row>
    <row r="494" spans="6:9" x14ac:dyDescent="0.25">
      <c r="F494" s="46"/>
      <c r="H494" s="46"/>
      <c r="I494" s="46"/>
    </row>
    <row r="495" spans="6:9" x14ac:dyDescent="0.25">
      <c r="F495" s="46"/>
      <c r="H495" s="46"/>
      <c r="I495" s="46"/>
    </row>
    <row r="496" spans="6:9" x14ac:dyDescent="0.25">
      <c r="F496" s="46"/>
      <c r="H496" s="46"/>
      <c r="I496" s="46"/>
    </row>
    <row r="497" spans="6:9" x14ac:dyDescent="0.25">
      <c r="F497" s="46"/>
      <c r="H497" s="46"/>
      <c r="I497" s="46"/>
    </row>
    <row r="498" spans="6:9" x14ac:dyDescent="0.25">
      <c r="F498" s="46"/>
      <c r="H498" s="46"/>
      <c r="I498" s="46"/>
    </row>
    <row r="499" spans="6:9" x14ac:dyDescent="0.25">
      <c r="F499" s="46"/>
      <c r="H499" s="46"/>
      <c r="I499" s="46"/>
    </row>
    <row r="500" spans="6:9" x14ac:dyDescent="0.25">
      <c r="F500" s="46"/>
      <c r="H500" s="46"/>
      <c r="I500" s="46"/>
    </row>
    <row r="501" spans="6:9" x14ac:dyDescent="0.25">
      <c r="F501" s="46"/>
      <c r="H501" s="46"/>
      <c r="I501" s="46"/>
    </row>
    <row r="502" spans="6:9" x14ac:dyDescent="0.25">
      <c r="F502" s="46"/>
      <c r="H502" s="46"/>
      <c r="I502" s="46"/>
    </row>
    <row r="503" spans="6:9" x14ac:dyDescent="0.25">
      <c r="F503" s="46"/>
      <c r="H503" s="46"/>
      <c r="I503" s="46"/>
    </row>
    <row r="504" spans="6:9" x14ac:dyDescent="0.25">
      <c r="F504" s="46"/>
      <c r="H504" s="46"/>
      <c r="I504" s="46"/>
    </row>
    <row r="505" spans="6:9" x14ac:dyDescent="0.25">
      <c r="F505" s="46"/>
      <c r="H505" s="46"/>
      <c r="I505" s="46"/>
    </row>
    <row r="506" spans="6:9" x14ac:dyDescent="0.25">
      <c r="F506" s="46"/>
      <c r="H506" s="46"/>
      <c r="I506" s="46"/>
    </row>
    <row r="507" spans="6:9" x14ac:dyDescent="0.25">
      <c r="F507" s="46"/>
      <c r="H507" s="46"/>
      <c r="I507" s="46"/>
    </row>
    <row r="508" spans="6:9" x14ac:dyDescent="0.25">
      <c r="F508" s="46"/>
      <c r="H508" s="46"/>
      <c r="I508" s="46"/>
    </row>
    <row r="509" spans="6:9" x14ac:dyDescent="0.25">
      <c r="F509" s="46"/>
      <c r="H509" s="46"/>
      <c r="I509" s="46"/>
    </row>
    <row r="510" spans="6:9" x14ac:dyDescent="0.25">
      <c r="F510" s="46"/>
      <c r="H510" s="46"/>
      <c r="I510" s="46"/>
    </row>
    <row r="511" spans="6:9" x14ac:dyDescent="0.25">
      <c r="F511" s="46"/>
      <c r="H511" s="46"/>
      <c r="I511" s="46"/>
    </row>
    <row r="512" spans="6:9" x14ac:dyDescent="0.25">
      <c r="F512" s="46"/>
      <c r="H512" s="46"/>
      <c r="I512" s="46"/>
    </row>
    <row r="513" spans="6:9" x14ac:dyDescent="0.25">
      <c r="F513" s="46"/>
      <c r="H513" s="46"/>
      <c r="I513" s="46"/>
    </row>
    <row r="514" spans="6:9" x14ac:dyDescent="0.25">
      <c r="F514" s="46"/>
      <c r="H514" s="46"/>
      <c r="I514" s="46"/>
    </row>
    <row r="515" spans="6:9" x14ac:dyDescent="0.25">
      <c r="F515" s="46"/>
      <c r="H515" s="46"/>
      <c r="I515" s="46"/>
    </row>
    <row r="516" spans="6:9" x14ac:dyDescent="0.25">
      <c r="F516" s="46"/>
      <c r="H516" s="46"/>
      <c r="I516" s="46"/>
    </row>
    <row r="517" spans="6:9" x14ac:dyDescent="0.25">
      <c r="F517" s="46"/>
      <c r="H517" s="46"/>
      <c r="I517" s="46"/>
    </row>
    <row r="518" spans="6:9" x14ac:dyDescent="0.25">
      <c r="F518" s="46"/>
      <c r="H518" s="46"/>
      <c r="I518" s="46"/>
    </row>
    <row r="519" spans="6:9" x14ac:dyDescent="0.25">
      <c r="F519" s="46"/>
      <c r="H519" s="46"/>
      <c r="I519" s="46"/>
    </row>
    <row r="520" spans="6:9" x14ac:dyDescent="0.25">
      <c r="F520" s="46"/>
      <c r="H520" s="46"/>
      <c r="I520" s="46"/>
    </row>
    <row r="521" spans="6:9" x14ac:dyDescent="0.25">
      <c r="F521" s="46"/>
      <c r="H521" s="46"/>
      <c r="I521" s="46"/>
    </row>
    <row r="522" spans="6:9" x14ac:dyDescent="0.25">
      <c r="F522" s="46"/>
      <c r="H522" s="46"/>
      <c r="I522" s="46"/>
    </row>
    <row r="523" spans="6:9" x14ac:dyDescent="0.25">
      <c r="F523" s="46"/>
      <c r="H523" s="46"/>
      <c r="I523" s="46"/>
    </row>
    <row r="524" spans="6:9" x14ac:dyDescent="0.25">
      <c r="F524" s="46"/>
      <c r="H524" s="46"/>
      <c r="I524" s="46"/>
    </row>
    <row r="525" spans="6:9" x14ac:dyDescent="0.25">
      <c r="F525" s="46"/>
      <c r="H525" s="46"/>
      <c r="I525" s="46"/>
    </row>
    <row r="526" spans="6:9" x14ac:dyDescent="0.25">
      <c r="F526" s="46"/>
      <c r="H526" s="46"/>
      <c r="I526" s="46"/>
    </row>
    <row r="527" spans="6:9" x14ac:dyDescent="0.25">
      <c r="F527" s="46"/>
      <c r="H527" s="46"/>
      <c r="I527" s="46"/>
    </row>
    <row r="528" spans="6:9" x14ac:dyDescent="0.25">
      <c r="F528" s="46"/>
      <c r="H528" s="46"/>
      <c r="I528" s="46"/>
    </row>
    <row r="529" spans="6:9" x14ac:dyDescent="0.25">
      <c r="F529" s="46"/>
      <c r="H529" s="46"/>
      <c r="I529" s="46"/>
    </row>
    <row r="530" spans="6:9" x14ac:dyDescent="0.25">
      <c r="F530" s="46"/>
      <c r="H530" s="46"/>
      <c r="I530" s="46"/>
    </row>
    <row r="531" spans="6:9" x14ac:dyDescent="0.25">
      <c r="F531" s="46"/>
      <c r="H531" s="46"/>
      <c r="I531" s="46"/>
    </row>
    <row r="532" spans="6:9" x14ac:dyDescent="0.25">
      <c r="F532" s="46"/>
      <c r="H532" s="46"/>
      <c r="I532" s="46"/>
    </row>
    <row r="533" spans="6:9" x14ac:dyDescent="0.25">
      <c r="F533" s="46"/>
      <c r="H533" s="46"/>
      <c r="I533" s="46"/>
    </row>
    <row r="534" spans="6:9" x14ac:dyDescent="0.25">
      <c r="F534" s="46"/>
      <c r="H534" s="46"/>
      <c r="I534" s="46"/>
    </row>
    <row r="535" spans="6:9" x14ac:dyDescent="0.25">
      <c r="F535" s="46"/>
      <c r="H535" s="46"/>
      <c r="I535" s="46"/>
    </row>
    <row r="536" spans="6:9" x14ac:dyDescent="0.25">
      <c r="F536" s="46"/>
      <c r="H536" s="46"/>
      <c r="I536" s="46"/>
    </row>
    <row r="537" spans="6:9" x14ac:dyDescent="0.25">
      <c r="F537" s="46"/>
      <c r="H537" s="46"/>
      <c r="I537" s="46"/>
    </row>
    <row r="538" spans="6:9" x14ac:dyDescent="0.25">
      <c r="F538" s="46"/>
      <c r="H538" s="46"/>
      <c r="I538" s="46"/>
    </row>
    <row r="539" spans="6:9" x14ac:dyDescent="0.25">
      <c r="F539" s="46"/>
      <c r="H539" s="46"/>
      <c r="I539" s="46"/>
    </row>
    <row r="540" spans="6:9" x14ac:dyDescent="0.25">
      <c r="F540" s="46"/>
      <c r="H540" s="46"/>
      <c r="I540" s="46"/>
    </row>
    <row r="541" spans="6:9" x14ac:dyDescent="0.25">
      <c r="F541" s="46"/>
      <c r="H541" s="46"/>
      <c r="I541" s="46"/>
    </row>
    <row r="542" spans="6:9" x14ac:dyDescent="0.25">
      <c r="F542" s="46"/>
      <c r="H542" s="46"/>
      <c r="I542" s="46"/>
    </row>
    <row r="543" spans="6:9" x14ac:dyDescent="0.25">
      <c r="F543" s="46"/>
      <c r="H543" s="46"/>
      <c r="I543" s="46"/>
    </row>
    <row r="544" spans="6:9" x14ac:dyDescent="0.25">
      <c r="F544" s="46"/>
      <c r="H544" s="46"/>
      <c r="I544" s="46"/>
    </row>
    <row r="545" spans="6:9" x14ac:dyDescent="0.25">
      <c r="F545" s="46"/>
      <c r="H545" s="46"/>
      <c r="I545" s="46"/>
    </row>
    <row r="546" spans="6:9" x14ac:dyDescent="0.25">
      <c r="F546" s="46"/>
      <c r="H546" s="46"/>
      <c r="I546" s="46"/>
    </row>
    <row r="547" spans="6:9" x14ac:dyDescent="0.25">
      <c r="F547" s="46"/>
      <c r="H547" s="46"/>
      <c r="I547" s="46"/>
    </row>
    <row r="548" spans="6:9" x14ac:dyDescent="0.25">
      <c r="F548" s="46"/>
      <c r="H548" s="46"/>
      <c r="I548" s="46"/>
    </row>
    <row r="549" spans="6:9" x14ac:dyDescent="0.25">
      <c r="F549" s="46"/>
      <c r="H549" s="46"/>
      <c r="I549" s="46"/>
    </row>
    <row r="550" spans="6:9" x14ac:dyDescent="0.25">
      <c r="F550" s="46"/>
      <c r="H550" s="46"/>
      <c r="I550" s="46"/>
    </row>
    <row r="551" spans="6:9" x14ac:dyDescent="0.25">
      <c r="F551" s="46"/>
      <c r="H551" s="46"/>
      <c r="I551" s="46"/>
    </row>
    <row r="552" spans="6:9" x14ac:dyDescent="0.25">
      <c r="F552" s="46"/>
      <c r="H552" s="46"/>
      <c r="I552" s="46"/>
    </row>
    <row r="553" spans="6:9" x14ac:dyDescent="0.25">
      <c r="F553" s="46"/>
      <c r="H553" s="46"/>
      <c r="I553" s="46"/>
    </row>
    <row r="554" spans="6:9" x14ac:dyDescent="0.25">
      <c r="F554" s="46"/>
      <c r="H554" s="46"/>
      <c r="I554" s="46"/>
    </row>
    <row r="555" spans="6:9" x14ac:dyDescent="0.25">
      <c r="F555" s="46"/>
      <c r="H555" s="46"/>
      <c r="I555" s="46"/>
    </row>
    <row r="556" spans="6:9" x14ac:dyDescent="0.25">
      <c r="F556" s="46"/>
      <c r="H556" s="46"/>
      <c r="I556" s="46"/>
    </row>
    <row r="557" spans="6:9" x14ac:dyDescent="0.25">
      <c r="F557" s="46"/>
      <c r="H557" s="46"/>
      <c r="I557" s="46"/>
    </row>
    <row r="558" spans="6:9" x14ac:dyDescent="0.25">
      <c r="F558" s="46"/>
      <c r="H558" s="46"/>
      <c r="I558" s="46"/>
    </row>
    <row r="559" spans="6:9" x14ac:dyDescent="0.25">
      <c r="F559" s="46"/>
      <c r="H559" s="46"/>
      <c r="I559" s="46"/>
    </row>
    <row r="560" spans="6:9" x14ac:dyDescent="0.25">
      <c r="F560" s="46"/>
      <c r="H560" s="46"/>
      <c r="I560" s="46"/>
    </row>
    <row r="561" spans="6:9" x14ac:dyDescent="0.25">
      <c r="F561" s="46"/>
      <c r="H561" s="46"/>
      <c r="I561" s="46"/>
    </row>
    <row r="562" spans="6:9" x14ac:dyDescent="0.25">
      <c r="F562" s="46"/>
      <c r="H562" s="46"/>
      <c r="I562" s="46"/>
    </row>
    <row r="563" spans="6:9" x14ac:dyDescent="0.25">
      <c r="F563" s="46"/>
      <c r="H563" s="46"/>
      <c r="I563" s="46"/>
    </row>
    <row r="564" spans="6:9" x14ac:dyDescent="0.25">
      <c r="F564" s="46"/>
      <c r="H564" s="46"/>
      <c r="I564" s="46"/>
    </row>
    <row r="565" spans="6:9" x14ac:dyDescent="0.25">
      <c r="F565" s="46"/>
      <c r="H565" s="46"/>
      <c r="I565" s="46"/>
    </row>
    <row r="566" spans="6:9" x14ac:dyDescent="0.25">
      <c r="F566" s="46"/>
      <c r="H566" s="46"/>
      <c r="I566" s="46"/>
    </row>
    <row r="567" spans="6:9" x14ac:dyDescent="0.25">
      <c r="F567" s="46"/>
      <c r="H567" s="46"/>
      <c r="I567" s="46"/>
    </row>
    <row r="568" spans="6:9" x14ac:dyDescent="0.25">
      <c r="F568" s="46"/>
      <c r="H568" s="46"/>
      <c r="I568" s="46"/>
    </row>
    <row r="569" spans="6:9" x14ac:dyDescent="0.25">
      <c r="F569" s="46"/>
      <c r="H569" s="46"/>
      <c r="I569" s="46"/>
    </row>
    <row r="570" spans="6:9" x14ac:dyDescent="0.25">
      <c r="F570" s="46"/>
      <c r="H570" s="46"/>
      <c r="I570" s="46"/>
    </row>
    <row r="571" spans="6:9" x14ac:dyDescent="0.25">
      <c r="F571" s="46"/>
      <c r="H571" s="46"/>
      <c r="I571" s="46"/>
    </row>
    <row r="572" spans="6:9" x14ac:dyDescent="0.25">
      <c r="F572" s="46"/>
      <c r="H572" s="46"/>
      <c r="I572" s="46"/>
    </row>
    <row r="573" spans="6:9" x14ac:dyDescent="0.25">
      <c r="F573" s="46"/>
      <c r="H573" s="46"/>
      <c r="I573" s="46"/>
    </row>
    <row r="574" spans="6:9" x14ac:dyDescent="0.25">
      <c r="F574" s="46"/>
      <c r="H574" s="46"/>
      <c r="I574" s="46"/>
    </row>
    <row r="575" spans="6:9" x14ac:dyDescent="0.25">
      <c r="F575" s="46"/>
      <c r="H575" s="46"/>
      <c r="I575" s="46"/>
    </row>
    <row r="576" spans="6:9" x14ac:dyDescent="0.25">
      <c r="F576" s="46"/>
      <c r="H576" s="46"/>
      <c r="I576" s="46"/>
    </row>
    <row r="577" spans="6:9" x14ac:dyDescent="0.25">
      <c r="F577" s="46"/>
      <c r="H577" s="46"/>
      <c r="I577" s="46"/>
    </row>
    <row r="578" spans="6:9" x14ac:dyDescent="0.25">
      <c r="F578" s="46"/>
      <c r="H578" s="46"/>
      <c r="I578" s="46"/>
    </row>
    <row r="579" spans="6:9" x14ac:dyDescent="0.25">
      <c r="F579" s="46"/>
      <c r="H579" s="46"/>
      <c r="I579" s="46"/>
    </row>
    <row r="580" spans="6:9" x14ac:dyDescent="0.25">
      <c r="F580" s="46"/>
      <c r="H580" s="46"/>
      <c r="I580" s="46"/>
    </row>
    <row r="581" spans="6:9" x14ac:dyDescent="0.25">
      <c r="F581" s="46"/>
      <c r="H581" s="46"/>
      <c r="I581" s="46"/>
    </row>
    <row r="582" spans="6:9" x14ac:dyDescent="0.25">
      <c r="F582" s="46"/>
      <c r="H582" s="46"/>
      <c r="I582" s="46"/>
    </row>
    <row r="583" spans="6:9" x14ac:dyDescent="0.25">
      <c r="F583" s="46"/>
      <c r="H583" s="46"/>
      <c r="I583" s="46"/>
    </row>
    <row r="584" spans="6:9" x14ac:dyDescent="0.25">
      <c r="F584" s="46"/>
      <c r="H584" s="46"/>
      <c r="I584" s="46"/>
    </row>
    <row r="585" spans="6:9" x14ac:dyDescent="0.25">
      <c r="F585" s="46"/>
      <c r="H585" s="46"/>
      <c r="I585" s="46"/>
    </row>
    <row r="586" spans="6:9" x14ac:dyDescent="0.25">
      <c r="F586" s="46"/>
      <c r="H586" s="46"/>
      <c r="I586" s="46"/>
    </row>
    <row r="587" spans="6:9" x14ac:dyDescent="0.25">
      <c r="F587" s="46"/>
      <c r="H587" s="46"/>
      <c r="I587" s="46"/>
    </row>
    <row r="588" spans="6:9" x14ac:dyDescent="0.25">
      <c r="F588" s="46"/>
      <c r="H588" s="46"/>
      <c r="I588" s="46"/>
    </row>
    <row r="589" spans="6:9" x14ac:dyDescent="0.25">
      <c r="F589" s="46"/>
      <c r="H589" s="46"/>
      <c r="I589" s="46"/>
    </row>
    <row r="590" spans="6:9" x14ac:dyDescent="0.25">
      <c r="F590" s="46"/>
      <c r="H590" s="46"/>
      <c r="I590" s="46"/>
    </row>
    <row r="591" spans="6:9" x14ac:dyDescent="0.25">
      <c r="F591" s="46"/>
      <c r="H591" s="46"/>
      <c r="I591" s="46"/>
    </row>
    <row r="592" spans="6:9" x14ac:dyDescent="0.25">
      <c r="F592" s="46"/>
      <c r="H592" s="46"/>
      <c r="I592" s="46"/>
    </row>
    <row r="593" spans="6:9" x14ac:dyDescent="0.25">
      <c r="F593" s="46"/>
      <c r="H593" s="46"/>
      <c r="I593" s="46"/>
    </row>
    <row r="594" spans="6:9" x14ac:dyDescent="0.25">
      <c r="F594" s="46"/>
      <c r="H594" s="46"/>
      <c r="I594" s="46"/>
    </row>
    <row r="595" spans="6:9" x14ac:dyDescent="0.25">
      <c r="F595" s="46"/>
      <c r="H595" s="46"/>
      <c r="I595" s="46"/>
    </row>
    <row r="596" spans="6:9" x14ac:dyDescent="0.25">
      <c r="F596" s="46"/>
      <c r="H596" s="46"/>
      <c r="I596" s="46"/>
    </row>
    <row r="597" spans="6:9" x14ac:dyDescent="0.25">
      <c r="F597" s="46"/>
      <c r="H597" s="46"/>
      <c r="I597" s="46"/>
    </row>
    <row r="598" spans="6:9" x14ac:dyDescent="0.25">
      <c r="F598" s="46"/>
      <c r="H598" s="46"/>
      <c r="I598" s="46"/>
    </row>
    <row r="599" spans="6:9" x14ac:dyDescent="0.25">
      <c r="F599" s="46"/>
      <c r="H599" s="46"/>
      <c r="I599" s="46"/>
    </row>
    <row r="600" spans="6:9" x14ac:dyDescent="0.25">
      <c r="F600" s="46"/>
      <c r="H600" s="46"/>
      <c r="I600" s="46"/>
    </row>
    <row r="601" spans="6:9" x14ac:dyDescent="0.25">
      <c r="F601" s="46"/>
      <c r="H601" s="46"/>
      <c r="I601" s="46"/>
    </row>
    <row r="602" spans="6:9" x14ac:dyDescent="0.25">
      <c r="F602" s="46"/>
      <c r="H602" s="46"/>
      <c r="I602" s="46"/>
    </row>
    <row r="603" spans="6:9" x14ac:dyDescent="0.25">
      <c r="F603" s="46"/>
      <c r="H603" s="46"/>
      <c r="I603" s="46"/>
    </row>
    <row r="604" spans="6:9" x14ac:dyDescent="0.25">
      <c r="F604" s="46"/>
      <c r="H604" s="46"/>
      <c r="I604" s="46"/>
    </row>
    <row r="605" spans="6:9" x14ac:dyDescent="0.25">
      <c r="F605" s="46"/>
      <c r="H605" s="46"/>
      <c r="I605" s="46"/>
    </row>
    <row r="606" spans="6:9" x14ac:dyDescent="0.25">
      <c r="F606" s="46"/>
      <c r="H606" s="46"/>
      <c r="I606" s="46"/>
    </row>
    <row r="607" spans="6:9" x14ac:dyDescent="0.25">
      <c r="F607" s="46"/>
      <c r="H607" s="46"/>
      <c r="I607" s="46"/>
    </row>
    <row r="608" spans="6:9" x14ac:dyDescent="0.25">
      <c r="F608" s="46"/>
      <c r="H608" s="46"/>
      <c r="I608" s="46"/>
    </row>
    <row r="609" spans="6:9" x14ac:dyDescent="0.25">
      <c r="F609" s="46"/>
      <c r="H609" s="46"/>
      <c r="I609" s="46"/>
    </row>
    <row r="610" spans="6:9" x14ac:dyDescent="0.25">
      <c r="F610" s="46"/>
      <c r="H610" s="46"/>
      <c r="I610" s="46"/>
    </row>
    <row r="611" spans="6:9" x14ac:dyDescent="0.25">
      <c r="F611" s="46"/>
      <c r="H611" s="46"/>
      <c r="I611" s="46"/>
    </row>
    <row r="612" spans="6:9" x14ac:dyDescent="0.25">
      <c r="F612" s="46"/>
      <c r="H612" s="46"/>
      <c r="I612" s="46"/>
    </row>
    <row r="613" spans="6:9" x14ac:dyDescent="0.25">
      <c r="F613" s="46"/>
      <c r="H613" s="46"/>
      <c r="I613" s="46"/>
    </row>
    <row r="614" spans="6:9" x14ac:dyDescent="0.25">
      <c r="F614" s="46"/>
      <c r="H614" s="46"/>
      <c r="I614" s="46"/>
    </row>
    <row r="615" spans="6:9" x14ac:dyDescent="0.25">
      <c r="F615" s="46"/>
      <c r="H615" s="46"/>
      <c r="I615" s="46"/>
    </row>
    <row r="616" spans="6:9" x14ac:dyDescent="0.25">
      <c r="F616" s="46"/>
      <c r="H616" s="46"/>
      <c r="I616" s="46"/>
    </row>
    <row r="617" spans="6:9" x14ac:dyDescent="0.25">
      <c r="F617" s="46"/>
      <c r="H617" s="46"/>
      <c r="I617" s="46"/>
    </row>
    <row r="618" spans="6:9" x14ac:dyDescent="0.25">
      <c r="F618" s="46"/>
      <c r="H618" s="46"/>
      <c r="I618" s="46"/>
    </row>
    <row r="619" spans="6:9" x14ac:dyDescent="0.25">
      <c r="F619" s="46"/>
      <c r="H619" s="46"/>
      <c r="I619" s="46"/>
    </row>
    <row r="620" spans="6:9" x14ac:dyDescent="0.25">
      <c r="F620" s="46"/>
      <c r="H620" s="46"/>
      <c r="I620" s="46"/>
    </row>
    <row r="621" spans="6:9" x14ac:dyDescent="0.25">
      <c r="F621" s="46"/>
      <c r="H621" s="46"/>
      <c r="I621" s="46"/>
    </row>
    <row r="622" spans="6:9" x14ac:dyDescent="0.25">
      <c r="F622" s="46"/>
      <c r="H622" s="46"/>
      <c r="I622" s="46"/>
    </row>
    <row r="623" spans="6:9" x14ac:dyDescent="0.25">
      <c r="F623" s="46"/>
      <c r="H623" s="46"/>
      <c r="I623" s="46"/>
    </row>
    <row r="624" spans="6:9" x14ac:dyDescent="0.25">
      <c r="F624" s="46"/>
      <c r="H624" s="46"/>
      <c r="I624" s="46"/>
    </row>
    <row r="625" spans="6:9" x14ac:dyDescent="0.25">
      <c r="F625" s="46"/>
      <c r="H625" s="46"/>
      <c r="I625" s="46"/>
    </row>
    <row r="626" spans="6:9" x14ac:dyDescent="0.25">
      <c r="F626" s="46"/>
      <c r="H626" s="46"/>
      <c r="I626" s="46"/>
    </row>
    <row r="627" spans="6:9" x14ac:dyDescent="0.25">
      <c r="F627" s="46"/>
      <c r="H627" s="46"/>
      <c r="I627" s="46"/>
    </row>
    <row r="628" spans="6:9" x14ac:dyDescent="0.25">
      <c r="F628" s="46"/>
      <c r="H628" s="46"/>
      <c r="I628" s="46"/>
    </row>
    <row r="629" spans="6:9" x14ac:dyDescent="0.25">
      <c r="F629" s="46"/>
      <c r="H629" s="46"/>
      <c r="I629" s="46"/>
    </row>
    <row r="630" spans="6:9" x14ac:dyDescent="0.25">
      <c r="F630" s="46"/>
      <c r="H630" s="46"/>
      <c r="I630" s="46"/>
    </row>
    <row r="631" spans="6:9" x14ac:dyDescent="0.25">
      <c r="F631" s="46"/>
      <c r="H631" s="46"/>
      <c r="I631" s="46"/>
    </row>
    <row r="632" spans="6:9" x14ac:dyDescent="0.25">
      <c r="F632" s="46"/>
      <c r="H632" s="46"/>
      <c r="I632" s="46"/>
    </row>
    <row r="633" spans="6:9" x14ac:dyDescent="0.25">
      <c r="F633" s="46"/>
      <c r="H633" s="46"/>
      <c r="I633" s="46"/>
    </row>
    <row r="634" spans="6:9" x14ac:dyDescent="0.25">
      <c r="F634" s="46"/>
      <c r="H634" s="46"/>
      <c r="I634" s="46"/>
    </row>
    <row r="635" spans="6:9" x14ac:dyDescent="0.25">
      <c r="F635" s="46"/>
      <c r="H635" s="46"/>
      <c r="I635" s="46"/>
    </row>
    <row r="636" spans="6:9" x14ac:dyDescent="0.25">
      <c r="F636" s="46"/>
      <c r="H636" s="46"/>
      <c r="I636" s="46"/>
    </row>
    <row r="637" spans="6:9" x14ac:dyDescent="0.25">
      <c r="F637" s="46"/>
      <c r="H637" s="46"/>
      <c r="I637" s="46"/>
    </row>
    <row r="638" spans="6:9" x14ac:dyDescent="0.25">
      <c r="F638" s="46"/>
      <c r="H638" s="46"/>
      <c r="I638" s="46"/>
    </row>
    <row r="639" spans="6:9" x14ac:dyDescent="0.25">
      <c r="F639" s="46"/>
      <c r="H639" s="46"/>
      <c r="I639" s="46"/>
    </row>
    <row r="640" spans="6:9" x14ac:dyDescent="0.25">
      <c r="F640" s="46"/>
      <c r="H640" s="46"/>
      <c r="I640" s="46"/>
    </row>
    <row r="641" spans="6:9" x14ac:dyDescent="0.25">
      <c r="F641" s="46"/>
      <c r="H641" s="46"/>
      <c r="I641" s="46"/>
    </row>
    <row r="642" spans="6:9" x14ac:dyDescent="0.25">
      <c r="F642" s="46"/>
      <c r="H642" s="46"/>
      <c r="I642" s="46"/>
    </row>
    <row r="643" spans="6:9" x14ac:dyDescent="0.25">
      <c r="F643" s="46"/>
      <c r="H643" s="46"/>
      <c r="I643" s="46"/>
    </row>
    <row r="644" spans="6:9" x14ac:dyDescent="0.25">
      <c r="F644" s="46"/>
      <c r="H644" s="46"/>
      <c r="I644" s="46"/>
    </row>
    <row r="645" spans="6:9" x14ac:dyDescent="0.25">
      <c r="F645" s="46"/>
      <c r="H645" s="46"/>
      <c r="I645" s="46"/>
    </row>
    <row r="646" spans="6:9" x14ac:dyDescent="0.25">
      <c r="F646" s="46"/>
      <c r="H646" s="46"/>
      <c r="I646" s="46"/>
    </row>
    <row r="647" spans="6:9" x14ac:dyDescent="0.25">
      <c r="F647" s="46"/>
      <c r="H647" s="46"/>
      <c r="I647" s="46"/>
    </row>
    <row r="648" spans="6:9" x14ac:dyDescent="0.25">
      <c r="F648" s="46"/>
      <c r="H648" s="46"/>
      <c r="I648" s="46"/>
    </row>
    <row r="649" spans="6:9" x14ac:dyDescent="0.25">
      <c r="F649" s="46"/>
      <c r="H649" s="46"/>
      <c r="I649" s="46"/>
    </row>
    <row r="650" spans="6:9" x14ac:dyDescent="0.25">
      <c r="F650" s="46"/>
      <c r="H650" s="46"/>
      <c r="I650" s="46"/>
    </row>
    <row r="651" spans="6:9" x14ac:dyDescent="0.25">
      <c r="F651" s="46"/>
      <c r="H651" s="46"/>
      <c r="I651" s="46"/>
    </row>
    <row r="652" spans="6:9" x14ac:dyDescent="0.25">
      <c r="F652" s="46"/>
      <c r="H652" s="46"/>
      <c r="I652" s="46"/>
    </row>
    <row r="653" spans="6:9" x14ac:dyDescent="0.25">
      <c r="F653" s="46"/>
      <c r="H653" s="46"/>
      <c r="I653" s="46"/>
    </row>
    <row r="654" spans="6:9" x14ac:dyDescent="0.25">
      <c r="F654" s="46"/>
      <c r="H654" s="46"/>
      <c r="I654" s="46"/>
    </row>
    <row r="655" spans="6:9" x14ac:dyDescent="0.25">
      <c r="F655" s="46"/>
      <c r="H655" s="46"/>
      <c r="I655" s="46"/>
    </row>
    <row r="656" spans="6:9" x14ac:dyDescent="0.25">
      <c r="F656" s="46"/>
      <c r="H656" s="46"/>
      <c r="I656" s="46"/>
    </row>
    <row r="657" spans="6:9" x14ac:dyDescent="0.25">
      <c r="F657" s="46"/>
      <c r="H657" s="46"/>
      <c r="I657" s="46"/>
    </row>
    <row r="658" spans="6:9" x14ac:dyDescent="0.25">
      <c r="F658" s="46"/>
      <c r="H658" s="46"/>
      <c r="I658" s="46"/>
    </row>
    <row r="659" spans="6:9" x14ac:dyDescent="0.25">
      <c r="F659" s="46"/>
      <c r="H659" s="46"/>
      <c r="I659" s="46"/>
    </row>
    <row r="660" spans="6:9" x14ac:dyDescent="0.25">
      <c r="F660" s="46"/>
      <c r="H660" s="46"/>
      <c r="I660" s="46"/>
    </row>
    <row r="661" spans="6:9" x14ac:dyDescent="0.25">
      <c r="F661" s="46"/>
      <c r="H661" s="46"/>
      <c r="I661" s="46"/>
    </row>
    <row r="662" spans="6:9" x14ac:dyDescent="0.25">
      <c r="F662" s="46"/>
      <c r="H662" s="46"/>
      <c r="I662" s="46"/>
    </row>
    <row r="663" spans="6:9" x14ac:dyDescent="0.25">
      <c r="F663" s="46"/>
      <c r="H663" s="46"/>
      <c r="I663" s="46"/>
    </row>
    <row r="664" spans="6:9" x14ac:dyDescent="0.25">
      <c r="F664" s="46"/>
      <c r="H664" s="46"/>
      <c r="I664" s="46"/>
    </row>
    <row r="665" spans="6:9" x14ac:dyDescent="0.25">
      <c r="F665" s="46"/>
      <c r="H665" s="46"/>
      <c r="I665" s="46"/>
    </row>
    <row r="666" spans="6:9" x14ac:dyDescent="0.25">
      <c r="F666" s="46"/>
      <c r="H666" s="46"/>
      <c r="I666" s="46"/>
    </row>
    <row r="667" spans="6:9" x14ac:dyDescent="0.25">
      <c r="F667" s="46"/>
      <c r="H667" s="46"/>
      <c r="I667" s="46"/>
    </row>
    <row r="668" spans="6:9" x14ac:dyDescent="0.25">
      <c r="F668" s="46"/>
      <c r="H668" s="46"/>
      <c r="I668" s="46"/>
    </row>
    <row r="669" spans="6:9" x14ac:dyDescent="0.25">
      <c r="F669" s="46"/>
      <c r="H669" s="46"/>
      <c r="I669" s="46"/>
    </row>
    <row r="670" spans="6:9" x14ac:dyDescent="0.25">
      <c r="F670" s="46"/>
      <c r="H670" s="46"/>
      <c r="I670" s="46"/>
    </row>
    <row r="671" spans="6:9" x14ac:dyDescent="0.25">
      <c r="F671" s="46"/>
      <c r="H671" s="46"/>
      <c r="I671" s="46"/>
    </row>
    <row r="672" spans="6:9" x14ac:dyDescent="0.25">
      <c r="F672" s="46"/>
      <c r="H672" s="46"/>
      <c r="I672" s="46"/>
    </row>
    <row r="673" spans="6:9" x14ac:dyDescent="0.25">
      <c r="F673" s="46"/>
      <c r="H673" s="46"/>
      <c r="I673" s="46"/>
    </row>
    <row r="674" spans="6:9" x14ac:dyDescent="0.25">
      <c r="F674" s="46"/>
      <c r="H674" s="46"/>
      <c r="I674" s="46"/>
    </row>
    <row r="675" spans="6:9" x14ac:dyDescent="0.25">
      <c r="F675" s="46"/>
      <c r="H675" s="46"/>
      <c r="I675" s="46"/>
    </row>
    <row r="676" spans="6:9" x14ac:dyDescent="0.25">
      <c r="F676" s="46"/>
      <c r="H676" s="46"/>
      <c r="I676" s="46"/>
    </row>
    <row r="677" spans="6:9" x14ac:dyDescent="0.25">
      <c r="F677" s="46"/>
      <c r="H677" s="46"/>
      <c r="I677" s="46"/>
    </row>
    <row r="678" spans="6:9" x14ac:dyDescent="0.25">
      <c r="F678" s="46"/>
      <c r="H678" s="46"/>
      <c r="I678" s="46"/>
    </row>
    <row r="679" spans="6:9" x14ac:dyDescent="0.25">
      <c r="F679" s="46"/>
      <c r="H679" s="46"/>
      <c r="I679" s="46"/>
    </row>
    <row r="680" spans="6:9" x14ac:dyDescent="0.25">
      <c r="F680" s="46"/>
      <c r="H680" s="46"/>
      <c r="I680" s="46"/>
    </row>
    <row r="681" spans="6:9" x14ac:dyDescent="0.25">
      <c r="F681" s="46"/>
      <c r="H681" s="46"/>
      <c r="I681" s="46"/>
    </row>
    <row r="682" spans="6:9" x14ac:dyDescent="0.25">
      <c r="F682" s="46"/>
      <c r="H682" s="46"/>
      <c r="I682" s="46"/>
    </row>
    <row r="683" spans="6:9" x14ac:dyDescent="0.25">
      <c r="F683" s="46"/>
      <c r="H683" s="46"/>
      <c r="I683" s="46"/>
    </row>
    <row r="684" spans="6:9" x14ac:dyDescent="0.25">
      <c r="F684" s="46"/>
      <c r="H684" s="46"/>
      <c r="I684" s="46"/>
    </row>
    <row r="685" spans="6:9" x14ac:dyDescent="0.25">
      <c r="F685" s="46"/>
      <c r="H685" s="46"/>
      <c r="I685" s="46"/>
    </row>
    <row r="686" spans="6:9" x14ac:dyDescent="0.25">
      <c r="F686" s="46"/>
      <c r="H686" s="46"/>
      <c r="I686" s="46"/>
    </row>
    <row r="687" spans="6:9" x14ac:dyDescent="0.25">
      <c r="F687" s="46"/>
      <c r="H687" s="46"/>
      <c r="I687" s="46"/>
    </row>
    <row r="688" spans="6:9" x14ac:dyDescent="0.25">
      <c r="F688" s="46"/>
      <c r="H688" s="46"/>
      <c r="I688" s="46"/>
    </row>
    <row r="689" spans="6:9" x14ac:dyDescent="0.25">
      <c r="F689" s="46"/>
      <c r="H689" s="46"/>
      <c r="I689" s="46"/>
    </row>
    <row r="690" spans="6:9" x14ac:dyDescent="0.25">
      <c r="F690" s="46"/>
      <c r="H690" s="46"/>
      <c r="I690" s="46"/>
    </row>
    <row r="691" spans="6:9" x14ac:dyDescent="0.25">
      <c r="F691" s="46"/>
      <c r="H691" s="46"/>
      <c r="I691" s="46"/>
    </row>
    <row r="692" spans="6:9" x14ac:dyDescent="0.25">
      <c r="F692" s="46"/>
      <c r="H692" s="46"/>
      <c r="I692" s="46"/>
    </row>
    <row r="693" spans="6:9" x14ac:dyDescent="0.25">
      <c r="F693" s="46"/>
      <c r="H693" s="46"/>
      <c r="I693" s="46"/>
    </row>
    <row r="694" spans="6:9" x14ac:dyDescent="0.25">
      <c r="F694" s="46"/>
      <c r="H694" s="46"/>
      <c r="I694" s="46"/>
    </row>
    <row r="695" spans="6:9" x14ac:dyDescent="0.25">
      <c r="F695" s="46"/>
      <c r="H695" s="46"/>
      <c r="I695" s="46"/>
    </row>
    <row r="696" spans="6:9" x14ac:dyDescent="0.25">
      <c r="F696" s="46"/>
      <c r="H696" s="46"/>
      <c r="I696" s="46"/>
    </row>
    <row r="697" spans="6:9" x14ac:dyDescent="0.25">
      <c r="F697" s="46"/>
      <c r="H697" s="46"/>
      <c r="I697" s="46"/>
    </row>
    <row r="698" spans="6:9" x14ac:dyDescent="0.25">
      <c r="F698" s="46"/>
      <c r="H698" s="46"/>
      <c r="I698" s="46"/>
    </row>
    <row r="699" spans="6:9" x14ac:dyDescent="0.25">
      <c r="F699" s="46"/>
      <c r="H699" s="46"/>
      <c r="I699" s="46"/>
    </row>
    <row r="700" spans="6:9" x14ac:dyDescent="0.25">
      <c r="F700" s="46"/>
      <c r="H700" s="46"/>
      <c r="I700" s="46"/>
    </row>
    <row r="701" spans="6:9" x14ac:dyDescent="0.25">
      <c r="F701" s="46"/>
      <c r="H701" s="46"/>
      <c r="I701" s="46"/>
    </row>
    <row r="702" spans="6:9" x14ac:dyDescent="0.25">
      <c r="F702" s="46"/>
      <c r="H702" s="46"/>
      <c r="I702" s="46"/>
    </row>
    <row r="703" spans="6:9" x14ac:dyDescent="0.25">
      <c r="F703" s="46"/>
      <c r="H703" s="46"/>
      <c r="I703" s="46"/>
    </row>
    <row r="704" spans="6:9" x14ac:dyDescent="0.25">
      <c r="F704" s="46"/>
      <c r="H704" s="46"/>
      <c r="I704" s="46"/>
    </row>
    <row r="705" spans="6:9" x14ac:dyDescent="0.25">
      <c r="F705" s="46"/>
      <c r="H705" s="46"/>
      <c r="I705" s="46"/>
    </row>
    <row r="706" spans="6:9" x14ac:dyDescent="0.25">
      <c r="F706" s="46"/>
      <c r="H706" s="46"/>
      <c r="I706" s="46"/>
    </row>
    <row r="707" spans="6:9" x14ac:dyDescent="0.25">
      <c r="F707" s="46"/>
      <c r="H707" s="46"/>
      <c r="I707" s="46"/>
    </row>
    <row r="708" spans="6:9" x14ac:dyDescent="0.25">
      <c r="F708" s="46"/>
      <c r="H708" s="46"/>
      <c r="I708" s="46"/>
    </row>
    <row r="709" spans="6:9" x14ac:dyDescent="0.25">
      <c r="F709" s="46"/>
      <c r="H709" s="46"/>
      <c r="I709" s="46"/>
    </row>
    <row r="710" spans="6:9" x14ac:dyDescent="0.25">
      <c r="F710" s="46"/>
      <c r="H710" s="46"/>
      <c r="I710" s="46"/>
    </row>
    <row r="711" spans="6:9" x14ac:dyDescent="0.25">
      <c r="F711" s="46"/>
      <c r="H711" s="46"/>
      <c r="I711" s="46"/>
    </row>
    <row r="712" spans="6:9" x14ac:dyDescent="0.25">
      <c r="F712" s="46"/>
      <c r="H712" s="46"/>
      <c r="I712" s="46"/>
    </row>
    <row r="713" spans="6:9" x14ac:dyDescent="0.25">
      <c r="F713" s="46"/>
      <c r="H713" s="46"/>
      <c r="I713" s="46"/>
    </row>
    <row r="714" spans="6:9" x14ac:dyDescent="0.25">
      <c r="F714" s="46"/>
      <c r="H714" s="46"/>
      <c r="I714" s="46"/>
    </row>
    <row r="715" spans="6:9" x14ac:dyDescent="0.25">
      <c r="F715" s="46"/>
      <c r="H715" s="46"/>
      <c r="I715" s="46"/>
    </row>
    <row r="716" spans="6:9" x14ac:dyDescent="0.25">
      <c r="F716" s="46"/>
      <c r="H716" s="46"/>
      <c r="I716" s="46"/>
    </row>
    <row r="717" spans="6:9" x14ac:dyDescent="0.25">
      <c r="F717" s="46"/>
      <c r="H717" s="46"/>
      <c r="I717" s="46"/>
    </row>
    <row r="718" spans="6:9" x14ac:dyDescent="0.25">
      <c r="F718" s="46"/>
      <c r="H718" s="46"/>
      <c r="I718" s="46"/>
    </row>
    <row r="719" spans="6:9" x14ac:dyDescent="0.25">
      <c r="F719" s="46"/>
      <c r="H719" s="46"/>
      <c r="I719" s="46"/>
    </row>
    <row r="720" spans="6:9" x14ac:dyDescent="0.25">
      <c r="F720" s="46"/>
      <c r="H720" s="46"/>
      <c r="I720" s="46"/>
    </row>
    <row r="721" spans="6:9" x14ac:dyDescent="0.25">
      <c r="F721" s="46"/>
      <c r="H721" s="46"/>
      <c r="I721" s="46"/>
    </row>
    <row r="722" spans="6:9" x14ac:dyDescent="0.25">
      <c r="F722" s="46"/>
      <c r="H722" s="46"/>
      <c r="I722" s="46"/>
    </row>
    <row r="723" spans="6:9" x14ac:dyDescent="0.25">
      <c r="F723" s="46"/>
      <c r="H723" s="46"/>
      <c r="I723" s="46"/>
    </row>
    <row r="724" spans="6:9" x14ac:dyDescent="0.25">
      <c r="F724" s="46"/>
      <c r="H724" s="46"/>
      <c r="I724" s="46"/>
    </row>
    <row r="725" spans="6:9" x14ac:dyDescent="0.25">
      <c r="F725" s="46"/>
      <c r="H725" s="46"/>
      <c r="I725" s="46"/>
    </row>
    <row r="726" spans="6:9" x14ac:dyDescent="0.25">
      <c r="F726" s="46"/>
      <c r="H726" s="46"/>
      <c r="I726" s="46"/>
    </row>
    <row r="727" spans="6:9" x14ac:dyDescent="0.25">
      <c r="F727" s="46"/>
      <c r="H727" s="46"/>
      <c r="I727" s="46"/>
    </row>
    <row r="728" spans="6:9" x14ac:dyDescent="0.25">
      <c r="F728" s="46"/>
      <c r="H728" s="46"/>
      <c r="I728" s="46"/>
    </row>
    <row r="729" spans="6:9" x14ac:dyDescent="0.25">
      <c r="F729" s="46"/>
      <c r="H729" s="46"/>
      <c r="I729" s="46"/>
    </row>
    <row r="730" spans="6:9" x14ac:dyDescent="0.25">
      <c r="F730" s="46"/>
      <c r="H730" s="46"/>
      <c r="I730" s="46"/>
    </row>
    <row r="731" spans="6:9" x14ac:dyDescent="0.25">
      <c r="F731" s="46"/>
      <c r="H731" s="46"/>
      <c r="I731" s="46"/>
    </row>
    <row r="732" spans="6:9" x14ac:dyDescent="0.25">
      <c r="F732" s="46"/>
      <c r="H732" s="46"/>
      <c r="I732" s="46"/>
    </row>
    <row r="733" spans="6:9" x14ac:dyDescent="0.25">
      <c r="F733" s="46"/>
      <c r="H733" s="46"/>
      <c r="I733" s="46"/>
    </row>
    <row r="734" spans="6:9" x14ac:dyDescent="0.25">
      <c r="F734" s="46"/>
      <c r="H734" s="46"/>
      <c r="I734" s="46"/>
    </row>
    <row r="735" spans="6:9" x14ac:dyDescent="0.25">
      <c r="F735" s="46"/>
      <c r="H735" s="46"/>
      <c r="I735" s="46"/>
    </row>
    <row r="736" spans="6:9" x14ac:dyDescent="0.25">
      <c r="F736" s="46"/>
      <c r="H736" s="46"/>
      <c r="I736" s="46"/>
    </row>
    <row r="737" spans="6:9" x14ac:dyDescent="0.25">
      <c r="F737" s="46"/>
      <c r="H737" s="46"/>
      <c r="I737" s="46"/>
    </row>
    <row r="738" spans="6:9" x14ac:dyDescent="0.25">
      <c r="F738" s="46"/>
      <c r="H738" s="46"/>
      <c r="I738" s="46"/>
    </row>
    <row r="739" spans="6:9" x14ac:dyDescent="0.25">
      <c r="F739" s="46"/>
      <c r="H739" s="46"/>
      <c r="I739" s="46"/>
    </row>
    <row r="740" spans="6:9" x14ac:dyDescent="0.25">
      <c r="F740" s="46"/>
      <c r="H740" s="46"/>
      <c r="I740" s="46"/>
    </row>
    <row r="741" spans="6:9" x14ac:dyDescent="0.25">
      <c r="F741" s="46"/>
      <c r="H741" s="46"/>
      <c r="I741" s="46"/>
    </row>
    <row r="742" spans="6:9" x14ac:dyDescent="0.25">
      <c r="F742" s="46"/>
      <c r="H742" s="46"/>
      <c r="I742" s="46"/>
    </row>
    <row r="743" spans="6:9" x14ac:dyDescent="0.25">
      <c r="F743" s="46"/>
      <c r="H743" s="46"/>
      <c r="I743" s="46"/>
    </row>
    <row r="744" spans="6:9" x14ac:dyDescent="0.25">
      <c r="F744" s="46"/>
      <c r="H744" s="46"/>
      <c r="I744" s="46"/>
    </row>
    <row r="745" spans="6:9" x14ac:dyDescent="0.25">
      <c r="F745" s="46"/>
      <c r="H745" s="46"/>
      <c r="I745" s="46"/>
    </row>
    <row r="746" spans="6:9" x14ac:dyDescent="0.25">
      <c r="F746" s="46"/>
      <c r="H746" s="46"/>
      <c r="I746" s="46"/>
    </row>
    <row r="747" spans="6:9" x14ac:dyDescent="0.25">
      <c r="F747" s="46"/>
      <c r="H747" s="46"/>
      <c r="I747" s="46"/>
    </row>
    <row r="748" spans="6:9" x14ac:dyDescent="0.25">
      <c r="F748" s="46"/>
      <c r="H748" s="46"/>
      <c r="I748" s="46"/>
    </row>
    <row r="749" spans="6:9" x14ac:dyDescent="0.25">
      <c r="F749" s="46"/>
      <c r="H749" s="46"/>
      <c r="I749" s="46"/>
    </row>
    <row r="750" spans="6:9" x14ac:dyDescent="0.25">
      <c r="F750" s="46"/>
      <c r="H750" s="46"/>
      <c r="I750" s="46"/>
    </row>
    <row r="751" spans="6:9" x14ac:dyDescent="0.25">
      <c r="F751" s="46"/>
      <c r="H751" s="46"/>
      <c r="I751" s="46"/>
    </row>
    <row r="752" spans="6:9" x14ac:dyDescent="0.25">
      <c r="F752" s="46"/>
      <c r="H752" s="46"/>
      <c r="I752" s="46"/>
    </row>
    <row r="753" spans="6:9" x14ac:dyDescent="0.25">
      <c r="F753" s="46"/>
      <c r="H753" s="46"/>
      <c r="I753" s="46"/>
    </row>
    <row r="754" spans="6:9" x14ac:dyDescent="0.25">
      <c r="F754" s="46"/>
      <c r="H754" s="46"/>
      <c r="I754" s="46"/>
    </row>
    <row r="755" spans="6:9" x14ac:dyDescent="0.25">
      <c r="F755" s="46"/>
      <c r="H755" s="46"/>
      <c r="I755" s="46"/>
    </row>
    <row r="756" spans="6:9" x14ac:dyDescent="0.25">
      <c r="F756" s="46"/>
      <c r="H756" s="46"/>
      <c r="I756" s="46"/>
    </row>
    <row r="757" spans="6:9" x14ac:dyDescent="0.25">
      <c r="F757" s="46"/>
      <c r="H757" s="46"/>
      <c r="I757" s="46"/>
    </row>
    <row r="758" spans="6:9" x14ac:dyDescent="0.25">
      <c r="F758" s="46"/>
      <c r="H758" s="46"/>
      <c r="I758" s="46"/>
    </row>
    <row r="759" spans="6:9" x14ac:dyDescent="0.25">
      <c r="F759" s="46"/>
      <c r="H759" s="46"/>
      <c r="I759" s="46"/>
    </row>
    <row r="760" spans="6:9" x14ac:dyDescent="0.25">
      <c r="F760" s="46"/>
      <c r="H760" s="46"/>
      <c r="I760" s="46"/>
    </row>
    <row r="761" spans="6:9" x14ac:dyDescent="0.25">
      <c r="F761" s="46"/>
      <c r="H761" s="46"/>
      <c r="I761" s="46"/>
    </row>
    <row r="762" spans="6:9" x14ac:dyDescent="0.25">
      <c r="F762" s="46"/>
      <c r="H762" s="46"/>
      <c r="I762" s="46"/>
    </row>
    <row r="763" spans="6:9" x14ac:dyDescent="0.25">
      <c r="F763" s="46"/>
      <c r="H763" s="46"/>
      <c r="I763" s="46"/>
    </row>
    <row r="764" spans="6:9" x14ac:dyDescent="0.25">
      <c r="F764" s="46"/>
      <c r="H764" s="46"/>
      <c r="I764" s="46"/>
    </row>
    <row r="765" spans="6:9" x14ac:dyDescent="0.25">
      <c r="F765" s="46"/>
      <c r="H765" s="46"/>
      <c r="I765" s="46"/>
    </row>
    <row r="766" spans="6:9" x14ac:dyDescent="0.25">
      <c r="F766" s="46"/>
      <c r="H766" s="46"/>
      <c r="I766" s="46"/>
    </row>
    <row r="767" spans="6:9" x14ac:dyDescent="0.25">
      <c r="F767" s="46"/>
      <c r="H767" s="46"/>
      <c r="I767" s="46"/>
    </row>
    <row r="768" spans="6:9" x14ac:dyDescent="0.25">
      <c r="F768" s="46"/>
      <c r="H768" s="46"/>
      <c r="I768" s="46"/>
    </row>
    <row r="769" spans="6:9" x14ac:dyDescent="0.25">
      <c r="F769" s="46"/>
      <c r="H769" s="46"/>
      <c r="I769" s="46"/>
    </row>
    <row r="770" spans="6:9" x14ac:dyDescent="0.25">
      <c r="F770" s="46"/>
      <c r="H770" s="46"/>
      <c r="I770" s="46"/>
    </row>
    <row r="771" spans="6:9" x14ac:dyDescent="0.25">
      <c r="F771" s="46"/>
      <c r="H771" s="46"/>
      <c r="I771" s="46"/>
    </row>
    <row r="772" spans="6:9" x14ac:dyDescent="0.25">
      <c r="F772" s="46"/>
      <c r="H772" s="46"/>
      <c r="I772" s="46"/>
    </row>
    <row r="773" spans="6:9" x14ac:dyDescent="0.25">
      <c r="F773" s="46"/>
      <c r="H773" s="46"/>
      <c r="I773" s="46"/>
    </row>
    <row r="774" spans="6:9" x14ac:dyDescent="0.25">
      <c r="F774" s="46"/>
      <c r="H774" s="46"/>
      <c r="I774" s="46"/>
    </row>
    <row r="775" spans="6:9" x14ac:dyDescent="0.25">
      <c r="F775" s="46"/>
      <c r="H775" s="46"/>
      <c r="I775" s="46"/>
    </row>
    <row r="776" spans="6:9" x14ac:dyDescent="0.25">
      <c r="F776" s="46"/>
      <c r="H776" s="46"/>
      <c r="I776" s="46"/>
    </row>
    <row r="777" spans="6:9" x14ac:dyDescent="0.25">
      <c r="F777" s="46"/>
      <c r="H777" s="46"/>
      <c r="I777" s="46"/>
    </row>
    <row r="778" spans="6:9" x14ac:dyDescent="0.25">
      <c r="F778" s="46"/>
      <c r="H778" s="46"/>
      <c r="I778" s="46"/>
    </row>
    <row r="779" spans="6:9" x14ac:dyDescent="0.25">
      <c r="F779" s="46"/>
      <c r="H779" s="46"/>
      <c r="I779" s="46"/>
    </row>
    <row r="780" spans="6:9" x14ac:dyDescent="0.25">
      <c r="F780" s="46"/>
      <c r="H780" s="46"/>
      <c r="I780" s="46"/>
    </row>
    <row r="781" spans="6:9" x14ac:dyDescent="0.25">
      <c r="F781" s="46"/>
      <c r="H781" s="46"/>
      <c r="I781" s="46"/>
    </row>
    <row r="782" spans="6:9" x14ac:dyDescent="0.25">
      <c r="F782" s="46"/>
      <c r="H782" s="46"/>
      <c r="I782" s="46"/>
    </row>
    <row r="783" spans="6:9" x14ac:dyDescent="0.25">
      <c r="F783" s="46"/>
      <c r="H783" s="46"/>
      <c r="I783" s="46"/>
    </row>
    <row r="784" spans="6:9" x14ac:dyDescent="0.25">
      <c r="F784" s="46"/>
      <c r="H784" s="46"/>
      <c r="I784" s="46"/>
    </row>
    <row r="785" spans="6:9" x14ac:dyDescent="0.25">
      <c r="F785" s="46"/>
      <c r="H785" s="46"/>
      <c r="I785" s="46"/>
    </row>
    <row r="786" spans="6:9" x14ac:dyDescent="0.25">
      <c r="F786" s="46"/>
      <c r="H786" s="46"/>
      <c r="I786" s="46"/>
    </row>
    <row r="787" spans="6:9" x14ac:dyDescent="0.25">
      <c r="F787" s="46"/>
      <c r="H787" s="46"/>
      <c r="I787" s="46"/>
    </row>
    <row r="788" spans="6:9" x14ac:dyDescent="0.25">
      <c r="F788" s="46"/>
      <c r="H788" s="46"/>
      <c r="I788" s="46"/>
    </row>
    <row r="789" spans="6:9" x14ac:dyDescent="0.25">
      <c r="F789" s="46"/>
      <c r="H789" s="46"/>
      <c r="I789" s="46"/>
    </row>
    <row r="790" spans="6:9" x14ac:dyDescent="0.25">
      <c r="F790" s="46"/>
      <c r="H790" s="46"/>
      <c r="I790" s="46"/>
    </row>
    <row r="791" spans="6:9" x14ac:dyDescent="0.25">
      <c r="F791" s="46"/>
      <c r="H791" s="46"/>
      <c r="I791" s="46"/>
    </row>
    <row r="792" spans="6:9" x14ac:dyDescent="0.25">
      <c r="F792" s="46"/>
      <c r="H792" s="46"/>
      <c r="I792" s="46"/>
    </row>
    <row r="793" spans="6:9" x14ac:dyDescent="0.25">
      <c r="F793" s="46"/>
      <c r="H793" s="46"/>
      <c r="I793" s="46"/>
    </row>
    <row r="794" spans="6:9" x14ac:dyDescent="0.25">
      <c r="F794" s="46"/>
      <c r="H794" s="46"/>
      <c r="I794" s="46"/>
    </row>
    <row r="795" spans="6:9" x14ac:dyDescent="0.25">
      <c r="F795" s="46"/>
      <c r="H795" s="46"/>
      <c r="I795" s="46"/>
    </row>
    <row r="796" spans="6:9" x14ac:dyDescent="0.25">
      <c r="F796" s="46"/>
      <c r="H796" s="46"/>
      <c r="I796" s="46"/>
    </row>
    <row r="797" spans="6:9" x14ac:dyDescent="0.25">
      <c r="F797" s="46"/>
      <c r="H797" s="46"/>
      <c r="I797" s="46"/>
    </row>
    <row r="798" spans="6:9" x14ac:dyDescent="0.25">
      <c r="F798" s="46"/>
      <c r="H798" s="46"/>
      <c r="I798" s="46"/>
    </row>
    <row r="799" spans="6:9" x14ac:dyDescent="0.25">
      <c r="F799" s="46"/>
      <c r="H799" s="46"/>
      <c r="I799" s="46"/>
    </row>
    <row r="800" spans="6:9" x14ac:dyDescent="0.25">
      <c r="F800" s="46"/>
      <c r="H800" s="46"/>
      <c r="I800" s="46"/>
    </row>
    <row r="801" spans="6:9" x14ac:dyDescent="0.25">
      <c r="F801" s="46"/>
      <c r="H801" s="46"/>
      <c r="I801" s="46"/>
    </row>
    <row r="802" spans="6:9" x14ac:dyDescent="0.25">
      <c r="F802" s="46"/>
      <c r="H802" s="46"/>
      <c r="I802" s="46"/>
    </row>
    <row r="803" spans="6:9" x14ac:dyDescent="0.25">
      <c r="F803" s="46"/>
      <c r="H803" s="46"/>
      <c r="I803" s="46"/>
    </row>
    <row r="804" spans="6:9" x14ac:dyDescent="0.25">
      <c r="F804" s="46"/>
      <c r="H804" s="46"/>
      <c r="I804" s="46"/>
    </row>
    <row r="805" spans="6:9" x14ac:dyDescent="0.25">
      <c r="F805" s="46"/>
      <c r="H805" s="46"/>
      <c r="I805" s="46"/>
    </row>
    <row r="806" spans="6:9" x14ac:dyDescent="0.25">
      <c r="F806" s="46"/>
      <c r="H806" s="46"/>
      <c r="I806" s="46"/>
    </row>
    <row r="807" spans="6:9" x14ac:dyDescent="0.25">
      <c r="F807" s="46"/>
      <c r="H807" s="46"/>
      <c r="I807" s="46"/>
    </row>
    <row r="808" spans="6:9" x14ac:dyDescent="0.25">
      <c r="F808" s="46"/>
      <c r="H808" s="46"/>
      <c r="I808" s="46"/>
    </row>
    <row r="809" spans="6:9" x14ac:dyDescent="0.25">
      <c r="F809" s="46"/>
      <c r="H809" s="46"/>
      <c r="I809" s="46"/>
    </row>
    <row r="810" spans="6:9" x14ac:dyDescent="0.25">
      <c r="F810" s="46"/>
      <c r="H810" s="46"/>
      <c r="I810" s="46"/>
    </row>
    <row r="811" spans="6:9" x14ac:dyDescent="0.25">
      <c r="F811" s="46"/>
      <c r="H811" s="46"/>
      <c r="I811" s="46"/>
    </row>
    <row r="812" spans="6:9" x14ac:dyDescent="0.25">
      <c r="F812" s="46"/>
      <c r="H812" s="46"/>
      <c r="I812" s="46"/>
    </row>
    <row r="813" spans="6:9" x14ac:dyDescent="0.25">
      <c r="F813" s="46"/>
      <c r="H813" s="46"/>
      <c r="I813" s="46"/>
    </row>
    <row r="814" spans="6:9" x14ac:dyDescent="0.25">
      <c r="F814" s="46"/>
      <c r="H814" s="46"/>
      <c r="I814" s="46"/>
    </row>
    <row r="815" spans="6:9" x14ac:dyDescent="0.25">
      <c r="F815" s="46"/>
      <c r="H815" s="46"/>
      <c r="I815" s="46"/>
    </row>
    <row r="816" spans="6:9" x14ac:dyDescent="0.25">
      <c r="F816" s="46"/>
      <c r="H816" s="46"/>
      <c r="I816" s="46"/>
    </row>
    <row r="817" spans="6:9" x14ac:dyDescent="0.25">
      <c r="F817" s="46"/>
      <c r="H817" s="46"/>
      <c r="I817" s="46"/>
    </row>
    <row r="818" spans="6:9" x14ac:dyDescent="0.25">
      <c r="F818" s="46"/>
      <c r="H818" s="46"/>
      <c r="I818" s="46"/>
    </row>
    <row r="819" spans="6:9" x14ac:dyDescent="0.25">
      <c r="F819" s="46"/>
      <c r="H819" s="46"/>
      <c r="I819" s="46"/>
    </row>
    <row r="820" spans="6:9" x14ac:dyDescent="0.25">
      <c r="F820" s="46"/>
      <c r="H820" s="46"/>
      <c r="I820" s="46"/>
    </row>
    <row r="821" spans="6:9" x14ac:dyDescent="0.25">
      <c r="F821" s="46"/>
      <c r="H821" s="46"/>
      <c r="I821" s="46"/>
    </row>
    <row r="822" spans="6:9" x14ac:dyDescent="0.25">
      <c r="F822" s="46"/>
      <c r="H822" s="46"/>
      <c r="I822" s="46"/>
    </row>
    <row r="823" spans="6:9" x14ac:dyDescent="0.25">
      <c r="F823" s="46"/>
      <c r="H823" s="46"/>
      <c r="I823" s="46"/>
    </row>
    <row r="824" spans="6:9" x14ac:dyDescent="0.25">
      <c r="F824" s="46"/>
      <c r="H824" s="46"/>
      <c r="I824" s="46"/>
    </row>
    <row r="825" spans="6:9" x14ac:dyDescent="0.25">
      <c r="F825" s="46"/>
      <c r="H825" s="46"/>
      <c r="I825" s="46"/>
    </row>
    <row r="826" spans="6:9" x14ac:dyDescent="0.25">
      <c r="F826" s="46"/>
      <c r="H826" s="46"/>
      <c r="I826" s="46"/>
    </row>
    <row r="827" spans="6:9" x14ac:dyDescent="0.25">
      <c r="F827" s="46"/>
      <c r="H827" s="46"/>
      <c r="I827" s="46"/>
    </row>
    <row r="828" spans="6:9" x14ac:dyDescent="0.25">
      <c r="F828" s="46"/>
      <c r="H828" s="46"/>
      <c r="I828" s="46"/>
    </row>
    <row r="829" spans="6:9" x14ac:dyDescent="0.25">
      <c r="F829" s="46"/>
      <c r="H829" s="46"/>
      <c r="I829" s="46"/>
    </row>
    <row r="830" spans="6:9" x14ac:dyDescent="0.25">
      <c r="F830" s="46"/>
      <c r="H830" s="46"/>
      <c r="I830" s="46"/>
    </row>
    <row r="831" spans="6:9" x14ac:dyDescent="0.25">
      <c r="F831" s="46"/>
      <c r="H831" s="46"/>
      <c r="I831" s="46"/>
    </row>
    <row r="832" spans="6:9" x14ac:dyDescent="0.25">
      <c r="F832" s="46"/>
      <c r="H832" s="46"/>
      <c r="I832" s="46"/>
    </row>
    <row r="833" spans="6:9" x14ac:dyDescent="0.25">
      <c r="F833" s="46"/>
      <c r="H833" s="46"/>
      <c r="I833" s="46"/>
    </row>
    <row r="834" spans="6:9" x14ac:dyDescent="0.25">
      <c r="F834" s="46"/>
      <c r="H834" s="46"/>
      <c r="I834" s="46"/>
    </row>
    <row r="835" spans="6:9" x14ac:dyDescent="0.25">
      <c r="F835" s="46"/>
      <c r="H835" s="46"/>
      <c r="I835" s="46"/>
    </row>
    <row r="836" spans="6:9" x14ac:dyDescent="0.25">
      <c r="F836" s="46"/>
      <c r="H836" s="46"/>
      <c r="I836" s="46"/>
    </row>
    <row r="837" spans="6:9" x14ac:dyDescent="0.25">
      <c r="F837" s="46"/>
      <c r="H837" s="46"/>
      <c r="I837" s="46"/>
    </row>
    <row r="838" spans="6:9" x14ac:dyDescent="0.25">
      <c r="F838" s="46"/>
      <c r="H838" s="46"/>
      <c r="I838" s="46"/>
    </row>
    <row r="839" spans="6:9" x14ac:dyDescent="0.25">
      <c r="F839" s="46"/>
      <c r="H839" s="46"/>
      <c r="I839" s="46"/>
    </row>
    <row r="840" spans="6:9" x14ac:dyDescent="0.25">
      <c r="F840" s="46"/>
      <c r="H840" s="46"/>
      <c r="I840" s="46"/>
    </row>
    <row r="841" spans="6:9" x14ac:dyDescent="0.25">
      <c r="F841" s="46"/>
      <c r="H841" s="46"/>
      <c r="I841" s="46"/>
    </row>
    <row r="842" spans="6:9" x14ac:dyDescent="0.25">
      <c r="F842" s="46"/>
      <c r="H842" s="46"/>
      <c r="I842" s="46"/>
    </row>
    <row r="843" spans="6:9" x14ac:dyDescent="0.25">
      <c r="F843" s="46"/>
      <c r="H843" s="46"/>
      <c r="I843" s="46"/>
    </row>
    <row r="844" spans="6:9" x14ac:dyDescent="0.25">
      <c r="F844" s="46"/>
      <c r="H844" s="46"/>
      <c r="I844" s="46"/>
    </row>
    <row r="845" spans="6:9" x14ac:dyDescent="0.25">
      <c r="F845" s="46"/>
      <c r="H845" s="46"/>
      <c r="I845" s="46"/>
    </row>
    <row r="846" spans="6:9" x14ac:dyDescent="0.25">
      <c r="F846" s="46"/>
      <c r="H846" s="46"/>
      <c r="I846" s="46"/>
    </row>
    <row r="847" spans="6:9" x14ac:dyDescent="0.25">
      <c r="F847" s="46"/>
      <c r="H847" s="46"/>
      <c r="I847" s="46"/>
    </row>
    <row r="848" spans="6:9" x14ac:dyDescent="0.25">
      <c r="F848" s="46"/>
      <c r="H848" s="46"/>
      <c r="I848" s="46"/>
    </row>
    <row r="849" spans="6:9" x14ac:dyDescent="0.25">
      <c r="F849" s="46"/>
      <c r="H849" s="46"/>
      <c r="I849" s="46"/>
    </row>
    <row r="850" spans="6:9" x14ac:dyDescent="0.25">
      <c r="F850" s="46"/>
      <c r="H850" s="46"/>
      <c r="I850" s="46"/>
    </row>
    <row r="851" spans="6:9" x14ac:dyDescent="0.25">
      <c r="F851" s="46"/>
      <c r="H851" s="46"/>
      <c r="I851" s="46"/>
    </row>
    <row r="852" spans="6:9" x14ac:dyDescent="0.25">
      <c r="F852" s="46"/>
      <c r="H852" s="46"/>
      <c r="I852" s="46"/>
    </row>
    <row r="853" spans="6:9" x14ac:dyDescent="0.25">
      <c r="F853" s="46"/>
      <c r="H853" s="46"/>
      <c r="I853" s="46"/>
    </row>
    <row r="854" spans="6:9" x14ac:dyDescent="0.25">
      <c r="F854" s="46"/>
      <c r="H854" s="46"/>
      <c r="I854" s="46"/>
    </row>
    <row r="855" spans="6:9" x14ac:dyDescent="0.25">
      <c r="F855" s="46"/>
      <c r="H855" s="46"/>
      <c r="I855" s="46"/>
    </row>
    <row r="856" spans="6:9" x14ac:dyDescent="0.25">
      <c r="F856" s="46"/>
      <c r="H856" s="46"/>
      <c r="I856" s="46"/>
    </row>
    <row r="857" spans="6:9" x14ac:dyDescent="0.25">
      <c r="F857" s="46"/>
      <c r="H857" s="46"/>
      <c r="I857" s="46"/>
    </row>
    <row r="858" spans="6:9" x14ac:dyDescent="0.25">
      <c r="F858" s="46"/>
      <c r="H858" s="46"/>
      <c r="I858" s="46"/>
    </row>
    <row r="859" spans="6:9" x14ac:dyDescent="0.25">
      <c r="F859" s="46"/>
      <c r="H859" s="46"/>
      <c r="I859" s="46"/>
    </row>
    <row r="860" spans="6:9" x14ac:dyDescent="0.25">
      <c r="F860" s="46"/>
      <c r="H860" s="46"/>
      <c r="I860" s="46"/>
    </row>
    <row r="861" spans="6:9" x14ac:dyDescent="0.25">
      <c r="F861" s="46"/>
      <c r="H861" s="46"/>
      <c r="I861" s="46"/>
    </row>
    <row r="862" spans="6:9" x14ac:dyDescent="0.25">
      <c r="F862" s="46"/>
      <c r="H862" s="46"/>
      <c r="I862" s="46"/>
    </row>
    <row r="863" spans="6:9" x14ac:dyDescent="0.25">
      <c r="F863" s="46"/>
      <c r="H863" s="46"/>
      <c r="I863" s="46"/>
    </row>
    <row r="864" spans="6:9" x14ac:dyDescent="0.25">
      <c r="F864" s="46"/>
      <c r="H864" s="46"/>
      <c r="I864" s="46"/>
    </row>
    <row r="865" spans="6:9" x14ac:dyDescent="0.25">
      <c r="F865" s="46"/>
      <c r="H865" s="46"/>
      <c r="I865" s="46"/>
    </row>
    <row r="866" spans="6:9" x14ac:dyDescent="0.25">
      <c r="F866" s="46"/>
      <c r="H866" s="46"/>
      <c r="I866" s="46"/>
    </row>
    <row r="867" spans="6:9" x14ac:dyDescent="0.25">
      <c r="F867" s="46"/>
      <c r="H867" s="46"/>
      <c r="I867" s="46"/>
    </row>
    <row r="868" spans="6:9" x14ac:dyDescent="0.25">
      <c r="F868" s="46"/>
      <c r="H868" s="46"/>
      <c r="I868" s="46"/>
    </row>
    <row r="869" spans="6:9" x14ac:dyDescent="0.25">
      <c r="F869" s="46"/>
      <c r="H869" s="46"/>
      <c r="I869" s="46"/>
    </row>
    <row r="870" spans="6:9" x14ac:dyDescent="0.25">
      <c r="F870" s="46"/>
      <c r="H870" s="46"/>
      <c r="I870" s="46"/>
    </row>
    <row r="871" spans="6:9" x14ac:dyDescent="0.25">
      <c r="F871" s="46"/>
      <c r="H871" s="46"/>
      <c r="I871" s="46"/>
    </row>
    <row r="872" spans="6:9" x14ac:dyDescent="0.25">
      <c r="F872" s="46"/>
      <c r="H872" s="46"/>
      <c r="I872" s="46"/>
    </row>
    <row r="873" spans="6:9" x14ac:dyDescent="0.25">
      <c r="F873" s="46"/>
      <c r="H873" s="46"/>
      <c r="I873" s="46"/>
    </row>
    <row r="874" spans="6:9" x14ac:dyDescent="0.25">
      <c r="F874" s="46"/>
      <c r="H874" s="46"/>
      <c r="I874" s="46"/>
    </row>
    <row r="875" spans="6:9" x14ac:dyDescent="0.25">
      <c r="F875" s="46"/>
      <c r="H875" s="46"/>
      <c r="I875" s="46"/>
    </row>
    <row r="876" spans="6:9" x14ac:dyDescent="0.25">
      <c r="F876" s="46"/>
      <c r="H876" s="46"/>
      <c r="I876" s="46"/>
    </row>
    <row r="877" spans="6:9" x14ac:dyDescent="0.25">
      <c r="F877" s="46"/>
      <c r="H877" s="46"/>
      <c r="I877" s="46"/>
    </row>
    <row r="878" spans="6:9" x14ac:dyDescent="0.25">
      <c r="F878" s="46"/>
      <c r="H878" s="46"/>
      <c r="I878" s="46"/>
    </row>
    <row r="879" spans="6:9" x14ac:dyDescent="0.25">
      <c r="F879" s="46"/>
      <c r="H879" s="46"/>
      <c r="I879" s="46"/>
    </row>
    <row r="880" spans="6:9" x14ac:dyDescent="0.25">
      <c r="F880" s="46"/>
      <c r="H880" s="46"/>
      <c r="I880" s="46"/>
    </row>
    <row r="881" spans="6:9" x14ac:dyDescent="0.25">
      <c r="F881" s="46"/>
      <c r="H881" s="46"/>
      <c r="I881" s="46"/>
    </row>
    <row r="882" spans="6:9" x14ac:dyDescent="0.25">
      <c r="F882" s="46"/>
      <c r="H882" s="46"/>
      <c r="I882" s="46"/>
    </row>
    <row r="883" spans="6:9" x14ac:dyDescent="0.25">
      <c r="F883" s="46"/>
      <c r="H883" s="46"/>
      <c r="I883" s="46"/>
    </row>
    <row r="884" spans="6:9" x14ac:dyDescent="0.25">
      <c r="F884" s="46"/>
      <c r="H884" s="46"/>
      <c r="I884" s="46"/>
    </row>
    <row r="885" spans="6:9" x14ac:dyDescent="0.25">
      <c r="F885" s="46"/>
      <c r="H885" s="46"/>
      <c r="I885" s="46"/>
    </row>
    <row r="886" spans="6:9" x14ac:dyDescent="0.25">
      <c r="F886" s="46"/>
      <c r="H886" s="46"/>
      <c r="I886" s="46"/>
    </row>
    <row r="887" spans="6:9" x14ac:dyDescent="0.25">
      <c r="F887" s="46"/>
      <c r="H887" s="46"/>
      <c r="I887" s="46"/>
    </row>
    <row r="888" spans="6:9" x14ac:dyDescent="0.25">
      <c r="F888" s="46"/>
      <c r="H888" s="46"/>
      <c r="I888" s="46"/>
    </row>
    <row r="889" spans="6:9" x14ac:dyDescent="0.25">
      <c r="F889" s="46"/>
      <c r="H889" s="46"/>
      <c r="I889" s="46"/>
    </row>
    <row r="890" spans="6:9" x14ac:dyDescent="0.25">
      <c r="F890" s="46"/>
      <c r="H890" s="46"/>
      <c r="I890" s="46"/>
    </row>
    <row r="891" spans="6:9" x14ac:dyDescent="0.25">
      <c r="F891" s="46"/>
      <c r="H891" s="46"/>
      <c r="I891" s="46"/>
    </row>
    <row r="892" spans="6:9" x14ac:dyDescent="0.25">
      <c r="F892" s="46"/>
      <c r="H892" s="46"/>
      <c r="I892" s="46"/>
    </row>
    <row r="893" spans="6:9" x14ac:dyDescent="0.25">
      <c r="F893" s="46"/>
      <c r="H893" s="46"/>
      <c r="I893" s="46"/>
    </row>
    <row r="894" spans="6:9" x14ac:dyDescent="0.25">
      <c r="F894" s="46"/>
      <c r="H894" s="46"/>
      <c r="I894" s="46"/>
    </row>
    <row r="895" spans="6:9" x14ac:dyDescent="0.25">
      <c r="F895" s="46"/>
      <c r="H895" s="46"/>
      <c r="I895" s="46"/>
    </row>
    <row r="896" spans="6:9" x14ac:dyDescent="0.25">
      <c r="F896" s="46"/>
      <c r="H896" s="46"/>
      <c r="I896" s="46"/>
    </row>
    <row r="897" spans="6:9" x14ac:dyDescent="0.25">
      <c r="F897" s="46"/>
      <c r="H897" s="46"/>
      <c r="I897" s="46"/>
    </row>
    <row r="898" spans="6:9" x14ac:dyDescent="0.25">
      <c r="F898" s="46"/>
      <c r="H898" s="46"/>
      <c r="I898" s="46"/>
    </row>
    <row r="899" spans="6:9" x14ac:dyDescent="0.25">
      <c r="F899" s="46"/>
      <c r="H899" s="46"/>
      <c r="I899" s="46"/>
    </row>
    <row r="900" spans="6:9" x14ac:dyDescent="0.25">
      <c r="F900" s="46"/>
      <c r="H900" s="46"/>
      <c r="I900" s="46"/>
    </row>
    <row r="901" spans="6:9" x14ac:dyDescent="0.25">
      <c r="F901" s="46"/>
      <c r="H901" s="46"/>
      <c r="I901" s="46"/>
    </row>
    <row r="902" spans="6:9" x14ac:dyDescent="0.25">
      <c r="F902" s="46"/>
      <c r="H902" s="46"/>
      <c r="I902" s="46"/>
    </row>
    <row r="903" spans="6:9" x14ac:dyDescent="0.25">
      <c r="F903" s="46"/>
      <c r="H903" s="46"/>
      <c r="I903" s="46"/>
    </row>
    <row r="904" spans="6:9" x14ac:dyDescent="0.25">
      <c r="F904" s="46"/>
      <c r="H904" s="46"/>
      <c r="I904" s="46"/>
    </row>
    <row r="905" spans="6:9" x14ac:dyDescent="0.25">
      <c r="F905" s="46"/>
      <c r="H905" s="46"/>
      <c r="I905" s="46"/>
    </row>
    <row r="906" spans="6:9" x14ac:dyDescent="0.25">
      <c r="F906" s="46"/>
      <c r="H906" s="46"/>
      <c r="I906" s="46"/>
    </row>
    <row r="907" spans="6:9" x14ac:dyDescent="0.25">
      <c r="F907" s="46"/>
      <c r="H907" s="46"/>
      <c r="I907" s="46"/>
    </row>
    <row r="908" spans="6:9" x14ac:dyDescent="0.25">
      <c r="F908" s="46"/>
      <c r="H908" s="46"/>
      <c r="I908" s="46"/>
    </row>
    <row r="909" spans="6:9" x14ac:dyDescent="0.25">
      <c r="F909" s="46"/>
      <c r="H909" s="46"/>
      <c r="I909" s="46"/>
    </row>
    <row r="910" spans="6:9" x14ac:dyDescent="0.25">
      <c r="F910" s="46"/>
      <c r="H910" s="46"/>
      <c r="I910" s="46"/>
    </row>
    <row r="911" spans="6:9" x14ac:dyDescent="0.25">
      <c r="F911" s="46"/>
      <c r="H911" s="46"/>
      <c r="I911" s="46"/>
    </row>
    <row r="912" spans="6:9" x14ac:dyDescent="0.25">
      <c r="F912" s="46"/>
      <c r="H912" s="46"/>
      <c r="I912" s="46"/>
    </row>
    <row r="913" spans="6:9" x14ac:dyDescent="0.25">
      <c r="F913" s="46"/>
      <c r="H913" s="46"/>
      <c r="I913" s="46"/>
    </row>
    <row r="914" spans="6:9" x14ac:dyDescent="0.25">
      <c r="F914" s="46"/>
      <c r="H914" s="46"/>
      <c r="I914" s="46"/>
    </row>
    <row r="915" spans="6:9" x14ac:dyDescent="0.25">
      <c r="F915" s="46"/>
      <c r="H915" s="46"/>
      <c r="I915" s="46"/>
    </row>
    <row r="916" spans="6:9" x14ac:dyDescent="0.25">
      <c r="F916" s="46"/>
      <c r="H916" s="46"/>
      <c r="I916" s="46"/>
    </row>
    <row r="917" spans="6:9" x14ac:dyDescent="0.25">
      <c r="F917" s="46"/>
      <c r="H917" s="46"/>
      <c r="I917" s="46"/>
    </row>
    <row r="918" spans="6:9" x14ac:dyDescent="0.25">
      <c r="F918" s="46"/>
      <c r="H918" s="46"/>
      <c r="I918" s="46"/>
    </row>
    <row r="919" spans="6:9" x14ac:dyDescent="0.25">
      <c r="F919" s="46"/>
      <c r="H919" s="46"/>
      <c r="I919" s="46"/>
    </row>
    <row r="920" spans="6:9" x14ac:dyDescent="0.25">
      <c r="F920" s="46"/>
      <c r="H920" s="46"/>
      <c r="I920" s="46"/>
    </row>
    <row r="921" spans="6:9" x14ac:dyDescent="0.25">
      <c r="F921" s="46"/>
      <c r="H921" s="46"/>
      <c r="I921" s="46"/>
    </row>
    <row r="922" spans="6:9" x14ac:dyDescent="0.25">
      <c r="F922" s="46"/>
      <c r="H922" s="46"/>
      <c r="I922" s="46"/>
    </row>
    <row r="923" spans="6:9" x14ac:dyDescent="0.25">
      <c r="F923" s="46"/>
      <c r="H923" s="46"/>
      <c r="I923" s="46"/>
    </row>
    <row r="924" spans="6:9" x14ac:dyDescent="0.25">
      <c r="F924" s="46"/>
      <c r="H924" s="46"/>
      <c r="I924" s="46"/>
    </row>
    <row r="925" spans="6:9" x14ac:dyDescent="0.25">
      <c r="F925" s="46"/>
      <c r="H925" s="46"/>
      <c r="I925" s="46"/>
    </row>
    <row r="926" spans="6:9" x14ac:dyDescent="0.25">
      <c r="F926" s="46"/>
      <c r="H926" s="46"/>
      <c r="I926" s="46"/>
    </row>
    <row r="927" spans="6:9" x14ac:dyDescent="0.25">
      <c r="F927" s="46"/>
      <c r="H927" s="46"/>
      <c r="I927" s="46"/>
    </row>
    <row r="928" spans="6:9" x14ac:dyDescent="0.25">
      <c r="F928" s="46"/>
      <c r="H928" s="46"/>
      <c r="I928" s="46"/>
    </row>
    <row r="929" spans="6:9" x14ac:dyDescent="0.25">
      <c r="F929" s="46"/>
      <c r="H929" s="46"/>
      <c r="I929" s="46"/>
    </row>
    <row r="930" spans="6:9" x14ac:dyDescent="0.25">
      <c r="F930" s="46"/>
      <c r="H930" s="46"/>
      <c r="I930" s="46"/>
    </row>
    <row r="931" spans="6:9" x14ac:dyDescent="0.25">
      <c r="F931" s="46"/>
      <c r="H931" s="46"/>
      <c r="I931" s="46"/>
    </row>
    <row r="932" spans="6:9" x14ac:dyDescent="0.25">
      <c r="F932" s="46"/>
      <c r="H932" s="46"/>
      <c r="I932" s="46"/>
    </row>
    <row r="933" spans="6:9" x14ac:dyDescent="0.25">
      <c r="F933" s="46"/>
      <c r="H933" s="46"/>
      <c r="I933" s="46"/>
    </row>
    <row r="934" spans="6:9" x14ac:dyDescent="0.25">
      <c r="F934" s="46"/>
      <c r="H934" s="46"/>
      <c r="I934" s="46"/>
    </row>
    <row r="935" spans="6:9" x14ac:dyDescent="0.25">
      <c r="F935" s="46"/>
      <c r="H935" s="46"/>
      <c r="I935" s="46"/>
    </row>
    <row r="936" spans="6:9" x14ac:dyDescent="0.25">
      <c r="F936" s="46"/>
      <c r="H936" s="46"/>
      <c r="I936" s="46"/>
    </row>
    <row r="937" spans="6:9" x14ac:dyDescent="0.25">
      <c r="F937" s="46"/>
      <c r="H937" s="46"/>
      <c r="I937" s="46"/>
    </row>
    <row r="938" spans="6:9" x14ac:dyDescent="0.25">
      <c r="F938" s="46"/>
      <c r="H938" s="46"/>
      <c r="I938" s="46"/>
    </row>
    <row r="939" spans="6:9" x14ac:dyDescent="0.25">
      <c r="F939" s="46"/>
      <c r="H939" s="46"/>
      <c r="I939" s="46"/>
    </row>
    <row r="940" spans="6:9" x14ac:dyDescent="0.25">
      <c r="F940" s="46"/>
      <c r="H940" s="46"/>
      <c r="I940" s="46"/>
    </row>
    <row r="941" spans="6:9" x14ac:dyDescent="0.25">
      <c r="F941" s="46"/>
      <c r="H941" s="46"/>
      <c r="I941" s="46"/>
    </row>
    <row r="942" spans="6:9" x14ac:dyDescent="0.25">
      <c r="F942" s="46"/>
      <c r="H942" s="46"/>
      <c r="I942" s="46"/>
    </row>
    <row r="943" spans="6:9" x14ac:dyDescent="0.25">
      <c r="F943" s="46"/>
      <c r="H943" s="46"/>
      <c r="I943" s="46"/>
    </row>
    <row r="944" spans="6:9" x14ac:dyDescent="0.25">
      <c r="F944" s="46"/>
      <c r="H944" s="46"/>
      <c r="I944" s="46"/>
    </row>
    <row r="945" spans="6:9" x14ac:dyDescent="0.25">
      <c r="F945" s="46"/>
      <c r="H945" s="46"/>
      <c r="I945" s="46"/>
    </row>
    <row r="946" spans="6:9" x14ac:dyDescent="0.25">
      <c r="F946" s="46"/>
      <c r="H946" s="46"/>
      <c r="I946" s="46"/>
    </row>
    <row r="947" spans="6:9" x14ac:dyDescent="0.25">
      <c r="F947" s="46"/>
      <c r="H947" s="46"/>
      <c r="I947" s="46"/>
    </row>
    <row r="948" spans="6:9" x14ac:dyDescent="0.25">
      <c r="F948" s="46"/>
      <c r="H948" s="46"/>
      <c r="I948" s="46"/>
    </row>
    <row r="949" spans="6:9" x14ac:dyDescent="0.25">
      <c r="F949" s="46"/>
      <c r="H949" s="46"/>
      <c r="I949" s="46"/>
    </row>
    <row r="950" spans="6:9" x14ac:dyDescent="0.25">
      <c r="F950" s="46"/>
      <c r="H950" s="46"/>
      <c r="I950" s="46"/>
    </row>
    <row r="951" spans="6:9" x14ac:dyDescent="0.25">
      <c r="F951" s="46"/>
      <c r="H951" s="46"/>
      <c r="I951" s="46"/>
    </row>
    <row r="952" spans="6:9" x14ac:dyDescent="0.25">
      <c r="F952" s="46"/>
      <c r="H952" s="46"/>
      <c r="I952" s="46"/>
    </row>
    <row r="953" spans="6:9" x14ac:dyDescent="0.25">
      <c r="F953" s="46"/>
      <c r="H953" s="46"/>
      <c r="I953" s="46"/>
    </row>
    <row r="954" spans="6:9" x14ac:dyDescent="0.25">
      <c r="F954" s="46"/>
      <c r="H954" s="46"/>
      <c r="I954" s="46"/>
    </row>
    <row r="955" spans="6:9" x14ac:dyDescent="0.25">
      <c r="F955" s="46"/>
      <c r="H955" s="46"/>
      <c r="I955" s="46"/>
    </row>
    <row r="956" spans="6:9" x14ac:dyDescent="0.25">
      <c r="F956" s="46"/>
      <c r="H956" s="46"/>
      <c r="I956" s="46"/>
    </row>
    <row r="957" spans="6:9" x14ac:dyDescent="0.25">
      <c r="F957" s="46"/>
      <c r="H957" s="46"/>
      <c r="I957" s="46"/>
    </row>
    <row r="958" spans="6:9" x14ac:dyDescent="0.25">
      <c r="F958" s="46"/>
      <c r="H958" s="46"/>
      <c r="I958" s="46"/>
    </row>
    <row r="959" spans="6:9" x14ac:dyDescent="0.25">
      <c r="F959" s="46"/>
      <c r="H959" s="46"/>
      <c r="I959" s="46"/>
    </row>
    <row r="960" spans="6:9" x14ac:dyDescent="0.25">
      <c r="F960" s="46"/>
      <c r="H960" s="46"/>
      <c r="I960" s="46"/>
    </row>
    <row r="961" spans="6:9" x14ac:dyDescent="0.25">
      <c r="F961" s="46"/>
      <c r="H961" s="46"/>
      <c r="I961" s="46"/>
    </row>
    <row r="962" spans="6:9" x14ac:dyDescent="0.25">
      <c r="F962" s="46"/>
      <c r="H962" s="46"/>
      <c r="I962" s="46"/>
    </row>
    <row r="963" spans="6:9" x14ac:dyDescent="0.25">
      <c r="F963" s="46"/>
      <c r="H963" s="46"/>
      <c r="I963" s="46"/>
    </row>
    <row r="964" spans="6:9" x14ac:dyDescent="0.25">
      <c r="F964" s="46"/>
      <c r="H964" s="46"/>
      <c r="I964" s="46"/>
    </row>
    <row r="965" spans="6:9" x14ac:dyDescent="0.25">
      <c r="F965" s="46"/>
      <c r="H965" s="46"/>
      <c r="I965" s="46"/>
    </row>
    <row r="966" spans="6:9" x14ac:dyDescent="0.25">
      <c r="F966" s="46"/>
      <c r="H966" s="46"/>
      <c r="I966" s="46"/>
    </row>
    <row r="967" spans="6:9" x14ac:dyDescent="0.25">
      <c r="F967" s="46"/>
      <c r="H967" s="46"/>
      <c r="I967" s="46"/>
    </row>
    <row r="968" spans="6:9" x14ac:dyDescent="0.25">
      <c r="F968" s="46"/>
      <c r="H968" s="46"/>
      <c r="I968" s="46"/>
    </row>
    <row r="969" spans="6:9" x14ac:dyDescent="0.25">
      <c r="F969" s="46"/>
      <c r="H969" s="46"/>
      <c r="I969" s="46"/>
    </row>
    <row r="970" spans="6:9" x14ac:dyDescent="0.25">
      <c r="F970" s="46"/>
      <c r="H970" s="46"/>
      <c r="I970" s="46"/>
    </row>
    <row r="971" spans="6:9" x14ac:dyDescent="0.25">
      <c r="F971" s="46"/>
      <c r="H971" s="46"/>
      <c r="I971" s="46"/>
    </row>
    <row r="972" spans="6:9" x14ac:dyDescent="0.25">
      <c r="F972" s="46"/>
      <c r="H972" s="46"/>
      <c r="I972" s="46"/>
    </row>
    <row r="973" spans="6:9" x14ac:dyDescent="0.25">
      <c r="F973" s="46"/>
      <c r="H973" s="46"/>
      <c r="I973" s="46"/>
    </row>
    <row r="974" spans="6:9" x14ac:dyDescent="0.25">
      <c r="F974" s="46"/>
      <c r="H974" s="46"/>
      <c r="I974" s="46"/>
    </row>
    <row r="975" spans="6:9" x14ac:dyDescent="0.25">
      <c r="F975" s="46"/>
      <c r="H975" s="46"/>
      <c r="I975" s="46"/>
    </row>
    <row r="976" spans="6:9" x14ac:dyDescent="0.25">
      <c r="F976" s="46"/>
      <c r="H976" s="46"/>
      <c r="I976" s="46"/>
    </row>
    <row r="977" spans="6:9" x14ac:dyDescent="0.25">
      <c r="F977" s="46"/>
      <c r="H977" s="46"/>
      <c r="I977" s="46"/>
    </row>
    <row r="978" spans="6:9" x14ac:dyDescent="0.25">
      <c r="F978" s="46"/>
      <c r="H978" s="46"/>
      <c r="I978" s="46"/>
    </row>
    <row r="979" spans="6:9" x14ac:dyDescent="0.25">
      <c r="F979" s="46"/>
      <c r="H979" s="46"/>
      <c r="I979" s="46"/>
    </row>
    <row r="980" spans="6:9" x14ac:dyDescent="0.25">
      <c r="F980" s="46"/>
      <c r="H980" s="46"/>
      <c r="I980" s="46"/>
    </row>
    <row r="981" spans="6:9" x14ac:dyDescent="0.25">
      <c r="F981" s="46"/>
      <c r="H981" s="46"/>
      <c r="I981" s="46"/>
    </row>
    <row r="982" spans="6:9" x14ac:dyDescent="0.25">
      <c r="F982" s="46"/>
      <c r="H982" s="46"/>
      <c r="I982" s="46"/>
    </row>
    <row r="983" spans="6:9" x14ac:dyDescent="0.25">
      <c r="F983" s="46"/>
      <c r="H983" s="46"/>
      <c r="I983" s="46"/>
    </row>
    <row r="984" spans="6:9" x14ac:dyDescent="0.25">
      <c r="F984" s="46"/>
      <c r="H984" s="46"/>
      <c r="I984" s="46"/>
    </row>
    <row r="985" spans="6:9" x14ac:dyDescent="0.25">
      <c r="F985" s="46"/>
      <c r="H985" s="46"/>
      <c r="I985" s="46"/>
    </row>
    <row r="986" spans="6:9" x14ac:dyDescent="0.25">
      <c r="F986" s="46"/>
      <c r="H986" s="46"/>
      <c r="I986" s="46"/>
    </row>
    <row r="987" spans="6:9" x14ac:dyDescent="0.25">
      <c r="F987" s="46"/>
      <c r="H987" s="46"/>
      <c r="I987" s="46"/>
    </row>
    <row r="988" spans="6:9" x14ac:dyDescent="0.25">
      <c r="F988" s="46"/>
      <c r="H988" s="46"/>
      <c r="I988" s="46"/>
    </row>
    <row r="989" spans="6:9" x14ac:dyDescent="0.25">
      <c r="F989" s="46"/>
      <c r="H989" s="46"/>
      <c r="I989" s="46"/>
    </row>
    <row r="990" spans="6:9" x14ac:dyDescent="0.25">
      <c r="F990" s="46"/>
      <c r="H990" s="46"/>
      <c r="I990" s="46"/>
    </row>
    <row r="991" spans="6:9" x14ac:dyDescent="0.25">
      <c r="F991" s="46"/>
      <c r="H991" s="46"/>
      <c r="I991" s="46"/>
    </row>
    <row r="992" spans="6:9" x14ac:dyDescent="0.25">
      <c r="F992" s="46"/>
      <c r="H992" s="46"/>
      <c r="I992" s="46"/>
    </row>
    <row r="993" spans="6:9" x14ac:dyDescent="0.25">
      <c r="F993" s="46"/>
      <c r="H993" s="46"/>
      <c r="I993" s="46"/>
    </row>
    <row r="994" spans="6:9" x14ac:dyDescent="0.25">
      <c r="F994" s="46"/>
      <c r="H994" s="46"/>
      <c r="I994" s="46"/>
    </row>
    <row r="995" spans="6:9" x14ac:dyDescent="0.25">
      <c r="F995" s="46"/>
      <c r="H995" s="46"/>
      <c r="I995" s="46"/>
    </row>
    <row r="996" spans="6:9" x14ac:dyDescent="0.25">
      <c r="F996" s="46"/>
      <c r="H996" s="46"/>
      <c r="I996" s="46"/>
    </row>
    <row r="997" spans="6:9" x14ac:dyDescent="0.25">
      <c r="F997" s="46"/>
      <c r="H997" s="46"/>
      <c r="I997" s="46"/>
    </row>
    <row r="998" spans="6:9" x14ac:dyDescent="0.25">
      <c r="F998" s="46"/>
      <c r="H998" s="46"/>
      <c r="I998" s="46"/>
    </row>
    <row r="999" spans="6:9" x14ac:dyDescent="0.25">
      <c r="F999" s="46"/>
      <c r="H999" s="46"/>
      <c r="I999" s="46"/>
    </row>
    <row r="1000" spans="6:9" x14ac:dyDescent="0.25">
      <c r="F1000" s="46"/>
      <c r="H1000" s="46"/>
      <c r="I1000" s="46"/>
    </row>
    <row r="1001" spans="6:9" x14ac:dyDescent="0.25">
      <c r="F1001" s="46"/>
      <c r="H1001" s="46"/>
      <c r="I1001" s="46"/>
    </row>
    <row r="1002" spans="6:9" x14ac:dyDescent="0.25">
      <c r="F1002" s="46"/>
      <c r="H1002" s="46"/>
      <c r="I1002" s="46"/>
    </row>
    <row r="1003" spans="6:9" x14ac:dyDescent="0.25">
      <c r="F1003" s="46"/>
      <c r="H1003" s="46"/>
      <c r="I1003" s="46"/>
    </row>
    <row r="1004" spans="6:9" x14ac:dyDescent="0.25">
      <c r="F1004" s="46"/>
      <c r="H1004" s="46"/>
      <c r="I1004" s="46"/>
    </row>
    <row r="1005" spans="6:9" x14ac:dyDescent="0.25">
      <c r="F1005" s="46"/>
      <c r="H1005" s="46"/>
      <c r="I1005" s="46"/>
    </row>
    <row r="1006" spans="6:9" x14ac:dyDescent="0.25">
      <c r="F1006" s="46"/>
      <c r="H1006" s="46"/>
      <c r="I1006" s="46"/>
    </row>
    <row r="1007" spans="6:9" x14ac:dyDescent="0.25">
      <c r="F1007" s="46"/>
      <c r="H1007" s="46"/>
      <c r="I1007" s="46"/>
    </row>
    <row r="1008" spans="6:9" x14ac:dyDescent="0.25">
      <c r="F1008" s="46"/>
      <c r="H1008" s="46"/>
      <c r="I1008" s="46"/>
    </row>
    <row r="1009" spans="6:9" x14ac:dyDescent="0.25">
      <c r="F1009" s="46"/>
      <c r="H1009" s="46"/>
      <c r="I1009" s="46"/>
    </row>
    <row r="1010" spans="6:9" x14ac:dyDescent="0.25">
      <c r="F1010" s="46"/>
      <c r="H1010" s="46"/>
      <c r="I1010" s="46"/>
    </row>
    <row r="1011" spans="6:9" x14ac:dyDescent="0.25">
      <c r="F1011" s="46"/>
      <c r="H1011" s="46"/>
      <c r="I1011" s="46"/>
    </row>
    <row r="1012" spans="6:9" x14ac:dyDescent="0.25">
      <c r="F1012" s="46"/>
      <c r="H1012" s="46"/>
      <c r="I1012" s="46"/>
    </row>
    <row r="1013" spans="6:9" x14ac:dyDescent="0.25">
      <c r="F1013" s="46"/>
      <c r="H1013" s="46"/>
      <c r="I1013" s="46"/>
    </row>
    <row r="1014" spans="6:9" x14ac:dyDescent="0.25">
      <c r="F1014" s="46"/>
      <c r="H1014" s="46"/>
      <c r="I1014" s="46"/>
    </row>
    <row r="1015" spans="6:9" x14ac:dyDescent="0.25">
      <c r="F1015" s="46"/>
      <c r="H1015" s="46"/>
      <c r="I1015" s="46"/>
    </row>
    <row r="1016" spans="6:9" x14ac:dyDescent="0.25">
      <c r="F1016" s="46"/>
      <c r="H1016" s="46"/>
      <c r="I1016" s="46"/>
    </row>
    <row r="1017" spans="6:9" x14ac:dyDescent="0.25">
      <c r="F1017" s="46"/>
      <c r="H1017" s="46"/>
      <c r="I1017" s="46"/>
    </row>
    <row r="1018" spans="6:9" x14ac:dyDescent="0.25">
      <c r="F1018" s="46"/>
      <c r="H1018" s="46"/>
      <c r="I1018" s="46"/>
    </row>
    <row r="1019" spans="6:9" x14ac:dyDescent="0.25">
      <c r="F1019" s="46"/>
      <c r="H1019" s="46"/>
      <c r="I1019" s="46"/>
    </row>
    <row r="1020" spans="6:9" x14ac:dyDescent="0.25">
      <c r="F1020" s="46"/>
      <c r="H1020" s="46"/>
      <c r="I1020" s="46"/>
    </row>
  </sheetData>
  <mergeCells count="25">
    <mergeCell ref="E463:F463"/>
    <mergeCell ref="E464:F464"/>
    <mergeCell ref="E465:F465"/>
    <mergeCell ref="E467:F467"/>
    <mergeCell ref="A439:I439"/>
    <mergeCell ref="E457:F457"/>
    <mergeCell ref="E458:F458"/>
    <mergeCell ref="E459:F459"/>
    <mergeCell ref="E462:F462"/>
    <mergeCell ref="E460:F460"/>
    <mergeCell ref="A7:B7"/>
    <mergeCell ref="C7:I7"/>
    <mergeCell ref="A8:A9"/>
    <mergeCell ref="B8:E9"/>
    <mergeCell ref="F8:F9"/>
    <mergeCell ref="G8:G9"/>
    <mergeCell ref="H8:H9"/>
    <mergeCell ref="I8:I9"/>
    <mergeCell ref="A6:B6"/>
    <mergeCell ref="C6:I6"/>
    <mergeCell ref="A1:I1"/>
    <mergeCell ref="A2:I2"/>
    <mergeCell ref="A3:I4"/>
    <mergeCell ref="A5:B5"/>
    <mergeCell ref="C5:I5"/>
  </mergeCells>
  <printOptions horizontalCentered="1"/>
  <pageMargins left="0.25" right="0.25" top="0.25" bottom="1.25" header="0.21" footer="0.22"/>
  <pageSetup paperSize="9" scale="85" orientation="portrait" r:id="rId1"/>
  <rowBreaks count="1" manualBreakCount="1">
    <brk id="437"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autoPageBreaks="0"/>
  </sheetPr>
  <dimension ref="A1:L1037"/>
  <sheetViews>
    <sheetView view="pageBreakPreview" zoomScaleNormal="80" zoomScaleSheetLayoutView="100" workbookViewId="0">
      <pane ySplit="6" topLeftCell="A7" activePane="bottomLeft" state="frozen"/>
      <selection pane="bottomLeft" activeCell="C6" sqref="C6:I6"/>
    </sheetView>
  </sheetViews>
  <sheetFormatPr defaultRowHeight="13.2" x14ac:dyDescent="0.25"/>
  <cols>
    <col min="1" max="2" width="5.6640625" style="46" customWidth="1"/>
    <col min="3" max="3" width="40.6640625" style="46" customWidth="1"/>
    <col min="4" max="4" width="5.6640625" style="46" customWidth="1"/>
    <col min="5" max="5" width="14.6640625" style="46" customWidth="1"/>
    <col min="6" max="6" width="7.6640625" style="13" customWidth="1"/>
    <col min="7" max="7" width="7.6640625" style="46" customWidth="1"/>
    <col min="8" max="8" width="12.6640625" style="1" customWidth="1"/>
    <col min="9" max="9" width="14.6640625" style="1" customWidth="1"/>
    <col min="10" max="229" width="9.109375" style="46"/>
    <col min="230" max="230" width="5.5546875" style="46" customWidth="1"/>
    <col min="231" max="231" width="4.88671875" style="46" customWidth="1"/>
    <col min="232" max="232" width="2.6640625" style="46" customWidth="1"/>
    <col min="233" max="234" width="2.88671875" style="46" customWidth="1"/>
    <col min="235" max="235" width="2.6640625" style="46" customWidth="1"/>
    <col min="236" max="236" width="3.88671875" style="46" customWidth="1"/>
    <col min="237" max="237" width="25.6640625" style="46" customWidth="1"/>
    <col min="238" max="238" width="6.5546875" style="46" customWidth="1"/>
    <col min="239" max="239" width="7.33203125" style="46" customWidth="1"/>
    <col min="240" max="240" width="13.88671875" style="46" customWidth="1"/>
    <col min="241" max="241" width="16.5546875" style="46" customWidth="1"/>
    <col min="242" max="242" width="13.88671875" style="46" customWidth="1"/>
    <col min="243" max="243" width="11.109375" style="46" bestFit="1" customWidth="1"/>
    <col min="244" max="246" width="9.109375" style="46"/>
    <col min="247" max="247" width="10.88671875" style="46" customWidth="1"/>
    <col min="248" max="485" width="9.109375" style="46"/>
    <col min="486" max="486" width="5.5546875" style="46" customWidth="1"/>
    <col min="487" max="487" width="4.88671875" style="46" customWidth="1"/>
    <col min="488" max="488" width="2.6640625" style="46" customWidth="1"/>
    <col min="489" max="490" width="2.88671875" style="46" customWidth="1"/>
    <col min="491" max="491" width="2.6640625" style="46" customWidth="1"/>
    <col min="492" max="492" width="3.88671875" style="46" customWidth="1"/>
    <col min="493" max="493" width="25.6640625" style="46" customWidth="1"/>
    <col min="494" max="494" width="6.5546875" style="46" customWidth="1"/>
    <col min="495" max="495" width="7.33203125" style="46" customWidth="1"/>
    <col min="496" max="496" width="13.88671875" style="46" customWidth="1"/>
    <col min="497" max="497" width="16.5546875" style="46" customWidth="1"/>
    <col min="498" max="498" width="13.88671875" style="46" customWidth="1"/>
    <col min="499" max="499" width="11.109375" style="46" bestFit="1" customWidth="1"/>
    <col min="500" max="502" width="9.109375" style="46"/>
    <col min="503" max="503" width="10.88671875" style="46" customWidth="1"/>
    <col min="504" max="741" width="9.109375" style="46"/>
    <col min="742" max="742" width="5.5546875" style="46" customWidth="1"/>
    <col min="743" max="743" width="4.88671875" style="46" customWidth="1"/>
    <col min="744" max="744" width="2.6640625" style="46" customWidth="1"/>
    <col min="745" max="746" width="2.88671875" style="46" customWidth="1"/>
    <col min="747" max="747" width="2.6640625" style="46" customWidth="1"/>
    <col min="748" max="748" width="3.88671875" style="46" customWidth="1"/>
    <col min="749" max="749" width="25.6640625" style="46" customWidth="1"/>
    <col min="750" max="750" width="6.5546875" style="46" customWidth="1"/>
    <col min="751" max="751" width="7.33203125" style="46" customWidth="1"/>
    <col min="752" max="752" width="13.88671875" style="46" customWidth="1"/>
    <col min="753" max="753" width="16.5546875" style="46" customWidth="1"/>
    <col min="754" max="754" width="13.88671875" style="46" customWidth="1"/>
    <col min="755" max="755" width="11.109375" style="46" bestFit="1" customWidth="1"/>
    <col min="756" max="758" width="9.109375" style="46"/>
    <col min="759" max="759" width="10.88671875" style="46" customWidth="1"/>
    <col min="760" max="997" width="9.109375" style="46"/>
    <col min="998" max="998" width="5.5546875" style="46" customWidth="1"/>
    <col min="999" max="999" width="4.88671875" style="46" customWidth="1"/>
    <col min="1000" max="1000" width="2.6640625" style="46" customWidth="1"/>
    <col min="1001" max="1002" width="2.88671875" style="46" customWidth="1"/>
    <col min="1003" max="1003" width="2.6640625" style="46" customWidth="1"/>
    <col min="1004" max="1004" width="3.88671875" style="46" customWidth="1"/>
    <col min="1005" max="1005" width="25.6640625" style="46" customWidth="1"/>
    <col min="1006" max="1006" width="6.5546875" style="46" customWidth="1"/>
    <col min="1007" max="1007" width="7.33203125" style="46" customWidth="1"/>
    <col min="1008" max="1008" width="13.88671875" style="46" customWidth="1"/>
    <col min="1009" max="1009" width="16.5546875" style="46" customWidth="1"/>
    <col min="1010" max="1010" width="13.88671875" style="46" customWidth="1"/>
    <col min="1011" max="1011" width="11.109375" style="46" bestFit="1" customWidth="1"/>
    <col min="1012" max="1014" width="9.109375" style="46"/>
    <col min="1015" max="1015" width="10.88671875" style="46" customWidth="1"/>
    <col min="1016" max="1253" width="9.109375" style="46"/>
    <col min="1254" max="1254" width="5.5546875" style="46" customWidth="1"/>
    <col min="1255" max="1255" width="4.88671875" style="46" customWidth="1"/>
    <col min="1256" max="1256" width="2.6640625" style="46" customWidth="1"/>
    <col min="1257" max="1258" width="2.88671875" style="46" customWidth="1"/>
    <col min="1259" max="1259" width="2.6640625" style="46" customWidth="1"/>
    <col min="1260" max="1260" width="3.88671875" style="46" customWidth="1"/>
    <col min="1261" max="1261" width="25.6640625" style="46" customWidth="1"/>
    <col min="1262" max="1262" width="6.5546875" style="46" customWidth="1"/>
    <col min="1263" max="1263" width="7.33203125" style="46" customWidth="1"/>
    <col min="1264" max="1264" width="13.88671875" style="46" customWidth="1"/>
    <col min="1265" max="1265" width="16.5546875" style="46" customWidth="1"/>
    <col min="1266" max="1266" width="13.88671875" style="46" customWidth="1"/>
    <col min="1267" max="1267" width="11.109375" style="46" bestFit="1" customWidth="1"/>
    <col min="1268" max="1270" width="9.109375" style="46"/>
    <col min="1271" max="1271" width="10.88671875" style="46" customWidth="1"/>
    <col min="1272" max="1509" width="9.109375" style="46"/>
    <col min="1510" max="1510" width="5.5546875" style="46" customWidth="1"/>
    <col min="1511" max="1511" width="4.88671875" style="46" customWidth="1"/>
    <col min="1512" max="1512" width="2.6640625" style="46" customWidth="1"/>
    <col min="1513" max="1514" width="2.88671875" style="46" customWidth="1"/>
    <col min="1515" max="1515" width="2.6640625" style="46" customWidth="1"/>
    <col min="1516" max="1516" width="3.88671875" style="46" customWidth="1"/>
    <col min="1517" max="1517" width="25.6640625" style="46" customWidth="1"/>
    <col min="1518" max="1518" width="6.5546875" style="46" customWidth="1"/>
    <col min="1519" max="1519" width="7.33203125" style="46" customWidth="1"/>
    <col min="1520" max="1520" width="13.88671875" style="46" customWidth="1"/>
    <col min="1521" max="1521" width="16.5546875" style="46" customWidth="1"/>
    <col min="1522" max="1522" width="13.88671875" style="46" customWidth="1"/>
    <col min="1523" max="1523" width="11.109375" style="46" bestFit="1" customWidth="1"/>
    <col min="1524" max="1526" width="9.109375" style="46"/>
    <col min="1527" max="1527" width="10.88671875" style="46" customWidth="1"/>
    <col min="1528" max="1765" width="9.109375" style="46"/>
    <col min="1766" max="1766" width="5.5546875" style="46" customWidth="1"/>
    <col min="1767" max="1767" width="4.88671875" style="46" customWidth="1"/>
    <col min="1768" max="1768" width="2.6640625" style="46" customWidth="1"/>
    <col min="1769" max="1770" width="2.88671875" style="46" customWidth="1"/>
    <col min="1771" max="1771" width="2.6640625" style="46" customWidth="1"/>
    <col min="1772" max="1772" width="3.88671875" style="46" customWidth="1"/>
    <col min="1773" max="1773" width="25.6640625" style="46" customWidth="1"/>
    <col min="1774" max="1774" width="6.5546875" style="46" customWidth="1"/>
    <col min="1775" max="1775" width="7.33203125" style="46" customWidth="1"/>
    <col min="1776" max="1776" width="13.88671875" style="46" customWidth="1"/>
    <col min="1777" max="1777" width="16.5546875" style="46" customWidth="1"/>
    <col min="1778" max="1778" width="13.88671875" style="46" customWidth="1"/>
    <col min="1779" max="1779" width="11.109375" style="46" bestFit="1" customWidth="1"/>
    <col min="1780" max="1782" width="9.109375" style="46"/>
    <col min="1783" max="1783" width="10.88671875" style="46" customWidth="1"/>
    <col min="1784" max="2021" width="9.109375" style="46"/>
    <col min="2022" max="2022" width="5.5546875" style="46" customWidth="1"/>
    <col min="2023" max="2023" width="4.88671875" style="46" customWidth="1"/>
    <col min="2024" max="2024" width="2.6640625" style="46" customWidth="1"/>
    <col min="2025" max="2026" width="2.88671875" style="46" customWidth="1"/>
    <col min="2027" max="2027" width="2.6640625" style="46" customWidth="1"/>
    <col min="2028" max="2028" width="3.88671875" style="46" customWidth="1"/>
    <col min="2029" max="2029" width="25.6640625" style="46" customWidth="1"/>
    <col min="2030" max="2030" width="6.5546875" style="46" customWidth="1"/>
    <col min="2031" max="2031" width="7.33203125" style="46" customWidth="1"/>
    <col min="2032" max="2032" width="13.88671875" style="46" customWidth="1"/>
    <col min="2033" max="2033" width="16.5546875" style="46" customWidth="1"/>
    <col min="2034" max="2034" width="13.88671875" style="46" customWidth="1"/>
    <col min="2035" max="2035" width="11.109375" style="46" bestFit="1" customWidth="1"/>
    <col min="2036" max="2038" width="9.109375" style="46"/>
    <col min="2039" max="2039" width="10.88671875" style="46" customWidth="1"/>
    <col min="2040" max="2277" width="9.109375" style="46"/>
    <col min="2278" max="2278" width="5.5546875" style="46" customWidth="1"/>
    <col min="2279" max="2279" width="4.88671875" style="46" customWidth="1"/>
    <col min="2280" max="2280" width="2.6640625" style="46" customWidth="1"/>
    <col min="2281" max="2282" width="2.88671875" style="46" customWidth="1"/>
    <col min="2283" max="2283" width="2.6640625" style="46" customWidth="1"/>
    <col min="2284" max="2284" width="3.88671875" style="46" customWidth="1"/>
    <col min="2285" max="2285" width="25.6640625" style="46" customWidth="1"/>
    <col min="2286" max="2286" width="6.5546875" style="46" customWidth="1"/>
    <col min="2287" max="2287" width="7.33203125" style="46" customWidth="1"/>
    <col min="2288" max="2288" width="13.88671875" style="46" customWidth="1"/>
    <col min="2289" max="2289" width="16.5546875" style="46" customWidth="1"/>
    <col min="2290" max="2290" width="13.88671875" style="46" customWidth="1"/>
    <col min="2291" max="2291" width="11.109375" style="46" bestFit="1" customWidth="1"/>
    <col min="2292" max="2294" width="9.109375" style="46"/>
    <col min="2295" max="2295" width="10.88671875" style="46" customWidth="1"/>
    <col min="2296" max="2533" width="9.109375" style="46"/>
    <col min="2534" max="2534" width="5.5546875" style="46" customWidth="1"/>
    <col min="2535" max="2535" width="4.88671875" style="46" customWidth="1"/>
    <col min="2536" max="2536" width="2.6640625" style="46" customWidth="1"/>
    <col min="2537" max="2538" width="2.88671875" style="46" customWidth="1"/>
    <col min="2539" max="2539" width="2.6640625" style="46" customWidth="1"/>
    <col min="2540" max="2540" width="3.88671875" style="46" customWidth="1"/>
    <col min="2541" max="2541" width="25.6640625" style="46" customWidth="1"/>
    <col min="2542" max="2542" width="6.5546875" style="46" customWidth="1"/>
    <col min="2543" max="2543" width="7.33203125" style="46" customWidth="1"/>
    <col min="2544" max="2544" width="13.88671875" style="46" customWidth="1"/>
    <col min="2545" max="2545" width="16.5546875" style="46" customWidth="1"/>
    <col min="2546" max="2546" width="13.88671875" style="46" customWidth="1"/>
    <col min="2547" max="2547" width="11.109375" style="46" bestFit="1" customWidth="1"/>
    <col min="2548" max="2550" width="9.109375" style="46"/>
    <col min="2551" max="2551" width="10.88671875" style="46" customWidth="1"/>
    <col min="2552" max="2789" width="9.109375" style="46"/>
    <col min="2790" max="2790" width="5.5546875" style="46" customWidth="1"/>
    <col min="2791" max="2791" width="4.88671875" style="46" customWidth="1"/>
    <col min="2792" max="2792" width="2.6640625" style="46" customWidth="1"/>
    <col min="2793" max="2794" width="2.88671875" style="46" customWidth="1"/>
    <col min="2795" max="2795" width="2.6640625" style="46" customWidth="1"/>
    <col min="2796" max="2796" width="3.88671875" style="46" customWidth="1"/>
    <col min="2797" max="2797" width="25.6640625" style="46" customWidth="1"/>
    <col min="2798" max="2798" width="6.5546875" style="46" customWidth="1"/>
    <col min="2799" max="2799" width="7.33203125" style="46" customWidth="1"/>
    <col min="2800" max="2800" width="13.88671875" style="46" customWidth="1"/>
    <col min="2801" max="2801" width="16.5546875" style="46" customWidth="1"/>
    <col min="2802" max="2802" width="13.88671875" style="46" customWidth="1"/>
    <col min="2803" max="2803" width="11.109375" style="46" bestFit="1" customWidth="1"/>
    <col min="2804" max="2806" width="9.109375" style="46"/>
    <col min="2807" max="2807" width="10.88671875" style="46" customWidth="1"/>
    <col min="2808" max="3045" width="9.109375" style="46"/>
    <col min="3046" max="3046" width="5.5546875" style="46" customWidth="1"/>
    <col min="3047" max="3047" width="4.88671875" style="46" customWidth="1"/>
    <col min="3048" max="3048" width="2.6640625" style="46" customWidth="1"/>
    <col min="3049" max="3050" width="2.88671875" style="46" customWidth="1"/>
    <col min="3051" max="3051" width="2.6640625" style="46" customWidth="1"/>
    <col min="3052" max="3052" width="3.88671875" style="46" customWidth="1"/>
    <col min="3053" max="3053" width="25.6640625" style="46" customWidth="1"/>
    <col min="3054" max="3054" width="6.5546875" style="46" customWidth="1"/>
    <col min="3055" max="3055" width="7.33203125" style="46" customWidth="1"/>
    <col min="3056" max="3056" width="13.88671875" style="46" customWidth="1"/>
    <col min="3057" max="3057" width="16.5546875" style="46" customWidth="1"/>
    <col min="3058" max="3058" width="13.88671875" style="46" customWidth="1"/>
    <col min="3059" max="3059" width="11.109375" style="46" bestFit="1" customWidth="1"/>
    <col min="3060" max="3062" width="9.109375" style="46"/>
    <col min="3063" max="3063" width="10.88671875" style="46" customWidth="1"/>
    <col min="3064" max="3301" width="9.109375" style="46"/>
    <col min="3302" max="3302" width="5.5546875" style="46" customWidth="1"/>
    <col min="3303" max="3303" width="4.88671875" style="46" customWidth="1"/>
    <col min="3304" max="3304" width="2.6640625" style="46" customWidth="1"/>
    <col min="3305" max="3306" width="2.88671875" style="46" customWidth="1"/>
    <col min="3307" max="3307" width="2.6640625" style="46" customWidth="1"/>
    <col min="3308" max="3308" width="3.88671875" style="46" customWidth="1"/>
    <col min="3309" max="3309" width="25.6640625" style="46" customWidth="1"/>
    <col min="3310" max="3310" width="6.5546875" style="46" customWidth="1"/>
    <col min="3311" max="3311" width="7.33203125" style="46" customWidth="1"/>
    <col min="3312" max="3312" width="13.88671875" style="46" customWidth="1"/>
    <col min="3313" max="3313" width="16.5546875" style="46" customWidth="1"/>
    <col min="3314" max="3314" width="13.88671875" style="46" customWidth="1"/>
    <col min="3315" max="3315" width="11.109375" style="46" bestFit="1" customWidth="1"/>
    <col min="3316" max="3318" width="9.109375" style="46"/>
    <col min="3319" max="3319" width="10.88671875" style="46" customWidth="1"/>
    <col min="3320" max="3557" width="9.109375" style="46"/>
    <col min="3558" max="3558" width="5.5546875" style="46" customWidth="1"/>
    <col min="3559" max="3559" width="4.88671875" style="46" customWidth="1"/>
    <col min="3560" max="3560" width="2.6640625" style="46" customWidth="1"/>
    <col min="3561" max="3562" width="2.88671875" style="46" customWidth="1"/>
    <col min="3563" max="3563" width="2.6640625" style="46" customWidth="1"/>
    <col min="3564" max="3564" width="3.88671875" style="46" customWidth="1"/>
    <col min="3565" max="3565" width="25.6640625" style="46" customWidth="1"/>
    <col min="3566" max="3566" width="6.5546875" style="46" customWidth="1"/>
    <col min="3567" max="3567" width="7.33203125" style="46" customWidth="1"/>
    <col min="3568" max="3568" width="13.88671875" style="46" customWidth="1"/>
    <col min="3569" max="3569" width="16.5546875" style="46" customWidth="1"/>
    <col min="3570" max="3570" width="13.88671875" style="46" customWidth="1"/>
    <col min="3571" max="3571" width="11.109375" style="46" bestFit="1" customWidth="1"/>
    <col min="3572" max="3574" width="9.109375" style="46"/>
    <col min="3575" max="3575" width="10.88671875" style="46" customWidth="1"/>
    <col min="3576" max="3813" width="9.109375" style="46"/>
    <col min="3814" max="3814" width="5.5546875" style="46" customWidth="1"/>
    <col min="3815" max="3815" width="4.88671875" style="46" customWidth="1"/>
    <col min="3816" max="3816" width="2.6640625" style="46" customWidth="1"/>
    <col min="3817" max="3818" width="2.88671875" style="46" customWidth="1"/>
    <col min="3819" max="3819" width="2.6640625" style="46" customWidth="1"/>
    <col min="3820" max="3820" width="3.88671875" style="46" customWidth="1"/>
    <col min="3821" max="3821" width="25.6640625" style="46" customWidth="1"/>
    <col min="3822" max="3822" width="6.5546875" style="46" customWidth="1"/>
    <col min="3823" max="3823" width="7.33203125" style="46" customWidth="1"/>
    <col min="3824" max="3824" width="13.88671875" style="46" customWidth="1"/>
    <col min="3825" max="3825" width="16.5546875" style="46" customWidth="1"/>
    <col min="3826" max="3826" width="13.88671875" style="46" customWidth="1"/>
    <col min="3827" max="3827" width="11.109375" style="46" bestFit="1" customWidth="1"/>
    <col min="3828" max="3830" width="9.109375" style="46"/>
    <col min="3831" max="3831" width="10.88671875" style="46" customWidth="1"/>
    <col min="3832" max="4069" width="9.109375" style="46"/>
    <col min="4070" max="4070" width="5.5546875" style="46" customWidth="1"/>
    <col min="4071" max="4071" width="4.88671875" style="46" customWidth="1"/>
    <col min="4072" max="4072" width="2.6640625" style="46" customWidth="1"/>
    <col min="4073" max="4074" width="2.88671875" style="46" customWidth="1"/>
    <col min="4075" max="4075" width="2.6640625" style="46" customWidth="1"/>
    <col min="4076" max="4076" width="3.88671875" style="46" customWidth="1"/>
    <col min="4077" max="4077" width="25.6640625" style="46" customWidth="1"/>
    <col min="4078" max="4078" width="6.5546875" style="46" customWidth="1"/>
    <col min="4079" max="4079" width="7.33203125" style="46" customWidth="1"/>
    <col min="4080" max="4080" width="13.88671875" style="46" customWidth="1"/>
    <col min="4081" max="4081" width="16.5546875" style="46" customWidth="1"/>
    <col min="4082" max="4082" width="13.88671875" style="46" customWidth="1"/>
    <col min="4083" max="4083" width="11.109375" style="46" bestFit="1" customWidth="1"/>
    <col min="4084" max="4086" width="9.109375" style="46"/>
    <col min="4087" max="4087" width="10.88671875" style="46" customWidth="1"/>
    <col min="4088" max="4325" width="9.109375" style="46"/>
    <col min="4326" max="4326" width="5.5546875" style="46" customWidth="1"/>
    <col min="4327" max="4327" width="4.88671875" style="46" customWidth="1"/>
    <col min="4328" max="4328" width="2.6640625" style="46" customWidth="1"/>
    <col min="4329" max="4330" width="2.88671875" style="46" customWidth="1"/>
    <col min="4331" max="4331" width="2.6640625" style="46" customWidth="1"/>
    <col min="4332" max="4332" width="3.88671875" style="46" customWidth="1"/>
    <col min="4333" max="4333" width="25.6640625" style="46" customWidth="1"/>
    <col min="4334" max="4334" width="6.5546875" style="46" customWidth="1"/>
    <col min="4335" max="4335" width="7.33203125" style="46" customWidth="1"/>
    <col min="4336" max="4336" width="13.88671875" style="46" customWidth="1"/>
    <col min="4337" max="4337" width="16.5546875" style="46" customWidth="1"/>
    <col min="4338" max="4338" width="13.88671875" style="46" customWidth="1"/>
    <col min="4339" max="4339" width="11.109375" style="46" bestFit="1" customWidth="1"/>
    <col min="4340" max="4342" width="9.109375" style="46"/>
    <col min="4343" max="4343" width="10.88671875" style="46" customWidth="1"/>
    <col min="4344" max="4581" width="9.109375" style="46"/>
    <col min="4582" max="4582" width="5.5546875" style="46" customWidth="1"/>
    <col min="4583" max="4583" width="4.88671875" style="46" customWidth="1"/>
    <col min="4584" max="4584" width="2.6640625" style="46" customWidth="1"/>
    <col min="4585" max="4586" width="2.88671875" style="46" customWidth="1"/>
    <col min="4587" max="4587" width="2.6640625" style="46" customWidth="1"/>
    <col min="4588" max="4588" width="3.88671875" style="46" customWidth="1"/>
    <col min="4589" max="4589" width="25.6640625" style="46" customWidth="1"/>
    <col min="4590" max="4590" width="6.5546875" style="46" customWidth="1"/>
    <col min="4591" max="4591" width="7.33203125" style="46" customWidth="1"/>
    <col min="4592" max="4592" width="13.88671875" style="46" customWidth="1"/>
    <col min="4593" max="4593" width="16.5546875" style="46" customWidth="1"/>
    <col min="4594" max="4594" width="13.88671875" style="46" customWidth="1"/>
    <col min="4595" max="4595" width="11.109375" style="46" bestFit="1" customWidth="1"/>
    <col min="4596" max="4598" width="9.109375" style="46"/>
    <col min="4599" max="4599" width="10.88671875" style="46" customWidth="1"/>
    <col min="4600" max="4837" width="9.109375" style="46"/>
    <col min="4838" max="4838" width="5.5546875" style="46" customWidth="1"/>
    <col min="4839" max="4839" width="4.88671875" style="46" customWidth="1"/>
    <col min="4840" max="4840" width="2.6640625" style="46" customWidth="1"/>
    <col min="4841" max="4842" width="2.88671875" style="46" customWidth="1"/>
    <col min="4843" max="4843" width="2.6640625" style="46" customWidth="1"/>
    <col min="4844" max="4844" width="3.88671875" style="46" customWidth="1"/>
    <col min="4845" max="4845" width="25.6640625" style="46" customWidth="1"/>
    <col min="4846" max="4846" width="6.5546875" style="46" customWidth="1"/>
    <col min="4847" max="4847" width="7.33203125" style="46" customWidth="1"/>
    <col min="4848" max="4848" width="13.88671875" style="46" customWidth="1"/>
    <col min="4849" max="4849" width="16.5546875" style="46" customWidth="1"/>
    <col min="4850" max="4850" width="13.88671875" style="46" customWidth="1"/>
    <col min="4851" max="4851" width="11.109375" style="46" bestFit="1" customWidth="1"/>
    <col min="4852" max="4854" width="9.109375" style="46"/>
    <col min="4855" max="4855" width="10.88671875" style="46" customWidth="1"/>
    <col min="4856" max="5093" width="9.109375" style="46"/>
    <col min="5094" max="5094" width="5.5546875" style="46" customWidth="1"/>
    <col min="5095" max="5095" width="4.88671875" style="46" customWidth="1"/>
    <col min="5096" max="5096" width="2.6640625" style="46" customWidth="1"/>
    <col min="5097" max="5098" width="2.88671875" style="46" customWidth="1"/>
    <col min="5099" max="5099" width="2.6640625" style="46" customWidth="1"/>
    <col min="5100" max="5100" width="3.88671875" style="46" customWidth="1"/>
    <col min="5101" max="5101" width="25.6640625" style="46" customWidth="1"/>
    <col min="5102" max="5102" width="6.5546875" style="46" customWidth="1"/>
    <col min="5103" max="5103" width="7.33203125" style="46" customWidth="1"/>
    <col min="5104" max="5104" width="13.88671875" style="46" customWidth="1"/>
    <col min="5105" max="5105" width="16.5546875" style="46" customWidth="1"/>
    <col min="5106" max="5106" width="13.88671875" style="46" customWidth="1"/>
    <col min="5107" max="5107" width="11.109375" style="46" bestFit="1" customWidth="1"/>
    <col min="5108" max="5110" width="9.109375" style="46"/>
    <col min="5111" max="5111" width="10.88671875" style="46" customWidth="1"/>
    <col min="5112" max="5349" width="9.109375" style="46"/>
    <col min="5350" max="5350" width="5.5546875" style="46" customWidth="1"/>
    <col min="5351" max="5351" width="4.88671875" style="46" customWidth="1"/>
    <col min="5352" max="5352" width="2.6640625" style="46" customWidth="1"/>
    <col min="5353" max="5354" width="2.88671875" style="46" customWidth="1"/>
    <col min="5355" max="5355" width="2.6640625" style="46" customWidth="1"/>
    <col min="5356" max="5356" width="3.88671875" style="46" customWidth="1"/>
    <col min="5357" max="5357" width="25.6640625" style="46" customWidth="1"/>
    <col min="5358" max="5358" width="6.5546875" style="46" customWidth="1"/>
    <col min="5359" max="5359" width="7.33203125" style="46" customWidth="1"/>
    <col min="5360" max="5360" width="13.88671875" style="46" customWidth="1"/>
    <col min="5361" max="5361" width="16.5546875" style="46" customWidth="1"/>
    <col min="5362" max="5362" width="13.88671875" style="46" customWidth="1"/>
    <col min="5363" max="5363" width="11.109375" style="46" bestFit="1" customWidth="1"/>
    <col min="5364" max="5366" width="9.109375" style="46"/>
    <col min="5367" max="5367" width="10.88671875" style="46" customWidth="1"/>
    <col min="5368" max="5605" width="9.109375" style="46"/>
    <col min="5606" max="5606" width="5.5546875" style="46" customWidth="1"/>
    <col min="5607" max="5607" width="4.88671875" style="46" customWidth="1"/>
    <col min="5608" max="5608" width="2.6640625" style="46" customWidth="1"/>
    <col min="5609" max="5610" width="2.88671875" style="46" customWidth="1"/>
    <col min="5611" max="5611" width="2.6640625" style="46" customWidth="1"/>
    <col min="5612" max="5612" width="3.88671875" style="46" customWidth="1"/>
    <col min="5613" max="5613" width="25.6640625" style="46" customWidth="1"/>
    <col min="5614" max="5614" width="6.5546875" style="46" customWidth="1"/>
    <col min="5615" max="5615" width="7.33203125" style="46" customWidth="1"/>
    <col min="5616" max="5616" width="13.88671875" style="46" customWidth="1"/>
    <col min="5617" max="5617" width="16.5546875" style="46" customWidth="1"/>
    <col min="5618" max="5618" width="13.88671875" style="46" customWidth="1"/>
    <col min="5619" max="5619" width="11.109375" style="46" bestFit="1" customWidth="1"/>
    <col min="5620" max="5622" width="9.109375" style="46"/>
    <col min="5623" max="5623" width="10.88671875" style="46" customWidth="1"/>
    <col min="5624" max="5861" width="9.109375" style="46"/>
    <col min="5862" max="5862" width="5.5546875" style="46" customWidth="1"/>
    <col min="5863" max="5863" width="4.88671875" style="46" customWidth="1"/>
    <col min="5864" max="5864" width="2.6640625" style="46" customWidth="1"/>
    <col min="5865" max="5866" width="2.88671875" style="46" customWidth="1"/>
    <col min="5867" max="5867" width="2.6640625" style="46" customWidth="1"/>
    <col min="5868" max="5868" width="3.88671875" style="46" customWidth="1"/>
    <col min="5869" max="5869" width="25.6640625" style="46" customWidth="1"/>
    <col min="5870" max="5870" width="6.5546875" style="46" customWidth="1"/>
    <col min="5871" max="5871" width="7.33203125" style="46" customWidth="1"/>
    <col min="5872" max="5872" width="13.88671875" style="46" customWidth="1"/>
    <col min="5873" max="5873" width="16.5546875" style="46" customWidth="1"/>
    <col min="5874" max="5874" width="13.88671875" style="46" customWidth="1"/>
    <col min="5875" max="5875" width="11.109375" style="46" bestFit="1" customWidth="1"/>
    <col min="5876" max="5878" width="9.109375" style="46"/>
    <col min="5879" max="5879" width="10.88671875" style="46" customWidth="1"/>
    <col min="5880" max="6117" width="9.109375" style="46"/>
    <col min="6118" max="6118" width="5.5546875" style="46" customWidth="1"/>
    <col min="6119" max="6119" width="4.88671875" style="46" customWidth="1"/>
    <col min="6120" max="6120" width="2.6640625" style="46" customWidth="1"/>
    <col min="6121" max="6122" width="2.88671875" style="46" customWidth="1"/>
    <col min="6123" max="6123" width="2.6640625" style="46" customWidth="1"/>
    <col min="6124" max="6124" width="3.88671875" style="46" customWidth="1"/>
    <col min="6125" max="6125" width="25.6640625" style="46" customWidth="1"/>
    <col min="6126" max="6126" width="6.5546875" style="46" customWidth="1"/>
    <col min="6127" max="6127" width="7.33203125" style="46" customWidth="1"/>
    <col min="6128" max="6128" width="13.88671875" style="46" customWidth="1"/>
    <col min="6129" max="6129" width="16.5546875" style="46" customWidth="1"/>
    <col min="6130" max="6130" width="13.88671875" style="46" customWidth="1"/>
    <col min="6131" max="6131" width="11.109375" style="46" bestFit="1" customWidth="1"/>
    <col min="6132" max="6134" width="9.109375" style="46"/>
    <col min="6135" max="6135" width="10.88671875" style="46" customWidth="1"/>
    <col min="6136" max="6373" width="9.109375" style="46"/>
    <col min="6374" max="6374" width="5.5546875" style="46" customWidth="1"/>
    <col min="6375" max="6375" width="4.88671875" style="46" customWidth="1"/>
    <col min="6376" max="6376" width="2.6640625" style="46" customWidth="1"/>
    <col min="6377" max="6378" width="2.88671875" style="46" customWidth="1"/>
    <col min="6379" max="6379" width="2.6640625" style="46" customWidth="1"/>
    <col min="6380" max="6380" width="3.88671875" style="46" customWidth="1"/>
    <col min="6381" max="6381" width="25.6640625" style="46" customWidth="1"/>
    <col min="6382" max="6382" width="6.5546875" style="46" customWidth="1"/>
    <col min="6383" max="6383" width="7.33203125" style="46" customWidth="1"/>
    <col min="6384" max="6384" width="13.88671875" style="46" customWidth="1"/>
    <col min="6385" max="6385" width="16.5546875" style="46" customWidth="1"/>
    <col min="6386" max="6386" width="13.88671875" style="46" customWidth="1"/>
    <col min="6387" max="6387" width="11.109375" style="46" bestFit="1" customWidth="1"/>
    <col min="6388" max="6390" width="9.109375" style="46"/>
    <col min="6391" max="6391" width="10.88671875" style="46" customWidth="1"/>
    <col min="6392" max="6629" width="9.109375" style="46"/>
    <col min="6630" max="6630" width="5.5546875" style="46" customWidth="1"/>
    <col min="6631" max="6631" width="4.88671875" style="46" customWidth="1"/>
    <col min="6632" max="6632" width="2.6640625" style="46" customWidth="1"/>
    <col min="6633" max="6634" width="2.88671875" style="46" customWidth="1"/>
    <col min="6635" max="6635" width="2.6640625" style="46" customWidth="1"/>
    <col min="6636" max="6636" width="3.88671875" style="46" customWidth="1"/>
    <col min="6637" max="6637" width="25.6640625" style="46" customWidth="1"/>
    <col min="6638" max="6638" width="6.5546875" style="46" customWidth="1"/>
    <col min="6639" max="6639" width="7.33203125" style="46" customWidth="1"/>
    <col min="6640" max="6640" width="13.88671875" style="46" customWidth="1"/>
    <col min="6641" max="6641" width="16.5546875" style="46" customWidth="1"/>
    <col min="6642" max="6642" width="13.88671875" style="46" customWidth="1"/>
    <col min="6643" max="6643" width="11.109375" style="46" bestFit="1" customWidth="1"/>
    <col min="6644" max="6646" width="9.109375" style="46"/>
    <col min="6647" max="6647" width="10.88671875" style="46" customWidth="1"/>
    <col min="6648" max="6885" width="9.109375" style="46"/>
    <col min="6886" max="6886" width="5.5546875" style="46" customWidth="1"/>
    <col min="6887" max="6887" width="4.88671875" style="46" customWidth="1"/>
    <col min="6888" max="6888" width="2.6640625" style="46" customWidth="1"/>
    <col min="6889" max="6890" width="2.88671875" style="46" customWidth="1"/>
    <col min="6891" max="6891" width="2.6640625" style="46" customWidth="1"/>
    <col min="6892" max="6892" width="3.88671875" style="46" customWidth="1"/>
    <col min="6893" max="6893" width="25.6640625" style="46" customWidth="1"/>
    <col min="6894" max="6894" width="6.5546875" style="46" customWidth="1"/>
    <col min="6895" max="6895" width="7.33203125" style="46" customWidth="1"/>
    <col min="6896" max="6896" width="13.88671875" style="46" customWidth="1"/>
    <col min="6897" max="6897" width="16.5546875" style="46" customWidth="1"/>
    <col min="6898" max="6898" width="13.88671875" style="46" customWidth="1"/>
    <col min="6899" max="6899" width="11.109375" style="46" bestFit="1" customWidth="1"/>
    <col min="6900" max="6902" width="9.109375" style="46"/>
    <col min="6903" max="6903" width="10.88671875" style="46" customWidth="1"/>
    <col min="6904" max="7141" width="9.109375" style="46"/>
    <col min="7142" max="7142" width="5.5546875" style="46" customWidth="1"/>
    <col min="7143" max="7143" width="4.88671875" style="46" customWidth="1"/>
    <col min="7144" max="7144" width="2.6640625" style="46" customWidth="1"/>
    <col min="7145" max="7146" width="2.88671875" style="46" customWidth="1"/>
    <col min="7147" max="7147" width="2.6640625" style="46" customWidth="1"/>
    <col min="7148" max="7148" width="3.88671875" style="46" customWidth="1"/>
    <col min="7149" max="7149" width="25.6640625" style="46" customWidth="1"/>
    <col min="7150" max="7150" width="6.5546875" style="46" customWidth="1"/>
    <col min="7151" max="7151" width="7.33203125" style="46" customWidth="1"/>
    <col min="7152" max="7152" width="13.88671875" style="46" customWidth="1"/>
    <col min="7153" max="7153" width="16.5546875" style="46" customWidth="1"/>
    <col min="7154" max="7154" width="13.88671875" style="46" customWidth="1"/>
    <col min="7155" max="7155" width="11.109375" style="46" bestFit="1" customWidth="1"/>
    <col min="7156" max="7158" width="9.109375" style="46"/>
    <col min="7159" max="7159" width="10.88671875" style="46" customWidth="1"/>
    <col min="7160" max="7397" width="9.109375" style="46"/>
    <col min="7398" max="7398" width="5.5546875" style="46" customWidth="1"/>
    <col min="7399" max="7399" width="4.88671875" style="46" customWidth="1"/>
    <col min="7400" max="7400" width="2.6640625" style="46" customWidth="1"/>
    <col min="7401" max="7402" width="2.88671875" style="46" customWidth="1"/>
    <col min="7403" max="7403" width="2.6640625" style="46" customWidth="1"/>
    <col min="7404" max="7404" width="3.88671875" style="46" customWidth="1"/>
    <col min="7405" max="7405" width="25.6640625" style="46" customWidth="1"/>
    <col min="7406" max="7406" width="6.5546875" style="46" customWidth="1"/>
    <col min="7407" max="7407" width="7.33203125" style="46" customWidth="1"/>
    <col min="7408" max="7408" width="13.88671875" style="46" customWidth="1"/>
    <col min="7409" max="7409" width="16.5546875" style="46" customWidth="1"/>
    <col min="7410" max="7410" width="13.88671875" style="46" customWidth="1"/>
    <col min="7411" max="7411" width="11.109375" style="46" bestFit="1" customWidth="1"/>
    <col min="7412" max="7414" width="9.109375" style="46"/>
    <col min="7415" max="7415" width="10.88671875" style="46" customWidth="1"/>
    <col min="7416" max="7653" width="9.109375" style="46"/>
    <col min="7654" max="7654" width="5.5546875" style="46" customWidth="1"/>
    <col min="7655" max="7655" width="4.88671875" style="46" customWidth="1"/>
    <col min="7656" max="7656" width="2.6640625" style="46" customWidth="1"/>
    <col min="7657" max="7658" width="2.88671875" style="46" customWidth="1"/>
    <col min="7659" max="7659" width="2.6640625" style="46" customWidth="1"/>
    <col min="7660" max="7660" width="3.88671875" style="46" customWidth="1"/>
    <col min="7661" max="7661" width="25.6640625" style="46" customWidth="1"/>
    <col min="7662" max="7662" width="6.5546875" style="46" customWidth="1"/>
    <col min="7663" max="7663" width="7.33203125" style="46" customWidth="1"/>
    <col min="7664" max="7664" width="13.88671875" style="46" customWidth="1"/>
    <col min="7665" max="7665" width="16.5546875" style="46" customWidth="1"/>
    <col min="7666" max="7666" width="13.88671875" style="46" customWidth="1"/>
    <col min="7667" max="7667" width="11.109375" style="46" bestFit="1" customWidth="1"/>
    <col min="7668" max="7670" width="9.109375" style="46"/>
    <col min="7671" max="7671" width="10.88671875" style="46" customWidth="1"/>
    <col min="7672" max="7909" width="9.109375" style="46"/>
    <col min="7910" max="7910" width="5.5546875" style="46" customWidth="1"/>
    <col min="7911" max="7911" width="4.88671875" style="46" customWidth="1"/>
    <col min="7912" max="7912" width="2.6640625" style="46" customWidth="1"/>
    <col min="7913" max="7914" width="2.88671875" style="46" customWidth="1"/>
    <col min="7915" max="7915" width="2.6640625" style="46" customWidth="1"/>
    <col min="7916" max="7916" width="3.88671875" style="46" customWidth="1"/>
    <col min="7917" max="7917" width="25.6640625" style="46" customWidth="1"/>
    <col min="7918" max="7918" width="6.5546875" style="46" customWidth="1"/>
    <col min="7919" max="7919" width="7.33203125" style="46" customWidth="1"/>
    <col min="7920" max="7920" width="13.88671875" style="46" customWidth="1"/>
    <col min="7921" max="7921" width="16.5546875" style="46" customWidth="1"/>
    <col min="7922" max="7922" width="13.88671875" style="46" customWidth="1"/>
    <col min="7923" max="7923" width="11.109375" style="46" bestFit="1" customWidth="1"/>
    <col min="7924" max="7926" width="9.109375" style="46"/>
    <col min="7927" max="7927" width="10.88671875" style="46" customWidth="1"/>
    <col min="7928" max="8165" width="9.109375" style="46"/>
    <col min="8166" max="8166" width="5.5546875" style="46" customWidth="1"/>
    <col min="8167" max="8167" width="4.88671875" style="46" customWidth="1"/>
    <col min="8168" max="8168" width="2.6640625" style="46" customWidth="1"/>
    <col min="8169" max="8170" width="2.88671875" style="46" customWidth="1"/>
    <col min="8171" max="8171" width="2.6640625" style="46" customWidth="1"/>
    <col min="8172" max="8172" width="3.88671875" style="46" customWidth="1"/>
    <col min="8173" max="8173" width="25.6640625" style="46" customWidth="1"/>
    <col min="8174" max="8174" width="6.5546875" style="46" customWidth="1"/>
    <col min="8175" max="8175" width="7.33203125" style="46" customWidth="1"/>
    <col min="8176" max="8176" width="13.88671875" style="46" customWidth="1"/>
    <col min="8177" max="8177" width="16.5546875" style="46" customWidth="1"/>
    <col min="8178" max="8178" width="13.88671875" style="46" customWidth="1"/>
    <col min="8179" max="8179" width="11.109375" style="46" bestFit="1" customWidth="1"/>
    <col min="8180" max="8182" width="9.109375" style="46"/>
    <col min="8183" max="8183" width="10.88671875" style="46" customWidth="1"/>
    <col min="8184" max="8421" width="9.109375" style="46"/>
    <col min="8422" max="8422" width="5.5546875" style="46" customWidth="1"/>
    <col min="8423" max="8423" width="4.88671875" style="46" customWidth="1"/>
    <col min="8424" max="8424" width="2.6640625" style="46" customWidth="1"/>
    <col min="8425" max="8426" width="2.88671875" style="46" customWidth="1"/>
    <col min="8427" max="8427" width="2.6640625" style="46" customWidth="1"/>
    <col min="8428" max="8428" width="3.88671875" style="46" customWidth="1"/>
    <col min="8429" max="8429" width="25.6640625" style="46" customWidth="1"/>
    <col min="8430" max="8430" width="6.5546875" style="46" customWidth="1"/>
    <col min="8431" max="8431" width="7.33203125" style="46" customWidth="1"/>
    <col min="8432" max="8432" width="13.88671875" style="46" customWidth="1"/>
    <col min="8433" max="8433" width="16.5546875" style="46" customWidth="1"/>
    <col min="8434" max="8434" width="13.88671875" style="46" customWidth="1"/>
    <col min="8435" max="8435" width="11.109375" style="46" bestFit="1" customWidth="1"/>
    <col min="8436" max="8438" width="9.109375" style="46"/>
    <col min="8439" max="8439" width="10.88671875" style="46" customWidth="1"/>
    <col min="8440" max="8677" width="9.109375" style="46"/>
    <col min="8678" max="8678" width="5.5546875" style="46" customWidth="1"/>
    <col min="8679" max="8679" width="4.88671875" style="46" customWidth="1"/>
    <col min="8680" max="8680" width="2.6640625" style="46" customWidth="1"/>
    <col min="8681" max="8682" width="2.88671875" style="46" customWidth="1"/>
    <col min="8683" max="8683" width="2.6640625" style="46" customWidth="1"/>
    <col min="8684" max="8684" width="3.88671875" style="46" customWidth="1"/>
    <col min="8685" max="8685" width="25.6640625" style="46" customWidth="1"/>
    <col min="8686" max="8686" width="6.5546875" style="46" customWidth="1"/>
    <col min="8687" max="8687" width="7.33203125" style="46" customWidth="1"/>
    <col min="8688" max="8688" width="13.88671875" style="46" customWidth="1"/>
    <col min="8689" max="8689" width="16.5546875" style="46" customWidth="1"/>
    <col min="8690" max="8690" width="13.88671875" style="46" customWidth="1"/>
    <col min="8691" max="8691" width="11.109375" style="46" bestFit="1" customWidth="1"/>
    <col min="8692" max="8694" width="9.109375" style="46"/>
    <col min="8695" max="8695" width="10.88671875" style="46" customWidth="1"/>
    <col min="8696" max="8933" width="9.109375" style="46"/>
    <col min="8934" max="8934" width="5.5546875" style="46" customWidth="1"/>
    <col min="8935" max="8935" width="4.88671875" style="46" customWidth="1"/>
    <col min="8936" max="8936" width="2.6640625" style="46" customWidth="1"/>
    <col min="8937" max="8938" width="2.88671875" style="46" customWidth="1"/>
    <col min="8939" max="8939" width="2.6640625" style="46" customWidth="1"/>
    <col min="8940" max="8940" width="3.88671875" style="46" customWidth="1"/>
    <col min="8941" max="8941" width="25.6640625" style="46" customWidth="1"/>
    <col min="8942" max="8942" width="6.5546875" style="46" customWidth="1"/>
    <col min="8943" max="8943" width="7.33203125" style="46" customWidth="1"/>
    <col min="8944" max="8944" width="13.88671875" style="46" customWidth="1"/>
    <col min="8945" max="8945" width="16.5546875" style="46" customWidth="1"/>
    <col min="8946" max="8946" width="13.88671875" style="46" customWidth="1"/>
    <col min="8947" max="8947" width="11.109375" style="46" bestFit="1" customWidth="1"/>
    <col min="8948" max="8950" width="9.109375" style="46"/>
    <col min="8951" max="8951" width="10.88671875" style="46" customWidth="1"/>
    <col min="8952" max="9189" width="9.109375" style="46"/>
    <col min="9190" max="9190" width="5.5546875" style="46" customWidth="1"/>
    <col min="9191" max="9191" width="4.88671875" style="46" customWidth="1"/>
    <col min="9192" max="9192" width="2.6640625" style="46" customWidth="1"/>
    <col min="9193" max="9194" width="2.88671875" style="46" customWidth="1"/>
    <col min="9195" max="9195" width="2.6640625" style="46" customWidth="1"/>
    <col min="9196" max="9196" width="3.88671875" style="46" customWidth="1"/>
    <col min="9197" max="9197" width="25.6640625" style="46" customWidth="1"/>
    <col min="9198" max="9198" width="6.5546875" style="46" customWidth="1"/>
    <col min="9199" max="9199" width="7.33203125" style="46" customWidth="1"/>
    <col min="9200" max="9200" width="13.88671875" style="46" customWidth="1"/>
    <col min="9201" max="9201" width="16.5546875" style="46" customWidth="1"/>
    <col min="9202" max="9202" width="13.88671875" style="46" customWidth="1"/>
    <col min="9203" max="9203" width="11.109375" style="46" bestFit="1" customWidth="1"/>
    <col min="9204" max="9206" width="9.109375" style="46"/>
    <col min="9207" max="9207" width="10.88671875" style="46" customWidth="1"/>
    <col min="9208" max="9445" width="9.109375" style="46"/>
    <col min="9446" max="9446" width="5.5546875" style="46" customWidth="1"/>
    <col min="9447" max="9447" width="4.88671875" style="46" customWidth="1"/>
    <col min="9448" max="9448" width="2.6640625" style="46" customWidth="1"/>
    <col min="9449" max="9450" width="2.88671875" style="46" customWidth="1"/>
    <col min="9451" max="9451" width="2.6640625" style="46" customWidth="1"/>
    <col min="9452" max="9452" width="3.88671875" style="46" customWidth="1"/>
    <col min="9453" max="9453" width="25.6640625" style="46" customWidth="1"/>
    <col min="9454" max="9454" width="6.5546875" style="46" customWidth="1"/>
    <col min="9455" max="9455" width="7.33203125" style="46" customWidth="1"/>
    <col min="9456" max="9456" width="13.88671875" style="46" customWidth="1"/>
    <col min="9457" max="9457" width="16.5546875" style="46" customWidth="1"/>
    <col min="9458" max="9458" width="13.88671875" style="46" customWidth="1"/>
    <col min="9459" max="9459" width="11.109375" style="46" bestFit="1" customWidth="1"/>
    <col min="9460" max="9462" width="9.109375" style="46"/>
    <col min="9463" max="9463" width="10.88671875" style="46" customWidth="1"/>
    <col min="9464" max="9701" width="9.109375" style="46"/>
    <col min="9702" max="9702" width="5.5546875" style="46" customWidth="1"/>
    <col min="9703" max="9703" width="4.88671875" style="46" customWidth="1"/>
    <col min="9704" max="9704" width="2.6640625" style="46" customWidth="1"/>
    <col min="9705" max="9706" width="2.88671875" style="46" customWidth="1"/>
    <col min="9707" max="9707" width="2.6640625" style="46" customWidth="1"/>
    <col min="9708" max="9708" width="3.88671875" style="46" customWidth="1"/>
    <col min="9709" max="9709" width="25.6640625" style="46" customWidth="1"/>
    <col min="9710" max="9710" width="6.5546875" style="46" customWidth="1"/>
    <col min="9711" max="9711" width="7.33203125" style="46" customWidth="1"/>
    <col min="9712" max="9712" width="13.88671875" style="46" customWidth="1"/>
    <col min="9713" max="9713" width="16.5546875" style="46" customWidth="1"/>
    <col min="9714" max="9714" width="13.88671875" style="46" customWidth="1"/>
    <col min="9715" max="9715" width="11.109375" style="46" bestFit="1" customWidth="1"/>
    <col min="9716" max="9718" width="9.109375" style="46"/>
    <col min="9719" max="9719" width="10.88671875" style="46" customWidth="1"/>
    <col min="9720" max="9957" width="9.109375" style="46"/>
    <col min="9958" max="9958" width="5.5546875" style="46" customWidth="1"/>
    <col min="9959" max="9959" width="4.88671875" style="46" customWidth="1"/>
    <col min="9960" max="9960" width="2.6640625" style="46" customWidth="1"/>
    <col min="9961" max="9962" width="2.88671875" style="46" customWidth="1"/>
    <col min="9963" max="9963" width="2.6640625" style="46" customWidth="1"/>
    <col min="9964" max="9964" width="3.88671875" style="46" customWidth="1"/>
    <col min="9965" max="9965" width="25.6640625" style="46" customWidth="1"/>
    <col min="9966" max="9966" width="6.5546875" style="46" customWidth="1"/>
    <col min="9967" max="9967" width="7.33203125" style="46" customWidth="1"/>
    <col min="9968" max="9968" width="13.88671875" style="46" customWidth="1"/>
    <col min="9969" max="9969" width="16.5546875" style="46" customWidth="1"/>
    <col min="9970" max="9970" width="13.88671875" style="46" customWidth="1"/>
    <col min="9971" max="9971" width="11.109375" style="46" bestFit="1" customWidth="1"/>
    <col min="9972" max="9974" width="9.109375" style="46"/>
    <col min="9975" max="9975" width="10.88671875" style="46" customWidth="1"/>
    <col min="9976" max="10213" width="9.109375" style="46"/>
    <col min="10214" max="10214" width="5.5546875" style="46" customWidth="1"/>
    <col min="10215" max="10215" width="4.88671875" style="46" customWidth="1"/>
    <col min="10216" max="10216" width="2.6640625" style="46" customWidth="1"/>
    <col min="10217" max="10218" width="2.88671875" style="46" customWidth="1"/>
    <col min="10219" max="10219" width="2.6640625" style="46" customWidth="1"/>
    <col min="10220" max="10220" width="3.88671875" style="46" customWidth="1"/>
    <col min="10221" max="10221" width="25.6640625" style="46" customWidth="1"/>
    <col min="10222" max="10222" width="6.5546875" style="46" customWidth="1"/>
    <col min="10223" max="10223" width="7.33203125" style="46" customWidth="1"/>
    <col min="10224" max="10224" width="13.88671875" style="46" customWidth="1"/>
    <col min="10225" max="10225" width="16.5546875" style="46" customWidth="1"/>
    <col min="10226" max="10226" width="13.88671875" style="46" customWidth="1"/>
    <col min="10227" max="10227" width="11.109375" style="46" bestFit="1" customWidth="1"/>
    <col min="10228" max="10230" width="9.109375" style="46"/>
    <col min="10231" max="10231" width="10.88671875" style="46" customWidth="1"/>
    <col min="10232" max="10469" width="9.109375" style="46"/>
    <col min="10470" max="10470" width="5.5546875" style="46" customWidth="1"/>
    <col min="10471" max="10471" width="4.88671875" style="46" customWidth="1"/>
    <col min="10472" max="10472" width="2.6640625" style="46" customWidth="1"/>
    <col min="10473" max="10474" width="2.88671875" style="46" customWidth="1"/>
    <col min="10475" max="10475" width="2.6640625" style="46" customWidth="1"/>
    <col min="10476" max="10476" width="3.88671875" style="46" customWidth="1"/>
    <col min="10477" max="10477" width="25.6640625" style="46" customWidth="1"/>
    <col min="10478" max="10478" width="6.5546875" style="46" customWidth="1"/>
    <col min="10479" max="10479" width="7.33203125" style="46" customWidth="1"/>
    <col min="10480" max="10480" width="13.88671875" style="46" customWidth="1"/>
    <col min="10481" max="10481" width="16.5546875" style="46" customWidth="1"/>
    <col min="10482" max="10482" width="13.88671875" style="46" customWidth="1"/>
    <col min="10483" max="10483" width="11.109375" style="46" bestFit="1" customWidth="1"/>
    <col min="10484" max="10486" width="9.109375" style="46"/>
    <col min="10487" max="10487" width="10.88671875" style="46" customWidth="1"/>
    <col min="10488" max="10725" width="9.109375" style="46"/>
    <col min="10726" max="10726" width="5.5546875" style="46" customWidth="1"/>
    <col min="10727" max="10727" width="4.88671875" style="46" customWidth="1"/>
    <col min="10728" max="10728" width="2.6640625" style="46" customWidth="1"/>
    <col min="10729" max="10730" width="2.88671875" style="46" customWidth="1"/>
    <col min="10731" max="10731" width="2.6640625" style="46" customWidth="1"/>
    <col min="10732" max="10732" width="3.88671875" style="46" customWidth="1"/>
    <col min="10733" max="10733" width="25.6640625" style="46" customWidth="1"/>
    <col min="10734" max="10734" width="6.5546875" style="46" customWidth="1"/>
    <col min="10735" max="10735" width="7.33203125" style="46" customWidth="1"/>
    <col min="10736" max="10736" width="13.88671875" style="46" customWidth="1"/>
    <col min="10737" max="10737" width="16.5546875" style="46" customWidth="1"/>
    <col min="10738" max="10738" width="13.88671875" style="46" customWidth="1"/>
    <col min="10739" max="10739" width="11.109375" style="46" bestFit="1" customWidth="1"/>
    <col min="10740" max="10742" width="9.109375" style="46"/>
    <col min="10743" max="10743" width="10.88671875" style="46" customWidth="1"/>
    <col min="10744" max="10981" width="9.109375" style="46"/>
    <col min="10982" max="10982" width="5.5546875" style="46" customWidth="1"/>
    <col min="10983" max="10983" width="4.88671875" style="46" customWidth="1"/>
    <col min="10984" max="10984" width="2.6640625" style="46" customWidth="1"/>
    <col min="10985" max="10986" width="2.88671875" style="46" customWidth="1"/>
    <col min="10987" max="10987" width="2.6640625" style="46" customWidth="1"/>
    <col min="10988" max="10988" width="3.88671875" style="46" customWidth="1"/>
    <col min="10989" max="10989" width="25.6640625" style="46" customWidth="1"/>
    <col min="10990" max="10990" width="6.5546875" style="46" customWidth="1"/>
    <col min="10991" max="10991" width="7.33203125" style="46" customWidth="1"/>
    <col min="10992" max="10992" width="13.88671875" style="46" customWidth="1"/>
    <col min="10993" max="10993" width="16.5546875" style="46" customWidth="1"/>
    <col min="10994" max="10994" width="13.88671875" style="46" customWidth="1"/>
    <col min="10995" max="10995" width="11.109375" style="46" bestFit="1" customWidth="1"/>
    <col min="10996" max="10998" width="9.109375" style="46"/>
    <col min="10999" max="10999" width="10.88671875" style="46" customWidth="1"/>
    <col min="11000" max="11237" width="9.109375" style="46"/>
    <col min="11238" max="11238" width="5.5546875" style="46" customWidth="1"/>
    <col min="11239" max="11239" width="4.88671875" style="46" customWidth="1"/>
    <col min="11240" max="11240" width="2.6640625" style="46" customWidth="1"/>
    <col min="11241" max="11242" width="2.88671875" style="46" customWidth="1"/>
    <col min="11243" max="11243" width="2.6640625" style="46" customWidth="1"/>
    <col min="11244" max="11244" width="3.88671875" style="46" customWidth="1"/>
    <col min="11245" max="11245" width="25.6640625" style="46" customWidth="1"/>
    <col min="11246" max="11246" width="6.5546875" style="46" customWidth="1"/>
    <col min="11247" max="11247" width="7.33203125" style="46" customWidth="1"/>
    <col min="11248" max="11248" width="13.88671875" style="46" customWidth="1"/>
    <col min="11249" max="11249" width="16.5546875" style="46" customWidth="1"/>
    <col min="11250" max="11250" width="13.88671875" style="46" customWidth="1"/>
    <col min="11251" max="11251" width="11.109375" style="46" bestFit="1" customWidth="1"/>
    <col min="11252" max="11254" width="9.109375" style="46"/>
    <col min="11255" max="11255" width="10.88671875" style="46" customWidth="1"/>
    <col min="11256" max="11493" width="9.109375" style="46"/>
    <col min="11494" max="11494" width="5.5546875" style="46" customWidth="1"/>
    <col min="11495" max="11495" width="4.88671875" style="46" customWidth="1"/>
    <col min="11496" max="11496" width="2.6640625" style="46" customWidth="1"/>
    <col min="11497" max="11498" width="2.88671875" style="46" customWidth="1"/>
    <col min="11499" max="11499" width="2.6640625" style="46" customWidth="1"/>
    <col min="11500" max="11500" width="3.88671875" style="46" customWidth="1"/>
    <col min="11501" max="11501" width="25.6640625" style="46" customWidth="1"/>
    <col min="11502" max="11502" width="6.5546875" style="46" customWidth="1"/>
    <col min="11503" max="11503" width="7.33203125" style="46" customWidth="1"/>
    <col min="11504" max="11504" width="13.88671875" style="46" customWidth="1"/>
    <col min="11505" max="11505" width="16.5546875" style="46" customWidth="1"/>
    <col min="11506" max="11506" width="13.88671875" style="46" customWidth="1"/>
    <col min="11507" max="11507" width="11.109375" style="46" bestFit="1" customWidth="1"/>
    <col min="11508" max="11510" width="9.109375" style="46"/>
    <col min="11511" max="11511" width="10.88671875" style="46" customWidth="1"/>
    <col min="11512" max="11749" width="9.109375" style="46"/>
    <col min="11750" max="11750" width="5.5546875" style="46" customWidth="1"/>
    <col min="11751" max="11751" width="4.88671875" style="46" customWidth="1"/>
    <col min="11752" max="11752" width="2.6640625" style="46" customWidth="1"/>
    <col min="11753" max="11754" width="2.88671875" style="46" customWidth="1"/>
    <col min="11755" max="11755" width="2.6640625" style="46" customWidth="1"/>
    <col min="11756" max="11756" width="3.88671875" style="46" customWidth="1"/>
    <col min="11757" max="11757" width="25.6640625" style="46" customWidth="1"/>
    <col min="11758" max="11758" width="6.5546875" style="46" customWidth="1"/>
    <col min="11759" max="11759" width="7.33203125" style="46" customWidth="1"/>
    <col min="11760" max="11760" width="13.88671875" style="46" customWidth="1"/>
    <col min="11761" max="11761" width="16.5546875" style="46" customWidth="1"/>
    <col min="11762" max="11762" width="13.88671875" style="46" customWidth="1"/>
    <col min="11763" max="11763" width="11.109375" style="46" bestFit="1" customWidth="1"/>
    <col min="11764" max="11766" width="9.109375" style="46"/>
    <col min="11767" max="11767" width="10.88671875" style="46" customWidth="1"/>
    <col min="11768" max="12005" width="9.109375" style="46"/>
    <col min="12006" max="12006" width="5.5546875" style="46" customWidth="1"/>
    <col min="12007" max="12007" width="4.88671875" style="46" customWidth="1"/>
    <col min="12008" max="12008" width="2.6640625" style="46" customWidth="1"/>
    <col min="12009" max="12010" width="2.88671875" style="46" customWidth="1"/>
    <col min="12011" max="12011" width="2.6640625" style="46" customWidth="1"/>
    <col min="12012" max="12012" width="3.88671875" style="46" customWidth="1"/>
    <col min="12013" max="12013" width="25.6640625" style="46" customWidth="1"/>
    <col min="12014" max="12014" width="6.5546875" style="46" customWidth="1"/>
    <col min="12015" max="12015" width="7.33203125" style="46" customWidth="1"/>
    <col min="12016" max="12016" width="13.88671875" style="46" customWidth="1"/>
    <col min="12017" max="12017" width="16.5546875" style="46" customWidth="1"/>
    <col min="12018" max="12018" width="13.88671875" style="46" customWidth="1"/>
    <col min="12019" max="12019" width="11.109375" style="46" bestFit="1" customWidth="1"/>
    <col min="12020" max="12022" width="9.109375" style="46"/>
    <col min="12023" max="12023" width="10.88671875" style="46" customWidth="1"/>
    <col min="12024" max="12261" width="9.109375" style="46"/>
    <col min="12262" max="12262" width="5.5546875" style="46" customWidth="1"/>
    <col min="12263" max="12263" width="4.88671875" style="46" customWidth="1"/>
    <col min="12264" max="12264" width="2.6640625" style="46" customWidth="1"/>
    <col min="12265" max="12266" width="2.88671875" style="46" customWidth="1"/>
    <col min="12267" max="12267" width="2.6640625" style="46" customWidth="1"/>
    <col min="12268" max="12268" width="3.88671875" style="46" customWidth="1"/>
    <col min="12269" max="12269" width="25.6640625" style="46" customWidth="1"/>
    <col min="12270" max="12270" width="6.5546875" style="46" customWidth="1"/>
    <col min="12271" max="12271" width="7.33203125" style="46" customWidth="1"/>
    <col min="12272" max="12272" width="13.88671875" style="46" customWidth="1"/>
    <col min="12273" max="12273" width="16.5546875" style="46" customWidth="1"/>
    <col min="12274" max="12274" width="13.88671875" style="46" customWidth="1"/>
    <col min="12275" max="12275" width="11.109375" style="46" bestFit="1" customWidth="1"/>
    <col min="12276" max="12278" width="9.109375" style="46"/>
    <col min="12279" max="12279" width="10.88671875" style="46" customWidth="1"/>
    <col min="12280" max="12517" width="9.109375" style="46"/>
    <col min="12518" max="12518" width="5.5546875" style="46" customWidth="1"/>
    <col min="12519" max="12519" width="4.88671875" style="46" customWidth="1"/>
    <col min="12520" max="12520" width="2.6640625" style="46" customWidth="1"/>
    <col min="12521" max="12522" width="2.88671875" style="46" customWidth="1"/>
    <col min="12523" max="12523" width="2.6640625" style="46" customWidth="1"/>
    <col min="12524" max="12524" width="3.88671875" style="46" customWidth="1"/>
    <col min="12525" max="12525" width="25.6640625" style="46" customWidth="1"/>
    <col min="12526" max="12526" width="6.5546875" style="46" customWidth="1"/>
    <col min="12527" max="12527" width="7.33203125" style="46" customWidth="1"/>
    <col min="12528" max="12528" width="13.88671875" style="46" customWidth="1"/>
    <col min="12529" max="12529" width="16.5546875" style="46" customWidth="1"/>
    <col min="12530" max="12530" width="13.88671875" style="46" customWidth="1"/>
    <col min="12531" max="12531" width="11.109375" style="46" bestFit="1" customWidth="1"/>
    <col min="12532" max="12534" width="9.109375" style="46"/>
    <col min="12535" max="12535" width="10.88671875" style="46" customWidth="1"/>
    <col min="12536" max="12773" width="9.109375" style="46"/>
    <col min="12774" max="12774" width="5.5546875" style="46" customWidth="1"/>
    <col min="12775" max="12775" width="4.88671875" style="46" customWidth="1"/>
    <col min="12776" max="12776" width="2.6640625" style="46" customWidth="1"/>
    <col min="12777" max="12778" width="2.88671875" style="46" customWidth="1"/>
    <col min="12779" max="12779" width="2.6640625" style="46" customWidth="1"/>
    <col min="12780" max="12780" width="3.88671875" style="46" customWidth="1"/>
    <col min="12781" max="12781" width="25.6640625" style="46" customWidth="1"/>
    <col min="12782" max="12782" width="6.5546875" style="46" customWidth="1"/>
    <col min="12783" max="12783" width="7.33203125" style="46" customWidth="1"/>
    <col min="12784" max="12784" width="13.88671875" style="46" customWidth="1"/>
    <col min="12785" max="12785" width="16.5546875" style="46" customWidth="1"/>
    <col min="12786" max="12786" width="13.88671875" style="46" customWidth="1"/>
    <col min="12787" max="12787" width="11.109375" style="46" bestFit="1" customWidth="1"/>
    <col min="12788" max="12790" width="9.109375" style="46"/>
    <col min="12791" max="12791" width="10.88671875" style="46" customWidth="1"/>
    <col min="12792" max="13029" width="9.109375" style="46"/>
    <col min="13030" max="13030" width="5.5546875" style="46" customWidth="1"/>
    <col min="13031" max="13031" width="4.88671875" style="46" customWidth="1"/>
    <col min="13032" max="13032" width="2.6640625" style="46" customWidth="1"/>
    <col min="13033" max="13034" width="2.88671875" style="46" customWidth="1"/>
    <col min="13035" max="13035" width="2.6640625" style="46" customWidth="1"/>
    <col min="13036" max="13036" width="3.88671875" style="46" customWidth="1"/>
    <col min="13037" max="13037" width="25.6640625" style="46" customWidth="1"/>
    <col min="13038" max="13038" width="6.5546875" style="46" customWidth="1"/>
    <col min="13039" max="13039" width="7.33203125" style="46" customWidth="1"/>
    <col min="13040" max="13040" width="13.88671875" style="46" customWidth="1"/>
    <col min="13041" max="13041" width="16.5546875" style="46" customWidth="1"/>
    <col min="13042" max="13042" width="13.88671875" style="46" customWidth="1"/>
    <col min="13043" max="13043" width="11.109375" style="46" bestFit="1" customWidth="1"/>
    <col min="13044" max="13046" width="9.109375" style="46"/>
    <col min="13047" max="13047" width="10.88671875" style="46" customWidth="1"/>
    <col min="13048" max="13285" width="9.109375" style="46"/>
    <col min="13286" max="13286" width="5.5546875" style="46" customWidth="1"/>
    <col min="13287" max="13287" width="4.88671875" style="46" customWidth="1"/>
    <col min="13288" max="13288" width="2.6640625" style="46" customWidth="1"/>
    <col min="13289" max="13290" width="2.88671875" style="46" customWidth="1"/>
    <col min="13291" max="13291" width="2.6640625" style="46" customWidth="1"/>
    <col min="13292" max="13292" width="3.88671875" style="46" customWidth="1"/>
    <col min="13293" max="13293" width="25.6640625" style="46" customWidth="1"/>
    <col min="13294" max="13294" width="6.5546875" style="46" customWidth="1"/>
    <col min="13295" max="13295" width="7.33203125" style="46" customWidth="1"/>
    <col min="13296" max="13296" width="13.88671875" style="46" customWidth="1"/>
    <col min="13297" max="13297" width="16.5546875" style="46" customWidth="1"/>
    <col min="13298" max="13298" width="13.88671875" style="46" customWidth="1"/>
    <col min="13299" max="13299" width="11.109375" style="46" bestFit="1" customWidth="1"/>
    <col min="13300" max="13302" width="9.109375" style="46"/>
    <col min="13303" max="13303" width="10.88671875" style="46" customWidth="1"/>
    <col min="13304" max="13541" width="9.109375" style="46"/>
    <col min="13542" max="13542" width="5.5546875" style="46" customWidth="1"/>
    <col min="13543" max="13543" width="4.88671875" style="46" customWidth="1"/>
    <col min="13544" max="13544" width="2.6640625" style="46" customWidth="1"/>
    <col min="13545" max="13546" width="2.88671875" style="46" customWidth="1"/>
    <col min="13547" max="13547" width="2.6640625" style="46" customWidth="1"/>
    <col min="13548" max="13548" width="3.88671875" style="46" customWidth="1"/>
    <col min="13549" max="13549" width="25.6640625" style="46" customWidth="1"/>
    <col min="13550" max="13550" width="6.5546875" style="46" customWidth="1"/>
    <col min="13551" max="13551" width="7.33203125" style="46" customWidth="1"/>
    <col min="13552" max="13552" width="13.88671875" style="46" customWidth="1"/>
    <col min="13553" max="13553" width="16.5546875" style="46" customWidth="1"/>
    <col min="13554" max="13554" width="13.88671875" style="46" customWidth="1"/>
    <col min="13555" max="13555" width="11.109375" style="46" bestFit="1" customWidth="1"/>
    <col min="13556" max="13558" width="9.109375" style="46"/>
    <col min="13559" max="13559" width="10.88671875" style="46" customWidth="1"/>
    <col min="13560" max="13797" width="9.109375" style="46"/>
    <col min="13798" max="13798" width="5.5546875" style="46" customWidth="1"/>
    <col min="13799" max="13799" width="4.88671875" style="46" customWidth="1"/>
    <col min="13800" max="13800" width="2.6640625" style="46" customWidth="1"/>
    <col min="13801" max="13802" width="2.88671875" style="46" customWidth="1"/>
    <col min="13803" max="13803" width="2.6640625" style="46" customWidth="1"/>
    <col min="13804" max="13804" width="3.88671875" style="46" customWidth="1"/>
    <col min="13805" max="13805" width="25.6640625" style="46" customWidth="1"/>
    <col min="13806" max="13806" width="6.5546875" style="46" customWidth="1"/>
    <col min="13807" max="13807" width="7.33203125" style="46" customWidth="1"/>
    <col min="13808" max="13808" width="13.88671875" style="46" customWidth="1"/>
    <col min="13809" max="13809" width="16.5546875" style="46" customWidth="1"/>
    <col min="13810" max="13810" width="13.88671875" style="46" customWidth="1"/>
    <col min="13811" max="13811" width="11.109375" style="46" bestFit="1" customWidth="1"/>
    <col min="13812" max="13814" width="9.109375" style="46"/>
    <col min="13815" max="13815" width="10.88671875" style="46" customWidth="1"/>
    <col min="13816" max="14053" width="9.109375" style="46"/>
    <col min="14054" max="14054" width="5.5546875" style="46" customWidth="1"/>
    <col min="14055" max="14055" width="4.88671875" style="46" customWidth="1"/>
    <col min="14056" max="14056" width="2.6640625" style="46" customWidth="1"/>
    <col min="14057" max="14058" width="2.88671875" style="46" customWidth="1"/>
    <col min="14059" max="14059" width="2.6640625" style="46" customWidth="1"/>
    <col min="14060" max="14060" width="3.88671875" style="46" customWidth="1"/>
    <col min="14061" max="14061" width="25.6640625" style="46" customWidth="1"/>
    <col min="14062" max="14062" width="6.5546875" style="46" customWidth="1"/>
    <col min="14063" max="14063" width="7.33203125" style="46" customWidth="1"/>
    <col min="14064" max="14064" width="13.88671875" style="46" customWidth="1"/>
    <col min="14065" max="14065" width="16.5546875" style="46" customWidth="1"/>
    <col min="14066" max="14066" width="13.88671875" style="46" customWidth="1"/>
    <col min="14067" max="14067" width="11.109375" style="46" bestFit="1" customWidth="1"/>
    <col min="14068" max="14070" width="9.109375" style="46"/>
    <col min="14071" max="14071" width="10.88671875" style="46" customWidth="1"/>
    <col min="14072" max="14309" width="9.109375" style="46"/>
    <col min="14310" max="14310" width="5.5546875" style="46" customWidth="1"/>
    <col min="14311" max="14311" width="4.88671875" style="46" customWidth="1"/>
    <col min="14312" max="14312" width="2.6640625" style="46" customWidth="1"/>
    <col min="14313" max="14314" width="2.88671875" style="46" customWidth="1"/>
    <col min="14315" max="14315" width="2.6640625" style="46" customWidth="1"/>
    <col min="14316" max="14316" width="3.88671875" style="46" customWidth="1"/>
    <col min="14317" max="14317" width="25.6640625" style="46" customWidth="1"/>
    <col min="14318" max="14318" width="6.5546875" style="46" customWidth="1"/>
    <col min="14319" max="14319" width="7.33203125" style="46" customWidth="1"/>
    <col min="14320" max="14320" width="13.88671875" style="46" customWidth="1"/>
    <col min="14321" max="14321" width="16.5546875" style="46" customWidth="1"/>
    <col min="14322" max="14322" width="13.88671875" style="46" customWidth="1"/>
    <col min="14323" max="14323" width="11.109375" style="46" bestFit="1" customWidth="1"/>
    <col min="14324" max="14326" width="9.109375" style="46"/>
    <col min="14327" max="14327" width="10.88671875" style="46" customWidth="1"/>
    <col min="14328" max="14565" width="9.109375" style="46"/>
    <col min="14566" max="14566" width="5.5546875" style="46" customWidth="1"/>
    <col min="14567" max="14567" width="4.88671875" style="46" customWidth="1"/>
    <col min="14568" max="14568" width="2.6640625" style="46" customWidth="1"/>
    <col min="14569" max="14570" width="2.88671875" style="46" customWidth="1"/>
    <col min="14571" max="14571" width="2.6640625" style="46" customWidth="1"/>
    <col min="14572" max="14572" width="3.88671875" style="46" customWidth="1"/>
    <col min="14573" max="14573" width="25.6640625" style="46" customWidth="1"/>
    <col min="14574" max="14574" width="6.5546875" style="46" customWidth="1"/>
    <col min="14575" max="14575" width="7.33203125" style="46" customWidth="1"/>
    <col min="14576" max="14576" width="13.88671875" style="46" customWidth="1"/>
    <col min="14577" max="14577" width="16.5546875" style="46" customWidth="1"/>
    <col min="14578" max="14578" width="13.88671875" style="46" customWidth="1"/>
    <col min="14579" max="14579" width="11.109375" style="46" bestFit="1" customWidth="1"/>
    <col min="14580" max="14582" width="9.109375" style="46"/>
    <col min="14583" max="14583" width="10.88671875" style="46" customWidth="1"/>
    <col min="14584" max="14821" width="9.109375" style="46"/>
    <col min="14822" max="14822" width="5.5546875" style="46" customWidth="1"/>
    <col min="14823" max="14823" width="4.88671875" style="46" customWidth="1"/>
    <col min="14824" max="14824" width="2.6640625" style="46" customWidth="1"/>
    <col min="14825" max="14826" width="2.88671875" style="46" customWidth="1"/>
    <col min="14827" max="14827" width="2.6640625" style="46" customWidth="1"/>
    <col min="14828" max="14828" width="3.88671875" style="46" customWidth="1"/>
    <col min="14829" max="14829" width="25.6640625" style="46" customWidth="1"/>
    <col min="14830" max="14830" width="6.5546875" style="46" customWidth="1"/>
    <col min="14831" max="14831" width="7.33203125" style="46" customWidth="1"/>
    <col min="14832" max="14832" width="13.88671875" style="46" customWidth="1"/>
    <col min="14833" max="14833" width="16.5546875" style="46" customWidth="1"/>
    <col min="14834" max="14834" width="13.88671875" style="46" customWidth="1"/>
    <col min="14835" max="14835" width="11.109375" style="46" bestFit="1" customWidth="1"/>
    <col min="14836" max="14838" width="9.109375" style="46"/>
    <col min="14839" max="14839" width="10.88671875" style="46" customWidth="1"/>
    <col min="14840" max="15077" width="9.109375" style="46"/>
    <col min="15078" max="15078" width="5.5546875" style="46" customWidth="1"/>
    <col min="15079" max="15079" width="4.88671875" style="46" customWidth="1"/>
    <col min="15080" max="15080" width="2.6640625" style="46" customWidth="1"/>
    <col min="15081" max="15082" width="2.88671875" style="46" customWidth="1"/>
    <col min="15083" max="15083" width="2.6640625" style="46" customWidth="1"/>
    <col min="15084" max="15084" width="3.88671875" style="46" customWidth="1"/>
    <col min="15085" max="15085" width="25.6640625" style="46" customWidth="1"/>
    <col min="15086" max="15086" width="6.5546875" style="46" customWidth="1"/>
    <col min="15087" max="15087" width="7.33203125" style="46" customWidth="1"/>
    <col min="15088" max="15088" width="13.88671875" style="46" customWidth="1"/>
    <col min="15089" max="15089" width="16.5546875" style="46" customWidth="1"/>
    <col min="15090" max="15090" width="13.88671875" style="46" customWidth="1"/>
    <col min="15091" max="15091" width="11.109375" style="46" bestFit="1" customWidth="1"/>
    <col min="15092" max="15094" width="9.109375" style="46"/>
    <col min="15095" max="15095" width="10.88671875" style="46" customWidth="1"/>
    <col min="15096" max="15333" width="9.109375" style="46"/>
    <col min="15334" max="15334" width="5.5546875" style="46" customWidth="1"/>
    <col min="15335" max="15335" width="4.88671875" style="46" customWidth="1"/>
    <col min="15336" max="15336" width="2.6640625" style="46" customWidth="1"/>
    <col min="15337" max="15338" width="2.88671875" style="46" customWidth="1"/>
    <col min="15339" max="15339" width="2.6640625" style="46" customWidth="1"/>
    <col min="15340" max="15340" width="3.88671875" style="46" customWidth="1"/>
    <col min="15341" max="15341" width="25.6640625" style="46" customWidth="1"/>
    <col min="15342" max="15342" width="6.5546875" style="46" customWidth="1"/>
    <col min="15343" max="15343" width="7.33203125" style="46" customWidth="1"/>
    <col min="15344" max="15344" width="13.88671875" style="46" customWidth="1"/>
    <col min="15345" max="15345" width="16.5546875" style="46" customWidth="1"/>
    <col min="15346" max="15346" width="13.88671875" style="46" customWidth="1"/>
    <col min="15347" max="15347" width="11.109375" style="46" bestFit="1" customWidth="1"/>
    <col min="15348" max="15350" width="9.109375" style="46"/>
    <col min="15351" max="15351" width="10.88671875" style="46" customWidth="1"/>
    <col min="15352" max="15589" width="9.109375" style="46"/>
    <col min="15590" max="15590" width="5.5546875" style="46" customWidth="1"/>
    <col min="15591" max="15591" width="4.88671875" style="46" customWidth="1"/>
    <col min="15592" max="15592" width="2.6640625" style="46" customWidth="1"/>
    <col min="15593" max="15594" width="2.88671875" style="46" customWidth="1"/>
    <col min="15595" max="15595" width="2.6640625" style="46" customWidth="1"/>
    <col min="15596" max="15596" width="3.88671875" style="46" customWidth="1"/>
    <col min="15597" max="15597" width="25.6640625" style="46" customWidth="1"/>
    <col min="15598" max="15598" width="6.5546875" style="46" customWidth="1"/>
    <col min="15599" max="15599" width="7.33203125" style="46" customWidth="1"/>
    <col min="15600" max="15600" width="13.88671875" style="46" customWidth="1"/>
    <col min="15601" max="15601" width="16.5546875" style="46" customWidth="1"/>
    <col min="15602" max="15602" width="13.88671875" style="46" customWidth="1"/>
    <col min="15603" max="15603" width="11.109375" style="46" bestFit="1" customWidth="1"/>
    <col min="15604" max="15606" width="9.109375" style="46"/>
    <col min="15607" max="15607" width="10.88671875" style="46" customWidth="1"/>
    <col min="15608" max="15845" width="9.109375" style="46"/>
    <col min="15846" max="15846" width="5.5546875" style="46" customWidth="1"/>
    <col min="15847" max="15847" width="4.88671875" style="46" customWidth="1"/>
    <col min="15848" max="15848" width="2.6640625" style="46" customWidth="1"/>
    <col min="15849" max="15850" width="2.88671875" style="46" customWidth="1"/>
    <col min="15851" max="15851" width="2.6640625" style="46" customWidth="1"/>
    <col min="15852" max="15852" width="3.88671875" style="46" customWidth="1"/>
    <col min="15853" max="15853" width="25.6640625" style="46" customWidth="1"/>
    <col min="15854" max="15854" width="6.5546875" style="46" customWidth="1"/>
    <col min="15855" max="15855" width="7.33203125" style="46" customWidth="1"/>
    <col min="15856" max="15856" width="13.88671875" style="46" customWidth="1"/>
    <col min="15857" max="15857" width="16.5546875" style="46" customWidth="1"/>
    <col min="15858" max="15858" width="13.88671875" style="46" customWidth="1"/>
    <col min="15859" max="15859" width="11.109375" style="46" bestFit="1" customWidth="1"/>
    <col min="15860" max="15862" width="9.109375" style="46"/>
    <col min="15863" max="15863" width="10.88671875" style="46" customWidth="1"/>
    <col min="15864" max="16101" width="9.109375" style="46"/>
    <col min="16102" max="16102" width="5.5546875" style="46" customWidth="1"/>
    <col min="16103" max="16103" width="4.88671875" style="46" customWidth="1"/>
    <col min="16104" max="16104" width="2.6640625" style="46" customWidth="1"/>
    <col min="16105" max="16106" width="2.88671875" style="46" customWidth="1"/>
    <col min="16107" max="16107" width="2.6640625" style="46" customWidth="1"/>
    <col min="16108" max="16108" width="3.88671875" style="46" customWidth="1"/>
    <col min="16109" max="16109" width="25.6640625" style="46" customWidth="1"/>
    <col min="16110" max="16110" width="6.5546875" style="46" customWidth="1"/>
    <col min="16111" max="16111" width="7.33203125" style="46" customWidth="1"/>
    <col min="16112" max="16112" width="13.88671875" style="46" customWidth="1"/>
    <col min="16113" max="16113" width="16.5546875" style="46" customWidth="1"/>
    <col min="16114" max="16114" width="13.88671875" style="46" customWidth="1"/>
    <col min="16115" max="16115" width="11.109375" style="46" bestFit="1" customWidth="1"/>
    <col min="16116" max="16118" width="9.109375" style="46"/>
    <col min="16119" max="16119" width="10.88671875" style="46" customWidth="1"/>
    <col min="16120" max="16384" width="9.109375" style="46"/>
  </cols>
  <sheetData>
    <row r="1" spans="1:11" ht="12.9" customHeight="1" x14ac:dyDescent="0.3">
      <c r="A1" s="844" t="s">
        <v>525</v>
      </c>
      <c r="B1" s="844"/>
      <c r="C1" s="844"/>
      <c r="D1" s="844"/>
      <c r="E1" s="844"/>
      <c r="F1" s="844"/>
      <c r="G1" s="844"/>
      <c r="H1" s="844"/>
      <c r="I1" s="844"/>
      <c r="J1" s="8"/>
    </row>
    <row r="2" spans="1:11" ht="12.9" customHeight="1" x14ac:dyDescent="0.3">
      <c r="A2" s="844" t="s">
        <v>526</v>
      </c>
      <c r="B2" s="844"/>
      <c r="C2" s="844"/>
      <c r="D2" s="844"/>
      <c r="E2" s="844"/>
      <c r="F2" s="844"/>
      <c r="G2" s="844"/>
      <c r="H2" s="844"/>
      <c r="I2" s="844"/>
      <c r="J2" s="8"/>
    </row>
    <row r="3" spans="1:11" ht="12.9" customHeight="1" x14ac:dyDescent="0.3">
      <c r="A3" s="848" t="s">
        <v>527</v>
      </c>
      <c r="B3" s="848"/>
      <c r="C3" s="848"/>
      <c r="D3" s="848"/>
      <c r="E3" s="848"/>
      <c r="F3" s="848"/>
      <c r="G3" s="848"/>
      <c r="H3" s="848"/>
      <c r="I3" s="848"/>
      <c r="J3" s="8"/>
    </row>
    <row r="4" spans="1:11" ht="12.9" customHeight="1" x14ac:dyDescent="0.3">
      <c r="A4" s="848"/>
      <c r="B4" s="848"/>
      <c r="C4" s="848"/>
      <c r="D4" s="848"/>
      <c r="E4" s="848"/>
      <c r="F4" s="848"/>
      <c r="G4" s="848"/>
      <c r="H4" s="848"/>
      <c r="I4" s="848"/>
      <c r="J4" s="8"/>
    </row>
    <row r="5" spans="1:11" ht="12.9" customHeight="1" x14ac:dyDescent="0.3">
      <c r="A5" s="849" t="s">
        <v>15</v>
      </c>
      <c r="B5" s="849"/>
      <c r="C5" s="850" t="str">
        <f>Estimate!C1</f>
        <v>PROPOSED CONSTRUCTION OF TWO STOREY RESIDENTIAL/APARTMENT BUILDING.</v>
      </c>
      <c r="D5" s="850"/>
      <c r="E5" s="850"/>
      <c r="F5" s="850"/>
      <c r="G5" s="850"/>
      <c r="H5" s="850"/>
      <c r="I5" s="850"/>
      <c r="J5" s="8"/>
      <c r="K5" s="8"/>
    </row>
    <row r="6" spans="1:11" ht="12.9" customHeight="1" x14ac:dyDescent="0.3">
      <c r="A6" s="849" t="s">
        <v>16</v>
      </c>
      <c r="B6" s="849"/>
      <c r="C6" s="850" t="str">
        <f>Estimate!C2</f>
        <v>Maganay, Buug, Zamboanga Sibugay</v>
      </c>
      <c r="D6" s="850"/>
      <c r="E6" s="850"/>
      <c r="F6" s="850"/>
      <c r="G6" s="850"/>
      <c r="H6" s="850"/>
      <c r="I6" s="850"/>
      <c r="J6" s="8"/>
      <c r="K6" s="8"/>
    </row>
    <row r="7" spans="1:11" s="164" customFormat="1" ht="12.9" customHeight="1" thickBot="1" x14ac:dyDescent="0.35">
      <c r="A7" s="845"/>
      <c r="B7" s="845"/>
      <c r="C7" s="846"/>
      <c r="D7" s="846"/>
      <c r="E7" s="846"/>
      <c r="F7" s="846"/>
      <c r="G7" s="846"/>
      <c r="H7" s="846"/>
      <c r="I7" s="846"/>
    </row>
    <row r="8" spans="1:11" s="164" customFormat="1" ht="12.9" customHeight="1" thickTop="1" thickBot="1" x14ac:dyDescent="0.35">
      <c r="A8" s="854" t="s">
        <v>220</v>
      </c>
      <c r="B8" s="856" t="s">
        <v>53</v>
      </c>
      <c r="C8" s="856"/>
      <c r="D8" s="856"/>
      <c r="E8" s="856"/>
      <c r="F8" s="858" t="s">
        <v>13</v>
      </c>
      <c r="G8" s="860" t="s">
        <v>19</v>
      </c>
      <c r="H8" s="862" t="s">
        <v>52</v>
      </c>
      <c r="I8" s="852" t="s">
        <v>11</v>
      </c>
    </row>
    <row r="9" spans="1:11" s="164" customFormat="1" ht="12.9" customHeight="1" thickTop="1" thickBot="1" x14ac:dyDescent="0.35">
      <c r="A9" s="855"/>
      <c r="B9" s="857"/>
      <c r="C9" s="857"/>
      <c r="D9" s="857"/>
      <c r="E9" s="857"/>
      <c r="F9" s="859"/>
      <c r="G9" s="861"/>
      <c r="H9" s="863"/>
      <c r="I9" s="853"/>
    </row>
    <row r="10" spans="1:11" s="8" customFormat="1" ht="12" customHeight="1" x14ac:dyDescent="0.3">
      <c r="A10" s="115" t="s">
        <v>20</v>
      </c>
      <c r="B10" s="116" t="s">
        <v>83</v>
      </c>
      <c r="C10" s="49"/>
      <c r="D10" s="49"/>
      <c r="E10" s="50"/>
      <c r="F10" s="51">
        <v>25.190999999999999</v>
      </c>
      <c r="G10" s="52" t="s">
        <v>137</v>
      </c>
      <c r="H10" s="53"/>
      <c r="I10" s="54"/>
    </row>
    <row r="11" spans="1:11" s="8" customFormat="1" ht="12" customHeight="1" x14ac:dyDescent="0.3">
      <c r="A11" s="117"/>
      <c r="B11" s="118" t="s">
        <v>22</v>
      </c>
      <c r="C11" s="18"/>
      <c r="D11" s="18"/>
      <c r="E11" s="55"/>
      <c r="F11" s="65"/>
      <c r="G11" s="57"/>
      <c r="H11" s="58"/>
      <c r="I11" s="59"/>
    </row>
    <row r="12" spans="1:11" s="8" customFormat="1" ht="12" customHeight="1" x14ac:dyDescent="0.3">
      <c r="A12" s="117"/>
      <c r="B12" s="119"/>
      <c r="C12" s="42" t="s">
        <v>507</v>
      </c>
      <c r="D12" s="10"/>
      <c r="E12" s="55"/>
      <c r="F12" s="65"/>
      <c r="G12" s="57"/>
      <c r="H12" s="58"/>
      <c r="I12" s="60"/>
    </row>
    <row r="13" spans="1:11" s="8" customFormat="1" ht="12" customHeight="1" x14ac:dyDescent="0.3">
      <c r="A13" s="117"/>
      <c r="B13" s="119"/>
      <c r="C13" s="18" t="s">
        <v>508</v>
      </c>
      <c r="D13" s="18"/>
      <c r="E13" s="55"/>
      <c r="F13" s="65"/>
      <c r="G13" s="57"/>
      <c r="H13" s="66"/>
      <c r="I13" s="63"/>
    </row>
    <row r="14" spans="1:11" s="8" customFormat="1" ht="12" customHeight="1" x14ac:dyDescent="0.3">
      <c r="A14" s="117"/>
      <c r="B14" s="119"/>
      <c r="C14" s="19" t="s">
        <v>509</v>
      </c>
      <c r="D14" s="19"/>
      <c r="E14" s="55"/>
      <c r="F14" s="65"/>
      <c r="G14" s="57"/>
      <c r="H14" s="66"/>
      <c r="I14" s="63"/>
    </row>
    <row r="15" spans="1:11" s="8" customFormat="1" ht="12" customHeight="1" x14ac:dyDescent="0.3">
      <c r="A15" s="117"/>
      <c r="B15" s="119"/>
      <c r="C15" s="18" t="s">
        <v>510</v>
      </c>
      <c r="D15" s="18"/>
      <c r="E15" s="55"/>
      <c r="F15" s="65"/>
      <c r="G15" s="57"/>
      <c r="H15" s="66"/>
      <c r="I15" s="63"/>
    </row>
    <row r="16" spans="1:11" s="8" customFormat="1" ht="12" customHeight="1" x14ac:dyDescent="0.3">
      <c r="A16" s="117"/>
      <c r="B16" s="120" t="s">
        <v>365</v>
      </c>
      <c r="C16" s="18"/>
      <c r="D16" s="18"/>
      <c r="E16" s="55"/>
      <c r="F16" s="65">
        <v>1</v>
      </c>
      <c r="G16" s="57" t="s">
        <v>366</v>
      </c>
      <c r="H16" s="66"/>
      <c r="I16" s="67">
        <f>H16*F16</f>
        <v>0</v>
      </c>
    </row>
    <row r="17" spans="1:9" s="8" customFormat="1" ht="12" customHeight="1" x14ac:dyDescent="0.3">
      <c r="A17" s="117"/>
      <c r="B17" s="120" t="s">
        <v>25</v>
      </c>
      <c r="C17" s="18"/>
      <c r="D17" s="18"/>
      <c r="E17" s="55"/>
      <c r="F17" s="65"/>
      <c r="G17" s="57"/>
      <c r="H17" s="66"/>
      <c r="I17" s="63"/>
    </row>
    <row r="18" spans="1:9" s="8" customFormat="1" ht="12" customHeight="1" x14ac:dyDescent="0.3">
      <c r="A18" s="117"/>
      <c r="B18" s="119"/>
      <c r="C18" s="19" t="s">
        <v>107</v>
      </c>
      <c r="D18" s="19"/>
      <c r="E18" s="64"/>
      <c r="F18" s="65">
        <v>166.66666666666669</v>
      </c>
      <c r="G18" s="57" t="s">
        <v>69</v>
      </c>
      <c r="H18" s="66"/>
      <c r="I18" s="67">
        <f>H18*F18</f>
        <v>0</v>
      </c>
    </row>
    <row r="19" spans="1:9" s="8" customFormat="1" ht="12" customHeight="1" x14ac:dyDescent="0.3">
      <c r="A19" s="117"/>
      <c r="B19" s="119"/>
      <c r="C19" s="18" t="s">
        <v>84</v>
      </c>
      <c r="D19" s="18"/>
      <c r="E19" s="55"/>
      <c r="F19" s="65">
        <v>3</v>
      </c>
      <c r="G19" s="57" t="s">
        <v>0</v>
      </c>
      <c r="H19" s="66"/>
      <c r="I19" s="67">
        <f>H19*F19</f>
        <v>0</v>
      </c>
    </row>
    <row r="20" spans="1:9" s="8" customFormat="1" ht="12" customHeight="1" x14ac:dyDescent="0.3">
      <c r="A20" s="117"/>
      <c r="B20" s="119"/>
      <c r="C20" s="18" t="s">
        <v>85</v>
      </c>
      <c r="D20" s="18"/>
      <c r="E20" s="55"/>
      <c r="F20" s="65">
        <v>3</v>
      </c>
      <c r="G20" s="57" t="s">
        <v>81</v>
      </c>
      <c r="H20" s="66"/>
      <c r="I20" s="67">
        <f>H20*F20</f>
        <v>0</v>
      </c>
    </row>
    <row r="21" spans="1:9" s="8" customFormat="1" ht="12" customHeight="1" x14ac:dyDescent="0.3">
      <c r="A21" s="117"/>
      <c r="B21" s="121"/>
      <c r="C21" s="166"/>
      <c r="D21" s="166"/>
      <c r="E21" s="166"/>
      <c r="F21" s="166"/>
      <c r="G21" s="166"/>
      <c r="H21" s="166"/>
      <c r="I21" s="167"/>
    </row>
    <row r="22" spans="1:9" s="8" customFormat="1" ht="12" customHeight="1" x14ac:dyDescent="0.3">
      <c r="A22" s="117"/>
      <c r="B22" s="168" t="s">
        <v>511</v>
      </c>
      <c r="C22" s="169"/>
      <c r="D22" s="169"/>
      <c r="E22" s="170"/>
      <c r="F22" s="169"/>
      <c r="G22" s="169"/>
      <c r="H22" s="169"/>
      <c r="I22" s="171"/>
    </row>
    <row r="23" spans="1:9" s="8" customFormat="1" ht="12" customHeight="1" x14ac:dyDescent="0.3">
      <c r="A23" s="117"/>
      <c r="B23" s="168"/>
      <c r="C23" s="169" t="s">
        <v>512</v>
      </c>
      <c r="D23" s="169"/>
      <c r="E23" s="169"/>
      <c r="F23" s="169"/>
      <c r="G23" s="169"/>
      <c r="H23" s="169"/>
      <c r="I23" s="171"/>
    </row>
    <row r="24" spans="1:9" s="8" customFormat="1" ht="12" customHeight="1" x14ac:dyDescent="0.3">
      <c r="A24" s="117"/>
      <c r="B24" s="172"/>
      <c r="C24" s="173"/>
      <c r="D24" s="173"/>
      <c r="E24" s="173"/>
      <c r="F24" s="173"/>
      <c r="G24" s="173"/>
      <c r="H24" s="173"/>
      <c r="I24" s="174"/>
    </row>
    <row r="25" spans="1:9" s="8" customFormat="1" ht="12" customHeight="1" x14ac:dyDescent="0.3">
      <c r="A25" s="122" t="s">
        <v>24</v>
      </c>
      <c r="B25" s="123" t="s">
        <v>435</v>
      </c>
      <c r="C25" s="48"/>
      <c r="D25" s="48"/>
      <c r="E25" s="68"/>
      <c r="F25" s="147">
        <v>22</v>
      </c>
      <c r="G25" s="70" t="s">
        <v>4</v>
      </c>
      <c r="H25" s="71"/>
      <c r="I25" s="72"/>
    </row>
    <row r="26" spans="1:9" s="8" customFormat="1" ht="12" customHeight="1" x14ac:dyDescent="0.3">
      <c r="A26" s="117"/>
      <c r="B26" s="120" t="s">
        <v>22</v>
      </c>
      <c r="C26" s="18"/>
      <c r="D26" s="18"/>
      <c r="E26" s="55"/>
      <c r="F26" s="56"/>
      <c r="G26" s="61"/>
      <c r="H26" s="62"/>
      <c r="I26" s="63"/>
    </row>
    <row r="27" spans="1:9" s="8" customFormat="1" ht="12" customHeight="1" x14ac:dyDescent="0.3">
      <c r="A27" s="117"/>
      <c r="B27" s="119"/>
      <c r="C27" s="18" t="s">
        <v>106</v>
      </c>
      <c r="D27" s="18"/>
      <c r="E27" s="55"/>
      <c r="F27" s="56"/>
      <c r="G27" s="61"/>
      <c r="H27" s="62"/>
      <c r="I27" s="63"/>
    </row>
    <row r="28" spans="1:9" s="8" customFormat="1" ht="12" customHeight="1" x14ac:dyDescent="0.3">
      <c r="A28" s="117"/>
      <c r="B28" s="119"/>
      <c r="C28" s="18" t="s">
        <v>111</v>
      </c>
      <c r="D28" s="18"/>
      <c r="E28" s="55"/>
      <c r="F28" s="56"/>
      <c r="G28" s="61"/>
      <c r="H28" s="62"/>
      <c r="I28" s="63"/>
    </row>
    <row r="29" spans="1:9" s="8" customFormat="1" ht="12" customHeight="1" x14ac:dyDescent="0.3">
      <c r="A29" s="117"/>
      <c r="B29" s="124" t="s">
        <v>79</v>
      </c>
      <c r="C29" s="18" t="s">
        <v>327</v>
      </c>
      <c r="D29" s="18"/>
      <c r="E29" s="55"/>
      <c r="F29" s="56"/>
      <c r="G29" s="61"/>
      <c r="H29" s="62"/>
      <c r="I29" s="63"/>
    </row>
    <row r="30" spans="1:9" s="8" customFormat="1" ht="12" customHeight="1" x14ac:dyDescent="0.3">
      <c r="A30" s="117"/>
      <c r="B30" s="124"/>
      <c r="C30" s="18" t="s">
        <v>405</v>
      </c>
      <c r="D30" s="18"/>
      <c r="E30" s="55"/>
      <c r="F30" s="56"/>
      <c r="G30" s="61"/>
      <c r="H30" s="62"/>
      <c r="I30" s="63"/>
    </row>
    <row r="31" spans="1:9" s="8" customFormat="1" ht="12" customHeight="1" x14ac:dyDescent="0.3">
      <c r="A31" s="117"/>
      <c r="B31" s="124"/>
      <c r="C31" s="18" t="s">
        <v>413</v>
      </c>
      <c r="D31" s="18"/>
      <c r="E31" s="55"/>
      <c r="F31" s="56"/>
      <c r="G31" s="61"/>
      <c r="H31" s="62"/>
      <c r="I31" s="63"/>
    </row>
    <row r="32" spans="1:9" s="8" customFormat="1" ht="12" customHeight="1" x14ac:dyDescent="0.3">
      <c r="A32" s="117"/>
      <c r="B32" s="124"/>
      <c r="C32" s="18"/>
      <c r="D32" s="18"/>
      <c r="E32" s="55"/>
      <c r="F32" s="56"/>
      <c r="G32" s="61"/>
      <c r="H32" s="62"/>
      <c r="I32" s="63"/>
    </row>
    <row r="33" spans="1:9" s="8" customFormat="1" ht="12" customHeight="1" x14ac:dyDescent="0.3">
      <c r="A33" s="117"/>
      <c r="B33" s="120" t="s">
        <v>25</v>
      </c>
      <c r="C33" s="18"/>
      <c r="D33" s="18"/>
      <c r="E33" s="55"/>
      <c r="F33" s="56"/>
      <c r="G33" s="61"/>
      <c r="H33" s="62"/>
      <c r="I33" s="63"/>
    </row>
    <row r="34" spans="1:9" s="8" customFormat="1" ht="12" customHeight="1" x14ac:dyDescent="0.3">
      <c r="A34" s="117"/>
      <c r="B34" s="120"/>
      <c r="C34" s="18" t="s">
        <v>412</v>
      </c>
      <c r="D34" s="18"/>
      <c r="E34" s="55"/>
      <c r="F34" s="65">
        <v>22</v>
      </c>
      <c r="G34" s="57" t="s">
        <v>4</v>
      </c>
      <c r="H34" s="66"/>
      <c r="I34" s="67">
        <f>H34*F34</f>
        <v>0</v>
      </c>
    </row>
    <row r="35" spans="1:9" s="8" customFormat="1" ht="12" customHeight="1" x14ac:dyDescent="0.3">
      <c r="A35" s="117"/>
      <c r="B35" s="119"/>
      <c r="C35" s="18"/>
      <c r="D35" s="18"/>
      <c r="E35" s="55"/>
      <c r="F35" s="65"/>
      <c r="G35" s="57"/>
      <c r="H35" s="66"/>
      <c r="I35" s="67"/>
    </row>
    <row r="36" spans="1:9" s="8" customFormat="1" ht="12" customHeight="1" x14ac:dyDescent="0.3">
      <c r="A36" s="117"/>
      <c r="B36" s="121"/>
      <c r="C36" s="166"/>
      <c r="D36" s="166"/>
      <c r="E36" s="166"/>
      <c r="F36" s="166"/>
      <c r="G36" s="166"/>
      <c r="H36" s="166"/>
      <c r="I36" s="167"/>
    </row>
    <row r="37" spans="1:9" s="8" customFormat="1" ht="12" customHeight="1" x14ac:dyDescent="0.3">
      <c r="A37" s="117"/>
      <c r="B37" s="168" t="s">
        <v>511</v>
      </c>
      <c r="C37" s="169"/>
      <c r="D37" s="169"/>
      <c r="E37" s="170"/>
      <c r="F37" s="169"/>
      <c r="G37" s="169"/>
      <c r="H37" s="169"/>
      <c r="I37" s="171"/>
    </row>
    <row r="38" spans="1:9" s="8" customFormat="1" ht="12" customHeight="1" x14ac:dyDescent="0.3">
      <c r="A38" s="117"/>
      <c r="B38" s="168"/>
      <c r="C38" s="169" t="s">
        <v>512</v>
      </c>
      <c r="D38" s="169"/>
      <c r="E38" s="169"/>
      <c r="F38" s="169"/>
      <c r="G38" s="169"/>
      <c r="H38" s="169"/>
      <c r="I38" s="171"/>
    </row>
    <row r="39" spans="1:9" s="8" customFormat="1" ht="12" customHeight="1" x14ac:dyDescent="0.3">
      <c r="A39" s="117"/>
      <c r="B39" s="172"/>
      <c r="C39" s="173"/>
      <c r="D39" s="173"/>
      <c r="E39" s="173"/>
      <c r="F39" s="173"/>
      <c r="G39" s="173"/>
      <c r="H39" s="173"/>
      <c r="I39" s="174"/>
    </row>
    <row r="40" spans="1:9" s="8" customFormat="1" ht="12" customHeight="1" x14ac:dyDescent="0.3">
      <c r="A40" s="122" t="s">
        <v>27</v>
      </c>
      <c r="B40" s="123" t="s">
        <v>370</v>
      </c>
      <c r="C40" s="48"/>
      <c r="D40" s="48"/>
      <c r="E40" s="68"/>
      <c r="F40" s="69">
        <v>10.852000000000002</v>
      </c>
      <c r="G40" s="73" t="s">
        <v>112</v>
      </c>
      <c r="H40" s="71"/>
      <c r="I40" s="72"/>
    </row>
    <row r="41" spans="1:9" s="8" customFormat="1" ht="12" customHeight="1" x14ac:dyDescent="0.3">
      <c r="A41" s="117"/>
      <c r="B41" s="118" t="s">
        <v>22</v>
      </c>
      <c r="C41" s="18"/>
      <c r="D41" s="18"/>
      <c r="E41" s="55"/>
      <c r="F41" s="56"/>
      <c r="G41" s="57"/>
      <c r="H41" s="66"/>
      <c r="I41" s="67"/>
    </row>
    <row r="42" spans="1:9" s="8" customFormat="1" ht="12" customHeight="1" x14ac:dyDescent="0.3">
      <c r="A42" s="117"/>
      <c r="B42" s="125" t="s">
        <v>177</v>
      </c>
      <c r="C42" s="18"/>
      <c r="D42" s="18"/>
      <c r="E42" s="55"/>
      <c r="F42" s="56"/>
      <c r="G42" s="57"/>
      <c r="H42" s="66"/>
      <c r="I42" s="67"/>
    </row>
    <row r="43" spans="1:9" s="8" customFormat="1" ht="12" customHeight="1" x14ac:dyDescent="0.3">
      <c r="A43" s="117"/>
      <c r="B43" s="125" t="s">
        <v>178</v>
      </c>
      <c r="C43" s="18"/>
      <c r="D43" s="18"/>
      <c r="E43" s="55"/>
      <c r="F43" s="56"/>
      <c r="G43" s="57"/>
      <c r="H43" s="66"/>
      <c r="I43" s="67"/>
    </row>
    <row r="44" spans="1:9" s="8" customFormat="1" ht="12" customHeight="1" x14ac:dyDescent="0.3">
      <c r="A44" s="117"/>
      <c r="B44" s="126" t="s">
        <v>171</v>
      </c>
      <c r="C44" s="11" t="s">
        <v>176</v>
      </c>
      <c r="D44" s="18"/>
      <c r="E44" s="74"/>
      <c r="F44" s="56">
        <v>1.3680000000000003</v>
      </c>
      <c r="G44" s="57" t="s">
        <v>4</v>
      </c>
      <c r="H44" s="66"/>
      <c r="I44" s="67"/>
    </row>
    <row r="45" spans="1:9" s="8" customFormat="1" ht="12" customHeight="1" x14ac:dyDescent="0.3">
      <c r="A45" s="117"/>
      <c r="B45" s="126" t="s">
        <v>172</v>
      </c>
      <c r="C45" s="11" t="s">
        <v>331</v>
      </c>
      <c r="D45" s="18"/>
      <c r="E45" s="74"/>
      <c r="F45" s="56">
        <v>1.476</v>
      </c>
      <c r="G45" s="57" t="s">
        <v>4</v>
      </c>
      <c r="H45" s="66"/>
      <c r="I45" s="67"/>
    </row>
    <row r="46" spans="1:9" s="8" customFormat="1" ht="12" customHeight="1" x14ac:dyDescent="0.3">
      <c r="A46" s="117"/>
      <c r="B46" s="126" t="s">
        <v>173</v>
      </c>
      <c r="C46" s="43" t="s">
        <v>457</v>
      </c>
      <c r="D46" s="18"/>
      <c r="E46" s="74"/>
      <c r="F46" s="56">
        <v>6.7180000000000017</v>
      </c>
      <c r="G46" s="57" t="s">
        <v>4</v>
      </c>
      <c r="H46" s="66"/>
      <c r="I46" s="67"/>
    </row>
    <row r="47" spans="1:9" s="8" customFormat="1" ht="12" customHeight="1" x14ac:dyDescent="0.3">
      <c r="A47" s="117"/>
      <c r="B47" s="126"/>
      <c r="C47" s="43" t="s">
        <v>531</v>
      </c>
      <c r="D47" s="18"/>
      <c r="E47" s="74"/>
      <c r="F47" s="56"/>
      <c r="G47" s="57"/>
      <c r="H47" s="66"/>
      <c r="I47" s="67"/>
    </row>
    <row r="48" spans="1:9" s="8" customFormat="1" ht="12" customHeight="1" x14ac:dyDescent="0.3">
      <c r="A48" s="117"/>
      <c r="B48" s="128" t="s">
        <v>79</v>
      </c>
      <c r="C48" s="42" t="s">
        <v>401</v>
      </c>
      <c r="D48" s="18"/>
      <c r="E48" s="74"/>
      <c r="F48" s="56"/>
      <c r="G48" s="57"/>
      <c r="H48" s="66"/>
      <c r="I48" s="67"/>
    </row>
    <row r="49" spans="1:9" s="8" customFormat="1" ht="12" customHeight="1" x14ac:dyDescent="0.3">
      <c r="A49" s="117"/>
      <c r="B49" s="126" t="s">
        <v>174</v>
      </c>
      <c r="C49" s="11" t="s">
        <v>305</v>
      </c>
      <c r="D49" s="18"/>
      <c r="E49" s="74"/>
      <c r="F49" s="56">
        <v>1.0919999999999999</v>
      </c>
      <c r="G49" s="57" t="s">
        <v>4</v>
      </c>
      <c r="H49" s="66"/>
      <c r="I49" s="67"/>
    </row>
    <row r="50" spans="1:9" s="8" customFormat="1" ht="12" customHeight="1" x14ac:dyDescent="0.3">
      <c r="A50" s="117"/>
      <c r="B50" s="127" t="s">
        <v>175</v>
      </c>
      <c r="C50" s="43" t="s">
        <v>328</v>
      </c>
      <c r="D50" s="18"/>
      <c r="E50" s="74"/>
      <c r="F50" s="56">
        <v>0.19800000000000001</v>
      </c>
      <c r="G50" s="57" t="s">
        <v>4</v>
      </c>
      <c r="H50" s="66"/>
      <c r="I50" s="67"/>
    </row>
    <row r="51" spans="1:9" s="8" customFormat="1" ht="12" customHeight="1" x14ac:dyDescent="0.3">
      <c r="A51" s="117"/>
      <c r="B51" s="127"/>
      <c r="C51" s="43" t="s">
        <v>447</v>
      </c>
      <c r="D51" s="18"/>
      <c r="E51" s="74"/>
      <c r="F51" s="56"/>
      <c r="G51" s="57"/>
      <c r="H51" s="66"/>
      <c r="I51" s="67"/>
    </row>
    <row r="52" spans="1:9" s="8" customFormat="1" ht="12" customHeight="1" x14ac:dyDescent="0.3">
      <c r="A52" s="117"/>
      <c r="B52" s="127"/>
      <c r="C52" s="43" t="s">
        <v>450</v>
      </c>
      <c r="D52" s="18"/>
      <c r="E52" s="74"/>
      <c r="F52" s="56"/>
      <c r="G52" s="57"/>
      <c r="H52" s="66"/>
      <c r="I52" s="67"/>
    </row>
    <row r="53" spans="1:9" s="8" customFormat="1" ht="12" customHeight="1" x14ac:dyDescent="0.3">
      <c r="A53" s="117"/>
      <c r="B53" s="127"/>
      <c r="C53" s="43" t="s">
        <v>329</v>
      </c>
      <c r="D53" s="18"/>
      <c r="E53" s="74"/>
      <c r="F53" s="56"/>
      <c r="G53" s="57"/>
      <c r="H53" s="66"/>
      <c r="I53" s="67"/>
    </row>
    <row r="54" spans="1:9" s="8" customFormat="1" ht="12" customHeight="1" x14ac:dyDescent="0.3">
      <c r="A54" s="117"/>
      <c r="B54" s="128" t="s">
        <v>79</v>
      </c>
      <c r="C54" s="18" t="s">
        <v>108</v>
      </c>
      <c r="D54" s="18"/>
      <c r="E54" s="55"/>
      <c r="F54" s="56"/>
      <c r="G54" s="57"/>
      <c r="H54" s="66"/>
      <c r="I54" s="67"/>
    </row>
    <row r="55" spans="1:9" s="8" customFormat="1" ht="12" customHeight="1" x14ac:dyDescent="0.3">
      <c r="A55" s="117"/>
      <c r="B55" s="125"/>
      <c r="C55" s="18" t="s">
        <v>138</v>
      </c>
      <c r="D55" s="18"/>
      <c r="E55" s="55"/>
      <c r="F55" s="56"/>
      <c r="G55" s="57"/>
      <c r="H55" s="66"/>
      <c r="I55" s="67"/>
    </row>
    <row r="56" spans="1:9" s="8" customFormat="1" ht="12" customHeight="1" x14ac:dyDescent="0.3">
      <c r="A56" s="117"/>
      <c r="B56" s="125"/>
      <c r="C56" s="18" t="s">
        <v>469</v>
      </c>
      <c r="D56" s="18"/>
      <c r="E56" s="55"/>
      <c r="F56" s="56"/>
      <c r="G56" s="57"/>
      <c r="H56" s="66"/>
      <c r="I56" s="67"/>
    </row>
    <row r="57" spans="1:9" s="8" customFormat="1" ht="12" customHeight="1" x14ac:dyDescent="0.3">
      <c r="A57" s="117"/>
      <c r="B57" s="118" t="s">
        <v>25</v>
      </c>
      <c r="C57" s="19"/>
      <c r="D57" s="18"/>
      <c r="E57" s="74"/>
      <c r="F57" s="56"/>
      <c r="G57" s="57"/>
      <c r="H57" s="66"/>
      <c r="I57" s="67"/>
    </row>
    <row r="58" spans="1:9" s="8" customFormat="1" ht="12" customHeight="1" x14ac:dyDescent="0.3">
      <c r="A58" s="117"/>
      <c r="B58" s="118"/>
      <c r="C58" s="18" t="s">
        <v>3</v>
      </c>
      <c r="D58" s="18"/>
      <c r="E58" s="55"/>
      <c r="F58" s="65">
        <v>126</v>
      </c>
      <c r="G58" s="57" t="s">
        <v>2</v>
      </c>
      <c r="H58" s="66"/>
      <c r="I58" s="67">
        <f t="shared" ref="I58:I62" si="0">H58*F58</f>
        <v>0</v>
      </c>
    </row>
    <row r="59" spans="1:9" s="8" customFormat="1" ht="12" customHeight="1" x14ac:dyDescent="0.3">
      <c r="A59" s="117"/>
      <c r="B59" s="118"/>
      <c r="C59" s="18" t="s">
        <v>73</v>
      </c>
      <c r="D59" s="18"/>
      <c r="E59" s="55"/>
      <c r="F59" s="75">
        <v>8.5</v>
      </c>
      <c r="G59" s="57" t="s">
        <v>4</v>
      </c>
      <c r="H59" s="66"/>
      <c r="I59" s="67">
        <f t="shared" si="0"/>
        <v>0</v>
      </c>
    </row>
    <row r="60" spans="1:9" s="8" customFormat="1" ht="12" customHeight="1" x14ac:dyDescent="0.3">
      <c r="A60" s="117"/>
      <c r="B60" s="118"/>
      <c r="C60" s="18" t="s">
        <v>67</v>
      </c>
      <c r="D60" s="18"/>
      <c r="E60" s="55"/>
      <c r="F60" s="75">
        <v>12</v>
      </c>
      <c r="G60" s="57" t="s">
        <v>4</v>
      </c>
      <c r="H60" s="66"/>
      <c r="I60" s="67">
        <f t="shared" si="0"/>
        <v>0</v>
      </c>
    </row>
    <row r="61" spans="1:9" s="8" customFormat="1" ht="12" customHeight="1" x14ac:dyDescent="0.3">
      <c r="A61" s="117"/>
      <c r="B61" s="118"/>
      <c r="C61" s="18" t="s">
        <v>70</v>
      </c>
      <c r="D61" s="18"/>
      <c r="E61" s="55"/>
      <c r="F61" s="75">
        <v>16</v>
      </c>
      <c r="G61" s="57" t="s">
        <v>0</v>
      </c>
      <c r="H61" s="66"/>
      <c r="I61" s="67">
        <f t="shared" si="0"/>
        <v>0</v>
      </c>
    </row>
    <row r="62" spans="1:9" s="8" customFormat="1" ht="12" customHeight="1" x14ac:dyDescent="0.3">
      <c r="A62" s="117"/>
      <c r="B62" s="119"/>
      <c r="C62" s="18" t="s">
        <v>189</v>
      </c>
      <c r="D62" s="18"/>
      <c r="E62" s="55"/>
      <c r="F62" s="65">
        <v>112</v>
      </c>
      <c r="G62" s="57" t="s">
        <v>179</v>
      </c>
      <c r="H62" s="66"/>
      <c r="I62" s="67">
        <f t="shared" si="0"/>
        <v>0</v>
      </c>
    </row>
    <row r="63" spans="1:9" s="8" customFormat="1" ht="12" customHeight="1" x14ac:dyDescent="0.3">
      <c r="A63" s="117"/>
      <c r="B63" s="119"/>
      <c r="C63" s="18" t="s">
        <v>188</v>
      </c>
      <c r="D63" s="18"/>
      <c r="E63" s="55"/>
      <c r="F63" s="65">
        <v>23</v>
      </c>
      <c r="G63" s="57" t="s">
        <v>179</v>
      </c>
      <c r="H63" s="66"/>
      <c r="I63" s="67">
        <f>H63*F63</f>
        <v>0</v>
      </c>
    </row>
    <row r="64" spans="1:9" s="8" customFormat="1" ht="12" customHeight="1" x14ac:dyDescent="0.3">
      <c r="A64" s="117"/>
      <c r="B64" s="119"/>
      <c r="C64" s="18" t="s">
        <v>367</v>
      </c>
      <c r="D64" s="18"/>
      <c r="E64" s="55"/>
      <c r="F64" s="65">
        <v>52</v>
      </c>
      <c r="G64" s="57" t="s">
        <v>179</v>
      </c>
      <c r="H64" s="66"/>
      <c r="I64" s="67">
        <f>H64*F64</f>
        <v>0</v>
      </c>
    </row>
    <row r="65" spans="1:9" s="8" customFormat="1" ht="12" customHeight="1" x14ac:dyDescent="0.3">
      <c r="A65" s="117"/>
      <c r="B65" s="119"/>
      <c r="C65" s="18" t="s">
        <v>74</v>
      </c>
      <c r="D65" s="18"/>
      <c r="E65" s="74"/>
      <c r="F65" s="65">
        <v>3</v>
      </c>
      <c r="G65" s="57" t="s">
        <v>1</v>
      </c>
      <c r="H65" s="66"/>
      <c r="I65" s="67">
        <f>H65*F65</f>
        <v>0</v>
      </c>
    </row>
    <row r="66" spans="1:9" s="8" customFormat="1" ht="12" customHeight="1" x14ac:dyDescent="0.3">
      <c r="A66" s="117"/>
      <c r="B66" s="119"/>
      <c r="C66" s="18"/>
      <c r="D66" s="18"/>
      <c r="E66" s="74"/>
      <c r="F66" s="65"/>
      <c r="G66" s="57"/>
      <c r="H66" s="66"/>
      <c r="I66" s="67"/>
    </row>
    <row r="67" spans="1:9" s="8" customFormat="1" ht="12" customHeight="1" x14ac:dyDescent="0.3">
      <c r="A67" s="117"/>
      <c r="B67" s="121"/>
      <c r="C67" s="166"/>
      <c r="D67" s="166"/>
      <c r="E67" s="166"/>
      <c r="F67" s="166"/>
      <c r="G67" s="166"/>
      <c r="H67" s="166"/>
      <c r="I67" s="167"/>
    </row>
    <row r="68" spans="1:9" s="8" customFormat="1" ht="12" customHeight="1" x14ac:dyDescent="0.3">
      <c r="A68" s="117"/>
      <c r="B68" s="168" t="s">
        <v>511</v>
      </c>
      <c r="C68" s="169"/>
      <c r="D68" s="169"/>
      <c r="E68" s="170"/>
      <c r="F68" s="169"/>
      <c r="G68" s="169"/>
      <c r="H68" s="169"/>
      <c r="I68" s="171"/>
    </row>
    <row r="69" spans="1:9" s="8" customFormat="1" ht="12" customHeight="1" x14ac:dyDescent="0.3">
      <c r="A69" s="117"/>
      <c r="B69" s="168"/>
      <c r="C69" s="169" t="s">
        <v>512</v>
      </c>
      <c r="D69" s="169"/>
      <c r="E69" s="169"/>
      <c r="F69" s="169"/>
      <c r="G69" s="169"/>
      <c r="H69" s="169"/>
      <c r="I69" s="171"/>
    </row>
    <row r="70" spans="1:9" s="8" customFormat="1" ht="12" customHeight="1" x14ac:dyDescent="0.3">
      <c r="A70" s="117"/>
      <c r="B70" s="172"/>
      <c r="C70" s="173"/>
      <c r="D70" s="173"/>
      <c r="E70" s="173"/>
      <c r="F70" s="173"/>
      <c r="G70" s="173"/>
      <c r="H70" s="173"/>
      <c r="I70" s="174"/>
    </row>
    <row r="71" spans="1:9" s="8" customFormat="1" ht="12" customHeight="1" x14ac:dyDescent="0.3">
      <c r="A71" s="122" t="s">
        <v>28</v>
      </c>
      <c r="B71" s="123" t="s">
        <v>368</v>
      </c>
      <c r="C71" s="48"/>
      <c r="D71" s="48"/>
      <c r="E71" s="68"/>
      <c r="F71" s="147">
        <v>156.6</v>
      </c>
      <c r="G71" s="73" t="s">
        <v>371</v>
      </c>
      <c r="H71" s="71"/>
      <c r="I71" s="72"/>
    </row>
    <row r="72" spans="1:9" s="8" customFormat="1" ht="12" customHeight="1" x14ac:dyDescent="0.3">
      <c r="A72" s="117"/>
      <c r="B72" s="118" t="s">
        <v>22</v>
      </c>
      <c r="C72" s="18"/>
      <c r="D72" s="18"/>
      <c r="E72" s="55"/>
      <c r="F72" s="56"/>
      <c r="G72" s="57"/>
      <c r="H72" s="66"/>
      <c r="I72" s="67"/>
    </row>
    <row r="73" spans="1:9" s="8" customFormat="1" ht="12" customHeight="1" x14ac:dyDescent="0.3">
      <c r="A73" s="117"/>
      <c r="B73" s="119" t="s">
        <v>475</v>
      </c>
      <c r="C73" s="19"/>
      <c r="D73" s="19"/>
      <c r="E73" s="55"/>
      <c r="F73" s="65"/>
      <c r="G73" s="57"/>
      <c r="H73" s="66"/>
      <c r="I73" s="63"/>
    </row>
    <row r="74" spans="1:9" s="8" customFormat="1" ht="12" customHeight="1" x14ac:dyDescent="0.3">
      <c r="A74" s="117"/>
      <c r="B74" s="126" t="s">
        <v>171</v>
      </c>
      <c r="C74" s="19" t="s">
        <v>254</v>
      </c>
      <c r="D74" s="19"/>
      <c r="E74" s="55"/>
      <c r="F74" s="56">
        <v>2.2162500000000001</v>
      </c>
      <c r="G74" s="57" t="s">
        <v>4</v>
      </c>
      <c r="H74" s="66"/>
      <c r="I74" s="63"/>
    </row>
    <row r="75" spans="1:9" s="8" customFormat="1" ht="12" customHeight="1" x14ac:dyDescent="0.3">
      <c r="A75" s="117"/>
      <c r="B75" s="126" t="s">
        <v>172</v>
      </c>
      <c r="C75" s="19" t="s">
        <v>448</v>
      </c>
      <c r="D75" s="19"/>
      <c r="E75" s="55"/>
      <c r="F75" s="56">
        <v>0.38099999999999995</v>
      </c>
      <c r="G75" s="57" t="s">
        <v>4</v>
      </c>
      <c r="H75" s="66"/>
      <c r="I75" s="63"/>
    </row>
    <row r="76" spans="1:9" s="8" customFormat="1" ht="12" customHeight="1" x14ac:dyDescent="0.3">
      <c r="A76" s="117"/>
      <c r="B76" s="119" t="s">
        <v>449</v>
      </c>
      <c r="C76" s="19"/>
      <c r="D76" s="19"/>
      <c r="E76" s="55"/>
      <c r="F76" s="65"/>
      <c r="G76" s="57"/>
      <c r="H76" s="66"/>
      <c r="I76" s="63"/>
    </row>
    <row r="77" spans="1:9" s="8" customFormat="1" ht="12" customHeight="1" x14ac:dyDescent="0.3">
      <c r="A77" s="117"/>
      <c r="B77" s="124" t="s">
        <v>79</v>
      </c>
      <c r="C77" s="29" t="s">
        <v>414</v>
      </c>
      <c r="D77" s="19"/>
      <c r="E77" s="55"/>
      <c r="F77" s="65"/>
      <c r="G77" s="57"/>
      <c r="H77" s="66"/>
      <c r="I77" s="63"/>
    </row>
    <row r="78" spans="1:9" s="8" customFormat="1" ht="12" customHeight="1" x14ac:dyDescent="0.3">
      <c r="A78" s="117"/>
      <c r="B78" s="119" t="s">
        <v>468</v>
      </c>
      <c r="C78" s="19"/>
      <c r="D78" s="19"/>
      <c r="E78" s="55"/>
      <c r="F78" s="65"/>
      <c r="G78" s="57"/>
      <c r="H78" s="66"/>
      <c r="I78" s="63"/>
    </row>
    <row r="79" spans="1:9" s="8" customFormat="1" ht="12" customHeight="1" x14ac:dyDescent="0.3">
      <c r="A79" s="117"/>
      <c r="B79" s="124" t="s">
        <v>79</v>
      </c>
      <c r="C79" s="29" t="s">
        <v>375</v>
      </c>
      <c r="D79" s="19"/>
      <c r="E79" s="55"/>
      <c r="F79" s="65"/>
      <c r="G79" s="57"/>
      <c r="H79" s="66"/>
      <c r="I79" s="63"/>
    </row>
    <row r="80" spans="1:9" s="8" customFormat="1" ht="12" customHeight="1" x14ac:dyDescent="0.3">
      <c r="A80" s="117"/>
      <c r="B80" s="119"/>
      <c r="C80" s="29"/>
      <c r="D80" s="19"/>
      <c r="E80" s="55"/>
      <c r="F80" s="65"/>
      <c r="G80" s="57"/>
      <c r="H80" s="66"/>
      <c r="I80" s="63"/>
    </row>
    <row r="81" spans="1:9" s="8" customFormat="1" ht="12" customHeight="1" x14ac:dyDescent="0.3">
      <c r="A81" s="117"/>
      <c r="B81" s="118" t="s">
        <v>25</v>
      </c>
      <c r="C81" s="19"/>
      <c r="D81" s="19"/>
      <c r="E81" s="55"/>
      <c r="F81" s="65"/>
      <c r="G81" s="57"/>
      <c r="H81" s="66"/>
      <c r="I81" s="63"/>
    </row>
    <row r="82" spans="1:9" s="8" customFormat="1" ht="12" customHeight="1" x14ac:dyDescent="0.3">
      <c r="A82" s="117"/>
      <c r="B82" s="118"/>
      <c r="C82" s="18" t="s">
        <v>3</v>
      </c>
      <c r="D82" s="19"/>
      <c r="E82" s="55"/>
      <c r="F82" s="65">
        <v>242</v>
      </c>
      <c r="G82" s="57" t="s">
        <v>2</v>
      </c>
      <c r="H82" s="66"/>
      <c r="I82" s="67">
        <f t="shared" ref="I82:I89" si="1">H82*F82</f>
        <v>0</v>
      </c>
    </row>
    <row r="83" spans="1:9" s="8" customFormat="1" ht="12" customHeight="1" x14ac:dyDescent="0.3">
      <c r="A83" s="117"/>
      <c r="B83" s="118"/>
      <c r="C83" s="18" t="s">
        <v>73</v>
      </c>
      <c r="D83" s="19"/>
      <c r="E83" s="55"/>
      <c r="F83" s="75">
        <v>17.5</v>
      </c>
      <c r="G83" s="57" t="s">
        <v>4</v>
      </c>
      <c r="H83" s="66"/>
      <c r="I83" s="67">
        <f t="shared" si="1"/>
        <v>0</v>
      </c>
    </row>
    <row r="84" spans="1:9" s="8" customFormat="1" ht="12" customHeight="1" x14ac:dyDescent="0.3">
      <c r="A84" s="117"/>
      <c r="B84" s="118"/>
      <c r="C84" s="18" t="s">
        <v>67</v>
      </c>
      <c r="D84" s="19"/>
      <c r="E84" s="55"/>
      <c r="F84" s="75">
        <v>3</v>
      </c>
      <c r="G84" s="57" t="s">
        <v>4</v>
      </c>
      <c r="H84" s="66"/>
      <c r="I84" s="67">
        <f t="shared" si="1"/>
        <v>0</v>
      </c>
    </row>
    <row r="85" spans="1:9" s="8" customFormat="1" ht="12" customHeight="1" x14ac:dyDescent="0.3">
      <c r="A85" s="117"/>
      <c r="B85" s="119"/>
      <c r="C85" s="18" t="s">
        <v>70</v>
      </c>
      <c r="D85" s="19"/>
      <c r="E85" s="55"/>
      <c r="F85" s="75">
        <v>6</v>
      </c>
      <c r="G85" s="57" t="s">
        <v>0</v>
      </c>
      <c r="H85" s="66"/>
      <c r="I85" s="67">
        <f t="shared" si="1"/>
        <v>0</v>
      </c>
    </row>
    <row r="86" spans="1:9" s="8" customFormat="1" ht="12" customHeight="1" x14ac:dyDescent="0.3">
      <c r="A86" s="117"/>
      <c r="B86" s="119"/>
      <c r="C86" s="18" t="s">
        <v>189</v>
      </c>
      <c r="D86" s="19"/>
      <c r="E86" s="55"/>
      <c r="F86" s="65">
        <v>124</v>
      </c>
      <c r="G86" s="57" t="s">
        <v>179</v>
      </c>
      <c r="H86" s="66"/>
      <c r="I86" s="67">
        <f t="shared" si="1"/>
        <v>0</v>
      </c>
    </row>
    <row r="87" spans="1:9" s="8" customFormat="1" ht="12" customHeight="1" x14ac:dyDescent="0.3">
      <c r="A87" s="117"/>
      <c r="B87" s="119"/>
      <c r="C87" s="18" t="s">
        <v>188</v>
      </c>
      <c r="D87" s="19"/>
      <c r="E87" s="55"/>
      <c r="F87" s="65">
        <v>17</v>
      </c>
      <c r="G87" s="57" t="s">
        <v>179</v>
      </c>
      <c r="H87" s="66"/>
      <c r="I87" s="67">
        <f t="shared" si="1"/>
        <v>0</v>
      </c>
    </row>
    <row r="88" spans="1:9" s="8" customFormat="1" ht="12" customHeight="1" x14ac:dyDescent="0.3">
      <c r="A88" s="117"/>
      <c r="B88" s="119"/>
      <c r="C88" s="18" t="s">
        <v>74</v>
      </c>
      <c r="D88" s="19"/>
      <c r="E88" s="55"/>
      <c r="F88" s="65">
        <v>1</v>
      </c>
      <c r="G88" s="57" t="s">
        <v>1</v>
      </c>
      <c r="H88" s="66"/>
      <c r="I88" s="67">
        <f t="shared" si="1"/>
        <v>0</v>
      </c>
    </row>
    <row r="89" spans="1:9" s="8" customFormat="1" ht="12" customHeight="1" x14ac:dyDescent="0.3">
      <c r="A89" s="117"/>
      <c r="B89" s="119"/>
      <c r="C89" s="18" t="s">
        <v>148</v>
      </c>
      <c r="D89" s="19"/>
      <c r="E89" s="55"/>
      <c r="F89" s="65">
        <v>1821</v>
      </c>
      <c r="G89" s="57" t="s">
        <v>1</v>
      </c>
      <c r="H89" s="66"/>
      <c r="I89" s="67">
        <f t="shared" si="1"/>
        <v>0</v>
      </c>
    </row>
    <row r="90" spans="1:9" s="8" customFormat="1" ht="12" customHeight="1" x14ac:dyDescent="0.3">
      <c r="A90" s="117"/>
      <c r="B90" s="119"/>
      <c r="C90" s="18"/>
      <c r="D90" s="18"/>
      <c r="E90" s="74"/>
      <c r="F90" s="65"/>
      <c r="G90" s="57"/>
      <c r="H90" s="66"/>
      <c r="I90" s="67"/>
    </row>
    <row r="91" spans="1:9" s="8" customFormat="1" ht="12" customHeight="1" x14ac:dyDescent="0.3">
      <c r="A91" s="117"/>
      <c r="B91" s="121"/>
      <c r="C91" s="166"/>
      <c r="D91" s="166"/>
      <c r="E91" s="166"/>
      <c r="F91" s="166"/>
      <c r="G91" s="166"/>
      <c r="H91" s="166"/>
      <c r="I91" s="167"/>
    </row>
    <row r="92" spans="1:9" s="8" customFormat="1" ht="12" customHeight="1" x14ac:dyDescent="0.3">
      <c r="A92" s="117"/>
      <c r="B92" s="168" t="s">
        <v>511</v>
      </c>
      <c r="C92" s="169"/>
      <c r="D92" s="169"/>
      <c r="E92" s="170"/>
      <c r="F92" s="169"/>
      <c r="G92" s="169"/>
      <c r="H92" s="169"/>
      <c r="I92" s="171"/>
    </row>
    <row r="93" spans="1:9" s="8" customFormat="1" ht="12" customHeight="1" x14ac:dyDescent="0.3">
      <c r="A93" s="117"/>
      <c r="B93" s="168"/>
      <c r="C93" s="169" t="s">
        <v>512</v>
      </c>
      <c r="D93" s="169"/>
      <c r="E93" s="169"/>
      <c r="F93" s="169"/>
      <c r="G93" s="169"/>
      <c r="H93" s="169"/>
      <c r="I93" s="171"/>
    </row>
    <row r="94" spans="1:9" s="8" customFormat="1" ht="12" customHeight="1" x14ac:dyDescent="0.3">
      <c r="A94" s="117"/>
      <c r="B94" s="172"/>
      <c r="C94" s="173"/>
      <c r="D94" s="173"/>
      <c r="E94" s="173"/>
      <c r="F94" s="173"/>
      <c r="G94" s="173"/>
      <c r="H94" s="173"/>
      <c r="I94" s="174"/>
    </row>
    <row r="95" spans="1:9" s="8" customFormat="1" ht="12" customHeight="1" x14ac:dyDescent="0.3">
      <c r="A95" s="122" t="s">
        <v>29</v>
      </c>
      <c r="B95" s="123" t="s">
        <v>77</v>
      </c>
      <c r="C95" s="48"/>
      <c r="D95" s="48"/>
      <c r="E95" s="68"/>
      <c r="F95" s="69">
        <v>100.1</v>
      </c>
      <c r="G95" s="73" t="s">
        <v>113</v>
      </c>
      <c r="H95" s="71"/>
      <c r="I95" s="72"/>
    </row>
    <row r="96" spans="1:9" s="8" customFormat="1" ht="12" customHeight="1" x14ac:dyDescent="0.3">
      <c r="A96" s="117"/>
      <c r="B96" s="118" t="s">
        <v>22</v>
      </c>
      <c r="C96" s="18"/>
      <c r="D96" s="18"/>
      <c r="E96" s="55"/>
      <c r="F96" s="56"/>
      <c r="G96" s="61"/>
      <c r="H96" s="62"/>
      <c r="I96" s="63"/>
    </row>
    <row r="97" spans="1:9" s="8" customFormat="1" ht="12" customHeight="1" x14ac:dyDescent="0.3">
      <c r="A97" s="117"/>
      <c r="B97" s="119"/>
      <c r="C97" s="34" t="s">
        <v>415</v>
      </c>
      <c r="D97" s="18"/>
      <c r="E97" s="55"/>
      <c r="F97" s="56"/>
      <c r="G97" s="61"/>
      <c r="H97" s="62"/>
      <c r="I97" s="63"/>
    </row>
    <row r="98" spans="1:9" s="8" customFormat="1" ht="12" customHeight="1" x14ac:dyDescent="0.3">
      <c r="A98" s="117"/>
      <c r="B98" s="119"/>
      <c r="C98" s="34" t="s">
        <v>416</v>
      </c>
      <c r="D98" s="45"/>
      <c r="E98" s="55"/>
      <c r="F98" s="56"/>
      <c r="G98" s="61"/>
      <c r="H98" s="62"/>
      <c r="I98" s="63"/>
    </row>
    <row r="99" spans="1:9" s="8" customFormat="1" ht="12" customHeight="1" x14ac:dyDescent="0.3">
      <c r="A99" s="117"/>
      <c r="B99" s="119"/>
      <c r="C99" s="18" t="s">
        <v>255</v>
      </c>
      <c r="D99" s="18"/>
      <c r="E99" s="55"/>
      <c r="F99" s="56"/>
      <c r="G99" s="61"/>
      <c r="H99" s="62"/>
      <c r="I99" s="63"/>
    </row>
    <row r="100" spans="1:9" s="8" customFormat="1" ht="12" customHeight="1" x14ac:dyDescent="0.3">
      <c r="A100" s="117"/>
      <c r="B100" s="119"/>
      <c r="C100" s="18" t="s">
        <v>417</v>
      </c>
      <c r="D100" s="18"/>
      <c r="E100" s="55"/>
      <c r="F100" s="56"/>
      <c r="G100" s="61"/>
      <c r="H100" s="62"/>
      <c r="I100" s="63"/>
    </row>
    <row r="101" spans="1:9" s="8" customFormat="1" ht="12" customHeight="1" x14ac:dyDescent="0.3">
      <c r="A101" s="117"/>
      <c r="B101" s="119"/>
      <c r="C101" s="18"/>
      <c r="D101" s="18"/>
      <c r="E101" s="55"/>
      <c r="F101" s="56"/>
      <c r="G101" s="61"/>
      <c r="H101" s="62"/>
      <c r="I101" s="63"/>
    </row>
    <row r="102" spans="1:9" s="8" customFormat="1" ht="12" customHeight="1" x14ac:dyDescent="0.3">
      <c r="A102" s="117"/>
      <c r="B102" s="118" t="s">
        <v>25</v>
      </c>
      <c r="C102" s="18"/>
      <c r="D102" s="18"/>
      <c r="E102" s="55"/>
      <c r="F102" s="56"/>
      <c r="G102" s="61"/>
      <c r="H102" s="62"/>
      <c r="I102" s="63"/>
    </row>
    <row r="103" spans="1:9" s="8" customFormat="1" ht="12" customHeight="1" x14ac:dyDescent="0.3">
      <c r="A103" s="117"/>
      <c r="B103" s="124" t="s">
        <v>267</v>
      </c>
      <c r="C103" s="18"/>
      <c r="D103" s="18"/>
      <c r="E103" s="55"/>
      <c r="F103" s="56"/>
      <c r="G103" s="57"/>
      <c r="H103" s="66"/>
      <c r="I103" s="67"/>
    </row>
    <row r="104" spans="1:9" s="8" customFormat="1" ht="12" customHeight="1" x14ac:dyDescent="0.3">
      <c r="A104" s="117"/>
      <c r="B104" s="119"/>
      <c r="C104" s="34" t="s">
        <v>382</v>
      </c>
      <c r="D104" s="34"/>
      <c r="E104" s="76"/>
      <c r="F104" s="65">
        <v>37</v>
      </c>
      <c r="G104" s="78" t="s">
        <v>147</v>
      </c>
      <c r="H104" s="79"/>
      <c r="I104" s="80">
        <f>H104*F104</f>
        <v>0</v>
      </c>
    </row>
    <row r="105" spans="1:9" s="8" customFormat="1" ht="12" customHeight="1" x14ac:dyDescent="0.3">
      <c r="A105" s="117"/>
      <c r="B105" s="119"/>
      <c r="C105" s="34" t="s">
        <v>383</v>
      </c>
      <c r="D105" s="34"/>
      <c r="E105" s="76"/>
      <c r="F105" s="65">
        <v>72</v>
      </c>
      <c r="G105" s="78" t="s">
        <v>179</v>
      </c>
      <c r="H105" s="79"/>
      <c r="I105" s="80">
        <f t="shared" ref="I105:I115" si="2">H105*F105</f>
        <v>0</v>
      </c>
    </row>
    <row r="106" spans="1:9" s="8" customFormat="1" ht="12" customHeight="1" x14ac:dyDescent="0.3">
      <c r="A106" s="117"/>
      <c r="B106" s="119"/>
      <c r="C106" s="34" t="s">
        <v>384</v>
      </c>
      <c r="D106" s="34"/>
      <c r="E106" s="76"/>
      <c r="F106" s="65">
        <v>37</v>
      </c>
      <c r="G106" s="78" t="s">
        <v>179</v>
      </c>
      <c r="H106" s="79"/>
      <c r="I106" s="80">
        <f t="shared" si="2"/>
        <v>0</v>
      </c>
    </row>
    <row r="107" spans="1:9" s="8" customFormat="1" ht="12" customHeight="1" x14ac:dyDescent="0.3">
      <c r="A107" s="117"/>
      <c r="B107" s="119"/>
      <c r="C107" s="18" t="s">
        <v>385</v>
      </c>
      <c r="D107" s="18"/>
      <c r="E107" s="55"/>
      <c r="F107" s="65">
        <v>34</v>
      </c>
      <c r="G107" s="57" t="s">
        <v>179</v>
      </c>
      <c r="H107" s="66"/>
      <c r="I107" s="67">
        <f>H107*F107</f>
        <v>0</v>
      </c>
    </row>
    <row r="108" spans="1:9" s="8" customFormat="1" ht="12" customHeight="1" x14ac:dyDescent="0.3">
      <c r="A108" s="117"/>
      <c r="B108" s="119"/>
      <c r="C108" s="34" t="s">
        <v>386</v>
      </c>
      <c r="D108" s="34"/>
      <c r="E108" s="76"/>
      <c r="F108" s="65">
        <v>111</v>
      </c>
      <c r="G108" s="78" t="s">
        <v>1</v>
      </c>
      <c r="H108" s="79"/>
      <c r="I108" s="80">
        <f t="shared" si="2"/>
        <v>0</v>
      </c>
    </row>
    <row r="109" spans="1:9" s="8" customFormat="1" ht="12" customHeight="1" x14ac:dyDescent="0.3">
      <c r="A109" s="117"/>
      <c r="B109" s="119"/>
      <c r="C109" s="34" t="s">
        <v>241</v>
      </c>
      <c r="D109" s="34"/>
      <c r="E109" s="76"/>
      <c r="F109" s="65">
        <v>1</v>
      </c>
      <c r="G109" s="78" t="s">
        <v>1</v>
      </c>
      <c r="H109" s="79"/>
      <c r="I109" s="80">
        <f t="shared" si="2"/>
        <v>0</v>
      </c>
    </row>
    <row r="110" spans="1:9" s="8" customFormat="1" ht="12" customHeight="1" x14ac:dyDescent="0.3">
      <c r="A110" s="117"/>
      <c r="B110" s="119"/>
      <c r="C110" s="34" t="s">
        <v>74</v>
      </c>
      <c r="D110" s="34"/>
      <c r="E110" s="76"/>
      <c r="F110" s="65">
        <v>3</v>
      </c>
      <c r="G110" s="78" t="s">
        <v>1</v>
      </c>
      <c r="H110" s="79"/>
      <c r="I110" s="80">
        <f>H110*F110</f>
        <v>0</v>
      </c>
    </row>
    <row r="111" spans="1:9" s="8" customFormat="1" ht="12" customHeight="1" x14ac:dyDescent="0.3">
      <c r="A111" s="117"/>
      <c r="B111" s="119"/>
      <c r="C111" s="34" t="s">
        <v>229</v>
      </c>
      <c r="D111" s="34"/>
      <c r="E111" s="76"/>
      <c r="F111" s="65">
        <v>1202</v>
      </c>
      <c r="G111" s="78" t="s">
        <v>1</v>
      </c>
      <c r="H111" s="79"/>
      <c r="I111" s="80">
        <f t="shared" si="2"/>
        <v>0</v>
      </c>
    </row>
    <row r="112" spans="1:9" s="8" customFormat="1" ht="12" customHeight="1" x14ac:dyDescent="0.3">
      <c r="A112" s="117"/>
      <c r="B112" s="119"/>
      <c r="C112" s="34" t="s">
        <v>387</v>
      </c>
      <c r="D112" s="34"/>
      <c r="E112" s="76"/>
      <c r="F112" s="65">
        <v>585</v>
      </c>
      <c r="G112" s="78" t="s">
        <v>1</v>
      </c>
      <c r="H112" s="79"/>
      <c r="I112" s="80">
        <f t="shared" si="2"/>
        <v>0</v>
      </c>
    </row>
    <row r="113" spans="1:9" s="8" customFormat="1" ht="12" customHeight="1" x14ac:dyDescent="0.3">
      <c r="A113" s="117"/>
      <c r="B113" s="119"/>
      <c r="C113" s="34" t="s">
        <v>388</v>
      </c>
      <c r="D113" s="34"/>
      <c r="E113" s="76"/>
      <c r="F113" s="75">
        <v>2</v>
      </c>
      <c r="G113" s="78" t="s">
        <v>0</v>
      </c>
      <c r="H113" s="79"/>
      <c r="I113" s="80">
        <f t="shared" si="2"/>
        <v>0</v>
      </c>
    </row>
    <row r="114" spans="1:9" s="8" customFormat="1" ht="12" customHeight="1" x14ac:dyDescent="0.3">
      <c r="A114" s="117"/>
      <c r="B114" s="119"/>
      <c r="C114" s="34" t="s">
        <v>389</v>
      </c>
      <c r="D114" s="34"/>
      <c r="E114" s="76"/>
      <c r="F114" s="65">
        <v>2</v>
      </c>
      <c r="G114" s="78" t="s">
        <v>1</v>
      </c>
      <c r="H114" s="79"/>
      <c r="I114" s="80">
        <f t="shared" si="2"/>
        <v>0</v>
      </c>
    </row>
    <row r="115" spans="1:9" s="8" customFormat="1" ht="12" customHeight="1" x14ac:dyDescent="0.3">
      <c r="A115" s="117"/>
      <c r="B115" s="119"/>
      <c r="C115" s="34" t="s">
        <v>390</v>
      </c>
      <c r="D115" s="34"/>
      <c r="E115" s="76"/>
      <c r="F115" s="65">
        <v>51</v>
      </c>
      <c r="G115" s="78" t="s">
        <v>1</v>
      </c>
      <c r="H115" s="79"/>
      <c r="I115" s="80">
        <f t="shared" si="2"/>
        <v>0</v>
      </c>
    </row>
    <row r="116" spans="1:9" s="8" customFormat="1" ht="12" customHeight="1" x14ac:dyDescent="0.3">
      <c r="A116" s="117"/>
      <c r="B116" s="124" t="s">
        <v>391</v>
      </c>
      <c r="C116" s="34"/>
      <c r="D116" s="34"/>
      <c r="E116" s="76"/>
      <c r="F116" s="65"/>
      <c r="G116" s="78"/>
      <c r="H116" s="79"/>
      <c r="I116" s="80"/>
    </row>
    <row r="117" spans="1:9" s="8" customFormat="1" ht="12" customHeight="1" x14ac:dyDescent="0.3">
      <c r="A117" s="117"/>
      <c r="B117" s="119"/>
      <c r="C117" s="34" t="s">
        <v>392</v>
      </c>
      <c r="D117" s="34"/>
      <c r="E117" s="76"/>
      <c r="F117" s="65">
        <v>4</v>
      </c>
      <c r="G117" s="78" t="s">
        <v>1</v>
      </c>
      <c r="H117" s="79"/>
      <c r="I117" s="80">
        <f t="shared" ref="I117:I119" si="3">H117*F117</f>
        <v>0</v>
      </c>
    </row>
    <row r="118" spans="1:9" s="8" customFormat="1" ht="12" customHeight="1" x14ac:dyDescent="0.3">
      <c r="A118" s="117"/>
      <c r="B118" s="119"/>
      <c r="C118" s="34" t="s">
        <v>183</v>
      </c>
      <c r="D118" s="34"/>
      <c r="E118" s="76"/>
      <c r="F118" s="65">
        <v>2.5</v>
      </c>
      <c r="G118" s="78" t="s">
        <v>80</v>
      </c>
      <c r="H118" s="79"/>
      <c r="I118" s="80">
        <f t="shared" si="3"/>
        <v>0</v>
      </c>
    </row>
    <row r="119" spans="1:9" s="8" customFormat="1" ht="12" customHeight="1" x14ac:dyDescent="0.3">
      <c r="A119" s="117"/>
      <c r="B119" s="119"/>
      <c r="C119" s="34" t="s">
        <v>187</v>
      </c>
      <c r="D119" s="34"/>
      <c r="E119" s="76"/>
      <c r="F119" s="65">
        <v>0.5</v>
      </c>
      <c r="G119" s="78" t="s">
        <v>66</v>
      </c>
      <c r="H119" s="79"/>
      <c r="I119" s="80">
        <f t="shared" si="3"/>
        <v>0</v>
      </c>
    </row>
    <row r="120" spans="1:9" s="8" customFormat="1" ht="12" customHeight="1" x14ac:dyDescent="0.3">
      <c r="A120" s="117"/>
      <c r="B120" s="124" t="s">
        <v>181</v>
      </c>
      <c r="C120" s="18"/>
      <c r="D120" s="18"/>
      <c r="E120" s="55"/>
      <c r="F120" s="56"/>
      <c r="G120" s="57"/>
      <c r="H120" s="66"/>
      <c r="I120" s="67"/>
    </row>
    <row r="121" spans="1:9" s="8" customFormat="1" ht="12" customHeight="1" x14ac:dyDescent="0.3">
      <c r="A121" s="117"/>
      <c r="B121" s="119"/>
      <c r="C121" s="18" t="s">
        <v>184</v>
      </c>
      <c r="D121" s="18"/>
      <c r="E121" s="55"/>
      <c r="F121" s="56">
        <v>24</v>
      </c>
      <c r="G121" s="57" t="s">
        <v>69</v>
      </c>
      <c r="H121" s="66"/>
      <c r="I121" s="67">
        <f t="shared" ref="I121:I124" si="4">H121*F121</f>
        <v>0</v>
      </c>
    </row>
    <row r="122" spans="1:9" s="8" customFormat="1" ht="12" customHeight="1" x14ac:dyDescent="0.3">
      <c r="A122" s="117"/>
      <c r="B122" s="119"/>
      <c r="C122" s="18" t="s">
        <v>185</v>
      </c>
      <c r="D122" s="18"/>
      <c r="E122" s="55"/>
      <c r="F122" s="56">
        <v>10</v>
      </c>
      <c r="G122" s="57" t="s">
        <v>69</v>
      </c>
      <c r="H122" s="66"/>
      <c r="I122" s="67">
        <f t="shared" si="4"/>
        <v>0</v>
      </c>
    </row>
    <row r="123" spans="1:9" s="8" customFormat="1" ht="12" customHeight="1" x14ac:dyDescent="0.3">
      <c r="A123" s="117"/>
      <c r="B123" s="119"/>
      <c r="C123" s="18" t="s">
        <v>186</v>
      </c>
      <c r="D123" s="18"/>
      <c r="E123" s="55"/>
      <c r="F123" s="56">
        <v>40</v>
      </c>
      <c r="G123" s="57" t="s">
        <v>69</v>
      </c>
      <c r="H123" s="66"/>
      <c r="I123" s="67">
        <f t="shared" si="4"/>
        <v>0</v>
      </c>
    </row>
    <row r="124" spans="1:9" s="8" customFormat="1" ht="12" customHeight="1" x14ac:dyDescent="0.3">
      <c r="A124" s="117"/>
      <c r="B124" s="119"/>
      <c r="C124" s="18" t="s">
        <v>110</v>
      </c>
      <c r="D124" s="18"/>
      <c r="E124" s="55"/>
      <c r="F124" s="65">
        <v>4</v>
      </c>
      <c r="G124" s="57" t="s">
        <v>0</v>
      </c>
      <c r="H124" s="66"/>
      <c r="I124" s="67">
        <f t="shared" si="4"/>
        <v>0</v>
      </c>
    </row>
    <row r="125" spans="1:9" s="8" customFormat="1" ht="12" customHeight="1" x14ac:dyDescent="0.3">
      <c r="A125" s="117"/>
      <c r="B125" s="129" t="s">
        <v>306</v>
      </c>
      <c r="C125" s="18"/>
      <c r="D125" s="18"/>
      <c r="E125" s="55"/>
      <c r="F125" s="56"/>
      <c r="G125" s="61"/>
      <c r="H125" s="62"/>
      <c r="I125" s="63"/>
    </row>
    <row r="126" spans="1:9" s="8" customFormat="1" ht="12" customHeight="1" x14ac:dyDescent="0.3">
      <c r="A126" s="117"/>
      <c r="B126" s="119"/>
      <c r="C126" s="18" t="s">
        <v>397</v>
      </c>
      <c r="D126" s="18"/>
      <c r="E126" s="55"/>
      <c r="F126" s="56">
        <v>333.33333333333331</v>
      </c>
      <c r="G126" s="57" t="s">
        <v>69</v>
      </c>
      <c r="H126" s="66"/>
      <c r="I126" s="67">
        <f>H126*F126</f>
        <v>0</v>
      </c>
    </row>
    <row r="127" spans="1:9" s="8" customFormat="1" ht="12" customHeight="1" x14ac:dyDescent="0.3">
      <c r="A127" s="117"/>
      <c r="B127" s="119"/>
      <c r="C127" s="18" t="s">
        <v>398</v>
      </c>
      <c r="D127" s="18"/>
      <c r="E127" s="55"/>
      <c r="F127" s="56">
        <v>200</v>
      </c>
      <c r="G127" s="57" t="s">
        <v>69</v>
      </c>
      <c r="H127" s="66"/>
      <c r="I127" s="67">
        <f>H127*F127</f>
        <v>0</v>
      </c>
    </row>
    <row r="128" spans="1:9" s="8" customFormat="1" ht="12" customHeight="1" x14ac:dyDescent="0.3">
      <c r="A128" s="117"/>
      <c r="B128" s="119"/>
      <c r="C128" s="18" t="s">
        <v>182</v>
      </c>
      <c r="D128" s="18"/>
      <c r="E128" s="55"/>
      <c r="F128" s="65">
        <v>5</v>
      </c>
      <c r="G128" s="57" t="s">
        <v>147</v>
      </c>
      <c r="H128" s="66"/>
      <c r="I128" s="67">
        <f>H128*F128</f>
        <v>0</v>
      </c>
    </row>
    <row r="129" spans="1:9" s="8" customFormat="1" ht="12" customHeight="1" x14ac:dyDescent="0.3">
      <c r="A129" s="117"/>
      <c r="B129" s="124"/>
      <c r="C129" s="18" t="s">
        <v>145</v>
      </c>
      <c r="D129" s="18"/>
      <c r="E129" s="55"/>
      <c r="F129" s="65">
        <v>2</v>
      </c>
      <c r="G129" s="57" t="s">
        <v>0</v>
      </c>
      <c r="H129" s="66"/>
      <c r="I129" s="67">
        <f>H129*F129</f>
        <v>0</v>
      </c>
    </row>
    <row r="130" spans="1:9" s="8" customFormat="1" ht="12" customHeight="1" x14ac:dyDescent="0.3">
      <c r="A130" s="117"/>
      <c r="B130" s="119"/>
      <c r="C130" s="18" t="s">
        <v>151</v>
      </c>
      <c r="D130" s="18"/>
      <c r="E130" s="55"/>
      <c r="F130" s="65">
        <v>20</v>
      </c>
      <c r="G130" s="57" t="s">
        <v>0</v>
      </c>
      <c r="H130" s="66"/>
      <c r="I130" s="67">
        <f t="shared" ref="I130:I132" si="5">H130*F130</f>
        <v>0</v>
      </c>
    </row>
    <row r="131" spans="1:9" s="8" customFormat="1" ht="12" customHeight="1" x14ac:dyDescent="0.3">
      <c r="A131" s="117"/>
      <c r="B131" s="119"/>
      <c r="C131" s="18" t="s">
        <v>110</v>
      </c>
      <c r="D131" s="18"/>
      <c r="E131" s="55"/>
      <c r="F131" s="65">
        <v>15</v>
      </c>
      <c r="G131" s="57" t="s">
        <v>0</v>
      </c>
      <c r="H131" s="66"/>
      <c r="I131" s="67">
        <f t="shared" si="5"/>
        <v>0</v>
      </c>
    </row>
    <row r="132" spans="1:9" s="8" customFormat="1" ht="12" customHeight="1" x14ac:dyDescent="0.3">
      <c r="A132" s="117"/>
      <c r="B132" s="119"/>
      <c r="C132" s="18" t="s">
        <v>266</v>
      </c>
      <c r="D132" s="18"/>
      <c r="E132" s="55"/>
      <c r="F132" s="65">
        <v>3</v>
      </c>
      <c r="G132" s="57" t="s">
        <v>0</v>
      </c>
      <c r="H132" s="66"/>
      <c r="I132" s="67">
        <f t="shared" si="5"/>
        <v>0</v>
      </c>
    </row>
    <row r="133" spans="1:9" s="8" customFormat="1" ht="12" customHeight="1" x14ac:dyDescent="0.3">
      <c r="A133" s="117"/>
      <c r="B133" s="119"/>
      <c r="C133" s="18"/>
      <c r="D133" s="18"/>
      <c r="E133" s="55"/>
      <c r="F133" s="56"/>
      <c r="G133" s="57"/>
      <c r="H133" s="82"/>
      <c r="I133" s="67"/>
    </row>
    <row r="134" spans="1:9" s="8" customFormat="1" ht="12" customHeight="1" x14ac:dyDescent="0.3">
      <c r="A134" s="117"/>
      <c r="B134" s="121"/>
      <c r="C134" s="166"/>
      <c r="D134" s="166"/>
      <c r="E134" s="166"/>
      <c r="F134" s="166"/>
      <c r="G134" s="166"/>
      <c r="H134" s="166"/>
      <c r="I134" s="167"/>
    </row>
    <row r="135" spans="1:9" s="8" customFormat="1" ht="12" customHeight="1" x14ac:dyDescent="0.3">
      <c r="A135" s="117"/>
      <c r="B135" s="168" t="s">
        <v>511</v>
      </c>
      <c r="C135" s="169"/>
      <c r="D135" s="169"/>
      <c r="E135" s="170"/>
      <c r="F135" s="169"/>
      <c r="G135" s="169"/>
      <c r="H135" s="169"/>
      <c r="I135" s="171"/>
    </row>
    <row r="136" spans="1:9" s="8" customFormat="1" ht="12" customHeight="1" x14ac:dyDescent="0.3">
      <c r="A136" s="117"/>
      <c r="B136" s="168"/>
      <c r="C136" s="169" t="s">
        <v>512</v>
      </c>
      <c r="D136" s="169"/>
      <c r="E136" s="169"/>
      <c r="F136" s="169"/>
      <c r="G136" s="169"/>
      <c r="H136" s="169"/>
      <c r="I136" s="171"/>
    </row>
    <row r="137" spans="1:9" s="8" customFormat="1" ht="12" customHeight="1" x14ac:dyDescent="0.3">
      <c r="A137" s="117"/>
      <c r="B137" s="172"/>
      <c r="C137" s="173"/>
      <c r="D137" s="173"/>
      <c r="E137" s="173"/>
      <c r="F137" s="173"/>
      <c r="G137" s="173"/>
      <c r="H137" s="173"/>
      <c r="I137" s="174"/>
    </row>
    <row r="138" spans="1:9" s="8" customFormat="1" ht="12" customHeight="1" x14ac:dyDescent="0.3">
      <c r="A138" s="122" t="s">
        <v>31</v>
      </c>
      <c r="B138" s="123" t="s">
        <v>71</v>
      </c>
      <c r="C138" s="48"/>
      <c r="D138" s="48"/>
      <c r="E138" s="68"/>
      <c r="F138" s="143">
        <v>15</v>
      </c>
      <c r="G138" s="73" t="s">
        <v>87</v>
      </c>
      <c r="H138" s="71"/>
      <c r="I138" s="72"/>
    </row>
    <row r="139" spans="1:9" s="8" customFormat="1" ht="12" customHeight="1" x14ac:dyDescent="0.3">
      <c r="A139" s="130"/>
      <c r="B139" s="118" t="s">
        <v>22</v>
      </c>
      <c r="C139" s="20"/>
      <c r="D139" s="20"/>
      <c r="E139" s="81"/>
      <c r="F139" s="56"/>
      <c r="G139" s="57"/>
      <c r="H139" s="58"/>
      <c r="I139" s="83"/>
    </row>
    <row r="140" spans="1:9" s="8" customFormat="1" ht="12" customHeight="1" x14ac:dyDescent="0.3">
      <c r="A140" s="130"/>
      <c r="B140" s="131"/>
      <c r="C140" s="11" t="s">
        <v>336</v>
      </c>
      <c r="D140" s="11"/>
      <c r="E140" s="81"/>
      <c r="F140" s="56"/>
      <c r="G140" s="57"/>
      <c r="H140" s="58"/>
      <c r="I140" s="83"/>
    </row>
    <row r="141" spans="1:9" s="8" customFormat="1" ht="12" customHeight="1" x14ac:dyDescent="0.3">
      <c r="A141" s="130"/>
      <c r="B141" s="131"/>
      <c r="C141" s="11" t="s">
        <v>190</v>
      </c>
      <c r="D141" s="11"/>
      <c r="E141" s="81"/>
      <c r="F141" s="56"/>
      <c r="G141" s="57"/>
      <c r="H141" s="58"/>
      <c r="I141" s="83"/>
    </row>
    <row r="142" spans="1:9" s="8" customFormat="1" ht="12" customHeight="1" x14ac:dyDescent="0.3">
      <c r="A142" s="130"/>
      <c r="B142" s="131"/>
      <c r="C142" s="11" t="s">
        <v>304</v>
      </c>
      <c r="D142" s="11"/>
      <c r="E142" s="81"/>
      <c r="F142" s="56"/>
      <c r="G142" s="57"/>
      <c r="H142" s="58"/>
      <c r="I142" s="83"/>
    </row>
    <row r="143" spans="1:9" s="8" customFormat="1" ht="12" customHeight="1" x14ac:dyDescent="0.3">
      <c r="A143" s="130"/>
      <c r="B143" s="120" t="s">
        <v>25</v>
      </c>
      <c r="C143" s="20"/>
      <c r="D143" s="20"/>
      <c r="E143" s="81"/>
      <c r="F143" s="56"/>
      <c r="G143" s="57"/>
      <c r="H143" s="58"/>
      <c r="I143" s="83"/>
    </row>
    <row r="144" spans="1:9" s="8" customFormat="1" ht="12" customHeight="1" x14ac:dyDescent="0.3">
      <c r="A144" s="130"/>
      <c r="B144" s="124" t="s">
        <v>72</v>
      </c>
      <c r="C144" s="20"/>
      <c r="D144" s="20"/>
      <c r="E144" s="81"/>
      <c r="F144" s="56"/>
      <c r="G144" s="57"/>
      <c r="H144" s="58"/>
      <c r="I144" s="83"/>
    </row>
    <row r="145" spans="1:9" s="8" customFormat="1" ht="12" customHeight="1" x14ac:dyDescent="0.3">
      <c r="A145" s="130"/>
      <c r="B145" s="119" t="s">
        <v>395</v>
      </c>
      <c r="C145" s="11"/>
      <c r="D145" s="11"/>
      <c r="E145" s="84"/>
      <c r="F145" s="65">
        <v>1</v>
      </c>
      <c r="G145" s="57" t="s">
        <v>10</v>
      </c>
      <c r="H145" s="85"/>
      <c r="I145" s="67">
        <f t="shared" ref="I145:I150" si="6">H145*F145</f>
        <v>0</v>
      </c>
    </row>
    <row r="146" spans="1:9" s="8" customFormat="1" ht="12" customHeight="1" x14ac:dyDescent="0.3">
      <c r="A146" s="130"/>
      <c r="B146" s="119"/>
      <c r="C146" s="11" t="s">
        <v>300</v>
      </c>
      <c r="D146" s="11"/>
      <c r="E146" s="84"/>
      <c r="F146" s="65"/>
      <c r="G146" s="57"/>
      <c r="H146" s="85"/>
      <c r="I146" s="67"/>
    </row>
    <row r="147" spans="1:9" s="8" customFormat="1" ht="12" customHeight="1" x14ac:dyDescent="0.3">
      <c r="A147" s="130"/>
      <c r="B147" s="119" t="s">
        <v>330</v>
      </c>
      <c r="C147" s="11"/>
      <c r="D147" s="11"/>
      <c r="E147" s="84"/>
      <c r="F147" s="65">
        <v>2</v>
      </c>
      <c r="G147" s="57" t="s">
        <v>6</v>
      </c>
      <c r="H147" s="85"/>
      <c r="I147" s="67">
        <f t="shared" si="6"/>
        <v>0</v>
      </c>
    </row>
    <row r="148" spans="1:9" s="8" customFormat="1" ht="12" customHeight="1" x14ac:dyDescent="0.3">
      <c r="A148" s="130"/>
      <c r="B148" s="119"/>
      <c r="C148" s="11" t="s">
        <v>394</v>
      </c>
      <c r="D148" s="11"/>
      <c r="E148" s="84"/>
      <c r="F148" s="65"/>
      <c r="G148" s="57"/>
      <c r="H148" s="85"/>
      <c r="I148" s="67"/>
    </row>
    <row r="149" spans="1:9" s="8" customFormat="1" ht="12" customHeight="1" x14ac:dyDescent="0.3">
      <c r="A149" s="130"/>
      <c r="B149" s="119" t="s">
        <v>396</v>
      </c>
      <c r="C149" s="11"/>
      <c r="D149" s="11"/>
      <c r="E149" s="84"/>
      <c r="F149" s="65">
        <v>1</v>
      </c>
      <c r="G149" s="57" t="s">
        <v>10</v>
      </c>
      <c r="H149" s="85"/>
      <c r="I149" s="67">
        <f t="shared" si="6"/>
        <v>0</v>
      </c>
    </row>
    <row r="150" spans="1:9" s="8" customFormat="1" ht="12" customHeight="1" x14ac:dyDescent="0.3">
      <c r="A150" s="130"/>
      <c r="B150" s="119" t="s">
        <v>301</v>
      </c>
      <c r="C150" s="11"/>
      <c r="D150" s="11"/>
      <c r="E150" s="84"/>
      <c r="F150" s="65">
        <v>1</v>
      </c>
      <c r="G150" s="57" t="s">
        <v>10</v>
      </c>
      <c r="H150" s="85"/>
      <c r="I150" s="67">
        <f t="shared" si="6"/>
        <v>0</v>
      </c>
    </row>
    <row r="151" spans="1:9" s="8" customFormat="1" ht="12" customHeight="1" x14ac:dyDescent="0.3">
      <c r="A151" s="130"/>
      <c r="B151" s="119"/>
      <c r="C151" s="11"/>
      <c r="D151" s="11"/>
      <c r="E151" s="84"/>
      <c r="F151" s="65"/>
      <c r="G151" s="57"/>
      <c r="H151" s="85"/>
      <c r="I151" s="67"/>
    </row>
    <row r="152" spans="1:9" s="8" customFormat="1" ht="12" customHeight="1" x14ac:dyDescent="0.3">
      <c r="A152" s="130"/>
      <c r="B152" s="124" t="s">
        <v>136</v>
      </c>
      <c r="C152" s="19"/>
      <c r="D152" s="19"/>
      <c r="E152" s="84"/>
      <c r="F152" s="65"/>
      <c r="G152" s="57"/>
      <c r="H152" s="85"/>
      <c r="I152" s="67"/>
    </row>
    <row r="153" spans="1:9" s="8" customFormat="1" ht="12" customHeight="1" x14ac:dyDescent="0.3">
      <c r="A153" s="130"/>
      <c r="B153" s="119" t="s">
        <v>256</v>
      </c>
      <c r="C153" s="11"/>
      <c r="D153" s="11"/>
      <c r="E153" s="84"/>
      <c r="F153" s="65">
        <v>5</v>
      </c>
      <c r="G153" s="57" t="s">
        <v>6</v>
      </c>
      <c r="H153" s="66"/>
      <c r="I153" s="67">
        <f>H153*F153</f>
        <v>0</v>
      </c>
    </row>
    <row r="154" spans="1:9" s="8" customFormat="1" ht="12" customHeight="1" x14ac:dyDescent="0.3">
      <c r="A154" s="130"/>
      <c r="B154" s="125" t="s">
        <v>192</v>
      </c>
      <c r="C154" s="11"/>
      <c r="D154" s="11"/>
      <c r="E154" s="55"/>
      <c r="F154" s="65"/>
      <c r="G154" s="57"/>
      <c r="H154" s="85"/>
      <c r="I154" s="67"/>
    </row>
    <row r="155" spans="1:9" s="8" customFormat="1" ht="12" customHeight="1" x14ac:dyDescent="0.3">
      <c r="A155" s="130"/>
      <c r="B155" s="119" t="s">
        <v>257</v>
      </c>
      <c r="C155" s="11"/>
      <c r="D155" s="11"/>
      <c r="E155" s="55"/>
      <c r="F155" s="65">
        <v>1</v>
      </c>
      <c r="G155" s="57" t="s">
        <v>10</v>
      </c>
      <c r="H155" s="66"/>
      <c r="I155" s="67">
        <f>H155*F155</f>
        <v>0</v>
      </c>
    </row>
    <row r="156" spans="1:9" s="8" customFormat="1" ht="12" customHeight="1" x14ac:dyDescent="0.3">
      <c r="A156" s="130"/>
      <c r="B156" s="125" t="s">
        <v>191</v>
      </c>
      <c r="C156" s="11"/>
      <c r="D156" s="11"/>
      <c r="E156" s="55"/>
      <c r="F156" s="65"/>
      <c r="G156" s="57"/>
      <c r="H156" s="85"/>
      <c r="I156" s="67"/>
    </row>
    <row r="157" spans="1:9" s="8" customFormat="1" ht="12" customHeight="1" x14ac:dyDescent="0.3">
      <c r="A157" s="130"/>
      <c r="B157" s="119" t="s">
        <v>324</v>
      </c>
      <c r="C157" s="11"/>
      <c r="D157" s="11"/>
      <c r="E157" s="55"/>
      <c r="F157" s="65">
        <v>2</v>
      </c>
      <c r="G157" s="57" t="s">
        <v>6</v>
      </c>
      <c r="H157" s="66"/>
      <c r="I157" s="67">
        <f>H157*F157</f>
        <v>0</v>
      </c>
    </row>
    <row r="158" spans="1:9" s="8" customFormat="1" ht="12" customHeight="1" x14ac:dyDescent="0.3">
      <c r="A158" s="130"/>
      <c r="B158" s="125" t="s">
        <v>325</v>
      </c>
      <c r="C158" s="11"/>
      <c r="D158" s="11"/>
      <c r="E158" s="55"/>
      <c r="F158" s="65"/>
      <c r="G158" s="57"/>
      <c r="H158" s="85"/>
      <c r="I158" s="67"/>
    </row>
    <row r="159" spans="1:9" s="8" customFormat="1" ht="12" customHeight="1" x14ac:dyDescent="0.3">
      <c r="A159" s="130"/>
      <c r="B159" s="119" t="s">
        <v>323</v>
      </c>
      <c r="C159" s="11"/>
      <c r="D159" s="11"/>
      <c r="E159" s="55"/>
      <c r="F159" s="65">
        <v>2</v>
      </c>
      <c r="G159" s="57" t="s">
        <v>6</v>
      </c>
      <c r="H159" s="66"/>
      <c r="I159" s="67">
        <f>H159*F159</f>
        <v>0</v>
      </c>
    </row>
    <row r="160" spans="1:9" s="8" customFormat="1" ht="12" customHeight="1" x14ac:dyDescent="0.3">
      <c r="A160" s="130"/>
      <c r="B160" s="125" t="s">
        <v>326</v>
      </c>
      <c r="C160" s="11"/>
      <c r="D160" s="11"/>
      <c r="E160" s="55"/>
      <c r="F160" s="56"/>
      <c r="G160" s="57"/>
      <c r="H160" s="85"/>
      <c r="I160" s="67"/>
    </row>
    <row r="161" spans="1:9" s="8" customFormat="1" ht="12" customHeight="1" x14ac:dyDescent="0.3">
      <c r="A161" s="130"/>
      <c r="B161" s="125"/>
      <c r="C161" s="11"/>
      <c r="D161" s="11"/>
      <c r="E161" s="55"/>
      <c r="F161" s="56"/>
      <c r="G161" s="57"/>
      <c r="H161" s="85"/>
      <c r="I161" s="67"/>
    </row>
    <row r="162" spans="1:9" s="8" customFormat="1" ht="12" customHeight="1" x14ac:dyDescent="0.3">
      <c r="A162" s="117"/>
      <c r="B162" s="121"/>
      <c r="C162" s="166"/>
      <c r="D162" s="166"/>
      <c r="E162" s="166"/>
      <c r="F162" s="166"/>
      <c r="G162" s="166"/>
      <c r="H162" s="166"/>
      <c r="I162" s="167"/>
    </row>
    <row r="163" spans="1:9" s="8" customFormat="1" ht="12" customHeight="1" x14ac:dyDescent="0.3">
      <c r="A163" s="117"/>
      <c r="B163" s="168" t="s">
        <v>511</v>
      </c>
      <c r="C163" s="169"/>
      <c r="D163" s="169"/>
      <c r="E163" s="170"/>
      <c r="F163" s="169"/>
      <c r="G163" s="169"/>
      <c r="H163" s="169"/>
      <c r="I163" s="171"/>
    </row>
    <row r="164" spans="1:9" s="8" customFormat="1" ht="12" customHeight="1" x14ac:dyDescent="0.3">
      <c r="A164" s="117"/>
      <c r="B164" s="168"/>
      <c r="C164" s="169" t="s">
        <v>512</v>
      </c>
      <c r="D164" s="169"/>
      <c r="E164" s="169"/>
      <c r="F164" s="169"/>
      <c r="G164" s="169"/>
      <c r="H164" s="169"/>
      <c r="I164" s="171"/>
    </row>
    <row r="165" spans="1:9" s="8" customFormat="1" ht="12" customHeight="1" x14ac:dyDescent="0.3">
      <c r="A165" s="117"/>
      <c r="B165" s="172"/>
      <c r="C165" s="173"/>
      <c r="D165" s="173"/>
      <c r="E165" s="173"/>
      <c r="F165" s="173"/>
      <c r="G165" s="173"/>
      <c r="H165" s="173"/>
      <c r="I165" s="174"/>
    </row>
    <row r="166" spans="1:9" s="8" customFormat="1" ht="12" customHeight="1" x14ac:dyDescent="0.3">
      <c r="A166" s="122" t="s">
        <v>32</v>
      </c>
      <c r="B166" s="123" t="s">
        <v>408</v>
      </c>
      <c r="C166" s="48"/>
      <c r="D166" s="48"/>
      <c r="E166" s="68"/>
      <c r="F166" s="69">
        <v>104.63</v>
      </c>
      <c r="G166" s="73" t="s">
        <v>452</v>
      </c>
      <c r="H166" s="71"/>
      <c r="I166" s="72"/>
    </row>
    <row r="167" spans="1:9" s="8" customFormat="1" ht="12" customHeight="1" x14ac:dyDescent="0.3">
      <c r="A167" s="130"/>
      <c r="B167" s="118" t="s">
        <v>22</v>
      </c>
      <c r="C167" s="19"/>
      <c r="D167" s="19"/>
      <c r="E167" s="84"/>
      <c r="F167" s="56"/>
      <c r="G167" s="57"/>
      <c r="H167" s="62"/>
      <c r="I167" s="63"/>
    </row>
    <row r="168" spans="1:9" s="8" customFormat="1" ht="12" customHeight="1" x14ac:dyDescent="0.3">
      <c r="A168" s="130"/>
      <c r="B168" s="125"/>
      <c r="C168" s="19" t="s">
        <v>419</v>
      </c>
      <c r="D168" s="19"/>
      <c r="E168" s="84"/>
      <c r="F168" s="56"/>
      <c r="G168" s="57"/>
      <c r="H168" s="62"/>
      <c r="I168" s="63"/>
    </row>
    <row r="169" spans="1:9" s="8" customFormat="1" ht="12" customHeight="1" x14ac:dyDescent="0.3">
      <c r="A169" s="130"/>
      <c r="B169" s="125"/>
      <c r="C169" s="19" t="s">
        <v>420</v>
      </c>
      <c r="D169" s="19"/>
      <c r="E169" s="84"/>
      <c r="F169" s="56"/>
      <c r="G169" s="57"/>
      <c r="H169" s="62"/>
      <c r="I169" s="63"/>
    </row>
    <row r="170" spans="1:9" s="8" customFormat="1" ht="12" customHeight="1" x14ac:dyDescent="0.3">
      <c r="A170" s="130"/>
      <c r="B170" s="125"/>
      <c r="C170" s="30" t="s">
        <v>421</v>
      </c>
      <c r="D170" s="10"/>
      <c r="E170" s="84"/>
      <c r="F170" s="56"/>
      <c r="G170" s="57"/>
      <c r="H170" s="62"/>
      <c r="I170" s="63"/>
    </row>
    <row r="171" spans="1:9" s="8" customFormat="1" ht="12" customHeight="1" x14ac:dyDescent="0.3">
      <c r="A171" s="130"/>
      <c r="B171" s="125"/>
      <c r="C171" s="19" t="s">
        <v>422</v>
      </c>
      <c r="D171" s="19"/>
      <c r="E171" s="84"/>
      <c r="F171" s="56"/>
      <c r="G171" s="57"/>
      <c r="H171" s="62"/>
      <c r="I171" s="63"/>
    </row>
    <row r="172" spans="1:9" s="8" customFormat="1" ht="12" customHeight="1" x14ac:dyDescent="0.3">
      <c r="A172" s="130"/>
      <c r="B172" s="125"/>
      <c r="C172" s="19" t="s">
        <v>423</v>
      </c>
      <c r="D172" s="19"/>
      <c r="E172" s="84"/>
      <c r="F172" s="56"/>
      <c r="G172" s="57"/>
      <c r="H172" s="62"/>
      <c r="I172" s="63"/>
    </row>
    <row r="173" spans="1:9" s="8" customFormat="1" ht="12" customHeight="1" x14ac:dyDescent="0.3">
      <c r="A173" s="130"/>
      <c r="B173" s="125"/>
      <c r="C173" s="19" t="s">
        <v>466</v>
      </c>
      <c r="D173" s="19"/>
      <c r="E173" s="84"/>
      <c r="F173" s="56"/>
      <c r="G173" s="57"/>
      <c r="H173" s="62"/>
      <c r="I173" s="63"/>
    </row>
    <row r="174" spans="1:9" s="8" customFormat="1" ht="12" customHeight="1" x14ac:dyDescent="0.3">
      <c r="A174" s="130"/>
      <c r="B174" s="125"/>
      <c r="C174" s="19"/>
      <c r="D174" s="19"/>
      <c r="E174" s="84"/>
      <c r="F174" s="56"/>
      <c r="G174" s="57"/>
      <c r="H174" s="62"/>
      <c r="I174" s="63"/>
    </row>
    <row r="175" spans="1:9" s="8" customFormat="1" ht="12" customHeight="1" x14ac:dyDescent="0.3">
      <c r="A175" s="130"/>
      <c r="B175" s="118" t="s">
        <v>25</v>
      </c>
      <c r="C175" s="19"/>
      <c r="D175" s="19"/>
      <c r="E175" s="84"/>
      <c r="F175" s="56"/>
      <c r="G175" s="57"/>
      <c r="H175" s="62"/>
      <c r="I175" s="63"/>
    </row>
    <row r="176" spans="1:9" s="8" customFormat="1" ht="12" customHeight="1" x14ac:dyDescent="0.3">
      <c r="A176" s="130"/>
      <c r="B176" s="132" t="s">
        <v>418</v>
      </c>
      <c r="C176" s="19"/>
      <c r="D176" s="19"/>
      <c r="E176" s="84"/>
      <c r="F176" s="56"/>
      <c r="G176" s="57"/>
      <c r="H176" s="62"/>
      <c r="I176" s="63"/>
    </row>
    <row r="177" spans="1:9" s="8" customFormat="1" ht="12" customHeight="1" x14ac:dyDescent="0.3">
      <c r="A177" s="130"/>
      <c r="B177" s="128"/>
      <c r="C177" s="19" t="s">
        <v>441</v>
      </c>
      <c r="D177" s="19"/>
      <c r="E177" s="84"/>
      <c r="F177" s="65">
        <v>13</v>
      </c>
      <c r="G177" s="57" t="s">
        <v>179</v>
      </c>
      <c r="H177" s="66"/>
      <c r="I177" s="67">
        <f t="shared" ref="I177:I181" si="7">H177*F177</f>
        <v>0</v>
      </c>
    </row>
    <row r="178" spans="1:9" s="8" customFormat="1" ht="12" customHeight="1" x14ac:dyDescent="0.3">
      <c r="A178" s="130"/>
      <c r="B178" s="128"/>
      <c r="C178" s="19" t="s">
        <v>399</v>
      </c>
      <c r="D178" s="19"/>
      <c r="E178" s="84"/>
      <c r="F178" s="65">
        <v>33</v>
      </c>
      <c r="G178" s="57" t="s">
        <v>179</v>
      </c>
      <c r="H178" s="66"/>
      <c r="I178" s="67">
        <f t="shared" si="7"/>
        <v>0</v>
      </c>
    </row>
    <row r="179" spans="1:9" s="8" customFormat="1" ht="12" customHeight="1" x14ac:dyDescent="0.3">
      <c r="A179" s="130"/>
      <c r="B179" s="128"/>
      <c r="C179" s="19" t="s">
        <v>309</v>
      </c>
      <c r="D179" s="19"/>
      <c r="E179" s="84"/>
      <c r="F179" s="65">
        <v>5</v>
      </c>
      <c r="G179" s="57" t="s">
        <v>179</v>
      </c>
      <c r="H179" s="66"/>
      <c r="I179" s="67">
        <f>H179*F179</f>
        <v>0</v>
      </c>
    </row>
    <row r="180" spans="1:9" s="8" customFormat="1" ht="12" customHeight="1" x14ac:dyDescent="0.3">
      <c r="A180" s="130"/>
      <c r="B180" s="128"/>
      <c r="C180" s="19" t="s">
        <v>307</v>
      </c>
      <c r="D180" s="19"/>
      <c r="E180" s="84"/>
      <c r="F180" s="65">
        <v>21</v>
      </c>
      <c r="G180" s="57" t="s">
        <v>179</v>
      </c>
      <c r="H180" s="66"/>
      <c r="I180" s="67">
        <f t="shared" si="7"/>
        <v>0</v>
      </c>
    </row>
    <row r="181" spans="1:9" s="8" customFormat="1" ht="12" customHeight="1" x14ac:dyDescent="0.3">
      <c r="A181" s="130"/>
      <c r="B181" s="128"/>
      <c r="C181" s="19" t="s">
        <v>308</v>
      </c>
      <c r="D181" s="19"/>
      <c r="E181" s="84"/>
      <c r="F181" s="65">
        <v>10</v>
      </c>
      <c r="G181" s="57" t="s">
        <v>179</v>
      </c>
      <c r="H181" s="66"/>
      <c r="I181" s="67">
        <f t="shared" si="7"/>
        <v>0</v>
      </c>
    </row>
    <row r="182" spans="1:9" s="8" customFormat="1" ht="12" customHeight="1" x14ac:dyDescent="0.3">
      <c r="A182" s="130"/>
      <c r="B182" s="128" t="s">
        <v>465</v>
      </c>
      <c r="C182" s="19"/>
      <c r="D182" s="19"/>
      <c r="E182" s="84"/>
      <c r="F182" s="65"/>
      <c r="G182" s="57"/>
      <c r="H182" s="66"/>
      <c r="I182" s="67"/>
    </row>
    <row r="183" spans="1:9" s="8" customFormat="1" ht="12" customHeight="1" x14ac:dyDescent="0.3">
      <c r="A183" s="130"/>
      <c r="B183" s="128"/>
      <c r="C183" s="19" t="s">
        <v>342</v>
      </c>
      <c r="D183" s="19"/>
      <c r="E183" s="86"/>
      <c r="F183" s="65">
        <v>5</v>
      </c>
      <c r="G183" s="78" t="s">
        <v>179</v>
      </c>
      <c r="H183" s="66"/>
      <c r="I183" s="67">
        <f>H183*F183</f>
        <v>0</v>
      </c>
    </row>
    <row r="184" spans="1:9" s="8" customFormat="1" ht="12" customHeight="1" x14ac:dyDescent="0.3">
      <c r="A184" s="130"/>
      <c r="B184" s="128"/>
      <c r="C184" s="19" t="s">
        <v>343</v>
      </c>
      <c r="D184" s="19"/>
      <c r="E184" s="86"/>
      <c r="F184" s="65">
        <v>4</v>
      </c>
      <c r="G184" s="78" t="s">
        <v>1</v>
      </c>
      <c r="H184" s="66"/>
      <c r="I184" s="67">
        <f>H184*F184</f>
        <v>0</v>
      </c>
    </row>
    <row r="185" spans="1:9" s="8" customFormat="1" ht="12" customHeight="1" x14ac:dyDescent="0.3">
      <c r="A185" s="130"/>
      <c r="B185" s="128"/>
      <c r="C185" s="19" t="s">
        <v>464</v>
      </c>
      <c r="D185" s="19"/>
      <c r="E185" s="86"/>
      <c r="F185" s="65">
        <v>13</v>
      </c>
      <c r="G185" s="78" t="s">
        <v>1</v>
      </c>
      <c r="H185" s="66"/>
      <c r="I185" s="67">
        <f>H185*F185</f>
        <v>0</v>
      </c>
    </row>
    <row r="186" spans="1:9" s="8" customFormat="1" ht="12" customHeight="1" x14ac:dyDescent="0.3">
      <c r="A186" s="130"/>
      <c r="B186" s="149" t="s">
        <v>407</v>
      </c>
      <c r="C186" s="19"/>
      <c r="D186" s="19"/>
      <c r="E186" s="86"/>
      <c r="F186" s="65"/>
      <c r="G186" s="78"/>
      <c r="H186" s="66"/>
      <c r="I186" s="67"/>
    </row>
    <row r="187" spans="1:9" s="8" customFormat="1" ht="12" customHeight="1" x14ac:dyDescent="0.3">
      <c r="A187" s="130"/>
      <c r="B187" s="128"/>
      <c r="C187" s="42" t="s">
        <v>528</v>
      </c>
      <c r="D187" s="34"/>
      <c r="E187" s="148"/>
      <c r="F187" s="65">
        <v>1</v>
      </c>
      <c r="G187" s="78" t="s">
        <v>21</v>
      </c>
      <c r="H187" s="66"/>
      <c r="I187" s="67">
        <f>H187*F187</f>
        <v>0</v>
      </c>
    </row>
    <row r="188" spans="1:9" s="8" customFormat="1" ht="12" customHeight="1" x14ac:dyDescent="0.3">
      <c r="A188" s="130"/>
      <c r="B188" s="128"/>
      <c r="C188" s="42" t="s">
        <v>530</v>
      </c>
      <c r="D188" s="34"/>
      <c r="E188" s="148"/>
      <c r="F188" s="65">
        <v>28</v>
      </c>
      <c r="G188" s="78" t="s">
        <v>406</v>
      </c>
      <c r="H188" s="66"/>
      <c r="I188" s="67">
        <f>H188*F188</f>
        <v>0</v>
      </c>
    </row>
    <row r="189" spans="1:9" s="8" customFormat="1" ht="12" customHeight="1" x14ac:dyDescent="0.3">
      <c r="A189" s="130"/>
      <c r="B189" s="128"/>
      <c r="C189" s="42" t="s">
        <v>529</v>
      </c>
      <c r="D189" s="34"/>
      <c r="E189" s="148"/>
      <c r="F189" s="65"/>
      <c r="G189" s="78"/>
      <c r="H189" s="66"/>
      <c r="I189" s="67"/>
    </row>
    <row r="190" spans="1:9" s="8" customFormat="1" ht="12" customHeight="1" x14ac:dyDescent="0.3">
      <c r="A190" s="130"/>
      <c r="B190" s="128"/>
      <c r="C190" s="42" t="s">
        <v>500</v>
      </c>
      <c r="D190" s="34"/>
      <c r="E190" s="148"/>
      <c r="F190" s="65"/>
      <c r="G190" s="78"/>
      <c r="H190" s="66"/>
      <c r="I190" s="67"/>
    </row>
    <row r="191" spans="1:9" s="8" customFormat="1" ht="12" customHeight="1" x14ac:dyDescent="0.3">
      <c r="A191" s="130"/>
      <c r="B191" s="128" t="s">
        <v>79</v>
      </c>
      <c r="C191" s="152" t="s">
        <v>409</v>
      </c>
      <c r="D191" s="34"/>
      <c r="E191" s="148"/>
      <c r="F191" s="65"/>
      <c r="G191" s="78"/>
      <c r="H191" s="66"/>
      <c r="I191" s="67"/>
    </row>
    <row r="192" spans="1:9" s="8" customFormat="1" ht="12" customHeight="1" x14ac:dyDescent="0.3">
      <c r="A192" s="130"/>
      <c r="B192" s="128" t="s">
        <v>467</v>
      </c>
      <c r="C192" s="42"/>
      <c r="D192" s="34"/>
      <c r="E192" s="148"/>
      <c r="F192" s="65"/>
      <c r="G192" s="78"/>
      <c r="H192" s="66"/>
      <c r="I192" s="67"/>
    </row>
    <row r="193" spans="1:9" s="8" customFormat="1" ht="12" customHeight="1" x14ac:dyDescent="0.3">
      <c r="A193" s="130"/>
      <c r="B193" s="128"/>
      <c r="C193" s="19" t="s">
        <v>98</v>
      </c>
      <c r="D193" s="19"/>
      <c r="E193" s="84"/>
      <c r="F193" s="75">
        <v>5</v>
      </c>
      <c r="G193" s="57" t="s">
        <v>7</v>
      </c>
      <c r="H193" s="66"/>
      <c r="I193" s="67">
        <f>H193*F193</f>
        <v>0</v>
      </c>
    </row>
    <row r="194" spans="1:9" s="8" customFormat="1" ht="12" customHeight="1" x14ac:dyDescent="0.3">
      <c r="A194" s="130"/>
      <c r="B194" s="128"/>
      <c r="C194" s="19" t="s">
        <v>8</v>
      </c>
      <c r="D194" s="19"/>
      <c r="E194" s="84"/>
      <c r="F194" s="75">
        <v>2</v>
      </c>
      <c r="G194" s="57" t="s">
        <v>7</v>
      </c>
      <c r="H194" s="66"/>
      <c r="I194" s="67">
        <f>H194*F194</f>
        <v>0</v>
      </c>
    </row>
    <row r="195" spans="1:9" s="8" customFormat="1" ht="12" customHeight="1" x14ac:dyDescent="0.3">
      <c r="A195" s="130"/>
      <c r="B195" s="128"/>
      <c r="C195" s="42" t="s">
        <v>105</v>
      </c>
      <c r="D195" s="34"/>
      <c r="E195" s="148"/>
      <c r="F195" s="65">
        <v>3</v>
      </c>
      <c r="G195" s="78" t="s">
        <v>1</v>
      </c>
      <c r="H195" s="66"/>
      <c r="I195" s="67">
        <f>H195*F195</f>
        <v>0</v>
      </c>
    </row>
    <row r="196" spans="1:9" s="8" customFormat="1" ht="12" customHeight="1" x14ac:dyDescent="0.3">
      <c r="A196" s="130"/>
      <c r="B196" s="128" t="s">
        <v>463</v>
      </c>
      <c r="C196" s="19"/>
      <c r="D196" s="19"/>
      <c r="E196" s="84"/>
      <c r="F196" s="65"/>
      <c r="G196" s="78"/>
      <c r="H196" s="66"/>
      <c r="I196" s="67"/>
    </row>
    <row r="197" spans="1:9" s="8" customFormat="1" ht="12" customHeight="1" x14ac:dyDescent="0.3">
      <c r="A197" s="130"/>
      <c r="B197" s="128"/>
      <c r="C197" s="19" t="s">
        <v>109</v>
      </c>
      <c r="D197" s="19"/>
      <c r="E197" s="84"/>
      <c r="F197" s="75">
        <v>0.5</v>
      </c>
      <c r="G197" s="57" t="s">
        <v>146</v>
      </c>
      <c r="H197" s="66"/>
      <c r="I197" s="67">
        <f>H197*F197</f>
        <v>0</v>
      </c>
    </row>
    <row r="198" spans="1:9" s="8" customFormat="1" ht="12" customHeight="1" x14ac:dyDescent="0.3">
      <c r="A198" s="130"/>
      <c r="B198" s="128"/>
      <c r="C198" s="19" t="s">
        <v>193</v>
      </c>
      <c r="D198" s="19"/>
      <c r="E198" s="84"/>
      <c r="F198" s="65">
        <v>1</v>
      </c>
      <c r="G198" s="57" t="s">
        <v>68</v>
      </c>
      <c r="H198" s="66"/>
      <c r="I198" s="67">
        <f>H198*F198</f>
        <v>0</v>
      </c>
    </row>
    <row r="199" spans="1:9" s="8" customFormat="1" ht="12" customHeight="1" x14ac:dyDescent="0.3">
      <c r="A199" s="130"/>
      <c r="B199" s="128"/>
      <c r="C199" s="19" t="s">
        <v>210</v>
      </c>
      <c r="D199" s="19"/>
      <c r="E199" s="84"/>
      <c r="F199" s="65">
        <v>1</v>
      </c>
      <c r="G199" s="57" t="s">
        <v>68</v>
      </c>
      <c r="H199" s="66"/>
      <c r="I199" s="67">
        <f>H199*F199</f>
        <v>0</v>
      </c>
    </row>
    <row r="200" spans="1:9" s="8" customFormat="1" ht="12" customHeight="1" x14ac:dyDescent="0.3">
      <c r="A200" s="130"/>
      <c r="B200" s="128"/>
      <c r="C200" s="19"/>
      <c r="D200" s="19"/>
      <c r="E200" s="84"/>
      <c r="F200" s="65"/>
      <c r="G200" s="57"/>
      <c r="H200" s="66"/>
      <c r="I200" s="67"/>
    </row>
    <row r="201" spans="1:9" s="8" customFormat="1" ht="12" customHeight="1" x14ac:dyDescent="0.3">
      <c r="A201" s="117"/>
      <c r="B201" s="121"/>
      <c r="C201" s="166"/>
      <c r="D201" s="166"/>
      <c r="E201" s="166"/>
      <c r="F201" s="166"/>
      <c r="G201" s="166"/>
      <c r="H201" s="166"/>
      <c r="I201" s="167"/>
    </row>
    <row r="202" spans="1:9" s="8" customFormat="1" ht="12" customHeight="1" x14ac:dyDescent="0.3">
      <c r="A202" s="117"/>
      <c r="B202" s="168" t="s">
        <v>511</v>
      </c>
      <c r="C202" s="169"/>
      <c r="D202" s="169"/>
      <c r="E202" s="170"/>
      <c r="F202" s="169"/>
      <c r="G202" s="169"/>
      <c r="H202" s="169"/>
      <c r="I202" s="171"/>
    </row>
    <row r="203" spans="1:9" s="8" customFormat="1" ht="12" customHeight="1" x14ac:dyDescent="0.3">
      <c r="A203" s="117"/>
      <c r="B203" s="168"/>
      <c r="C203" s="169" t="s">
        <v>512</v>
      </c>
      <c r="D203" s="169"/>
      <c r="E203" s="169"/>
      <c r="F203" s="169"/>
      <c r="G203" s="169"/>
      <c r="H203" s="169"/>
      <c r="I203" s="171"/>
    </row>
    <row r="204" spans="1:9" s="8" customFormat="1" ht="12" customHeight="1" x14ac:dyDescent="0.3">
      <c r="A204" s="117"/>
      <c r="B204" s="172"/>
      <c r="C204" s="173"/>
      <c r="D204" s="173"/>
      <c r="E204" s="173"/>
      <c r="F204" s="173"/>
      <c r="G204" s="173"/>
      <c r="H204" s="173"/>
      <c r="I204" s="174"/>
    </row>
    <row r="205" spans="1:9" s="8" customFormat="1" ht="12" customHeight="1" x14ac:dyDescent="0.3">
      <c r="A205" s="122" t="s">
        <v>82</v>
      </c>
      <c r="B205" s="123" t="s">
        <v>75</v>
      </c>
      <c r="C205" s="48"/>
      <c r="D205" s="48"/>
      <c r="E205" s="68"/>
      <c r="F205" s="69">
        <v>99</v>
      </c>
      <c r="G205" s="70" t="s">
        <v>228</v>
      </c>
      <c r="H205" s="71"/>
      <c r="I205" s="72"/>
    </row>
    <row r="206" spans="1:9" s="8" customFormat="1" ht="12" customHeight="1" x14ac:dyDescent="0.3">
      <c r="A206" s="130"/>
      <c r="B206" s="118" t="s">
        <v>22</v>
      </c>
      <c r="C206" s="19"/>
      <c r="D206" s="19"/>
      <c r="E206" s="84"/>
      <c r="F206" s="65"/>
      <c r="G206" s="57"/>
      <c r="H206" s="66"/>
      <c r="I206" s="67"/>
    </row>
    <row r="207" spans="1:9" s="8" customFormat="1" ht="12" customHeight="1" x14ac:dyDescent="0.3">
      <c r="A207" s="130"/>
      <c r="B207" s="128"/>
      <c r="C207" s="19" t="s">
        <v>411</v>
      </c>
      <c r="D207" s="19"/>
      <c r="E207" s="84"/>
      <c r="F207" s="65"/>
      <c r="G207" s="57"/>
      <c r="H207" s="66"/>
      <c r="I207" s="67"/>
    </row>
    <row r="208" spans="1:9" s="8" customFormat="1" ht="12" customHeight="1" x14ac:dyDescent="0.3">
      <c r="A208" s="130"/>
      <c r="B208" s="128"/>
      <c r="C208" s="19" t="s">
        <v>425</v>
      </c>
      <c r="D208" s="19"/>
      <c r="E208" s="84"/>
      <c r="F208" s="65"/>
      <c r="G208" s="57"/>
      <c r="H208" s="66"/>
      <c r="I208" s="67"/>
    </row>
    <row r="209" spans="1:9" s="8" customFormat="1" ht="12" customHeight="1" x14ac:dyDescent="0.3">
      <c r="A209" s="130"/>
      <c r="B209" s="128"/>
      <c r="C209" s="19" t="s">
        <v>424</v>
      </c>
      <c r="D209" s="19"/>
      <c r="E209" s="84"/>
      <c r="F209" s="65"/>
      <c r="G209" s="57"/>
      <c r="H209" s="66"/>
      <c r="I209" s="67"/>
    </row>
    <row r="210" spans="1:9" s="8" customFormat="1" ht="12" customHeight="1" x14ac:dyDescent="0.3">
      <c r="A210" s="130"/>
      <c r="B210" s="128"/>
      <c r="C210" s="19"/>
      <c r="D210" s="19"/>
      <c r="E210" s="84"/>
      <c r="F210" s="65"/>
      <c r="G210" s="57"/>
      <c r="H210" s="66"/>
      <c r="I210" s="67"/>
    </row>
    <row r="211" spans="1:9" s="8" customFormat="1" ht="12" customHeight="1" x14ac:dyDescent="0.3">
      <c r="A211" s="130"/>
      <c r="B211" s="118" t="s">
        <v>25</v>
      </c>
      <c r="C211" s="19"/>
      <c r="D211" s="19"/>
      <c r="E211" s="84"/>
      <c r="F211" s="65"/>
      <c r="G211" s="57"/>
      <c r="H211" s="66"/>
      <c r="I211" s="67"/>
    </row>
    <row r="212" spans="1:9" s="8" customFormat="1" ht="12" customHeight="1" x14ac:dyDescent="0.3">
      <c r="A212" s="130"/>
      <c r="B212" s="128"/>
      <c r="C212" s="19" t="s">
        <v>410</v>
      </c>
      <c r="D212" s="19"/>
      <c r="E212" s="84"/>
      <c r="F212" s="65">
        <v>99</v>
      </c>
      <c r="G212" s="57" t="s">
        <v>228</v>
      </c>
      <c r="H212" s="66"/>
      <c r="I212" s="67">
        <f>H212*F212</f>
        <v>0</v>
      </c>
    </row>
    <row r="213" spans="1:9" s="8" customFormat="1" ht="12" customHeight="1" x14ac:dyDescent="0.3">
      <c r="A213" s="130"/>
      <c r="B213" s="128"/>
      <c r="C213" s="19" t="s">
        <v>234</v>
      </c>
      <c r="D213" s="19"/>
      <c r="E213" s="84"/>
      <c r="F213" s="65">
        <v>3</v>
      </c>
      <c r="G213" s="57" t="s">
        <v>179</v>
      </c>
      <c r="H213" s="66"/>
      <c r="I213" s="67">
        <f>H213*F213</f>
        <v>0</v>
      </c>
    </row>
    <row r="214" spans="1:9" s="8" customFormat="1" ht="12" customHeight="1" x14ac:dyDescent="0.3">
      <c r="A214" s="130"/>
      <c r="B214" s="128"/>
      <c r="C214" s="19" t="s">
        <v>393</v>
      </c>
      <c r="D214" s="19"/>
      <c r="E214" s="84"/>
      <c r="F214" s="65">
        <v>26</v>
      </c>
      <c r="G214" s="57" t="s">
        <v>179</v>
      </c>
      <c r="H214" s="66"/>
      <c r="I214" s="67">
        <f>H214*F214</f>
        <v>0</v>
      </c>
    </row>
    <row r="215" spans="1:9" s="8" customFormat="1" ht="12" customHeight="1" x14ac:dyDescent="0.3">
      <c r="A215" s="130"/>
      <c r="B215" s="128"/>
      <c r="C215" s="19" t="s">
        <v>180</v>
      </c>
      <c r="D215" s="19"/>
      <c r="E215" s="84"/>
      <c r="F215" s="65">
        <v>531</v>
      </c>
      <c r="G215" s="57" t="s">
        <v>1</v>
      </c>
      <c r="H215" s="66"/>
      <c r="I215" s="67">
        <f t="shared" ref="I215" si="8">H215*F215</f>
        <v>0</v>
      </c>
    </row>
    <row r="216" spans="1:9" s="8" customFormat="1" ht="12" customHeight="1" x14ac:dyDescent="0.3">
      <c r="A216" s="130"/>
      <c r="B216" s="128"/>
      <c r="C216" s="19" t="s">
        <v>229</v>
      </c>
      <c r="D216" s="19"/>
      <c r="E216" s="84"/>
      <c r="F216" s="65">
        <v>832</v>
      </c>
      <c r="G216" s="57" t="s">
        <v>1</v>
      </c>
      <c r="H216" s="66"/>
      <c r="I216" s="67">
        <f>H216*F216</f>
        <v>0</v>
      </c>
    </row>
    <row r="217" spans="1:9" s="8" customFormat="1" ht="12" customHeight="1" x14ac:dyDescent="0.3">
      <c r="A217" s="130"/>
      <c r="B217" s="128"/>
      <c r="C217" s="19" t="s">
        <v>230</v>
      </c>
      <c r="D217" s="19"/>
      <c r="E217" s="84"/>
      <c r="F217" s="65">
        <v>2</v>
      </c>
      <c r="G217" s="57" t="s">
        <v>231</v>
      </c>
      <c r="H217" s="66"/>
      <c r="I217" s="67">
        <f>H217*F217</f>
        <v>0</v>
      </c>
    </row>
    <row r="218" spans="1:9" s="8" customFormat="1" ht="12" customHeight="1" x14ac:dyDescent="0.3">
      <c r="A218" s="130"/>
      <c r="B218" s="128"/>
      <c r="C218" s="19" t="s">
        <v>232</v>
      </c>
      <c r="D218" s="19"/>
      <c r="E218" s="84"/>
      <c r="F218" s="65">
        <v>2</v>
      </c>
      <c r="G218" s="57" t="s">
        <v>233</v>
      </c>
      <c r="H218" s="66"/>
      <c r="I218" s="67">
        <f>H218*F218</f>
        <v>0</v>
      </c>
    </row>
    <row r="219" spans="1:9" s="8" customFormat="1" ht="12" customHeight="1" x14ac:dyDescent="0.3">
      <c r="A219" s="130"/>
      <c r="B219" s="128"/>
      <c r="C219" s="19"/>
      <c r="D219" s="19"/>
      <c r="E219" s="84"/>
      <c r="F219" s="65"/>
      <c r="G219" s="57"/>
      <c r="H219" s="66"/>
      <c r="I219" s="67"/>
    </row>
    <row r="220" spans="1:9" s="8" customFormat="1" ht="12" customHeight="1" x14ac:dyDescent="0.3">
      <c r="A220" s="117"/>
      <c r="B220" s="121"/>
      <c r="C220" s="166"/>
      <c r="D220" s="166"/>
      <c r="E220" s="166"/>
      <c r="F220" s="166"/>
      <c r="G220" s="166"/>
      <c r="H220" s="166"/>
      <c r="I220" s="167"/>
    </row>
    <row r="221" spans="1:9" s="8" customFormat="1" ht="12" customHeight="1" x14ac:dyDescent="0.3">
      <c r="A221" s="117"/>
      <c r="B221" s="168" t="s">
        <v>511</v>
      </c>
      <c r="C221" s="169"/>
      <c r="D221" s="169"/>
      <c r="E221" s="170"/>
      <c r="F221" s="169"/>
      <c r="G221" s="169"/>
      <c r="H221" s="169"/>
      <c r="I221" s="171"/>
    </row>
    <row r="222" spans="1:9" s="8" customFormat="1" ht="12" customHeight="1" x14ac:dyDescent="0.3">
      <c r="A222" s="117"/>
      <c r="B222" s="168"/>
      <c r="C222" s="169" t="s">
        <v>512</v>
      </c>
      <c r="D222" s="169"/>
      <c r="E222" s="169"/>
      <c r="F222" s="169"/>
      <c r="G222" s="169"/>
      <c r="H222" s="169"/>
      <c r="I222" s="171"/>
    </row>
    <row r="223" spans="1:9" s="8" customFormat="1" ht="12" customHeight="1" x14ac:dyDescent="0.3">
      <c r="A223" s="117"/>
      <c r="B223" s="172"/>
      <c r="C223" s="173"/>
      <c r="D223" s="173"/>
      <c r="E223" s="173"/>
      <c r="F223" s="173"/>
      <c r="G223" s="173"/>
      <c r="H223" s="173"/>
      <c r="I223" s="174"/>
    </row>
    <row r="224" spans="1:9" s="8" customFormat="1" ht="12" customHeight="1" x14ac:dyDescent="0.3">
      <c r="A224" s="122" t="s">
        <v>88</v>
      </c>
      <c r="B224" s="123" t="s">
        <v>30</v>
      </c>
      <c r="C224" s="48"/>
      <c r="D224" s="48"/>
      <c r="E224" s="68"/>
      <c r="F224" s="69">
        <v>77.33</v>
      </c>
      <c r="G224" s="70" t="s">
        <v>76</v>
      </c>
      <c r="H224" s="71"/>
      <c r="I224" s="72"/>
    </row>
    <row r="225" spans="1:9" s="8" customFormat="1" ht="12" customHeight="1" x14ac:dyDescent="0.3">
      <c r="A225" s="130"/>
      <c r="B225" s="118" t="s">
        <v>22</v>
      </c>
      <c r="C225" s="19"/>
      <c r="D225" s="19"/>
      <c r="E225" s="64"/>
      <c r="F225" s="56"/>
      <c r="G225" s="114"/>
      <c r="H225" s="95"/>
      <c r="I225" s="67"/>
    </row>
    <row r="226" spans="1:9" s="8" customFormat="1" ht="12" customHeight="1" x14ac:dyDescent="0.3">
      <c r="A226" s="130"/>
      <c r="B226" s="125"/>
      <c r="C226" s="18" t="s">
        <v>453</v>
      </c>
      <c r="D226" s="18"/>
      <c r="E226" s="64"/>
      <c r="F226" s="56"/>
      <c r="G226" s="114"/>
      <c r="H226" s="95"/>
      <c r="I226" s="67"/>
    </row>
    <row r="227" spans="1:9" s="8" customFormat="1" ht="12" customHeight="1" x14ac:dyDescent="0.3">
      <c r="A227" s="130"/>
      <c r="B227" s="125"/>
      <c r="C227" s="18" t="s">
        <v>403</v>
      </c>
      <c r="D227" s="18"/>
      <c r="E227" s="64"/>
      <c r="F227" s="56"/>
      <c r="G227" s="114"/>
      <c r="H227" s="95"/>
      <c r="I227" s="67"/>
    </row>
    <row r="228" spans="1:9" s="8" customFormat="1" ht="12" customHeight="1" x14ac:dyDescent="0.3">
      <c r="A228" s="130"/>
      <c r="B228" s="125"/>
      <c r="C228" s="42" t="s">
        <v>319</v>
      </c>
      <c r="D228" s="10"/>
      <c r="E228" s="64"/>
      <c r="F228" s="56"/>
      <c r="G228" s="114"/>
      <c r="H228" s="95"/>
      <c r="I228" s="67"/>
    </row>
    <row r="229" spans="1:9" s="8" customFormat="1" ht="12" customHeight="1" x14ac:dyDescent="0.3">
      <c r="A229" s="130"/>
      <c r="B229" s="125"/>
      <c r="C229" s="18" t="s">
        <v>459</v>
      </c>
      <c r="D229" s="18"/>
      <c r="E229" s="64"/>
      <c r="F229" s="56"/>
      <c r="G229" s="114"/>
      <c r="H229" s="95"/>
      <c r="I229" s="67"/>
    </row>
    <row r="230" spans="1:9" s="8" customFormat="1" ht="12" customHeight="1" x14ac:dyDescent="0.3">
      <c r="A230" s="130"/>
      <c r="B230" s="125"/>
      <c r="C230" s="42" t="s">
        <v>402</v>
      </c>
      <c r="D230" s="10"/>
      <c r="E230" s="64"/>
      <c r="F230" s="56"/>
      <c r="G230" s="114"/>
      <c r="H230" s="95"/>
      <c r="I230" s="67"/>
    </row>
    <row r="231" spans="1:9" s="8" customFormat="1" ht="12" customHeight="1" x14ac:dyDescent="0.3">
      <c r="A231" s="130"/>
      <c r="B231" s="125"/>
      <c r="C231" s="10"/>
      <c r="D231" s="10"/>
      <c r="E231" s="64"/>
      <c r="F231" s="56"/>
      <c r="G231" s="114"/>
      <c r="H231" s="95"/>
      <c r="I231" s="67"/>
    </row>
    <row r="232" spans="1:9" s="8" customFormat="1" ht="12" customHeight="1" x14ac:dyDescent="0.3">
      <c r="A232" s="130"/>
      <c r="B232" s="118" t="s">
        <v>25</v>
      </c>
      <c r="C232" s="19"/>
      <c r="D232" s="19"/>
      <c r="E232" s="64"/>
      <c r="F232" s="56"/>
      <c r="G232" s="114"/>
      <c r="H232" s="95"/>
      <c r="I232" s="67"/>
    </row>
    <row r="233" spans="1:9" s="8" customFormat="1" ht="12" customHeight="1" x14ac:dyDescent="0.3">
      <c r="A233" s="130"/>
      <c r="B233" s="128" t="s">
        <v>442</v>
      </c>
      <c r="C233" s="19"/>
      <c r="D233" s="19"/>
      <c r="E233" s="64"/>
      <c r="F233" s="56"/>
      <c r="G233" s="114"/>
      <c r="H233" s="95"/>
      <c r="I233" s="67"/>
    </row>
    <row r="234" spans="1:9" s="8" customFormat="1" ht="12" customHeight="1" x14ac:dyDescent="0.3">
      <c r="A234" s="130"/>
      <c r="B234" s="128" t="s">
        <v>79</v>
      </c>
      <c r="C234" s="29" t="s">
        <v>460</v>
      </c>
      <c r="D234" s="29"/>
      <c r="E234" s="64"/>
      <c r="F234" s="56"/>
      <c r="G234" s="114"/>
      <c r="H234" s="95"/>
      <c r="I234" s="67"/>
    </row>
    <row r="235" spans="1:9" s="8" customFormat="1" ht="12" customHeight="1" x14ac:dyDescent="0.3">
      <c r="A235" s="130"/>
      <c r="B235" s="128"/>
      <c r="C235" s="29" t="s">
        <v>320</v>
      </c>
      <c r="D235" s="29"/>
      <c r="E235" s="64"/>
      <c r="F235" s="56"/>
      <c r="G235" s="114"/>
      <c r="H235" s="95"/>
      <c r="I235" s="67"/>
    </row>
    <row r="236" spans="1:9" s="8" customFormat="1" ht="12" customHeight="1" x14ac:dyDescent="0.3">
      <c r="A236" s="130"/>
      <c r="B236" s="128"/>
      <c r="C236" s="29" t="s">
        <v>445</v>
      </c>
      <c r="D236" s="29"/>
      <c r="E236" s="64"/>
      <c r="F236" s="56"/>
      <c r="G236" s="114"/>
      <c r="H236" s="95"/>
      <c r="I236" s="67"/>
    </row>
    <row r="237" spans="1:9" s="8" customFormat="1" ht="12" customHeight="1" x14ac:dyDescent="0.3">
      <c r="A237" s="130"/>
      <c r="B237" s="125"/>
      <c r="C237" s="18" t="s">
        <v>297</v>
      </c>
      <c r="D237" s="18"/>
      <c r="E237" s="64"/>
      <c r="F237" s="65">
        <v>90</v>
      </c>
      <c r="G237" s="114" t="s">
        <v>1</v>
      </c>
      <c r="H237" s="95"/>
      <c r="I237" s="67">
        <f t="shared" ref="I237:I258" si="9">H237*F237</f>
        <v>0</v>
      </c>
    </row>
    <row r="238" spans="1:9" s="8" customFormat="1" ht="12" customHeight="1" x14ac:dyDescent="0.3">
      <c r="A238" s="130"/>
      <c r="B238" s="125"/>
      <c r="C238" s="18" t="s">
        <v>454</v>
      </c>
      <c r="D238" s="18"/>
      <c r="E238" s="64"/>
      <c r="F238" s="65">
        <v>204</v>
      </c>
      <c r="G238" s="114" t="s">
        <v>1</v>
      </c>
      <c r="H238" s="95"/>
      <c r="I238" s="67">
        <f t="shared" si="9"/>
        <v>0</v>
      </c>
    </row>
    <row r="239" spans="1:9" s="8" customFormat="1" ht="12" customHeight="1" x14ac:dyDescent="0.3">
      <c r="A239" s="130"/>
      <c r="B239" s="125"/>
      <c r="C239" s="18" t="s">
        <v>3</v>
      </c>
      <c r="D239" s="18"/>
      <c r="E239" s="64"/>
      <c r="F239" s="65">
        <v>3</v>
      </c>
      <c r="G239" s="114" t="s">
        <v>2</v>
      </c>
      <c r="H239" s="66"/>
      <c r="I239" s="67">
        <f t="shared" si="9"/>
        <v>0</v>
      </c>
    </row>
    <row r="240" spans="1:9" s="8" customFormat="1" ht="12" customHeight="1" x14ac:dyDescent="0.3">
      <c r="A240" s="130"/>
      <c r="B240" s="125"/>
      <c r="C240" s="18" t="s">
        <v>65</v>
      </c>
      <c r="D240" s="18"/>
      <c r="E240" s="64"/>
      <c r="F240" s="56">
        <v>0.3</v>
      </c>
      <c r="G240" s="114" t="s">
        <v>4</v>
      </c>
      <c r="H240" s="66"/>
      <c r="I240" s="67">
        <f t="shared" si="9"/>
        <v>0</v>
      </c>
    </row>
    <row r="241" spans="1:9" s="8" customFormat="1" ht="12" customHeight="1" x14ac:dyDescent="0.3">
      <c r="A241" s="130"/>
      <c r="B241" s="125"/>
      <c r="C241" s="18" t="s">
        <v>158</v>
      </c>
      <c r="D241" s="18"/>
      <c r="E241" s="64"/>
      <c r="F241" s="65">
        <v>1</v>
      </c>
      <c r="G241" s="114" t="s">
        <v>446</v>
      </c>
      <c r="H241" s="66"/>
      <c r="I241" s="67">
        <f t="shared" si="9"/>
        <v>0</v>
      </c>
    </row>
    <row r="242" spans="1:9" s="8" customFormat="1" ht="12" customHeight="1" x14ac:dyDescent="0.3">
      <c r="A242" s="130"/>
      <c r="B242" s="125"/>
      <c r="C242" s="18" t="s">
        <v>240</v>
      </c>
      <c r="D242" s="18"/>
      <c r="E242" s="64"/>
      <c r="F242" s="65">
        <v>3</v>
      </c>
      <c r="G242" s="114" t="s">
        <v>226</v>
      </c>
      <c r="H242" s="66"/>
      <c r="I242" s="67">
        <f t="shared" si="9"/>
        <v>0</v>
      </c>
    </row>
    <row r="243" spans="1:9" s="8" customFormat="1" ht="12" customHeight="1" x14ac:dyDescent="0.3">
      <c r="A243" s="130"/>
      <c r="B243" s="128" t="s">
        <v>443</v>
      </c>
      <c r="C243" s="18"/>
      <c r="D243" s="18"/>
      <c r="E243" s="64"/>
      <c r="F243" s="65"/>
      <c r="G243" s="114"/>
      <c r="H243" s="95"/>
      <c r="I243" s="67"/>
    </row>
    <row r="244" spans="1:9" s="8" customFormat="1" ht="12" customHeight="1" x14ac:dyDescent="0.3">
      <c r="A244" s="130"/>
      <c r="B244" s="128" t="s">
        <v>79</v>
      </c>
      <c r="C244" s="150" t="s">
        <v>444</v>
      </c>
      <c r="D244" s="18"/>
      <c r="E244" s="64"/>
      <c r="F244" s="65"/>
      <c r="G244" s="114"/>
      <c r="H244" s="95"/>
      <c r="I244" s="67"/>
    </row>
    <row r="245" spans="1:9" s="8" customFormat="1" ht="12" customHeight="1" x14ac:dyDescent="0.3">
      <c r="A245" s="130"/>
      <c r="B245" s="125"/>
      <c r="C245" s="18" t="s">
        <v>311</v>
      </c>
      <c r="D245" s="18"/>
      <c r="E245" s="64"/>
      <c r="F245" s="65">
        <v>14</v>
      </c>
      <c r="G245" s="114" t="s">
        <v>1</v>
      </c>
      <c r="H245" s="66"/>
      <c r="I245" s="67">
        <f t="shared" si="9"/>
        <v>0</v>
      </c>
    </row>
    <row r="246" spans="1:9" s="8" customFormat="1" ht="12" customHeight="1" x14ac:dyDescent="0.3">
      <c r="A246" s="130"/>
      <c r="B246" s="125"/>
      <c r="C246" s="18" t="s">
        <v>3</v>
      </c>
      <c r="D246" s="18"/>
      <c r="E246" s="64"/>
      <c r="F246" s="65">
        <v>2</v>
      </c>
      <c r="G246" s="114" t="s">
        <v>2</v>
      </c>
      <c r="H246" s="66"/>
      <c r="I246" s="67">
        <f t="shared" si="9"/>
        <v>0</v>
      </c>
    </row>
    <row r="247" spans="1:9" s="8" customFormat="1" ht="12" customHeight="1" x14ac:dyDescent="0.3">
      <c r="A247" s="130"/>
      <c r="B247" s="125"/>
      <c r="C247" s="18" t="s">
        <v>65</v>
      </c>
      <c r="D247" s="18"/>
      <c r="E247" s="64"/>
      <c r="F247" s="56">
        <v>0.2</v>
      </c>
      <c r="G247" s="114" t="s">
        <v>4</v>
      </c>
      <c r="H247" s="66"/>
      <c r="I247" s="67">
        <f t="shared" si="9"/>
        <v>0</v>
      </c>
    </row>
    <row r="248" spans="1:9" s="8" customFormat="1" ht="12" customHeight="1" x14ac:dyDescent="0.3">
      <c r="A248" s="130"/>
      <c r="B248" s="125"/>
      <c r="C248" s="18" t="s">
        <v>158</v>
      </c>
      <c r="D248" s="18"/>
      <c r="E248" s="64"/>
      <c r="F248" s="65">
        <v>1</v>
      </c>
      <c r="G248" s="114" t="s">
        <v>5</v>
      </c>
      <c r="H248" s="66"/>
      <c r="I248" s="67">
        <f t="shared" si="9"/>
        <v>0</v>
      </c>
    </row>
    <row r="249" spans="1:9" s="8" customFormat="1" ht="12" customHeight="1" x14ac:dyDescent="0.3">
      <c r="A249" s="130"/>
      <c r="B249" s="125"/>
      <c r="C249" s="18" t="s">
        <v>159</v>
      </c>
      <c r="D249" s="18"/>
      <c r="E249" s="64"/>
      <c r="F249" s="65">
        <v>1</v>
      </c>
      <c r="G249" s="114" t="s">
        <v>219</v>
      </c>
      <c r="H249" s="66"/>
      <c r="I249" s="67">
        <f t="shared" si="9"/>
        <v>0</v>
      </c>
    </row>
    <row r="250" spans="1:9" s="8" customFormat="1" ht="12" customHeight="1" x14ac:dyDescent="0.3">
      <c r="A250" s="130"/>
      <c r="B250" s="125"/>
      <c r="C250" s="18" t="s">
        <v>240</v>
      </c>
      <c r="D250" s="18"/>
      <c r="E250" s="64"/>
      <c r="F250" s="65">
        <v>5</v>
      </c>
      <c r="G250" s="114" t="s">
        <v>226</v>
      </c>
      <c r="H250" s="66"/>
      <c r="I250" s="67">
        <f t="shared" si="9"/>
        <v>0</v>
      </c>
    </row>
    <row r="251" spans="1:9" s="8" customFormat="1" ht="12" customHeight="1" x14ac:dyDescent="0.3">
      <c r="A251" s="130"/>
      <c r="B251" s="128" t="s">
        <v>458</v>
      </c>
      <c r="C251" s="18"/>
      <c r="D251" s="18"/>
      <c r="E251" s="64"/>
      <c r="F251" s="65"/>
      <c r="G251" s="114"/>
      <c r="H251" s="95"/>
      <c r="I251" s="67"/>
    </row>
    <row r="252" spans="1:9" s="8" customFormat="1" ht="12" customHeight="1" x14ac:dyDescent="0.3">
      <c r="A252" s="130"/>
      <c r="B252" s="125"/>
      <c r="C252" s="18" t="s">
        <v>225</v>
      </c>
      <c r="D252" s="18"/>
      <c r="E252" s="64"/>
      <c r="F252" s="65">
        <v>140</v>
      </c>
      <c r="G252" s="114" t="s">
        <v>1</v>
      </c>
      <c r="H252" s="66"/>
      <c r="I252" s="67">
        <f t="shared" si="9"/>
        <v>0</v>
      </c>
    </row>
    <row r="253" spans="1:9" s="8" customFormat="1" ht="12" customHeight="1" x14ac:dyDescent="0.3">
      <c r="A253" s="130"/>
      <c r="B253" s="125"/>
      <c r="C253" s="18" t="s">
        <v>312</v>
      </c>
      <c r="D253" s="18"/>
      <c r="E253" s="64"/>
      <c r="F253" s="65">
        <v>18</v>
      </c>
      <c r="G253" s="114" t="s">
        <v>1</v>
      </c>
      <c r="H253" s="66"/>
      <c r="I253" s="67">
        <f t="shared" si="9"/>
        <v>0</v>
      </c>
    </row>
    <row r="254" spans="1:9" s="8" customFormat="1" ht="12" customHeight="1" x14ac:dyDescent="0.3">
      <c r="A254" s="130"/>
      <c r="B254" s="125"/>
      <c r="C254" s="18" t="s">
        <v>3</v>
      </c>
      <c r="D254" s="18"/>
      <c r="E254" s="64"/>
      <c r="F254" s="65">
        <v>28</v>
      </c>
      <c r="G254" s="114" t="s">
        <v>2</v>
      </c>
      <c r="H254" s="66"/>
      <c r="I254" s="67">
        <f t="shared" si="9"/>
        <v>0</v>
      </c>
    </row>
    <row r="255" spans="1:9" s="8" customFormat="1" ht="12" customHeight="1" x14ac:dyDescent="0.3">
      <c r="A255" s="130"/>
      <c r="B255" s="125"/>
      <c r="C255" s="18" t="s">
        <v>65</v>
      </c>
      <c r="D255" s="18"/>
      <c r="E255" s="64"/>
      <c r="F255" s="75">
        <v>2.5</v>
      </c>
      <c r="G255" s="114" t="s">
        <v>4</v>
      </c>
      <c r="H255" s="66"/>
      <c r="I255" s="67">
        <f t="shared" si="9"/>
        <v>0</v>
      </c>
    </row>
    <row r="256" spans="1:9" s="8" customFormat="1" ht="12" customHeight="1" x14ac:dyDescent="0.3">
      <c r="A256" s="130"/>
      <c r="B256" s="125"/>
      <c r="C256" s="18" t="s">
        <v>158</v>
      </c>
      <c r="D256" s="18"/>
      <c r="E256" s="64"/>
      <c r="F256" s="65">
        <v>7</v>
      </c>
      <c r="G256" s="114" t="s">
        <v>5</v>
      </c>
      <c r="H256" s="66"/>
      <c r="I256" s="67">
        <f t="shared" si="9"/>
        <v>0</v>
      </c>
    </row>
    <row r="257" spans="1:9" s="8" customFormat="1" ht="12" customHeight="1" x14ac:dyDescent="0.3">
      <c r="A257" s="130"/>
      <c r="B257" s="125"/>
      <c r="C257" s="18" t="s">
        <v>159</v>
      </c>
      <c r="D257" s="18"/>
      <c r="E257" s="64"/>
      <c r="F257" s="65">
        <v>10</v>
      </c>
      <c r="G257" s="114" t="s">
        <v>2</v>
      </c>
      <c r="H257" s="66"/>
      <c r="I257" s="67">
        <f t="shared" si="9"/>
        <v>0</v>
      </c>
    </row>
    <row r="258" spans="1:9" s="8" customFormat="1" ht="12" customHeight="1" x14ac:dyDescent="0.3">
      <c r="A258" s="130"/>
      <c r="B258" s="125"/>
      <c r="C258" s="18" t="s">
        <v>455</v>
      </c>
      <c r="D258" s="18"/>
      <c r="E258" s="64"/>
      <c r="F258" s="65">
        <v>2</v>
      </c>
      <c r="G258" s="114" t="s">
        <v>179</v>
      </c>
      <c r="H258" s="66"/>
      <c r="I258" s="67">
        <f t="shared" si="9"/>
        <v>0</v>
      </c>
    </row>
    <row r="259" spans="1:9" s="8" customFormat="1" ht="12" customHeight="1" x14ac:dyDescent="0.3">
      <c r="A259" s="130"/>
      <c r="B259" s="125"/>
      <c r="C259" s="18"/>
      <c r="D259" s="18"/>
      <c r="E259" s="64"/>
      <c r="F259" s="65"/>
      <c r="G259" s="114"/>
      <c r="H259" s="95"/>
      <c r="I259" s="67"/>
    </row>
    <row r="260" spans="1:9" s="8" customFormat="1" ht="12" customHeight="1" x14ac:dyDescent="0.3">
      <c r="A260" s="117"/>
      <c r="B260" s="121"/>
      <c r="C260" s="166"/>
      <c r="D260" s="166"/>
      <c r="E260" s="166"/>
      <c r="F260" s="166"/>
      <c r="G260" s="166"/>
      <c r="H260" s="166"/>
      <c r="I260" s="167"/>
    </row>
    <row r="261" spans="1:9" s="8" customFormat="1" ht="12" customHeight="1" x14ac:dyDescent="0.3">
      <c r="A261" s="117"/>
      <c r="B261" s="168" t="s">
        <v>511</v>
      </c>
      <c r="C261" s="169"/>
      <c r="D261" s="169"/>
      <c r="E261" s="170"/>
      <c r="F261" s="169"/>
      <c r="G261" s="169"/>
      <c r="H261" s="169"/>
      <c r="I261" s="171"/>
    </row>
    <row r="262" spans="1:9" s="8" customFormat="1" ht="12" customHeight="1" x14ac:dyDescent="0.3">
      <c r="A262" s="117"/>
      <c r="B262" s="168"/>
      <c r="C262" s="169" t="s">
        <v>512</v>
      </c>
      <c r="D262" s="169"/>
      <c r="E262" s="169"/>
      <c r="F262" s="169"/>
      <c r="G262" s="169"/>
      <c r="H262" s="169"/>
      <c r="I262" s="171"/>
    </row>
    <row r="263" spans="1:9" s="8" customFormat="1" ht="12" customHeight="1" x14ac:dyDescent="0.3">
      <c r="A263" s="117"/>
      <c r="B263" s="172"/>
      <c r="C263" s="173"/>
      <c r="D263" s="173"/>
      <c r="E263" s="173"/>
      <c r="F263" s="173"/>
      <c r="G263" s="173"/>
      <c r="H263" s="173"/>
      <c r="I263" s="174"/>
    </row>
    <row r="264" spans="1:9" s="8" customFormat="1" ht="12" customHeight="1" x14ac:dyDescent="0.3">
      <c r="A264" s="122" t="s">
        <v>95</v>
      </c>
      <c r="B264" s="123" t="s">
        <v>141</v>
      </c>
      <c r="C264" s="48"/>
      <c r="D264" s="48"/>
      <c r="E264" s="68"/>
      <c r="F264" s="145">
        <v>10.26</v>
      </c>
      <c r="G264" s="73" t="s">
        <v>4</v>
      </c>
      <c r="H264" s="146"/>
      <c r="I264" s="144"/>
    </row>
    <row r="265" spans="1:9" s="8" customFormat="1" ht="12" customHeight="1" x14ac:dyDescent="0.3">
      <c r="A265" s="117"/>
      <c r="B265" s="134" t="s">
        <v>22</v>
      </c>
      <c r="C265" s="11"/>
      <c r="D265" s="11"/>
      <c r="E265" s="90"/>
      <c r="F265" s="87"/>
      <c r="G265" s="57"/>
      <c r="H265" s="91"/>
      <c r="I265" s="92"/>
    </row>
    <row r="266" spans="1:9" s="8" customFormat="1" ht="12" customHeight="1" x14ac:dyDescent="0.3">
      <c r="A266" s="117"/>
      <c r="B266" s="119" t="s">
        <v>471</v>
      </c>
      <c r="C266" s="18"/>
      <c r="D266" s="18"/>
      <c r="E266" s="55"/>
      <c r="F266" s="87"/>
      <c r="G266" s="57"/>
      <c r="H266" s="91"/>
      <c r="I266" s="92"/>
    </row>
    <row r="267" spans="1:9" s="8" customFormat="1" ht="12" customHeight="1" x14ac:dyDescent="0.3">
      <c r="A267" s="117"/>
      <c r="B267" s="119" t="s">
        <v>142</v>
      </c>
      <c r="C267" s="18"/>
      <c r="D267" s="18"/>
      <c r="E267" s="55"/>
      <c r="F267" s="87"/>
      <c r="G267" s="57"/>
      <c r="H267" s="91"/>
      <c r="I267" s="92"/>
    </row>
    <row r="268" spans="1:9" s="8" customFormat="1" ht="12" customHeight="1" x14ac:dyDescent="0.3">
      <c r="A268" s="117"/>
      <c r="B268" s="119" t="s">
        <v>143</v>
      </c>
      <c r="C268" s="18"/>
      <c r="D268" s="18"/>
      <c r="E268" s="55"/>
      <c r="F268" s="87"/>
      <c r="G268" s="57"/>
      <c r="H268" s="91"/>
      <c r="I268" s="92"/>
    </row>
    <row r="269" spans="1:9" s="8" customFormat="1" ht="12" customHeight="1" x14ac:dyDescent="0.3">
      <c r="A269" s="117"/>
      <c r="B269" s="119" t="s">
        <v>400</v>
      </c>
      <c r="C269" s="18"/>
      <c r="D269" s="18"/>
      <c r="E269" s="55"/>
      <c r="F269" s="87"/>
      <c r="G269" s="57"/>
      <c r="H269" s="91"/>
      <c r="I269" s="92"/>
    </row>
    <row r="270" spans="1:9" s="8" customFormat="1" ht="12" customHeight="1" x14ac:dyDescent="0.3">
      <c r="A270" s="133"/>
      <c r="B270" s="128" t="s">
        <v>79</v>
      </c>
      <c r="C270" s="150" t="s">
        <v>426</v>
      </c>
      <c r="D270" s="18"/>
      <c r="E270" s="55"/>
      <c r="F270" s="87"/>
      <c r="G270" s="88"/>
      <c r="H270" s="88"/>
      <c r="I270" s="89"/>
    </row>
    <row r="271" spans="1:9" s="8" customFormat="1" ht="12" customHeight="1" x14ac:dyDescent="0.3">
      <c r="A271" s="117"/>
      <c r="B271" s="125"/>
      <c r="C271" s="150" t="s">
        <v>427</v>
      </c>
      <c r="D271" s="18"/>
      <c r="E271" s="55"/>
      <c r="F271" s="87"/>
      <c r="G271" s="88"/>
      <c r="H271" s="88"/>
      <c r="I271" s="89"/>
    </row>
    <row r="272" spans="1:9" s="8" customFormat="1" ht="12" customHeight="1" x14ac:dyDescent="0.3">
      <c r="A272" s="117"/>
      <c r="B272" s="125"/>
      <c r="C272" s="150" t="s">
        <v>428</v>
      </c>
      <c r="D272" s="18"/>
      <c r="E272" s="55"/>
      <c r="F272" s="87"/>
      <c r="G272" s="88"/>
      <c r="H272" s="88"/>
      <c r="I272" s="89"/>
    </row>
    <row r="273" spans="1:9" s="8" customFormat="1" ht="12" customHeight="1" x14ac:dyDescent="0.3">
      <c r="A273" s="117"/>
      <c r="B273" s="125"/>
      <c r="C273" s="150" t="s">
        <v>429</v>
      </c>
      <c r="D273" s="18"/>
      <c r="E273" s="55"/>
      <c r="F273" s="87"/>
      <c r="G273" s="88"/>
      <c r="H273" s="88"/>
      <c r="I273" s="89"/>
    </row>
    <row r="274" spans="1:9" s="8" customFormat="1" ht="12" customHeight="1" x14ac:dyDescent="0.3">
      <c r="A274" s="117"/>
      <c r="B274" s="125"/>
      <c r="C274" s="150"/>
      <c r="D274" s="18"/>
      <c r="E274" s="55"/>
      <c r="F274" s="87"/>
      <c r="G274" s="88"/>
      <c r="H274" s="88"/>
      <c r="I274" s="89"/>
    </row>
    <row r="275" spans="1:9" s="8" customFormat="1" ht="12" customHeight="1" x14ac:dyDescent="0.3">
      <c r="A275" s="117"/>
      <c r="B275" s="134" t="s">
        <v>25</v>
      </c>
      <c r="C275" s="18"/>
      <c r="D275" s="18"/>
      <c r="E275" s="55"/>
      <c r="F275" s="87"/>
      <c r="G275" s="57"/>
      <c r="H275" s="91"/>
      <c r="I275" s="92"/>
    </row>
    <row r="276" spans="1:9" s="8" customFormat="1" ht="12" customHeight="1" x14ac:dyDescent="0.3">
      <c r="A276" s="117"/>
      <c r="B276" s="119"/>
      <c r="C276" s="19" t="s">
        <v>3</v>
      </c>
      <c r="D276" s="19"/>
      <c r="E276" s="74"/>
      <c r="F276" s="87">
        <v>42</v>
      </c>
      <c r="G276" s="57" t="s">
        <v>2</v>
      </c>
      <c r="H276" s="66"/>
      <c r="I276" s="92">
        <f t="shared" ref="I276:I284" si="10">H276*F276</f>
        <v>0</v>
      </c>
    </row>
    <row r="277" spans="1:9" s="8" customFormat="1" ht="12" customHeight="1" x14ac:dyDescent="0.3">
      <c r="A277" s="117"/>
      <c r="B277" s="119"/>
      <c r="C277" s="18" t="s">
        <v>73</v>
      </c>
      <c r="D277" s="18"/>
      <c r="E277" s="74"/>
      <c r="F277" s="93">
        <v>3</v>
      </c>
      <c r="G277" s="57" t="s">
        <v>4</v>
      </c>
      <c r="H277" s="66"/>
      <c r="I277" s="92">
        <f t="shared" si="10"/>
        <v>0</v>
      </c>
    </row>
    <row r="278" spans="1:9" s="8" customFormat="1" ht="12" customHeight="1" x14ac:dyDescent="0.3">
      <c r="A278" s="117"/>
      <c r="B278" s="119"/>
      <c r="C278" s="18" t="s">
        <v>67</v>
      </c>
      <c r="D278" s="18"/>
      <c r="E278" s="74"/>
      <c r="F278" s="93">
        <v>2.5</v>
      </c>
      <c r="G278" s="57" t="s">
        <v>4</v>
      </c>
      <c r="H278" s="66"/>
      <c r="I278" s="92">
        <f t="shared" si="10"/>
        <v>0</v>
      </c>
    </row>
    <row r="279" spans="1:9" s="8" customFormat="1" ht="12" customHeight="1" x14ac:dyDescent="0.3">
      <c r="A279" s="117"/>
      <c r="B279" s="119"/>
      <c r="C279" s="18" t="s">
        <v>70</v>
      </c>
      <c r="D279" s="18"/>
      <c r="E279" s="74"/>
      <c r="F279" s="93">
        <v>4.5</v>
      </c>
      <c r="G279" s="57" t="s">
        <v>0</v>
      </c>
      <c r="H279" s="66"/>
      <c r="I279" s="92">
        <f t="shared" si="10"/>
        <v>0</v>
      </c>
    </row>
    <row r="280" spans="1:9" s="8" customFormat="1" ht="12" customHeight="1" x14ac:dyDescent="0.3">
      <c r="A280" s="117"/>
      <c r="B280" s="119"/>
      <c r="C280" s="18" t="s">
        <v>189</v>
      </c>
      <c r="D280" s="18"/>
      <c r="E280" s="74"/>
      <c r="F280" s="87">
        <v>32</v>
      </c>
      <c r="G280" s="57" t="s">
        <v>1</v>
      </c>
      <c r="H280" s="66"/>
      <c r="I280" s="92">
        <f t="shared" si="10"/>
        <v>0</v>
      </c>
    </row>
    <row r="281" spans="1:9" s="8" customFormat="1" ht="12" customHeight="1" x14ac:dyDescent="0.3">
      <c r="A281" s="117"/>
      <c r="B281" s="119"/>
      <c r="C281" s="18" t="s">
        <v>188</v>
      </c>
      <c r="D281" s="18"/>
      <c r="E281" s="74"/>
      <c r="F281" s="87">
        <v>15</v>
      </c>
      <c r="G281" s="57" t="s">
        <v>1</v>
      </c>
      <c r="H281" s="66"/>
      <c r="I281" s="92">
        <f t="shared" si="10"/>
        <v>0</v>
      </c>
    </row>
    <row r="282" spans="1:9" s="8" customFormat="1" ht="12" customHeight="1" x14ac:dyDescent="0.3">
      <c r="A282" s="117"/>
      <c r="B282" s="119"/>
      <c r="C282" s="18" t="s">
        <v>74</v>
      </c>
      <c r="D282" s="18"/>
      <c r="E282" s="74"/>
      <c r="F282" s="87">
        <v>1</v>
      </c>
      <c r="G282" s="57" t="s">
        <v>68</v>
      </c>
      <c r="H282" s="66"/>
      <c r="I282" s="92">
        <f t="shared" si="10"/>
        <v>0</v>
      </c>
    </row>
    <row r="283" spans="1:9" s="8" customFormat="1" ht="12" customHeight="1" x14ac:dyDescent="0.3">
      <c r="A283" s="117"/>
      <c r="B283" s="119"/>
      <c r="C283" s="18" t="s">
        <v>148</v>
      </c>
      <c r="D283" s="18"/>
      <c r="E283" s="74"/>
      <c r="F283" s="87">
        <v>295</v>
      </c>
      <c r="G283" s="57" t="s">
        <v>1</v>
      </c>
      <c r="H283" s="66"/>
      <c r="I283" s="92">
        <f t="shared" si="10"/>
        <v>0</v>
      </c>
    </row>
    <row r="284" spans="1:9" s="8" customFormat="1" ht="12" customHeight="1" x14ac:dyDescent="0.3">
      <c r="A284" s="117"/>
      <c r="B284" s="119"/>
      <c r="C284" s="18" t="s">
        <v>139</v>
      </c>
      <c r="D284" s="18"/>
      <c r="E284" s="74"/>
      <c r="F284" s="87">
        <v>10</v>
      </c>
      <c r="G284" s="57" t="s">
        <v>140</v>
      </c>
      <c r="H284" s="66"/>
      <c r="I284" s="92">
        <f t="shared" si="10"/>
        <v>0</v>
      </c>
    </row>
    <row r="285" spans="1:9" s="8" customFormat="1" ht="12" customHeight="1" x14ac:dyDescent="0.3">
      <c r="A285" s="117"/>
      <c r="B285" s="119"/>
      <c r="C285" s="18"/>
      <c r="D285" s="18"/>
      <c r="E285" s="74"/>
      <c r="F285" s="93"/>
      <c r="G285" s="57"/>
      <c r="H285" s="66"/>
      <c r="I285" s="92"/>
    </row>
    <row r="286" spans="1:9" s="8" customFormat="1" ht="12" customHeight="1" x14ac:dyDescent="0.3">
      <c r="A286" s="117"/>
      <c r="B286" s="121"/>
      <c r="C286" s="166"/>
      <c r="D286" s="166"/>
      <c r="E286" s="166"/>
      <c r="F286" s="166"/>
      <c r="G286" s="166"/>
      <c r="H286" s="166"/>
      <c r="I286" s="167"/>
    </row>
    <row r="287" spans="1:9" s="8" customFormat="1" ht="12" customHeight="1" x14ac:dyDescent="0.3">
      <c r="A287" s="117"/>
      <c r="B287" s="168" t="s">
        <v>511</v>
      </c>
      <c r="C287" s="169"/>
      <c r="D287" s="169"/>
      <c r="E287" s="170"/>
      <c r="F287" s="169"/>
      <c r="G287" s="169"/>
      <c r="H287" s="169"/>
      <c r="I287" s="171"/>
    </row>
    <row r="288" spans="1:9" s="8" customFormat="1" ht="12" customHeight="1" x14ac:dyDescent="0.3">
      <c r="A288" s="117"/>
      <c r="B288" s="168"/>
      <c r="C288" s="169" t="s">
        <v>512</v>
      </c>
      <c r="D288" s="169"/>
      <c r="E288" s="169"/>
      <c r="F288" s="169"/>
      <c r="G288" s="169"/>
      <c r="H288" s="169"/>
      <c r="I288" s="171"/>
    </row>
    <row r="289" spans="1:9" s="8" customFormat="1" ht="12" customHeight="1" x14ac:dyDescent="0.3">
      <c r="A289" s="117"/>
      <c r="B289" s="172"/>
      <c r="C289" s="173"/>
      <c r="D289" s="173"/>
      <c r="E289" s="173"/>
      <c r="F289" s="173"/>
      <c r="G289" s="173"/>
      <c r="H289" s="173"/>
      <c r="I289" s="174"/>
    </row>
    <row r="290" spans="1:9" s="8" customFormat="1" ht="12" customHeight="1" x14ac:dyDescent="0.3">
      <c r="A290" s="122" t="s">
        <v>96</v>
      </c>
      <c r="B290" s="123" t="s">
        <v>78</v>
      </c>
      <c r="C290" s="48"/>
      <c r="D290" s="48"/>
      <c r="E290" s="68"/>
      <c r="F290" s="143">
        <v>3</v>
      </c>
      <c r="G290" s="70" t="s">
        <v>245</v>
      </c>
      <c r="H290" s="71"/>
      <c r="I290" s="144"/>
    </row>
    <row r="291" spans="1:9" s="8" customFormat="1" ht="12" customHeight="1" x14ac:dyDescent="0.3">
      <c r="A291" s="135"/>
      <c r="B291" s="118" t="s">
        <v>22</v>
      </c>
      <c r="C291" s="19"/>
      <c r="D291" s="19"/>
      <c r="E291" s="64"/>
      <c r="F291" s="56"/>
      <c r="G291" s="94"/>
      <c r="H291" s="95"/>
      <c r="I291" s="67"/>
    </row>
    <row r="292" spans="1:9" s="8" customFormat="1" ht="12" customHeight="1" x14ac:dyDescent="0.3">
      <c r="A292" s="135"/>
      <c r="B292" s="136"/>
      <c r="C292" s="19" t="s">
        <v>430</v>
      </c>
      <c r="D292" s="19"/>
      <c r="E292" s="64"/>
      <c r="F292" s="56"/>
      <c r="G292" s="94"/>
      <c r="H292" s="95"/>
      <c r="I292" s="67"/>
    </row>
    <row r="293" spans="1:9" s="8" customFormat="1" ht="12" customHeight="1" x14ac:dyDescent="0.3">
      <c r="A293" s="135"/>
      <c r="B293" s="136"/>
      <c r="C293" s="19" t="s">
        <v>114</v>
      </c>
      <c r="D293" s="19"/>
      <c r="E293" s="64"/>
      <c r="F293" s="56"/>
      <c r="G293" s="94"/>
      <c r="H293" s="95"/>
      <c r="I293" s="67"/>
    </row>
    <row r="294" spans="1:9" s="8" customFormat="1" ht="12" customHeight="1" x14ac:dyDescent="0.3">
      <c r="A294" s="135"/>
      <c r="B294" s="136"/>
      <c r="C294" s="19" t="s">
        <v>115</v>
      </c>
      <c r="D294" s="19"/>
      <c r="E294" s="64"/>
      <c r="F294" s="56"/>
      <c r="G294" s="94"/>
      <c r="H294" s="95"/>
      <c r="I294" s="67"/>
    </row>
    <row r="295" spans="1:9" s="8" customFormat="1" ht="12" customHeight="1" x14ac:dyDescent="0.3">
      <c r="A295" s="135"/>
      <c r="B295" s="136"/>
      <c r="C295" s="19"/>
      <c r="D295" s="19"/>
      <c r="E295" s="64"/>
      <c r="F295" s="56"/>
      <c r="G295" s="94"/>
      <c r="H295" s="95"/>
      <c r="I295" s="67"/>
    </row>
    <row r="296" spans="1:9" s="8" customFormat="1" ht="12" customHeight="1" x14ac:dyDescent="0.3">
      <c r="A296" s="135"/>
      <c r="B296" s="118" t="s">
        <v>25</v>
      </c>
      <c r="C296" s="19"/>
      <c r="D296" s="19"/>
      <c r="E296" s="64"/>
      <c r="F296" s="56"/>
      <c r="G296" s="94"/>
      <c r="H296" s="95"/>
      <c r="I296" s="67"/>
    </row>
    <row r="297" spans="1:9" s="8" customFormat="1" ht="12" customHeight="1" x14ac:dyDescent="0.3">
      <c r="A297" s="135"/>
      <c r="B297" s="137" t="s">
        <v>116</v>
      </c>
      <c r="C297" s="22"/>
      <c r="D297" s="22"/>
      <c r="E297" s="96"/>
      <c r="F297" s="56"/>
      <c r="G297" s="94"/>
      <c r="H297" s="95"/>
      <c r="I297" s="67"/>
    </row>
    <row r="298" spans="1:9" s="8" customFormat="1" ht="12" customHeight="1" x14ac:dyDescent="0.3">
      <c r="A298" s="135"/>
      <c r="B298" s="138"/>
      <c r="C298" s="23" t="s">
        <v>310</v>
      </c>
      <c r="D298" s="23"/>
      <c r="E298" s="97"/>
      <c r="F298" s="98">
        <v>1</v>
      </c>
      <c r="G298" s="98" t="s">
        <v>146</v>
      </c>
      <c r="H298" s="99"/>
      <c r="I298" s="100">
        <f>H298*F298</f>
        <v>0</v>
      </c>
    </row>
    <row r="299" spans="1:9" s="8" customFormat="1" ht="12" customHeight="1" x14ac:dyDescent="0.3">
      <c r="A299" s="135"/>
      <c r="B299" s="138"/>
      <c r="C299" s="31" t="s">
        <v>247</v>
      </c>
      <c r="D299" s="31"/>
      <c r="E299" s="101"/>
      <c r="F299" s="98">
        <v>16</v>
      </c>
      <c r="G299" s="102" t="s">
        <v>80</v>
      </c>
      <c r="H299" s="103"/>
      <c r="I299" s="100">
        <f>H299*F299</f>
        <v>0</v>
      </c>
    </row>
    <row r="300" spans="1:9" s="8" customFormat="1" ht="12" customHeight="1" x14ac:dyDescent="0.3">
      <c r="A300" s="135"/>
      <c r="B300" s="140" t="s">
        <v>117</v>
      </c>
      <c r="C300" s="26"/>
      <c r="D300" s="26"/>
      <c r="E300" s="97"/>
      <c r="F300" s="108"/>
      <c r="G300" s="94"/>
      <c r="H300" s="109"/>
      <c r="I300" s="100"/>
    </row>
    <row r="301" spans="1:9" s="8" customFormat="1" ht="12" customHeight="1" x14ac:dyDescent="0.3">
      <c r="A301" s="135"/>
      <c r="B301" s="140"/>
      <c r="C301" s="24" t="s">
        <v>198</v>
      </c>
      <c r="D301" s="24"/>
      <c r="E301" s="97"/>
      <c r="F301" s="108"/>
      <c r="G301" s="94"/>
      <c r="H301" s="109"/>
      <c r="I301" s="100"/>
    </row>
    <row r="302" spans="1:9" s="8" customFormat="1" ht="12" customHeight="1" x14ac:dyDescent="0.3">
      <c r="A302" s="135"/>
      <c r="B302" s="141"/>
      <c r="C302" s="24" t="s">
        <v>265</v>
      </c>
      <c r="D302" s="24"/>
      <c r="E302" s="97"/>
      <c r="F302" s="108">
        <v>1</v>
      </c>
      <c r="G302" s="94" t="s">
        <v>89</v>
      </c>
      <c r="H302" s="107"/>
      <c r="I302" s="100">
        <f>H302*F302</f>
        <v>0</v>
      </c>
    </row>
    <row r="303" spans="1:9" s="8" customFormat="1" ht="12" customHeight="1" x14ac:dyDescent="0.3">
      <c r="A303" s="135"/>
      <c r="B303" s="141"/>
      <c r="C303" s="24" t="s">
        <v>262</v>
      </c>
      <c r="D303" s="24"/>
      <c r="E303" s="97"/>
      <c r="F303" s="108"/>
      <c r="G303" s="94"/>
      <c r="H303" s="109"/>
      <c r="I303" s="100"/>
    </row>
    <row r="304" spans="1:9" s="8" customFormat="1" ht="12" customHeight="1" x14ac:dyDescent="0.3">
      <c r="A304" s="135"/>
      <c r="B304" s="141"/>
      <c r="C304" s="24" t="s">
        <v>263</v>
      </c>
      <c r="D304" s="24"/>
      <c r="E304" s="97"/>
      <c r="F304" s="108"/>
      <c r="G304" s="94"/>
      <c r="H304" s="109"/>
      <c r="I304" s="100"/>
    </row>
    <row r="305" spans="1:9" s="8" customFormat="1" ht="12" customHeight="1" x14ac:dyDescent="0.3">
      <c r="A305" s="135"/>
      <c r="B305" s="141"/>
      <c r="C305" s="24" t="s">
        <v>264</v>
      </c>
      <c r="D305" s="24"/>
      <c r="E305" s="97"/>
      <c r="F305" s="108"/>
      <c r="G305" s="94"/>
      <c r="H305" s="109"/>
      <c r="I305" s="100"/>
    </row>
    <row r="306" spans="1:9" s="8" customFormat="1" ht="12" customHeight="1" x14ac:dyDescent="0.3">
      <c r="A306" s="135"/>
      <c r="B306" s="138" t="s">
        <v>153</v>
      </c>
      <c r="C306" s="23"/>
      <c r="D306" s="23"/>
      <c r="E306" s="97"/>
      <c r="F306" s="98"/>
      <c r="G306" s="98"/>
      <c r="H306" s="99"/>
      <c r="I306" s="100"/>
    </row>
    <row r="307" spans="1:9" s="8" customFormat="1" ht="12" customHeight="1" x14ac:dyDescent="0.3">
      <c r="A307" s="135"/>
      <c r="B307" s="138"/>
      <c r="C307" s="44" t="s">
        <v>470</v>
      </c>
      <c r="D307" s="44"/>
      <c r="E307" s="104"/>
      <c r="F307" s="77">
        <v>5</v>
      </c>
      <c r="G307" s="105" t="s">
        <v>6</v>
      </c>
      <c r="H307" s="106"/>
      <c r="I307" s="80">
        <f>H307*F307</f>
        <v>0</v>
      </c>
    </row>
    <row r="308" spans="1:9" s="8" customFormat="1" ht="12" customHeight="1" x14ac:dyDescent="0.3">
      <c r="A308" s="135"/>
      <c r="B308" s="138"/>
      <c r="C308" s="44" t="s">
        <v>337</v>
      </c>
      <c r="D308" s="44"/>
      <c r="E308" s="86"/>
      <c r="F308" s="77">
        <v>8</v>
      </c>
      <c r="G308" s="105" t="s">
        <v>6</v>
      </c>
      <c r="H308" s="106"/>
      <c r="I308" s="80">
        <f>H308*F308</f>
        <v>0</v>
      </c>
    </row>
    <row r="309" spans="1:9" s="8" customFormat="1" ht="12" customHeight="1" x14ac:dyDescent="0.3">
      <c r="A309" s="135"/>
      <c r="B309" s="139" t="s">
        <v>235</v>
      </c>
      <c r="C309" s="24"/>
      <c r="D309" s="24"/>
      <c r="E309" s="97"/>
      <c r="F309" s="98"/>
      <c r="G309" s="98"/>
      <c r="H309" s="99"/>
      <c r="I309" s="100"/>
    </row>
    <row r="310" spans="1:9" s="8" customFormat="1" ht="12" customHeight="1" x14ac:dyDescent="0.3">
      <c r="A310" s="135"/>
      <c r="B310" s="138"/>
      <c r="C310" s="24" t="s">
        <v>194</v>
      </c>
      <c r="D310" s="24"/>
      <c r="E310" s="97"/>
      <c r="F310" s="98">
        <v>12</v>
      </c>
      <c r="G310" s="98" t="s">
        <v>6</v>
      </c>
      <c r="H310" s="99"/>
      <c r="I310" s="100">
        <f>H310*F310</f>
        <v>0</v>
      </c>
    </row>
    <row r="311" spans="1:9" s="8" customFormat="1" ht="12" customHeight="1" x14ac:dyDescent="0.3">
      <c r="A311" s="135"/>
      <c r="B311" s="138"/>
      <c r="C311" s="25" t="s">
        <v>195</v>
      </c>
      <c r="D311" s="25"/>
      <c r="E311" s="97"/>
      <c r="F311" s="98">
        <v>2</v>
      </c>
      <c r="G311" s="98" t="s">
        <v>6</v>
      </c>
      <c r="H311" s="107"/>
      <c r="I311" s="100">
        <f>H311*F311</f>
        <v>0</v>
      </c>
    </row>
    <row r="312" spans="1:9" s="8" customFormat="1" ht="12" customHeight="1" x14ac:dyDescent="0.3">
      <c r="A312" s="135"/>
      <c r="B312" s="138"/>
      <c r="C312" s="25" t="s">
        <v>196</v>
      </c>
      <c r="D312" s="25"/>
      <c r="E312" s="97"/>
      <c r="F312" s="108">
        <v>4</v>
      </c>
      <c r="G312" s="94" t="s">
        <v>6</v>
      </c>
      <c r="H312" s="99"/>
      <c r="I312" s="100">
        <f>H312*F312</f>
        <v>0</v>
      </c>
    </row>
    <row r="313" spans="1:9" s="8" customFormat="1" ht="12" customHeight="1" x14ac:dyDescent="0.3">
      <c r="A313" s="135"/>
      <c r="B313" s="138"/>
      <c r="C313" s="25" t="s">
        <v>197</v>
      </c>
      <c r="D313" s="25"/>
      <c r="E313" s="97"/>
      <c r="F313" s="108">
        <v>1</v>
      </c>
      <c r="G313" s="94" t="s">
        <v>10</v>
      </c>
      <c r="H313" s="99"/>
      <c r="I313" s="100">
        <f>H313*F313</f>
        <v>0</v>
      </c>
    </row>
    <row r="314" spans="1:9" s="8" customFormat="1" ht="12" customHeight="1" x14ac:dyDescent="0.3">
      <c r="A314" s="135"/>
      <c r="B314" s="151" t="s">
        <v>462</v>
      </c>
      <c r="C314" s="26"/>
      <c r="D314" s="26"/>
      <c r="E314" s="97"/>
      <c r="F314" s="108"/>
      <c r="G314" s="94"/>
      <c r="H314" s="109"/>
      <c r="I314" s="100"/>
    </row>
    <row r="315" spans="1:9" s="8" customFormat="1" ht="12" customHeight="1" x14ac:dyDescent="0.3">
      <c r="A315" s="135"/>
      <c r="B315" s="141"/>
      <c r="C315" s="23" t="s">
        <v>200</v>
      </c>
      <c r="D315" s="23"/>
      <c r="E315" s="97"/>
      <c r="F315" s="108">
        <v>20</v>
      </c>
      <c r="G315" s="94" t="s">
        <v>80</v>
      </c>
      <c r="H315" s="110"/>
      <c r="I315" s="100">
        <f t="shared" ref="I315:I320" si="11">H315*F315</f>
        <v>0</v>
      </c>
    </row>
    <row r="316" spans="1:9" s="8" customFormat="1" ht="12" customHeight="1" x14ac:dyDescent="0.3">
      <c r="A316" s="135"/>
      <c r="B316" s="141"/>
      <c r="C316" s="23" t="s">
        <v>199</v>
      </c>
      <c r="D316" s="23"/>
      <c r="E316" s="97"/>
      <c r="F316" s="108">
        <v>70</v>
      </c>
      <c r="G316" s="94" t="s">
        <v>81</v>
      </c>
      <c r="H316" s="110"/>
      <c r="I316" s="100">
        <f t="shared" si="11"/>
        <v>0</v>
      </c>
    </row>
    <row r="317" spans="1:9" s="8" customFormat="1" ht="12" customHeight="1" x14ac:dyDescent="0.3">
      <c r="A317" s="135"/>
      <c r="B317" s="141"/>
      <c r="C317" s="23" t="s">
        <v>201</v>
      </c>
      <c r="D317" s="23"/>
      <c r="E317" s="97"/>
      <c r="F317" s="108">
        <v>19</v>
      </c>
      <c r="G317" s="94" t="s">
        <v>1</v>
      </c>
      <c r="H317" s="110"/>
      <c r="I317" s="100">
        <f t="shared" si="11"/>
        <v>0</v>
      </c>
    </row>
    <row r="318" spans="1:9" s="8" customFormat="1" ht="12" customHeight="1" x14ac:dyDescent="0.3">
      <c r="A318" s="135"/>
      <c r="B318" s="141"/>
      <c r="C318" s="23" t="s">
        <v>236</v>
      </c>
      <c r="D318" s="23"/>
      <c r="E318" s="97"/>
      <c r="F318" s="108">
        <v>2</v>
      </c>
      <c r="G318" s="94" t="s">
        <v>1</v>
      </c>
      <c r="H318" s="110"/>
      <c r="I318" s="100">
        <f t="shared" si="11"/>
        <v>0</v>
      </c>
    </row>
    <row r="319" spans="1:9" s="8" customFormat="1" ht="12" customHeight="1" x14ac:dyDescent="0.3">
      <c r="A319" s="135"/>
      <c r="B319" s="141"/>
      <c r="C319" s="23" t="s">
        <v>237</v>
      </c>
      <c r="D319" s="23"/>
      <c r="E319" s="97"/>
      <c r="F319" s="108">
        <v>1</v>
      </c>
      <c r="G319" s="94" t="s">
        <v>68</v>
      </c>
      <c r="H319" s="110"/>
      <c r="I319" s="100">
        <f t="shared" si="11"/>
        <v>0</v>
      </c>
    </row>
    <row r="320" spans="1:9" s="8" customFormat="1" ht="12" customHeight="1" x14ac:dyDescent="0.3">
      <c r="A320" s="135"/>
      <c r="B320" s="141"/>
      <c r="C320" s="23" t="s">
        <v>238</v>
      </c>
      <c r="D320" s="23"/>
      <c r="E320" s="97"/>
      <c r="F320" s="108">
        <v>1</v>
      </c>
      <c r="G320" s="94" t="s">
        <v>118</v>
      </c>
      <c r="H320" s="110"/>
      <c r="I320" s="100">
        <f t="shared" si="11"/>
        <v>0</v>
      </c>
    </row>
    <row r="321" spans="1:9" s="8" customFormat="1" ht="12" customHeight="1" x14ac:dyDescent="0.3">
      <c r="A321" s="135"/>
      <c r="B321" s="140" t="s">
        <v>202</v>
      </c>
      <c r="C321" s="23"/>
      <c r="D321" s="23"/>
      <c r="E321" s="97"/>
      <c r="F321" s="108"/>
      <c r="G321" s="94"/>
      <c r="H321" s="110"/>
      <c r="I321" s="100"/>
    </row>
    <row r="322" spans="1:9" s="8" customFormat="1" ht="12" customHeight="1" x14ac:dyDescent="0.3">
      <c r="A322" s="135"/>
      <c r="B322" s="141"/>
      <c r="C322" s="23" t="s">
        <v>203</v>
      </c>
      <c r="D322" s="23"/>
      <c r="E322" s="97"/>
      <c r="F322" s="108">
        <v>65</v>
      </c>
      <c r="G322" s="94" t="s">
        <v>86</v>
      </c>
      <c r="H322" s="110"/>
      <c r="I322" s="100">
        <f>H322*F322</f>
        <v>0</v>
      </c>
    </row>
    <row r="323" spans="1:9" s="8" customFormat="1" ht="12" customHeight="1" x14ac:dyDescent="0.3">
      <c r="A323" s="135"/>
      <c r="B323" s="141"/>
      <c r="C323" s="23" t="s">
        <v>204</v>
      </c>
      <c r="D323" s="23"/>
      <c r="E323" s="97"/>
      <c r="F323" s="108">
        <v>15</v>
      </c>
      <c r="G323" s="94" t="s">
        <v>86</v>
      </c>
      <c r="H323" s="110"/>
      <c r="I323" s="100">
        <f t="shared" ref="I323:I333" si="12">H323*F323</f>
        <v>0</v>
      </c>
    </row>
    <row r="324" spans="1:9" s="8" customFormat="1" ht="12" customHeight="1" x14ac:dyDescent="0.3">
      <c r="A324" s="135"/>
      <c r="B324" s="141"/>
      <c r="C324" s="23" t="s">
        <v>205</v>
      </c>
      <c r="D324" s="23"/>
      <c r="E324" s="97"/>
      <c r="F324" s="108">
        <v>3</v>
      </c>
      <c r="G324" s="94" t="s">
        <v>81</v>
      </c>
      <c r="H324" s="110"/>
      <c r="I324" s="100">
        <f t="shared" si="12"/>
        <v>0</v>
      </c>
    </row>
    <row r="325" spans="1:9" s="8" customFormat="1" ht="12" customHeight="1" x14ac:dyDescent="0.3">
      <c r="A325" s="135"/>
      <c r="B325" s="141"/>
      <c r="C325" s="23" t="s">
        <v>90</v>
      </c>
      <c r="D325" s="23"/>
      <c r="E325" s="97"/>
      <c r="F325" s="108">
        <v>1</v>
      </c>
      <c r="G325" s="94" t="s">
        <v>146</v>
      </c>
      <c r="H325" s="110"/>
      <c r="I325" s="100">
        <f t="shared" si="12"/>
        <v>0</v>
      </c>
    </row>
    <row r="326" spans="1:9" s="8" customFormat="1" ht="12" customHeight="1" x14ac:dyDescent="0.3">
      <c r="A326" s="135"/>
      <c r="B326" s="141"/>
      <c r="C326" s="23" t="s">
        <v>91</v>
      </c>
      <c r="D326" s="23"/>
      <c r="E326" s="97"/>
      <c r="F326" s="108">
        <v>1</v>
      </c>
      <c r="G326" s="94" t="s">
        <v>146</v>
      </c>
      <c r="H326" s="110"/>
      <c r="I326" s="100">
        <f t="shared" si="12"/>
        <v>0</v>
      </c>
    </row>
    <row r="327" spans="1:9" s="8" customFormat="1" ht="12" customHeight="1" x14ac:dyDescent="0.3">
      <c r="A327" s="135"/>
      <c r="B327" s="141"/>
      <c r="C327" s="23" t="s">
        <v>92</v>
      </c>
      <c r="D327" s="23"/>
      <c r="E327" s="97"/>
      <c r="F327" s="108">
        <v>1</v>
      </c>
      <c r="G327" s="94" t="s">
        <v>93</v>
      </c>
      <c r="H327" s="110"/>
      <c r="I327" s="100">
        <f t="shared" si="12"/>
        <v>0</v>
      </c>
    </row>
    <row r="328" spans="1:9" s="8" customFormat="1" ht="12" customHeight="1" x14ac:dyDescent="0.3">
      <c r="A328" s="135"/>
      <c r="B328" s="141"/>
      <c r="C328" s="23" t="s">
        <v>94</v>
      </c>
      <c r="D328" s="23"/>
      <c r="E328" s="97"/>
      <c r="F328" s="108">
        <v>1</v>
      </c>
      <c r="G328" s="94" t="s">
        <v>93</v>
      </c>
      <c r="H328" s="110"/>
      <c r="I328" s="100">
        <f t="shared" si="12"/>
        <v>0</v>
      </c>
    </row>
    <row r="329" spans="1:9" s="8" customFormat="1" ht="12" customHeight="1" x14ac:dyDescent="0.3">
      <c r="A329" s="135"/>
      <c r="B329" s="141"/>
      <c r="C329" s="23" t="s">
        <v>239</v>
      </c>
      <c r="D329" s="23"/>
      <c r="E329" s="97"/>
      <c r="F329" s="108">
        <v>2</v>
      </c>
      <c r="G329" s="94" t="s">
        <v>233</v>
      </c>
      <c r="H329" s="110"/>
      <c r="I329" s="100">
        <f t="shared" si="12"/>
        <v>0</v>
      </c>
    </row>
    <row r="330" spans="1:9" s="8" customFormat="1" ht="12" customHeight="1" x14ac:dyDescent="0.3">
      <c r="A330" s="135"/>
      <c r="B330" s="141"/>
      <c r="C330" s="23" t="s">
        <v>206</v>
      </c>
      <c r="D330" s="23"/>
      <c r="E330" s="97"/>
      <c r="F330" s="108">
        <v>2</v>
      </c>
      <c r="G330" s="94" t="s">
        <v>152</v>
      </c>
      <c r="H330" s="110"/>
      <c r="I330" s="100">
        <f t="shared" si="12"/>
        <v>0</v>
      </c>
    </row>
    <row r="331" spans="1:9" s="8" customFormat="1" ht="12" customHeight="1" x14ac:dyDescent="0.3">
      <c r="A331" s="135"/>
      <c r="B331" s="141"/>
      <c r="C331" s="23" t="s">
        <v>207</v>
      </c>
      <c r="D331" s="23"/>
      <c r="E331" s="97"/>
      <c r="F331" s="108">
        <v>6</v>
      </c>
      <c r="G331" s="94" t="s">
        <v>80</v>
      </c>
      <c r="H331" s="110"/>
      <c r="I331" s="100">
        <f t="shared" si="12"/>
        <v>0</v>
      </c>
    </row>
    <row r="332" spans="1:9" s="8" customFormat="1" ht="12" customHeight="1" x14ac:dyDescent="0.3">
      <c r="A332" s="135"/>
      <c r="B332" s="141"/>
      <c r="C332" s="23" t="s">
        <v>208</v>
      </c>
      <c r="D332" s="23"/>
      <c r="E332" s="97"/>
      <c r="F332" s="108">
        <v>15</v>
      </c>
      <c r="G332" s="94" t="s">
        <v>80</v>
      </c>
      <c r="H332" s="110"/>
      <c r="I332" s="100">
        <f t="shared" si="12"/>
        <v>0</v>
      </c>
    </row>
    <row r="333" spans="1:9" s="8" customFormat="1" ht="12" customHeight="1" x14ac:dyDescent="0.3">
      <c r="A333" s="135"/>
      <c r="B333" s="141"/>
      <c r="C333" s="23" t="s">
        <v>209</v>
      </c>
      <c r="D333" s="23"/>
      <c r="E333" s="97"/>
      <c r="F333" s="108">
        <v>1</v>
      </c>
      <c r="G333" s="94" t="s">
        <v>66</v>
      </c>
      <c r="H333" s="110"/>
      <c r="I333" s="100">
        <f t="shared" si="12"/>
        <v>0</v>
      </c>
    </row>
    <row r="334" spans="1:9" s="8" customFormat="1" ht="12" customHeight="1" x14ac:dyDescent="0.3">
      <c r="A334" s="135"/>
      <c r="B334" s="141"/>
      <c r="C334" s="23"/>
      <c r="D334" s="23"/>
      <c r="E334" s="97"/>
      <c r="F334" s="108"/>
      <c r="G334" s="94"/>
      <c r="H334" s="110"/>
      <c r="I334" s="100"/>
    </row>
    <row r="335" spans="1:9" s="8" customFormat="1" ht="12" customHeight="1" x14ac:dyDescent="0.3">
      <c r="A335" s="117"/>
      <c r="B335" s="121"/>
      <c r="C335" s="166"/>
      <c r="D335" s="166"/>
      <c r="E335" s="166"/>
      <c r="F335" s="166"/>
      <c r="G335" s="166"/>
      <c r="H335" s="166"/>
      <c r="I335" s="167"/>
    </row>
    <row r="336" spans="1:9" s="8" customFormat="1" ht="12" customHeight="1" x14ac:dyDescent="0.3">
      <c r="A336" s="117"/>
      <c r="B336" s="168" t="s">
        <v>511</v>
      </c>
      <c r="C336" s="169"/>
      <c r="D336" s="169"/>
      <c r="E336" s="170"/>
      <c r="F336" s="169"/>
      <c r="G336" s="169"/>
      <c r="H336" s="169"/>
      <c r="I336" s="171"/>
    </row>
    <row r="337" spans="1:9" s="8" customFormat="1" ht="12" customHeight="1" x14ac:dyDescent="0.3">
      <c r="A337" s="117"/>
      <c r="B337" s="168"/>
      <c r="C337" s="169" t="s">
        <v>512</v>
      </c>
      <c r="D337" s="169"/>
      <c r="E337" s="169"/>
      <c r="F337" s="169"/>
      <c r="G337" s="169"/>
      <c r="H337" s="169"/>
      <c r="I337" s="171"/>
    </row>
    <row r="338" spans="1:9" s="8" customFormat="1" ht="12" customHeight="1" x14ac:dyDescent="0.3">
      <c r="A338" s="117"/>
      <c r="B338" s="172"/>
      <c r="C338" s="173"/>
      <c r="D338" s="173"/>
      <c r="E338" s="173"/>
      <c r="F338" s="173"/>
      <c r="G338" s="173"/>
      <c r="H338" s="173"/>
      <c r="I338" s="174"/>
    </row>
    <row r="339" spans="1:9" s="8" customFormat="1" ht="12" customHeight="1" x14ac:dyDescent="0.3">
      <c r="A339" s="122" t="s">
        <v>157</v>
      </c>
      <c r="B339" s="123" t="s">
        <v>54</v>
      </c>
      <c r="C339" s="48"/>
      <c r="D339" s="48"/>
      <c r="E339" s="68"/>
      <c r="F339" s="143">
        <v>1</v>
      </c>
      <c r="G339" s="70" t="s">
        <v>144</v>
      </c>
      <c r="H339" s="71"/>
      <c r="I339" s="72"/>
    </row>
    <row r="340" spans="1:9" s="8" customFormat="1" ht="12" customHeight="1" x14ac:dyDescent="0.3">
      <c r="A340" s="135"/>
      <c r="B340" s="118" t="s">
        <v>22</v>
      </c>
      <c r="C340" s="19"/>
      <c r="D340" s="19"/>
      <c r="E340" s="64"/>
      <c r="F340" s="56"/>
      <c r="G340" s="94"/>
      <c r="H340" s="95"/>
      <c r="I340" s="67"/>
    </row>
    <row r="341" spans="1:9" s="8" customFormat="1" ht="12" customHeight="1" x14ac:dyDescent="0.3">
      <c r="A341" s="135"/>
      <c r="B341" s="125"/>
      <c r="C341" s="19" t="s">
        <v>438</v>
      </c>
      <c r="D341" s="19"/>
      <c r="E341" s="64"/>
      <c r="F341" s="56"/>
      <c r="G341" s="94"/>
      <c r="H341" s="95"/>
      <c r="I341" s="67"/>
    </row>
    <row r="342" spans="1:9" s="8" customFormat="1" ht="12" customHeight="1" x14ac:dyDescent="0.3">
      <c r="A342" s="135"/>
      <c r="B342" s="125"/>
      <c r="C342" s="19" t="s">
        <v>439</v>
      </c>
      <c r="D342" s="19"/>
      <c r="E342" s="74"/>
      <c r="F342" s="56"/>
      <c r="G342" s="94"/>
      <c r="H342" s="95"/>
      <c r="I342" s="67"/>
    </row>
    <row r="343" spans="1:9" s="8" customFormat="1" ht="12" customHeight="1" x14ac:dyDescent="0.3">
      <c r="A343" s="135"/>
      <c r="B343" s="125"/>
      <c r="C343" s="19" t="s">
        <v>127</v>
      </c>
      <c r="D343" s="19"/>
      <c r="E343" s="64"/>
      <c r="F343" s="56"/>
      <c r="G343" s="94"/>
      <c r="H343" s="95"/>
      <c r="I343" s="67"/>
    </row>
    <row r="344" spans="1:9" s="8" customFormat="1" ht="12" customHeight="1" x14ac:dyDescent="0.3">
      <c r="A344" s="135"/>
      <c r="B344" s="125"/>
      <c r="C344" s="42" t="s">
        <v>322</v>
      </c>
      <c r="D344" s="10"/>
      <c r="E344" s="64"/>
      <c r="F344" s="56"/>
      <c r="G344" s="94"/>
      <c r="H344" s="95"/>
      <c r="I344" s="67"/>
    </row>
    <row r="345" spans="1:9" s="8" customFormat="1" ht="12" customHeight="1" x14ac:dyDescent="0.3">
      <c r="A345" s="135"/>
      <c r="B345" s="125"/>
      <c r="C345" s="10"/>
      <c r="D345" s="10"/>
      <c r="E345" s="64"/>
      <c r="F345" s="56"/>
      <c r="G345" s="94"/>
      <c r="H345" s="95"/>
      <c r="I345" s="67"/>
    </row>
    <row r="346" spans="1:9" s="8" customFormat="1" ht="12" customHeight="1" x14ac:dyDescent="0.3">
      <c r="A346" s="135"/>
      <c r="B346" s="118" t="s">
        <v>25</v>
      </c>
      <c r="C346" s="19"/>
      <c r="D346" s="19"/>
      <c r="E346" s="64"/>
      <c r="F346" s="56"/>
      <c r="G346" s="94"/>
      <c r="H346" s="95"/>
      <c r="I346" s="67"/>
    </row>
    <row r="347" spans="1:9" s="8" customFormat="1" ht="12" customHeight="1" x14ac:dyDescent="0.3">
      <c r="A347" s="135"/>
      <c r="B347" s="142" t="s">
        <v>119</v>
      </c>
      <c r="C347" s="19"/>
      <c r="D347" s="19"/>
      <c r="E347" s="64"/>
      <c r="F347" s="56"/>
      <c r="G347" s="94"/>
      <c r="H347" s="95"/>
      <c r="I347" s="67"/>
    </row>
    <row r="348" spans="1:9" s="8" customFormat="1" ht="12" customHeight="1" x14ac:dyDescent="0.3">
      <c r="A348" s="135"/>
      <c r="B348" s="125"/>
      <c r="C348" s="18" t="s">
        <v>298</v>
      </c>
      <c r="D348" s="18"/>
      <c r="E348" s="64"/>
      <c r="F348" s="65">
        <v>1</v>
      </c>
      <c r="G348" s="94" t="s">
        <v>10</v>
      </c>
      <c r="H348" s="95"/>
      <c r="I348" s="67">
        <f>H348*F348</f>
        <v>0</v>
      </c>
    </row>
    <row r="349" spans="1:9" s="8" customFormat="1" ht="12" customHeight="1" x14ac:dyDescent="0.3">
      <c r="A349" s="135"/>
      <c r="B349" s="125"/>
      <c r="C349" s="18" t="s">
        <v>299</v>
      </c>
      <c r="D349" s="18"/>
      <c r="E349" s="64"/>
      <c r="F349" s="65"/>
      <c r="G349" s="94"/>
      <c r="H349" s="95"/>
      <c r="I349" s="67"/>
    </row>
    <row r="350" spans="1:9" s="8" customFormat="1" ht="12" customHeight="1" x14ac:dyDescent="0.3">
      <c r="A350" s="135"/>
      <c r="B350" s="125"/>
      <c r="C350" s="18" t="s">
        <v>313</v>
      </c>
      <c r="D350" s="19"/>
      <c r="E350" s="64"/>
      <c r="F350" s="65">
        <v>1</v>
      </c>
      <c r="G350" s="94" t="s">
        <v>10</v>
      </c>
      <c r="H350" s="95"/>
      <c r="I350" s="67">
        <f>H350*F350</f>
        <v>0</v>
      </c>
    </row>
    <row r="351" spans="1:9" s="8" customFormat="1" ht="12" customHeight="1" x14ac:dyDescent="0.3">
      <c r="A351" s="135"/>
      <c r="B351" s="125"/>
      <c r="C351" s="18" t="s">
        <v>314</v>
      </c>
      <c r="D351" s="19"/>
      <c r="E351" s="64"/>
      <c r="F351" s="65"/>
      <c r="G351" s="94"/>
      <c r="H351" s="95"/>
      <c r="I351" s="67"/>
    </row>
    <row r="352" spans="1:9" s="8" customFormat="1" ht="12" customHeight="1" x14ac:dyDescent="0.3">
      <c r="A352" s="135"/>
      <c r="B352" s="125"/>
      <c r="C352" s="43" t="s">
        <v>321</v>
      </c>
      <c r="D352" s="19"/>
      <c r="E352" s="55"/>
      <c r="F352" s="65">
        <v>2</v>
      </c>
      <c r="G352" s="94" t="s">
        <v>6</v>
      </c>
      <c r="H352" s="95"/>
      <c r="I352" s="67">
        <f>H352*F352</f>
        <v>0</v>
      </c>
    </row>
    <row r="353" spans="1:9" s="8" customFormat="1" ht="12" customHeight="1" x14ac:dyDescent="0.3">
      <c r="A353" s="135"/>
      <c r="B353" s="125"/>
      <c r="C353" s="18" t="s">
        <v>315</v>
      </c>
      <c r="D353" s="19"/>
      <c r="E353" s="55"/>
      <c r="F353" s="65"/>
      <c r="G353" s="94"/>
      <c r="H353" s="95"/>
      <c r="I353" s="67"/>
    </row>
    <row r="354" spans="1:9" s="8" customFormat="1" ht="12" customHeight="1" x14ac:dyDescent="0.3">
      <c r="A354" s="135"/>
      <c r="B354" s="125"/>
      <c r="C354" s="43" t="s">
        <v>316</v>
      </c>
      <c r="D354" s="19"/>
      <c r="E354" s="55"/>
      <c r="F354" s="65">
        <v>1</v>
      </c>
      <c r="G354" s="111" t="s">
        <v>68</v>
      </c>
      <c r="H354" s="112"/>
      <c r="I354" s="67">
        <f>H354*F354</f>
        <v>0</v>
      </c>
    </row>
    <row r="355" spans="1:9" s="8" customFormat="1" ht="12" customHeight="1" x14ac:dyDescent="0.3">
      <c r="A355" s="135"/>
      <c r="B355" s="125"/>
      <c r="C355" s="34" t="s">
        <v>317</v>
      </c>
      <c r="D355" s="19"/>
      <c r="E355" s="55"/>
      <c r="F355" s="65">
        <v>3</v>
      </c>
      <c r="G355" s="94" t="s">
        <v>1</v>
      </c>
      <c r="H355" s="95"/>
      <c r="I355" s="67">
        <f>H355*F355</f>
        <v>0</v>
      </c>
    </row>
    <row r="356" spans="1:9" s="8" customFormat="1" ht="12" customHeight="1" x14ac:dyDescent="0.3">
      <c r="A356" s="135"/>
      <c r="B356" s="125"/>
      <c r="C356" s="34" t="s">
        <v>318</v>
      </c>
      <c r="D356" s="19"/>
      <c r="E356" s="64"/>
      <c r="F356" s="65">
        <v>1</v>
      </c>
      <c r="G356" s="94" t="s">
        <v>68</v>
      </c>
      <c r="H356" s="95"/>
      <c r="I356" s="67">
        <f>H356*F356</f>
        <v>0</v>
      </c>
    </row>
    <row r="357" spans="1:9" s="8" customFormat="1" ht="12" customHeight="1" x14ac:dyDescent="0.3">
      <c r="A357" s="135"/>
      <c r="B357" s="125"/>
      <c r="C357" s="18" t="s">
        <v>120</v>
      </c>
      <c r="D357" s="19"/>
      <c r="E357" s="64"/>
      <c r="F357" s="65">
        <v>1</v>
      </c>
      <c r="G357" s="94" t="s">
        <v>10</v>
      </c>
      <c r="H357" s="95"/>
      <c r="I357" s="67">
        <f>H357*F357</f>
        <v>0</v>
      </c>
    </row>
    <row r="358" spans="1:9" s="8" customFormat="1" ht="12" customHeight="1" x14ac:dyDescent="0.3">
      <c r="A358" s="135"/>
      <c r="B358" s="142" t="s">
        <v>128</v>
      </c>
      <c r="C358" s="19"/>
      <c r="D358" s="19"/>
      <c r="E358" s="64"/>
      <c r="F358" s="65"/>
      <c r="G358" s="94"/>
      <c r="H358" s="95"/>
      <c r="I358" s="67"/>
    </row>
    <row r="359" spans="1:9" s="8" customFormat="1" ht="12" customHeight="1" x14ac:dyDescent="0.3">
      <c r="A359" s="135"/>
      <c r="B359" s="136"/>
      <c r="C359" s="18" t="s">
        <v>253</v>
      </c>
      <c r="D359" s="18"/>
      <c r="E359" s="113"/>
      <c r="F359" s="65">
        <v>20</v>
      </c>
      <c r="G359" s="57" t="s">
        <v>80</v>
      </c>
      <c r="H359" s="58"/>
      <c r="I359" s="67">
        <f t="shared" ref="I359:I363" si="13">H359*F359</f>
        <v>0</v>
      </c>
    </row>
    <row r="360" spans="1:9" s="8" customFormat="1" ht="12" customHeight="1" x14ac:dyDescent="0.3">
      <c r="A360" s="135"/>
      <c r="B360" s="136"/>
      <c r="C360" s="18" t="s">
        <v>252</v>
      </c>
      <c r="D360" s="18"/>
      <c r="E360" s="113"/>
      <c r="F360" s="65">
        <v>5</v>
      </c>
      <c r="G360" s="57" t="s">
        <v>1</v>
      </c>
      <c r="H360" s="58"/>
      <c r="I360" s="67">
        <f t="shared" si="13"/>
        <v>0</v>
      </c>
    </row>
    <row r="361" spans="1:9" s="8" customFormat="1" ht="12" customHeight="1" x14ac:dyDescent="0.3">
      <c r="A361" s="135"/>
      <c r="B361" s="136"/>
      <c r="C361" s="18" t="s">
        <v>251</v>
      </c>
      <c r="D361" s="18"/>
      <c r="E361" s="113"/>
      <c r="F361" s="65">
        <v>3</v>
      </c>
      <c r="G361" s="57" t="s">
        <v>1</v>
      </c>
      <c r="H361" s="58"/>
      <c r="I361" s="67">
        <f t="shared" si="13"/>
        <v>0</v>
      </c>
    </row>
    <row r="362" spans="1:9" s="8" customFormat="1" ht="12" customHeight="1" x14ac:dyDescent="0.3">
      <c r="A362" s="135"/>
      <c r="B362" s="136"/>
      <c r="C362" s="18" t="s">
        <v>250</v>
      </c>
      <c r="D362" s="18"/>
      <c r="E362" s="113"/>
      <c r="F362" s="65">
        <v>5</v>
      </c>
      <c r="G362" s="57" t="s">
        <v>1</v>
      </c>
      <c r="H362" s="58"/>
      <c r="I362" s="67">
        <f t="shared" si="13"/>
        <v>0</v>
      </c>
    </row>
    <row r="363" spans="1:9" s="8" customFormat="1" ht="12" customHeight="1" x14ac:dyDescent="0.3">
      <c r="A363" s="135"/>
      <c r="B363" s="136"/>
      <c r="C363" s="18" t="s">
        <v>249</v>
      </c>
      <c r="D363" s="18"/>
      <c r="E363" s="113"/>
      <c r="F363" s="65">
        <v>8</v>
      </c>
      <c r="G363" s="57" t="s">
        <v>1</v>
      </c>
      <c r="H363" s="58"/>
      <c r="I363" s="67">
        <f t="shared" si="13"/>
        <v>0</v>
      </c>
    </row>
    <row r="364" spans="1:9" s="8" customFormat="1" ht="12" customHeight="1" x14ac:dyDescent="0.3">
      <c r="A364" s="135"/>
      <c r="B364" s="136"/>
      <c r="C364" s="19" t="s">
        <v>134</v>
      </c>
      <c r="D364" s="19"/>
      <c r="E364" s="64"/>
      <c r="F364" s="65">
        <v>2</v>
      </c>
      <c r="G364" s="57" t="s">
        <v>1</v>
      </c>
      <c r="H364" s="95"/>
      <c r="I364" s="67">
        <f>H364*F364</f>
        <v>0</v>
      </c>
    </row>
    <row r="365" spans="1:9" s="8" customFormat="1" ht="12" customHeight="1" x14ac:dyDescent="0.3">
      <c r="A365" s="135"/>
      <c r="B365" s="136"/>
      <c r="C365" s="19" t="s">
        <v>436</v>
      </c>
      <c r="D365" s="19"/>
      <c r="E365" s="64"/>
      <c r="F365" s="65">
        <v>1</v>
      </c>
      <c r="G365" s="57" t="s">
        <v>68</v>
      </c>
      <c r="H365" s="95"/>
      <c r="I365" s="67">
        <f>H365*F365</f>
        <v>0</v>
      </c>
    </row>
    <row r="366" spans="1:9" s="8" customFormat="1" ht="12" customHeight="1" x14ac:dyDescent="0.3">
      <c r="A366" s="135"/>
      <c r="B366" s="142" t="s">
        <v>437</v>
      </c>
      <c r="C366" s="19"/>
      <c r="D366" s="19"/>
      <c r="E366" s="64"/>
      <c r="F366" s="65"/>
      <c r="G366" s="94"/>
      <c r="H366" s="95"/>
      <c r="I366" s="67"/>
    </row>
    <row r="367" spans="1:9" s="8" customFormat="1" ht="12" customHeight="1" x14ac:dyDescent="0.3">
      <c r="A367" s="135"/>
      <c r="B367" s="136"/>
      <c r="C367" s="19" t="s">
        <v>132</v>
      </c>
      <c r="D367" s="19"/>
      <c r="E367" s="64"/>
      <c r="F367" s="65">
        <v>6</v>
      </c>
      <c r="G367" s="94" t="s">
        <v>1</v>
      </c>
      <c r="H367" s="95"/>
      <c r="I367" s="67">
        <f t="shared" ref="I367:I378" si="14">H367*F367</f>
        <v>0</v>
      </c>
    </row>
    <row r="368" spans="1:9" s="8" customFormat="1" ht="12" customHeight="1" x14ac:dyDescent="0.3">
      <c r="A368" s="135"/>
      <c r="B368" s="136"/>
      <c r="C368" s="19" t="s">
        <v>133</v>
      </c>
      <c r="D368" s="19"/>
      <c r="E368" s="64"/>
      <c r="F368" s="65">
        <v>2</v>
      </c>
      <c r="G368" s="94" t="s">
        <v>1</v>
      </c>
      <c r="H368" s="95"/>
      <c r="I368" s="67">
        <f t="shared" si="14"/>
        <v>0</v>
      </c>
    </row>
    <row r="369" spans="1:9" s="8" customFormat="1" ht="12" customHeight="1" x14ac:dyDescent="0.3">
      <c r="A369" s="135"/>
      <c r="B369" s="136"/>
      <c r="C369" s="19" t="s">
        <v>121</v>
      </c>
      <c r="D369" s="19"/>
      <c r="E369" s="64"/>
      <c r="F369" s="65">
        <v>4</v>
      </c>
      <c r="G369" s="94" t="s">
        <v>1</v>
      </c>
      <c r="H369" s="95"/>
      <c r="I369" s="67">
        <f t="shared" si="14"/>
        <v>0</v>
      </c>
    </row>
    <row r="370" spans="1:9" s="8" customFormat="1" ht="12" customHeight="1" x14ac:dyDescent="0.3">
      <c r="A370" s="135"/>
      <c r="B370" s="136"/>
      <c r="C370" s="19" t="s">
        <v>122</v>
      </c>
      <c r="D370" s="19"/>
      <c r="E370" s="64"/>
      <c r="F370" s="65">
        <v>3</v>
      </c>
      <c r="G370" s="94" t="s">
        <v>1</v>
      </c>
      <c r="H370" s="95"/>
      <c r="I370" s="67">
        <f t="shared" si="14"/>
        <v>0</v>
      </c>
    </row>
    <row r="371" spans="1:9" s="8" customFormat="1" ht="12" customHeight="1" x14ac:dyDescent="0.3">
      <c r="A371" s="135"/>
      <c r="B371" s="136"/>
      <c r="C371" s="19" t="s">
        <v>248</v>
      </c>
      <c r="D371" s="19"/>
      <c r="E371" s="64"/>
      <c r="F371" s="65">
        <v>1</v>
      </c>
      <c r="G371" s="94" t="s">
        <v>68</v>
      </c>
      <c r="H371" s="95"/>
      <c r="I371" s="67">
        <f t="shared" si="14"/>
        <v>0</v>
      </c>
    </row>
    <row r="372" spans="1:9" s="8" customFormat="1" ht="12" customHeight="1" x14ac:dyDescent="0.3">
      <c r="A372" s="135"/>
      <c r="B372" s="136"/>
      <c r="C372" s="19" t="s">
        <v>123</v>
      </c>
      <c r="D372" s="19"/>
      <c r="E372" s="64"/>
      <c r="F372" s="65">
        <v>1</v>
      </c>
      <c r="G372" s="94" t="s">
        <v>68</v>
      </c>
      <c r="H372" s="95"/>
      <c r="I372" s="67">
        <f t="shared" si="14"/>
        <v>0</v>
      </c>
    </row>
    <row r="373" spans="1:9" s="8" customFormat="1" ht="12" customHeight="1" x14ac:dyDescent="0.3">
      <c r="A373" s="135"/>
      <c r="B373" s="136"/>
      <c r="C373" s="19" t="s">
        <v>124</v>
      </c>
      <c r="D373" s="19"/>
      <c r="E373" s="64"/>
      <c r="F373" s="65">
        <v>1</v>
      </c>
      <c r="G373" s="94" t="s">
        <v>68</v>
      </c>
      <c r="H373" s="95"/>
      <c r="I373" s="67">
        <f t="shared" si="14"/>
        <v>0</v>
      </c>
    </row>
    <row r="374" spans="1:9" s="8" customFormat="1" ht="12" customHeight="1" x14ac:dyDescent="0.3">
      <c r="A374" s="135"/>
      <c r="B374" s="136"/>
      <c r="C374" s="19" t="s">
        <v>129</v>
      </c>
      <c r="D374" s="19"/>
      <c r="E374" s="64"/>
      <c r="F374" s="65">
        <v>2</v>
      </c>
      <c r="G374" s="94" t="s">
        <v>1</v>
      </c>
      <c r="H374" s="95"/>
      <c r="I374" s="67">
        <f t="shared" si="14"/>
        <v>0</v>
      </c>
    </row>
    <row r="375" spans="1:9" s="8" customFormat="1" ht="12" customHeight="1" x14ac:dyDescent="0.3">
      <c r="A375" s="135"/>
      <c r="B375" s="136"/>
      <c r="C375" s="19" t="s">
        <v>130</v>
      </c>
      <c r="D375" s="19"/>
      <c r="E375" s="64"/>
      <c r="F375" s="65">
        <v>3</v>
      </c>
      <c r="G375" s="94" t="s">
        <v>1</v>
      </c>
      <c r="H375" s="95"/>
      <c r="I375" s="67">
        <f t="shared" si="14"/>
        <v>0</v>
      </c>
    </row>
    <row r="376" spans="1:9" s="8" customFormat="1" ht="12" customHeight="1" x14ac:dyDescent="0.3">
      <c r="A376" s="135"/>
      <c r="B376" s="136"/>
      <c r="C376" s="19" t="s">
        <v>154</v>
      </c>
      <c r="D376" s="19"/>
      <c r="E376" s="64"/>
      <c r="F376" s="65">
        <v>2</v>
      </c>
      <c r="G376" s="94" t="s">
        <v>1</v>
      </c>
      <c r="H376" s="95"/>
      <c r="I376" s="67">
        <f t="shared" si="14"/>
        <v>0</v>
      </c>
    </row>
    <row r="377" spans="1:9" s="8" customFormat="1" ht="12" customHeight="1" x14ac:dyDescent="0.3">
      <c r="A377" s="135"/>
      <c r="B377" s="136"/>
      <c r="C377" s="19" t="s">
        <v>125</v>
      </c>
      <c r="D377" s="19"/>
      <c r="E377" s="64"/>
      <c r="F377" s="65">
        <v>2</v>
      </c>
      <c r="G377" s="94" t="s">
        <v>1</v>
      </c>
      <c r="H377" s="95"/>
      <c r="I377" s="67">
        <f t="shared" si="14"/>
        <v>0</v>
      </c>
    </row>
    <row r="378" spans="1:9" s="8" customFormat="1" ht="12" customHeight="1" x14ac:dyDescent="0.3">
      <c r="A378" s="135"/>
      <c r="B378" s="136"/>
      <c r="C378" s="19" t="s">
        <v>126</v>
      </c>
      <c r="D378" s="19"/>
      <c r="E378" s="64"/>
      <c r="F378" s="65">
        <v>3</v>
      </c>
      <c r="G378" s="94" t="s">
        <v>1</v>
      </c>
      <c r="H378" s="95"/>
      <c r="I378" s="67">
        <f t="shared" si="14"/>
        <v>0</v>
      </c>
    </row>
    <row r="379" spans="1:9" s="8" customFormat="1" ht="12" customHeight="1" x14ac:dyDescent="0.3">
      <c r="A379" s="135"/>
      <c r="B379" s="142" t="s">
        <v>141</v>
      </c>
      <c r="C379" s="19"/>
      <c r="D379" s="19"/>
      <c r="E379" s="64"/>
      <c r="F379" s="65"/>
      <c r="G379" s="94"/>
      <c r="H379" s="95"/>
      <c r="I379" s="67"/>
    </row>
    <row r="380" spans="1:9" s="8" customFormat="1" ht="12" customHeight="1" x14ac:dyDescent="0.3">
      <c r="A380" s="135"/>
      <c r="B380" s="136"/>
      <c r="C380" s="19" t="s">
        <v>132</v>
      </c>
      <c r="D380" s="19"/>
      <c r="E380" s="64"/>
      <c r="F380" s="65">
        <v>1</v>
      </c>
      <c r="G380" s="94" t="s">
        <v>118</v>
      </c>
      <c r="H380" s="95"/>
      <c r="I380" s="67">
        <f t="shared" ref="I380:I383" si="15">H380*F380</f>
        <v>0</v>
      </c>
    </row>
    <row r="381" spans="1:9" s="8" customFormat="1" ht="12" customHeight="1" x14ac:dyDescent="0.3">
      <c r="A381" s="135"/>
      <c r="B381" s="136"/>
      <c r="C381" s="19" t="s">
        <v>122</v>
      </c>
      <c r="D381" s="19"/>
      <c r="E381" s="64"/>
      <c r="F381" s="65">
        <v>3</v>
      </c>
      <c r="G381" s="94" t="s">
        <v>1</v>
      </c>
      <c r="H381" s="95"/>
      <c r="I381" s="67">
        <f t="shared" si="15"/>
        <v>0</v>
      </c>
    </row>
    <row r="382" spans="1:9" s="8" customFormat="1" ht="12" customHeight="1" x14ac:dyDescent="0.3">
      <c r="A382" s="135"/>
      <c r="B382" s="136"/>
      <c r="C382" s="19" t="s">
        <v>126</v>
      </c>
      <c r="D382" s="19"/>
      <c r="E382" s="64"/>
      <c r="F382" s="65">
        <v>3</v>
      </c>
      <c r="G382" s="94" t="s">
        <v>1</v>
      </c>
      <c r="H382" s="95"/>
      <c r="I382" s="67">
        <f t="shared" si="15"/>
        <v>0</v>
      </c>
    </row>
    <row r="383" spans="1:9" s="8" customFormat="1" ht="12" customHeight="1" x14ac:dyDescent="0.3">
      <c r="A383" s="135"/>
      <c r="B383" s="136"/>
      <c r="C383" s="19" t="s">
        <v>131</v>
      </c>
      <c r="D383" s="19"/>
      <c r="E383" s="64"/>
      <c r="F383" s="65">
        <v>1</v>
      </c>
      <c r="G383" s="94" t="s">
        <v>68</v>
      </c>
      <c r="H383" s="95"/>
      <c r="I383" s="67">
        <f t="shared" si="15"/>
        <v>0</v>
      </c>
    </row>
    <row r="384" spans="1:9" s="8" customFormat="1" ht="12" customHeight="1" x14ac:dyDescent="0.3">
      <c r="A384" s="135"/>
      <c r="B384" s="136"/>
      <c r="C384" s="19"/>
      <c r="D384" s="19"/>
      <c r="E384" s="64"/>
      <c r="F384" s="65"/>
      <c r="G384" s="94"/>
      <c r="H384" s="95"/>
      <c r="I384" s="67"/>
    </row>
    <row r="385" spans="1:9" s="8" customFormat="1" ht="12" customHeight="1" x14ac:dyDescent="0.3">
      <c r="A385" s="117"/>
      <c r="B385" s="121"/>
      <c r="C385" s="166"/>
      <c r="D385" s="166"/>
      <c r="E385" s="166"/>
      <c r="F385" s="166"/>
      <c r="G385" s="166"/>
      <c r="H385" s="166"/>
      <c r="I385" s="167"/>
    </row>
    <row r="386" spans="1:9" s="8" customFormat="1" ht="12" customHeight="1" x14ac:dyDescent="0.3">
      <c r="A386" s="117"/>
      <c r="B386" s="168" t="s">
        <v>511</v>
      </c>
      <c r="C386" s="169"/>
      <c r="D386" s="169"/>
      <c r="E386" s="170"/>
      <c r="F386" s="169"/>
      <c r="G386" s="169"/>
      <c r="H386" s="169"/>
      <c r="I386" s="171"/>
    </row>
    <row r="387" spans="1:9" s="8" customFormat="1" ht="12" customHeight="1" x14ac:dyDescent="0.3">
      <c r="A387" s="117"/>
      <c r="B387" s="168"/>
      <c r="C387" s="169" t="s">
        <v>512</v>
      </c>
      <c r="D387" s="169"/>
      <c r="E387" s="169"/>
      <c r="F387" s="169"/>
      <c r="G387" s="169"/>
      <c r="H387" s="169"/>
      <c r="I387" s="171"/>
    </row>
    <row r="388" spans="1:9" s="8" customFormat="1" ht="12" customHeight="1" x14ac:dyDescent="0.3">
      <c r="A388" s="117"/>
      <c r="B388" s="172"/>
      <c r="C388" s="173"/>
      <c r="D388" s="173"/>
      <c r="E388" s="173"/>
      <c r="F388" s="173"/>
      <c r="G388" s="173"/>
      <c r="H388" s="173"/>
      <c r="I388" s="174"/>
    </row>
    <row r="389" spans="1:9" s="8" customFormat="1" ht="12" customHeight="1" x14ac:dyDescent="0.3">
      <c r="A389" s="122" t="s">
        <v>369</v>
      </c>
      <c r="B389" s="123" t="s">
        <v>55</v>
      </c>
      <c r="C389" s="48"/>
      <c r="D389" s="48"/>
      <c r="E389" s="68"/>
      <c r="F389" s="69">
        <v>387.4</v>
      </c>
      <c r="G389" s="70" t="s">
        <v>76</v>
      </c>
      <c r="H389" s="71"/>
      <c r="I389" s="72"/>
    </row>
    <row r="390" spans="1:9" s="8" customFormat="1" ht="12" customHeight="1" x14ac:dyDescent="0.3">
      <c r="A390" s="130"/>
      <c r="B390" s="118" t="s">
        <v>22</v>
      </c>
      <c r="C390" s="19"/>
      <c r="D390" s="19"/>
      <c r="E390" s="64"/>
      <c r="F390" s="56"/>
      <c r="G390" s="114"/>
      <c r="H390" s="95"/>
      <c r="I390" s="67"/>
    </row>
    <row r="391" spans="1:9" s="8" customFormat="1" ht="12" customHeight="1" x14ac:dyDescent="0.3">
      <c r="A391" s="130"/>
      <c r="B391" s="125"/>
      <c r="C391" s="18" t="s">
        <v>431</v>
      </c>
      <c r="D391" s="18"/>
      <c r="E391" s="64"/>
      <c r="F391" s="56"/>
      <c r="G391" s="114"/>
      <c r="H391" s="95"/>
      <c r="I391" s="67"/>
    </row>
    <row r="392" spans="1:9" s="8" customFormat="1" ht="12" customHeight="1" x14ac:dyDescent="0.3">
      <c r="A392" s="130"/>
      <c r="B392" s="125"/>
      <c r="C392" s="18" t="s">
        <v>432</v>
      </c>
      <c r="D392" s="18"/>
      <c r="E392" s="64"/>
      <c r="F392" s="56"/>
      <c r="G392" s="114"/>
      <c r="H392" s="95"/>
      <c r="I392" s="67"/>
    </row>
    <row r="393" spans="1:9" s="8" customFormat="1" ht="12" customHeight="1" x14ac:dyDescent="0.3">
      <c r="A393" s="130"/>
      <c r="B393" s="125"/>
      <c r="C393" s="18" t="s">
        <v>433</v>
      </c>
      <c r="D393" s="18"/>
      <c r="E393" s="64"/>
      <c r="F393" s="56"/>
      <c r="G393" s="114"/>
      <c r="H393" s="95"/>
      <c r="I393" s="67"/>
    </row>
    <row r="394" spans="1:9" s="8" customFormat="1" ht="12" customHeight="1" x14ac:dyDescent="0.3">
      <c r="A394" s="130"/>
      <c r="B394" s="128" t="s">
        <v>79</v>
      </c>
      <c r="C394" s="150" t="s">
        <v>440</v>
      </c>
      <c r="D394" s="18"/>
      <c r="E394" s="64"/>
      <c r="F394" s="56"/>
      <c r="G394" s="114"/>
      <c r="H394" s="95"/>
      <c r="I394" s="67"/>
    </row>
    <row r="395" spans="1:9" s="8" customFormat="1" ht="12" customHeight="1" x14ac:dyDescent="0.3">
      <c r="A395" s="130"/>
      <c r="B395" s="128"/>
      <c r="C395" s="150" t="s">
        <v>258</v>
      </c>
      <c r="D395" s="18"/>
      <c r="E395" s="64"/>
      <c r="F395" s="56"/>
      <c r="G395" s="114"/>
      <c r="H395" s="95"/>
      <c r="I395" s="67"/>
    </row>
    <row r="396" spans="1:9" s="8" customFormat="1" ht="12" customHeight="1" x14ac:dyDescent="0.3">
      <c r="A396" s="130"/>
      <c r="B396" s="118" t="s">
        <v>25</v>
      </c>
      <c r="C396" s="19"/>
      <c r="D396" s="19"/>
      <c r="E396" s="64"/>
      <c r="F396" s="56"/>
      <c r="G396" s="114"/>
      <c r="H396" s="95"/>
      <c r="I396" s="67"/>
    </row>
    <row r="397" spans="1:9" s="8" customFormat="1" ht="12" customHeight="1" x14ac:dyDescent="0.3">
      <c r="A397" s="130"/>
      <c r="B397" s="128" t="s">
        <v>261</v>
      </c>
      <c r="C397" s="28"/>
      <c r="E397" s="64"/>
      <c r="F397" s="56"/>
      <c r="G397" s="114"/>
      <c r="H397" s="95"/>
      <c r="I397" s="67"/>
    </row>
    <row r="398" spans="1:9" s="8" customFormat="1" ht="12" customHeight="1" x14ac:dyDescent="0.3">
      <c r="A398" s="130"/>
      <c r="B398" s="125"/>
      <c r="C398" s="18" t="s">
        <v>97</v>
      </c>
      <c r="D398" s="18"/>
      <c r="E398" s="64"/>
      <c r="F398" s="65">
        <v>1</v>
      </c>
      <c r="G398" s="114" t="s">
        <v>156</v>
      </c>
      <c r="H398" s="95"/>
      <c r="I398" s="67">
        <f t="shared" ref="I398:I413" si="16">H398*F398</f>
        <v>0</v>
      </c>
    </row>
    <row r="399" spans="1:9" s="8" customFormat="1" ht="12" customHeight="1" x14ac:dyDescent="0.3">
      <c r="A399" s="130"/>
      <c r="B399" s="125"/>
      <c r="C399" s="18" t="s">
        <v>338</v>
      </c>
      <c r="D399" s="18"/>
      <c r="E399" s="64"/>
      <c r="F399" s="65">
        <v>14</v>
      </c>
      <c r="G399" s="114" t="s">
        <v>7</v>
      </c>
      <c r="H399" s="95"/>
      <c r="I399" s="67">
        <f t="shared" si="16"/>
        <v>0</v>
      </c>
    </row>
    <row r="400" spans="1:9" s="8" customFormat="1" ht="12" customHeight="1" x14ac:dyDescent="0.3">
      <c r="A400" s="130"/>
      <c r="B400" s="125"/>
      <c r="C400" s="18" t="s">
        <v>339</v>
      </c>
      <c r="D400" s="18"/>
      <c r="E400" s="64"/>
      <c r="F400" s="65">
        <v>28</v>
      </c>
      <c r="G400" s="114" t="s">
        <v>7</v>
      </c>
      <c r="H400" s="95"/>
      <c r="I400" s="67">
        <f t="shared" si="16"/>
        <v>0</v>
      </c>
    </row>
    <row r="401" spans="1:9" s="8" customFormat="1" ht="12" customHeight="1" x14ac:dyDescent="0.3">
      <c r="A401" s="130"/>
      <c r="B401" s="125"/>
      <c r="C401" s="18" t="s">
        <v>434</v>
      </c>
      <c r="D401" s="18"/>
      <c r="E401" s="64"/>
      <c r="F401" s="65">
        <v>6</v>
      </c>
      <c r="G401" s="114" t="s">
        <v>7</v>
      </c>
      <c r="H401" s="95"/>
      <c r="I401" s="67">
        <f t="shared" si="16"/>
        <v>0</v>
      </c>
    </row>
    <row r="402" spans="1:9" s="8" customFormat="1" ht="12" customHeight="1" x14ac:dyDescent="0.3">
      <c r="A402" s="130"/>
      <c r="B402" s="132" t="s">
        <v>260</v>
      </c>
      <c r="C402" s="18"/>
      <c r="D402" s="18"/>
      <c r="E402" s="64"/>
      <c r="F402" s="65"/>
      <c r="G402" s="114"/>
      <c r="H402" s="95"/>
      <c r="I402" s="67"/>
    </row>
    <row r="403" spans="1:9" s="8" customFormat="1" ht="12" customHeight="1" x14ac:dyDescent="0.3">
      <c r="A403" s="130"/>
      <c r="B403" s="125"/>
      <c r="C403" s="18" t="s">
        <v>340</v>
      </c>
      <c r="D403" s="18"/>
      <c r="E403" s="64"/>
      <c r="F403" s="75">
        <v>1.5</v>
      </c>
      <c r="G403" s="114" t="s">
        <v>7</v>
      </c>
      <c r="H403" s="95"/>
      <c r="I403" s="67">
        <f t="shared" si="16"/>
        <v>0</v>
      </c>
    </row>
    <row r="404" spans="1:9" s="8" customFormat="1" ht="12" customHeight="1" x14ac:dyDescent="0.3">
      <c r="A404" s="130"/>
      <c r="B404" s="125"/>
      <c r="C404" s="18" t="s">
        <v>341</v>
      </c>
      <c r="D404" s="18"/>
      <c r="E404" s="64"/>
      <c r="F404" s="65">
        <v>4</v>
      </c>
      <c r="G404" s="114" t="s">
        <v>7</v>
      </c>
      <c r="H404" s="95"/>
      <c r="I404" s="67">
        <f t="shared" si="16"/>
        <v>0</v>
      </c>
    </row>
    <row r="405" spans="1:9" s="8" customFormat="1" ht="12" customHeight="1" x14ac:dyDescent="0.3">
      <c r="A405" s="130"/>
      <c r="B405" s="125"/>
      <c r="C405" s="18" t="s">
        <v>8</v>
      </c>
      <c r="D405" s="18"/>
      <c r="E405" s="64"/>
      <c r="F405" s="65">
        <v>2</v>
      </c>
      <c r="G405" s="114" t="s">
        <v>7</v>
      </c>
      <c r="H405" s="95"/>
      <c r="I405" s="67">
        <f t="shared" si="16"/>
        <v>0</v>
      </c>
    </row>
    <row r="406" spans="1:9" s="8" customFormat="1" ht="12" customHeight="1" x14ac:dyDescent="0.3">
      <c r="A406" s="130"/>
      <c r="B406" s="132" t="s">
        <v>227</v>
      </c>
      <c r="C406" s="18"/>
      <c r="D406" s="18"/>
      <c r="E406" s="64"/>
      <c r="F406" s="65"/>
      <c r="G406" s="114"/>
      <c r="H406" s="95"/>
      <c r="I406" s="67"/>
    </row>
    <row r="407" spans="1:9" s="8" customFormat="1" ht="12" customHeight="1" x14ac:dyDescent="0.3">
      <c r="A407" s="130"/>
      <c r="B407" s="125"/>
      <c r="C407" s="18" t="s">
        <v>99</v>
      </c>
      <c r="D407" s="18"/>
      <c r="E407" s="64"/>
      <c r="F407" s="65">
        <v>2</v>
      </c>
      <c r="G407" s="114" t="s">
        <v>7</v>
      </c>
      <c r="H407" s="95"/>
      <c r="I407" s="67">
        <f t="shared" si="16"/>
        <v>0</v>
      </c>
    </row>
    <row r="408" spans="1:9" s="8" customFormat="1" ht="12" customHeight="1" x14ac:dyDescent="0.3">
      <c r="A408" s="130"/>
      <c r="B408" s="136"/>
      <c r="C408" s="18" t="s">
        <v>100</v>
      </c>
      <c r="D408" s="18"/>
      <c r="E408" s="64"/>
      <c r="F408" s="65">
        <v>4</v>
      </c>
      <c r="G408" s="114" t="s">
        <v>101</v>
      </c>
      <c r="H408" s="95"/>
      <c r="I408" s="67">
        <f t="shared" si="16"/>
        <v>0</v>
      </c>
    </row>
    <row r="409" spans="1:9" s="8" customFormat="1" ht="12" customHeight="1" x14ac:dyDescent="0.3">
      <c r="A409" s="130"/>
      <c r="B409" s="136"/>
      <c r="C409" s="18" t="s">
        <v>102</v>
      </c>
      <c r="D409" s="18"/>
      <c r="E409" s="64"/>
      <c r="F409" s="65">
        <v>4</v>
      </c>
      <c r="G409" s="114" t="s">
        <v>101</v>
      </c>
      <c r="H409" s="95"/>
      <c r="I409" s="67">
        <f t="shared" si="16"/>
        <v>0</v>
      </c>
    </row>
    <row r="410" spans="1:9" s="8" customFormat="1" ht="12" customHeight="1" x14ac:dyDescent="0.3">
      <c r="A410" s="130"/>
      <c r="B410" s="136"/>
      <c r="C410" s="18" t="s">
        <v>103</v>
      </c>
      <c r="D410" s="18"/>
      <c r="E410" s="64"/>
      <c r="F410" s="65">
        <v>18</v>
      </c>
      <c r="G410" s="114" t="s">
        <v>1</v>
      </c>
      <c r="H410" s="95"/>
      <c r="I410" s="67">
        <f t="shared" si="16"/>
        <v>0</v>
      </c>
    </row>
    <row r="411" spans="1:9" s="8" customFormat="1" ht="12" customHeight="1" x14ac:dyDescent="0.3">
      <c r="A411" s="130"/>
      <c r="B411" s="136"/>
      <c r="C411" s="18" t="s">
        <v>104</v>
      </c>
      <c r="D411" s="18"/>
      <c r="E411" s="64"/>
      <c r="F411" s="65">
        <v>4</v>
      </c>
      <c r="G411" s="114" t="s">
        <v>6</v>
      </c>
      <c r="H411" s="95"/>
      <c r="I411" s="67">
        <f t="shared" si="16"/>
        <v>0</v>
      </c>
    </row>
    <row r="412" spans="1:9" s="8" customFormat="1" ht="12" customHeight="1" x14ac:dyDescent="0.3">
      <c r="A412" s="130"/>
      <c r="B412" s="136"/>
      <c r="C412" s="27" t="s">
        <v>212</v>
      </c>
      <c r="D412" s="45"/>
      <c r="E412" s="64"/>
      <c r="F412" s="65">
        <v>6</v>
      </c>
      <c r="G412" s="114" t="s">
        <v>1</v>
      </c>
      <c r="H412" s="95"/>
      <c r="I412" s="67">
        <f t="shared" si="16"/>
        <v>0</v>
      </c>
    </row>
    <row r="413" spans="1:9" s="8" customFormat="1" ht="12" customHeight="1" x14ac:dyDescent="0.3">
      <c r="A413" s="130"/>
      <c r="B413" s="136"/>
      <c r="C413" s="18" t="s">
        <v>105</v>
      </c>
      <c r="D413" s="18"/>
      <c r="E413" s="64"/>
      <c r="F413" s="65">
        <v>3</v>
      </c>
      <c r="G413" s="114" t="s">
        <v>1</v>
      </c>
      <c r="H413" s="95"/>
      <c r="I413" s="67">
        <f t="shared" si="16"/>
        <v>0</v>
      </c>
    </row>
    <row r="414" spans="1:9" s="8" customFormat="1" ht="12" customHeight="1" x14ac:dyDescent="0.3">
      <c r="A414" s="130"/>
      <c r="B414" s="136"/>
      <c r="C414" s="18"/>
      <c r="D414" s="18"/>
      <c r="E414" s="64"/>
      <c r="F414" s="65"/>
      <c r="G414" s="114"/>
      <c r="H414" s="95"/>
      <c r="I414" s="67"/>
    </row>
    <row r="415" spans="1:9" s="8" customFormat="1" ht="12" customHeight="1" x14ac:dyDescent="0.3">
      <c r="A415" s="117"/>
      <c r="B415" s="121"/>
      <c r="C415" s="166"/>
      <c r="D415" s="166"/>
      <c r="E415" s="166"/>
      <c r="F415" s="166"/>
      <c r="G415" s="166"/>
      <c r="H415" s="166"/>
      <c r="I415" s="167"/>
    </row>
    <row r="416" spans="1:9" s="8" customFormat="1" ht="12" customHeight="1" x14ac:dyDescent="0.3">
      <c r="A416" s="117"/>
      <c r="B416" s="168" t="s">
        <v>511</v>
      </c>
      <c r="C416" s="169"/>
      <c r="D416" s="169"/>
      <c r="E416" s="170"/>
      <c r="F416" s="169"/>
      <c r="G416" s="169"/>
      <c r="H416" s="169"/>
      <c r="I416" s="171"/>
    </row>
    <row r="417" spans="1:9" s="8" customFormat="1" ht="12" customHeight="1" x14ac:dyDescent="0.3">
      <c r="A417" s="117"/>
      <c r="B417" s="168"/>
      <c r="C417" s="169" t="s">
        <v>512</v>
      </c>
      <c r="D417" s="169"/>
      <c r="E417" s="169"/>
      <c r="F417" s="169"/>
      <c r="G417" s="169"/>
      <c r="H417" s="169"/>
      <c r="I417" s="171"/>
    </row>
    <row r="418" spans="1:9" s="8" customFormat="1" ht="12" customHeight="1" x14ac:dyDescent="0.3">
      <c r="A418" s="117"/>
      <c r="B418" s="172"/>
      <c r="C418" s="173"/>
      <c r="D418" s="173"/>
      <c r="E418" s="173"/>
      <c r="F418" s="173"/>
      <c r="G418" s="173"/>
      <c r="H418" s="173"/>
      <c r="I418" s="174"/>
    </row>
    <row r="419" spans="1:9" s="8" customFormat="1" ht="14.1" customHeight="1" thickBot="1" x14ac:dyDescent="0.35">
      <c r="A419" s="175"/>
      <c r="B419" s="176"/>
      <c r="C419" s="176"/>
      <c r="D419" s="176"/>
      <c r="E419" s="177"/>
      <c r="F419" s="178"/>
      <c r="G419" s="179"/>
      <c r="H419" s="180"/>
      <c r="I419" s="181"/>
    </row>
    <row r="420" spans="1:9" s="8" customFormat="1" ht="15" customHeight="1" thickTop="1" x14ac:dyDescent="0.3">
      <c r="A420" s="414" t="s">
        <v>616</v>
      </c>
      <c r="B420" s="415" t="s">
        <v>617</v>
      </c>
      <c r="C420" s="416"/>
      <c r="D420" s="416"/>
      <c r="E420" s="417"/>
      <c r="F420" s="418">
        <v>1</v>
      </c>
      <c r="G420" s="419" t="s">
        <v>144</v>
      </c>
      <c r="H420" s="420"/>
      <c r="I420" s="421"/>
    </row>
    <row r="421" spans="1:9" s="8" customFormat="1" ht="15" customHeight="1" x14ac:dyDescent="0.3">
      <c r="A421" s="242"/>
      <c r="B421" s="204" t="s">
        <v>22</v>
      </c>
      <c r="C421" s="217"/>
      <c r="D421" s="217"/>
      <c r="E421" s="221"/>
      <c r="F421" s="222"/>
      <c r="G421" s="250"/>
      <c r="H421" s="251"/>
      <c r="I421" s="220"/>
    </row>
    <row r="422" spans="1:9" s="8" customFormat="1" ht="24" customHeight="1" x14ac:dyDescent="0.3">
      <c r="A422" s="242"/>
      <c r="B422" s="227"/>
      <c r="C422" s="205" t="s">
        <v>618</v>
      </c>
      <c r="D422" s="205"/>
      <c r="E422" s="221"/>
      <c r="F422" s="222"/>
      <c r="G422" s="250"/>
      <c r="H422" s="251"/>
      <c r="I422" s="220"/>
    </row>
    <row r="423" spans="1:9" s="8" customFormat="1" ht="15" customHeight="1" x14ac:dyDescent="0.3">
      <c r="A423" s="242"/>
      <c r="B423" s="227"/>
      <c r="C423" s="205" t="s">
        <v>619</v>
      </c>
      <c r="D423" s="205"/>
      <c r="E423" s="221"/>
      <c r="F423" s="222"/>
      <c r="G423" s="250"/>
      <c r="H423" s="251"/>
      <c r="I423" s="220"/>
    </row>
    <row r="424" spans="1:9" s="8" customFormat="1" ht="15" customHeight="1" x14ac:dyDescent="0.3">
      <c r="A424" s="242"/>
      <c r="B424" s="227"/>
      <c r="C424" s="205" t="s">
        <v>620</v>
      </c>
      <c r="D424" s="205"/>
      <c r="E424" s="221"/>
      <c r="F424" s="222"/>
      <c r="G424" s="250"/>
      <c r="H424" s="251"/>
      <c r="I424" s="220"/>
    </row>
    <row r="425" spans="1:9" s="8" customFormat="1" ht="12" customHeight="1" x14ac:dyDescent="0.3">
      <c r="A425" s="203"/>
      <c r="B425" s="404"/>
      <c r="C425" s="227" t="s">
        <v>629</v>
      </c>
      <c r="D425" s="205"/>
      <c r="E425" s="206"/>
      <c r="F425" s="222"/>
      <c r="G425" s="208"/>
      <c r="H425" s="215"/>
      <c r="I425" s="220"/>
    </row>
    <row r="426" spans="1:9" s="8" customFormat="1" ht="12" customHeight="1" x14ac:dyDescent="0.3">
      <c r="A426" s="203"/>
      <c r="C426" s="227" t="s">
        <v>178</v>
      </c>
      <c r="D426" s="205"/>
      <c r="E426" s="205"/>
      <c r="F426" s="206"/>
      <c r="G426" s="222"/>
      <c r="H426" s="208"/>
      <c r="I426" s="220"/>
    </row>
    <row r="427" spans="1:9" s="8" customFormat="1" ht="12" customHeight="1" x14ac:dyDescent="0.3">
      <c r="A427" s="203"/>
      <c r="B427" s="228"/>
      <c r="C427" s="229" t="s">
        <v>630</v>
      </c>
      <c r="D427" s="205"/>
      <c r="E427" s="230"/>
      <c r="F427" s="222"/>
      <c r="G427" s="208"/>
      <c r="H427" s="402"/>
      <c r="I427" s="403"/>
    </row>
    <row r="428" spans="1:9" s="8" customFormat="1" ht="12" customHeight="1" x14ac:dyDescent="0.3">
      <c r="A428" s="203"/>
      <c r="B428" s="228"/>
      <c r="C428" s="231" t="s">
        <v>631</v>
      </c>
      <c r="D428" s="205"/>
      <c r="E428" s="230"/>
      <c r="F428" s="222"/>
      <c r="G428" s="208"/>
      <c r="H428" s="402"/>
      <c r="I428" s="403"/>
    </row>
    <row r="429" spans="1:9" s="8" customFormat="1" ht="15" customHeight="1" x14ac:dyDescent="0.3">
      <c r="A429" s="242"/>
      <c r="B429" s="204" t="s">
        <v>25</v>
      </c>
      <c r="C429" s="217"/>
      <c r="D429" s="217"/>
      <c r="E429" s="221"/>
      <c r="F429" s="222"/>
      <c r="G429" s="250"/>
      <c r="H429" s="251"/>
      <c r="I429" s="220"/>
    </row>
    <row r="430" spans="1:9" s="8" customFormat="1" ht="15" customHeight="1" x14ac:dyDescent="0.3">
      <c r="A430" s="242"/>
      <c r="B430" s="227"/>
      <c r="C430" s="205" t="s">
        <v>621</v>
      </c>
      <c r="D430" s="205"/>
      <c r="E430" s="221"/>
      <c r="F430" s="219">
        <v>1</v>
      </c>
      <c r="G430" s="250" t="s">
        <v>632</v>
      </c>
      <c r="H430" s="251"/>
      <c r="I430" s="220"/>
    </row>
    <row r="431" spans="1:9" s="8" customFormat="1" ht="15" customHeight="1" x14ac:dyDescent="0.3">
      <c r="A431" s="242"/>
      <c r="B431" s="227"/>
      <c r="C431" s="205" t="s">
        <v>623</v>
      </c>
      <c r="D431" s="205"/>
      <c r="E431" s="221"/>
      <c r="F431" s="219">
        <v>2</v>
      </c>
      <c r="G431" s="250" t="s">
        <v>1</v>
      </c>
      <c r="H431" s="251"/>
      <c r="I431" s="220"/>
    </row>
    <row r="432" spans="1:9" s="8" customFormat="1" ht="15" customHeight="1" x14ac:dyDescent="0.3">
      <c r="A432" s="242"/>
      <c r="B432" s="227"/>
      <c r="C432" s="205" t="s">
        <v>622</v>
      </c>
      <c r="D432" s="205"/>
      <c r="E432" s="221"/>
      <c r="F432" s="219">
        <v>2</v>
      </c>
      <c r="G432" s="250" t="s">
        <v>1</v>
      </c>
      <c r="H432" s="251"/>
      <c r="I432" s="220"/>
    </row>
    <row r="433" spans="1:12" s="8" customFormat="1" ht="15" customHeight="1" x14ac:dyDescent="0.3">
      <c r="A433" s="242"/>
      <c r="B433" s="227"/>
      <c r="C433" s="205" t="s">
        <v>624</v>
      </c>
      <c r="D433" s="205"/>
      <c r="E433" s="221"/>
      <c r="F433" s="219">
        <v>2</v>
      </c>
      <c r="G433" s="250" t="s">
        <v>1</v>
      </c>
      <c r="H433" s="251"/>
      <c r="I433" s="220"/>
    </row>
    <row r="434" spans="1:12" s="8" customFormat="1" ht="15" customHeight="1" x14ac:dyDescent="0.3">
      <c r="A434" s="242"/>
      <c r="B434" s="245"/>
      <c r="C434" s="205" t="s">
        <v>625</v>
      </c>
      <c r="D434" s="205"/>
      <c r="E434" s="221"/>
      <c r="F434" s="219">
        <v>8</v>
      </c>
      <c r="G434" s="250" t="s">
        <v>1</v>
      </c>
      <c r="H434" s="251"/>
      <c r="I434" s="220"/>
    </row>
    <row r="435" spans="1:12" s="8" customFormat="1" ht="15" customHeight="1" x14ac:dyDescent="0.3">
      <c r="A435" s="242"/>
      <c r="B435" s="227"/>
      <c r="C435" s="205" t="s">
        <v>626</v>
      </c>
      <c r="D435" s="205"/>
      <c r="E435" s="221"/>
      <c r="F435" s="219">
        <v>2</v>
      </c>
      <c r="G435" s="250" t="s">
        <v>1</v>
      </c>
      <c r="H435" s="251"/>
      <c r="I435" s="220"/>
    </row>
    <row r="436" spans="1:12" s="8" customFormat="1" ht="15" customHeight="1" x14ac:dyDescent="0.3">
      <c r="A436" s="242"/>
      <c r="B436" s="227"/>
      <c r="C436" s="205" t="s">
        <v>627</v>
      </c>
      <c r="D436" s="205"/>
      <c r="E436" s="221"/>
      <c r="F436" s="219">
        <v>7</v>
      </c>
      <c r="G436" s="250" t="s">
        <v>1</v>
      </c>
      <c r="H436" s="251"/>
      <c r="I436" s="220"/>
    </row>
    <row r="437" spans="1:12" s="8" customFormat="1" ht="15" customHeight="1" x14ac:dyDescent="0.3">
      <c r="A437" s="242"/>
      <c r="B437" s="227"/>
      <c r="C437" s="205" t="s">
        <v>628</v>
      </c>
      <c r="D437" s="205"/>
      <c r="E437" s="221"/>
      <c r="F437" s="219">
        <v>4</v>
      </c>
      <c r="G437" s="250" t="s">
        <v>1</v>
      </c>
      <c r="H437" s="251"/>
      <c r="I437" s="220"/>
    </row>
    <row r="438" spans="1:12" s="8" customFormat="1" ht="15" customHeight="1" x14ac:dyDescent="0.3">
      <c r="A438" s="242"/>
      <c r="B438" s="227"/>
      <c r="C438" s="205" t="s">
        <v>624</v>
      </c>
      <c r="D438" s="205"/>
      <c r="E438" s="221"/>
      <c r="F438" s="219">
        <v>2</v>
      </c>
      <c r="G438" s="250" t="s">
        <v>1</v>
      </c>
      <c r="H438" s="251"/>
      <c r="I438" s="220"/>
    </row>
    <row r="439" spans="1:12" s="8" customFormat="1" ht="12" customHeight="1" x14ac:dyDescent="0.3">
      <c r="A439" s="203"/>
      <c r="B439" s="204"/>
      <c r="C439" s="205" t="s">
        <v>3</v>
      </c>
      <c r="D439" s="217"/>
      <c r="E439" s="206"/>
      <c r="F439" s="219">
        <v>46</v>
      </c>
      <c r="G439" s="208" t="s">
        <v>2</v>
      </c>
      <c r="H439" s="215"/>
      <c r="I439" s="220"/>
      <c r="J439" s="9"/>
      <c r="K439" s="21"/>
      <c r="L439" s="21"/>
    </row>
    <row r="440" spans="1:12" s="8" customFormat="1" ht="12" customHeight="1" x14ac:dyDescent="0.3">
      <c r="A440" s="203"/>
      <c r="B440" s="204"/>
      <c r="C440" s="205" t="s">
        <v>73</v>
      </c>
      <c r="D440" s="217"/>
      <c r="E440" s="206"/>
      <c r="F440" s="219">
        <v>5</v>
      </c>
      <c r="G440" s="208" t="s">
        <v>4</v>
      </c>
      <c r="H440" s="215"/>
      <c r="I440" s="220"/>
      <c r="J440" s="9"/>
      <c r="K440" s="21"/>
      <c r="L440" s="21"/>
    </row>
    <row r="441" spans="1:12" s="8" customFormat="1" ht="12" customHeight="1" x14ac:dyDescent="0.3">
      <c r="A441" s="203"/>
      <c r="B441" s="204"/>
      <c r="C441" s="205" t="s">
        <v>67</v>
      </c>
      <c r="D441" s="217"/>
      <c r="E441" s="206"/>
      <c r="F441" s="219">
        <v>3</v>
      </c>
      <c r="G441" s="208" t="s">
        <v>4</v>
      </c>
      <c r="H441" s="215"/>
      <c r="I441" s="220"/>
      <c r="J441" s="9"/>
      <c r="K441" s="21"/>
      <c r="L441" s="21"/>
    </row>
    <row r="442" spans="1:12" s="8" customFormat="1" ht="12" customHeight="1" x14ac:dyDescent="0.3">
      <c r="A442" s="203"/>
      <c r="B442" s="211"/>
      <c r="C442" s="205" t="s">
        <v>70</v>
      </c>
      <c r="D442" s="217"/>
      <c r="E442" s="206"/>
      <c r="F442" s="219">
        <v>3</v>
      </c>
      <c r="G442" s="208" t="s">
        <v>0</v>
      </c>
      <c r="H442" s="215"/>
      <c r="I442" s="220"/>
      <c r="J442" s="9"/>
      <c r="K442" s="21"/>
      <c r="L442" s="21"/>
    </row>
    <row r="443" spans="1:12" s="8" customFormat="1" ht="12" customHeight="1" x14ac:dyDescent="0.3">
      <c r="A443" s="203"/>
      <c r="B443" s="211"/>
      <c r="C443" s="205" t="s">
        <v>189</v>
      </c>
      <c r="D443" s="217"/>
      <c r="E443" s="206"/>
      <c r="F443" s="219">
        <v>12</v>
      </c>
      <c r="G443" s="208" t="s">
        <v>1</v>
      </c>
      <c r="H443" s="215"/>
      <c r="I443" s="220"/>
      <c r="J443" s="9"/>
      <c r="K443" s="21"/>
      <c r="L443" s="21"/>
    </row>
    <row r="444" spans="1:12" s="8" customFormat="1" ht="12" customHeight="1" x14ac:dyDescent="0.3">
      <c r="A444" s="203"/>
      <c r="B444" s="211"/>
      <c r="C444" s="205" t="s">
        <v>188</v>
      </c>
      <c r="D444" s="217"/>
      <c r="E444" s="206"/>
      <c r="F444" s="219">
        <v>7</v>
      </c>
      <c r="G444" s="208" t="s">
        <v>1</v>
      </c>
      <c r="H444" s="215"/>
      <c r="I444" s="220"/>
      <c r="J444" s="9"/>
      <c r="K444" s="21"/>
      <c r="L444" s="21"/>
    </row>
    <row r="445" spans="1:12" s="8" customFormat="1" ht="12" customHeight="1" x14ac:dyDescent="0.3">
      <c r="A445" s="203"/>
      <c r="B445" s="211"/>
      <c r="C445" s="205" t="s">
        <v>74</v>
      </c>
      <c r="D445" s="217"/>
      <c r="E445" s="206"/>
      <c r="F445" s="219">
        <v>1</v>
      </c>
      <c r="G445" s="208" t="s">
        <v>1</v>
      </c>
      <c r="H445" s="215"/>
      <c r="I445" s="220"/>
      <c r="J445" s="9"/>
      <c r="K445" s="21"/>
      <c r="L445" s="21"/>
    </row>
    <row r="446" spans="1:12" s="8" customFormat="1" ht="15" customHeight="1" x14ac:dyDescent="0.3">
      <c r="A446" s="242"/>
      <c r="B446" s="245" t="s">
        <v>227</v>
      </c>
      <c r="C446" s="205"/>
      <c r="D446" s="205"/>
      <c r="E446" s="221"/>
      <c r="F446" s="219"/>
      <c r="G446" s="250"/>
      <c r="H446" s="251"/>
      <c r="I446" s="220"/>
    </row>
    <row r="447" spans="1:12" s="8" customFormat="1" ht="20.100000000000001" customHeight="1" x14ac:dyDescent="0.3">
      <c r="A447" s="242"/>
      <c r="B447" s="227"/>
      <c r="C447" s="205" t="s">
        <v>633</v>
      </c>
      <c r="D447" s="205"/>
      <c r="E447" s="221"/>
      <c r="F447" s="219">
        <v>3</v>
      </c>
      <c r="G447" s="250" t="s">
        <v>7</v>
      </c>
      <c r="H447" s="251"/>
      <c r="I447" s="220"/>
    </row>
    <row r="448" spans="1:12" s="8" customFormat="1" ht="20.100000000000001" customHeight="1" x14ac:dyDescent="0.3">
      <c r="A448" s="242"/>
      <c r="B448" s="227"/>
      <c r="C448" s="205" t="s">
        <v>634</v>
      </c>
      <c r="D448" s="205"/>
      <c r="E448" s="221"/>
      <c r="F448" s="219">
        <v>1</v>
      </c>
      <c r="G448" s="250" t="s">
        <v>7</v>
      </c>
      <c r="H448" s="251"/>
      <c r="I448" s="220"/>
    </row>
    <row r="449" spans="1:9" s="8" customFormat="1" ht="12" customHeight="1" x14ac:dyDescent="0.3">
      <c r="A449" s="242"/>
      <c r="B449" s="253"/>
      <c r="C449" s="205" t="s">
        <v>103</v>
      </c>
      <c r="D449" s="205"/>
      <c r="E449" s="221"/>
      <c r="F449" s="219">
        <v>10</v>
      </c>
      <c r="G449" s="250" t="s">
        <v>1</v>
      </c>
      <c r="H449" s="251"/>
      <c r="I449" s="220"/>
    </row>
    <row r="450" spans="1:9" s="8" customFormat="1" ht="12" customHeight="1" x14ac:dyDescent="0.3">
      <c r="A450" s="242"/>
      <c r="B450" s="253"/>
      <c r="C450" s="205" t="s">
        <v>105</v>
      </c>
      <c r="D450" s="205"/>
      <c r="E450" s="221"/>
      <c r="F450" s="219">
        <v>3</v>
      </c>
      <c r="G450" s="250" t="s">
        <v>1</v>
      </c>
      <c r="H450" s="251"/>
      <c r="I450" s="220"/>
    </row>
    <row r="451" spans="1:9" s="8" customFormat="1" ht="12" customHeight="1" x14ac:dyDescent="0.3">
      <c r="A451" s="242"/>
      <c r="B451" s="253"/>
      <c r="C451" s="205"/>
      <c r="D451" s="205"/>
      <c r="E451" s="221"/>
      <c r="F451" s="207"/>
      <c r="G451" s="250"/>
      <c r="H451" s="251"/>
      <c r="I451" s="220"/>
    </row>
    <row r="452" spans="1:9" s="8" customFormat="1" ht="12" customHeight="1" x14ac:dyDescent="0.3">
      <c r="A452" s="117"/>
      <c r="B452" s="168" t="s">
        <v>511</v>
      </c>
      <c r="C452" s="169"/>
      <c r="D452" s="169"/>
      <c r="E452" s="170"/>
      <c r="F452" s="169"/>
      <c r="G452" s="169"/>
      <c r="H452" s="169"/>
      <c r="I452" s="171"/>
    </row>
    <row r="453" spans="1:9" s="8" customFormat="1" ht="12" customHeight="1" x14ac:dyDescent="0.3">
      <c r="A453" s="117"/>
      <c r="B453" s="168"/>
      <c r="C453" s="169" t="s">
        <v>512</v>
      </c>
      <c r="D453" s="169"/>
      <c r="E453" s="169"/>
      <c r="F453" s="169"/>
      <c r="G453" s="169"/>
      <c r="H453" s="169"/>
      <c r="I453" s="171"/>
    </row>
    <row r="454" spans="1:9" s="8" customFormat="1" ht="12" customHeight="1" x14ac:dyDescent="0.3">
      <c r="A454" s="117"/>
      <c r="B454" s="172"/>
      <c r="C454" s="173"/>
      <c r="D454" s="173"/>
      <c r="E454" s="173"/>
      <c r="F454" s="173"/>
      <c r="G454" s="173"/>
      <c r="H454" s="173"/>
      <c r="I454" s="174"/>
    </row>
    <row r="455" spans="1:9" s="8" customFormat="1" ht="14.1" customHeight="1" thickBot="1" x14ac:dyDescent="0.35">
      <c r="A455" s="175"/>
      <c r="B455" s="176"/>
      <c r="C455" s="176"/>
      <c r="D455" s="176"/>
      <c r="E455" s="177"/>
      <c r="F455" s="178"/>
      <c r="G455" s="179"/>
      <c r="H455" s="180"/>
      <c r="I455" s="181"/>
    </row>
    <row r="456" spans="1:9" s="8" customFormat="1" ht="14.1" customHeight="1" thickTop="1" x14ac:dyDescent="0.3">
      <c r="A456" s="182"/>
      <c r="B456" s="182"/>
      <c r="C456" s="182"/>
      <c r="D456" s="182"/>
      <c r="E456" s="182"/>
      <c r="F456" s="182"/>
      <c r="G456" s="182"/>
      <c r="H456" s="182"/>
      <c r="I456" s="182"/>
    </row>
    <row r="457" spans="1:9" s="8" customFormat="1" ht="14.1" customHeight="1" x14ac:dyDescent="0.3">
      <c r="A457" s="182"/>
      <c r="B457" s="182"/>
      <c r="C457" s="182"/>
      <c r="D457" s="182"/>
      <c r="E457" s="182"/>
      <c r="F457" s="182"/>
      <c r="G457" s="182"/>
      <c r="H457" s="182"/>
      <c r="I457" s="182"/>
    </row>
    <row r="458" spans="1:9" s="8" customFormat="1" ht="14.1" customHeight="1" x14ac:dyDescent="0.3">
      <c r="A458" s="182"/>
      <c r="B458" s="182"/>
      <c r="C458" s="182"/>
      <c r="D458" s="182"/>
      <c r="E458" s="182"/>
      <c r="F458" s="182"/>
      <c r="G458" s="182"/>
      <c r="H458" s="182"/>
      <c r="I458" s="182"/>
    </row>
    <row r="459" spans="1:9" s="8" customFormat="1" ht="14.1" customHeight="1" x14ac:dyDescent="0.3">
      <c r="A459" s="182"/>
      <c r="B459" s="182"/>
      <c r="C459" s="182"/>
      <c r="D459" s="182"/>
      <c r="E459" s="182"/>
      <c r="F459" s="182"/>
      <c r="G459" s="182"/>
      <c r="H459" s="182"/>
      <c r="I459" s="182"/>
    </row>
    <row r="460" spans="1:9" s="8" customFormat="1" ht="14.1" customHeight="1" x14ac:dyDescent="0.3">
      <c r="A460" s="851" t="s">
        <v>513</v>
      </c>
      <c r="B460" s="851"/>
      <c r="C460" s="851"/>
      <c r="D460" s="851"/>
      <c r="E460" s="851"/>
      <c r="F460" s="851"/>
      <c r="G460" s="851"/>
      <c r="H460" s="851"/>
      <c r="I460" s="851"/>
    </row>
    <row r="461" spans="1:9" s="8" customFormat="1" ht="14.1" customHeight="1" x14ac:dyDescent="0.3">
      <c r="A461" s="183" t="s">
        <v>160</v>
      </c>
      <c r="B461" s="184" t="s">
        <v>83</v>
      </c>
      <c r="C461" s="184"/>
      <c r="D461" s="184"/>
      <c r="F461" s="185" t="s">
        <v>514</v>
      </c>
      <c r="G461" s="186"/>
      <c r="H461" s="187"/>
      <c r="I461" s="165"/>
    </row>
    <row r="462" spans="1:9" s="8" customFormat="1" ht="14.1" customHeight="1" x14ac:dyDescent="0.3">
      <c r="A462" s="188" t="s">
        <v>161</v>
      </c>
      <c r="B462" s="184" t="s">
        <v>435</v>
      </c>
      <c r="C462" s="184"/>
      <c r="D462" s="184"/>
      <c r="F462" s="185" t="s">
        <v>514</v>
      </c>
      <c r="G462" s="186"/>
      <c r="H462" s="187"/>
      <c r="I462" s="165"/>
    </row>
    <row r="463" spans="1:9" s="8" customFormat="1" ht="14.1" customHeight="1" x14ac:dyDescent="0.3">
      <c r="A463" s="188" t="s">
        <v>162</v>
      </c>
      <c r="B463" s="184" t="s">
        <v>370</v>
      </c>
      <c r="C463" s="184"/>
      <c r="D463" s="184"/>
      <c r="F463" s="185" t="s">
        <v>514</v>
      </c>
      <c r="G463" s="186"/>
      <c r="H463" s="187"/>
      <c r="I463" s="165"/>
    </row>
    <row r="464" spans="1:9" s="8" customFormat="1" ht="14.1" customHeight="1" x14ac:dyDescent="0.3">
      <c r="A464" s="188" t="s">
        <v>135</v>
      </c>
      <c r="B464" s="184" t="s">
        <v>368</v>
      </c>
      <c r="C464" s="184"/>
      <c r="D464" s="184"/>
      <c r="F464" s="185" t="s">
        <v>514</v>
      </c>
      <c r="G464" s="186"/>
      <c r="H464" s="187"/>
      <c r="I464" s="165"/>
    </row>
    <row r="465" spans="1:9" s="8" customFormat="1" ht="14.1" customHeight="1" x14ac:dyDescent="0.3">
      <c r="A465" s="188" t="s">
        <v>163</v>
      </c>
      <c r="B465" s="184" t="s">
        <v>77</v>
      </c>
      <c r="C465" s="184"/>
      <c r="D465" s="184"/>
      <c r="F465" s="185" t="s">
        <v>514</v>
      </c>
      <c r="G465" s="186"/>
      <c r="H465" s="187"/>
      <c r="I465" s="165"/>
    </row>
    <row r="466" spans="1:9" s="8" customFormat="1" ht="14.1" customHeight="1" x14ac:dyDescent="0.3">
      <c r="A466" s="188" t="s">
        <v>164</v>
      </c>
      <c r="B466" s="184" t="s">
        <v>71</v>
      </c>
      <c r="C466" s="184"/>
      <c r="D466" s="184"/>
      <c r="F466" s="185" t="s">
        <v>514</v>
      </c>
      <c r="G466" s="186"/>
      <c r="H466" s="187"/>
      <c r="I466" s="165"/>
    </row>
    <row r="467" spans="1:9" s="8" customFormat="1" ht="14.1" customHeight="1" x14ac:dyDescent="0.3">
      <c r="A467" s="188" t="s">
        <v>165</v>
      </c>
      <c r="B467" s="184" t="s">
        <v>408</v>
      </c>
      <c r="C467" s="184"/>
      <c r="D467" s="184"/>
      <c r="F467" s="185" t="s">
        <v>514</v>
      </c>
      <c r="G467" s="186"/>
      <c r="H467" s="187"/>
      <c r="I467" s="165"/>
    </row>
    <row r="468" spans="1:9" s="8" customFormat="1" ht="14.1" customHeight="1" x14ac:dyDescent="0.3">
      <c r="A468" s="188" t="s">
        <v>166</v>
      </c>
      <c r="B468" s="184" t="s">
        <v>75</v>
      </c>
      <c r="C468" s="184"/>
      <c r="D468" s="184"/>
      <c r="F468" s="185" t="s">
        <v>514</v>
      </c>
      <c r="G468" s="186"/>
      <c r="H468" s="187"/>
      <c r="I468" s="165"/>
    </row>
    <row r="469" spans="1:9" s="8" customFormat="1" ht="14.1" customHeight="1" x14ac:dyDescent="0.3">
      <c r="A469" s="188" t="s">
        <v>167</v>
      </c>
      <c r="B469" s="184" t="s">
        <v>30</v>
      </c>
      <c r="C469" s="184"/>
      <c r="D469" s="184"/>
      <c r="F469" s="185" t="s">
        <v>514</v>
      </c>
      <c r="G469" s="186"/>
      <c r="H469" s="187"/>
      <c r="I469" s="165"/>
    </row>
    <row r="470" spans="1:9" s="8" customFormat="1" ht="14.1" customHeight="1" x14ac:dyDescent="0.3">
      <c r="A470" s="188" t="s">
        <v>168</v>
      </c>
      <c r="B470" s="184" t="s">
        <v>78</v>
      </c>
      <c r="C470" s="184"/>
      <c r="D470" s="184"/>
      <c r="F470" s="185" t="s">
        <v>514</v>
      </c>
      <c r="G470" s="186"/>
      <c r="H470" s="187"/>
      <c r="I470" s="165"/>
    </row>
    <row r="471" spans="1:9" s="8" customFormat="1" ht="14.1" customHeight="1" x14ac:dyDescent="0.3">
      <c r="A471" s="188" t="s">
        <v>169</v>
      </c>
      <c r="B471" s="184" t="s">
        <v>54</v>
      </c>
      <c r="C471" s="184"/>
      <c r="D471" s="184"/>
      <c r="F471" s="185" t="s">
        <v>514</v>
      </c>
      <c r="G471" s="186"/>
      <c r="H471" s="187"/>
      <c r="I471" s="165"/>
    </row>
    <row r="472" spans="1:9" s="8" customFormat="1" ht="14.1" customHeight="1" x14ac:dyDescent="0.3">
      <c r="A472" s="188" t="s">
        <v>170</v>
      </c>
      <c r="B472" s="184" t="s">
        <v>55</v>
      </c>
      <c r="C472" s="184"/>
      <c r="D472" s="184"/>
      <c r="F472" s="185" t="s">
        <v>514</v>
      </c>
      <c r="G472" s="186"/>
      <c r="H472" s="187"/>
      <c r="I472" s="165"/>
    </row>
    <row r="473" spans="1:9" s="8" customFormat="1" ht="14.1" customHeight="1" thickBot="1" x14ac:dyDescent="0.35">
      <c r="A473" s="189"/>
      <c r="B473" s="189"/>
      <c r="C473" s="189"/>
      <c r="D473" s="189"/>
      <c r="E473" s="190"/>
      <c r="F473" s="190"/>
      <c r="G473" s="191"/>
      <c r="H473" s="191"/>
      <c r="I473" s="165"/>
    </row>
    <row r="474" spans="1:9" s="8" customFormat="1" ht="14.1" customHeight="1" thickTop="1" x14ac:dyDescent="0.3">
      <c r="A474" s="192"/>
      <c r="B474" s="192"/>
      <c r="C474" s="192"/>
      <c r="D474" s="192"/>
      <c r="E474" s="190"/>
      <c r="F474" s="190"/>
      <c r="G474" s="165"/>
      <c r="H474" s="165"/>
      <c r="I474" s="165"/>
    </row>
    <row r="475" spans="1:9" s="8" customFormat="1" ht="14.1" customHeight="1" x14ac:dyDescent="0.3">
      <c r="A475" s="193" t="s">
        <v>515</v>
      </c>
      <c r="B475" s="193"/>
      <c r="C475" s="193"/>
      <c r="D475" s="193"/>
      <c r="E475" s="847" t="s">
        <v>516</v>
      </c>
      <c r="F475" s="847"/>
      <c r="G475" s="196"/>
      <c r="H475" s="187"/>
      <c r="I475" s="165"/>
    </row>
    <row r="476" spans="1:9" s="8" customFormat="1" ht="14.1" customHeight="1" x14ac:dyDescent="0.3">
      <c r="A476" s="193" t="s">
        <v>517</v>
      </c>
      <c r="B476" s="193"/>
      <c r="C476" s="193"/>
      <c r="D476" s="193"/>
      <c r="E476" s="847" t="s">
        <v>516</v>
      </c>
      <c r="F476" s="847"/>
      <c r="G476" s="196"/>
      <c r="H476" s="187"/>
      <c r="I476" s="165"/>
    </row>
    <row r="477" spans="1:9" s="8" customFormat="1" ht="14.1" customHeight="1" x14ac:dyDescent="0.3">
      <c r="A477" s="193" t="s">
        <v>532</v>
      </c>
      <c r="B477" s="193"/>
      <c r="C477" s="193"/>
      <c r="D477" s="193"/>
      <c r="E477" s="847" t="s">
        <v>516</v>
      </c>
      <c r="F477" s="847"/>
      <c r="G477" s="196"/>
      <c r="H477" s="187"/>
      <c r="I477" s="165"/>
    </row>
    <row r="478" spans="1:9" s="8" customFormat="1" ht="14.1" customHeight="1" x14ac:dyDescent="0.3">
      <c r="A478" s="193"/>
      <c r="B478" s="193"/>
      <c r="C478" s="193"/>
      <c r="D478" s="193"/>
      <c r="E478" s="197"/>
      <c r="F478" s="197"/>
      <c r="G478" s="196"/>
      <c r="H478" s="200"/>
      <c r="I478" s="165"/>
    </row>
    <row r="479" spans="1:9" s="8" customFormat="1" ht="14.1" customHeight="1" x14ac:dyDescent="0.3">
      <c r="A479" s="193" t="s">
        <v>533</v>
      </c>
      <c r="B479" s="193"/>
      <c r="C479" s="193"/>
      <c r="D479" s="193"/>
      <c r="E479" s="847" t="s">
        <v>516</v>
      </c>
      <c r="F479" s="847"/>
      <c r="G479" s="196"/>
      <c r="H479" s="187"/>
      <c r="I479" s="165"/>
    </row>
    <row r="480" spans="1:9" s="8" customFormat="1" ht="14.1" customHeight="1" x14ac:dyDescent="0.3">
      <c r="A480" s="193" t="s">
        <v>534</v>
      </c>
      <c r="B480" s="193"/>
      <c r="C480" s="193"/>
      <c r="D480" s="193"/>
      <c r="E480" s="847" t="s">
        <v>516</v>
      </c>
      <c r="F480" s="847"/>
      <c r="G480" s="196"/>
      <c r="H480" s="187"/>
      <c r="I480" s="165"/>
    </row>
    <row r="481" spans="1:9" s="8" customFormat="1" ht="14.1" customHeight="1" x14ac:dyDescent="0.3">
      <c r="A481" s="193" t="s">
        <v>535</v>
      </c>
      <c r="B481" s="193"/>
      <c r="C481" s="193"/>
      <c r="D481" s="193"/>
      <c r="E481" s="847" t="s">
        <v>516</v>
      </c>
      <c r="F481" s="847"/>
      <c r="G481" s="196"/>
      <c r="H481" s="187"/>
      <c r="I481" s="165"/>
    </row>
    <row r="482" spans="1:9" s="8" customFormat="1" ht="14.1" customHeight="1" x14ac:dyDescent="0.3">
      <c r="A482" s="193" t="s">
        <v>536</v>
      </c>
      <c r="B482" s="193"/>
      <c r="C482" s="193"/>
      <c r="D482" s="193"/>
      <c r="E482" s="847" t="s">
        <v>516</v>
      </c>
      <c r="F482" s="847"/>
      <c r="G482" s="196"/>
      <c r="H482" s="187"/>
      <c r="I482" s="165"/>
    </row>
    <row r="483" spans="1:9" s="8" customFormat="1" ht="14.1" customHeight="1" x14ac:dyDescent="0.3">
      <c r="A483" s="193"/>
      <c r="B483" s="193"/>
      <c r="C483" s="193"/>
      <c r="D483" s="193"/>
      <c r="E483" s="197"/>
      <c r="F483" s="197"/>
      <c r="G483" s="196"/>
      <c r="H483" s="200"/>
      <c r="I483" s="165"/>
    </row>
    <row r="484" spans="1:9" s="8" customFormat="1" ht="14.1" customHeight="1" x14ac:dyDescent="0.3">
      <c r="A484" s="198" t="s">
        <v>537</v>
      </c>
      <c r="B484" s="198"/>
      <c r="C484" s="198"/>
      <c r="D484" s="198"/>
      <c r="E484" s="847" t="s">
        <v>516</v>
      </c>
      <c r="F484" s="847"/>
      <c r="G484" s="196"/>
      <c r="H484" s="187"/>
      <c r="I484" s="165"/>
    </row>
    <row r="485" spans="1:9" s="8" customFormat="1" ht="14.1" customHeight="1" x14ac:dyDescent="0.3">
      <c r="A485" s="192"/>
      <c r="B485" s="192"/>
      <c r="C485" s="192"/>
      <c r="D485" s="192"/>
      <c r="E485" s="194"/>
      <c r="F485" s="194"/>
      <c r="G485" s="196"/>
      <c r="H485" s="196"/>
      <c r="I485" s="165"/>
    </row>
    <row r="486" spans="1:9" s="8" customFormat="1" ht="14.1" customHeight="1" x14ac:dyDescent="0.3">
      <c r="A486" s="193" t="s">
        <v>518</v>
      </c>
      <c r="B486" s="193"/>
      <c r="C486" s="193"/>
      <c r="D486" s="193"/>
      <c r="E486" s="193"/>
      <c r="F486" s="194"/>
      <c r="G486" s="196"/>
      <c r="H486" s="196"/>
      <c r="I486" s="165"/>
    </row>
    <row r="487" spans="1:9" s="8" customFormat="1" ht="14.1" customHeight="1" x14ac:dyDescent="0.3">
      <c r="A487" s="193"/>
      <c r="B487" s="193"/>
      <c r="C487" s="193"/>
      <c r="D487" s="193"/>
      <c r="E487" s="193"/>
      <c r="F487" s="194"/>
      <c r="G487" s="196"/>
      <c r="H487" s="196"/>
      <c r="I487" s="165"/>
    </row>
    <row r="488" spans="1:9" ht="14.1" customHeight="1" x14ac:dyDescent="0.3">
      <c r="A488" s="193" t="s">
        <v>519</v>
      </c>
      <c r="B488" s="193"/>
      <c r="C488" s="193"/>
      <c r="D488" s="193"/>
      <c r="F488" s="46"/>
      <c r="G488" s="193" t="s">
        <v>520</v>
      </c>
      <c r="H488" s="196"/>
      <c r="I488" s="165"/>
    </row>
    <row r="489" spans="1:9" ht="14.1" customHeight="1" x14ac:dyDescent="0.3">
      <c r="A489" s="195" t="s">
        <v>521</v>
      </c>
      <c r="B489" s="195"/>
      <c r="C489" s="195"/>
      <c r="D489" s="195"/>
      <c r="E489" s="193"/>
      <c r="F489" s="194"/>
      <c r="G489" s="196"/>
      <c r="H489" s="196"/>
      <c r="I489" s="165"/>
    </row>
    <row r="490" spans="1:9" ht="14.1" customHeight="1" x14ac:dyDescent="0.3">
      <c r="A490" s="195"/>
      <c r="B490" s="195"/>
      <c r="C490" s="195"/>
      <c r="D490" s="195"/>
      <c r="E490" s="193"/>
      <c r="F490" s="194"/>
      <c r="G490" s="196"/>
      <c r="H490" s="196"/>
      <c r="I490" s="165"/>
    </row>
    <row r="491" spans="1:9" ht="12.9" customHeight="1" x14ac:dyDescent="0.3">
      <c r="A491" s="195" t="s">
        <v>522</v>
      </c>
      <c r="B491" s="195"/>
      <c r="C491" s="195"/>
      <c r="D491" s="195"/>
      <c r="E491" s="193"/>
      <c r="F491" s="194"/>
      <c r="G491" s="196"/>
      <c r="H491" s="196"/>
      <c r="I491" s="16"/>
    </row>
    <row r="492" spans="1:9" ht="12.9" customHeight="1" x14ac:dyDescent="0.3">
      <c r="A492" s="195" t="s">
        <v>523</v>
      </c>
      <c r="B492" s="195"/>
      <c r="C492" s="195"/>
      <c r="D492" s="195"/>
      <c r="E492" s="193"/>
      <c r="F492" s="194"/>
      <c r="G492" s="196"/>
      <c r="H492" s="196"/>
      <c r="I492" s="12"/>
    </row>
    <row r="493" spans="1:9" ht="12.9" customHeight="1" x14ac:dyDescent="0.3">
      <c r="A493" s="195"/>
      <c r="B493" s="195"/>
      <c r="C493" s="195"/>
      <c r="D493" s="195"/>
      <c r="E493" s="193"/>
      <c r="F493" s="194"/>
      <c r="G493" s="196"/>
      <c r="H493" s="196"/>
      <c r="I493" s="12"/>
    </row>
    <row r="494" spans="1:9" ht="12.9" customHeight="1" x14ac:dyDescent="0.3">
      <c r="A494" s="195" t="s">
        <v>522</v>
      </c>
      <c r="B494" s="195"/>
      <c r="C494" s="195"/>
      <c r="D494" s="195"/>
      <c r="E494" s="193"/>
      <c r="F494" s="194"/>
      <c r="G494" s="196"/>
      <c r="H494" s="196"/>
      <c r="I494" s="12"/>
    </row>
    <row r="495" spans="1:9" ht="12.9" customHeight="1" x14ac:dyDescent="0.3">
      <c r="A495" s="195" t="s">
        <v>524</v>
      </c>
      <c r="B495" s="195"/>
      <c r="C495" s="195"/>
      <c r="D495" s="195"/>
      <c r="E495" s="193"/>
      <c r="F495" s="194"/>
      <c r="G495" s="196"/>
      <c r="H495" s="196"/>
      <c r="I495" s="15"/>
    </row>
    <row r="505" spans="6:9" x14ac:dyDescent="0.25">
      <c r="F505" s="46"/>
      <c r="H505" s="46"/>
      <c r="I505" s="46"/>
    </row>
    <row r="506" spans="6:9" x14ac:dyDescent="0.25">
      <c r="F506" s="46"/>
      <c r="H506" s="46"/>
      <c r="I506" s="46"/>
    </row>
    <row r="507" spans="6:9" x14ac:dyDescent="0.25">
      <c r="F507" s="46"/>
      <c r="H507" s="46"/>
      <c r="I507" s="46"/>
    </row>
    <row r="508" spans="6:9" x14ac:dyDescent="0.25">
      <c r="F508" s="46"/>
      <c r="H508" s="46"/>
      <c r="I508" s="46"/>
    </row>
    <row r="509" spans="6:9" x14ac:dyDescent="0.25">
      <c r="F509" s="46"/>
      <c r="H509" s="46"/>
      <c r="I509" s="46"/>
    </row>
    <row r="510" spans="6:9" x14ac:dyDescent="0.25">
      <c r="F510" s="46"/>
      <c r="H510" s="46"/>
      <c r="I510" s="46"/>
    </row>
    <row r="511" spans="6:9" x14ac:dyDescent="0.25">
      <c r="F511" s="46"/>
      <c r="H511" s="46"/>
      <c r="I511" s="46"/>
    </row>
    <row r="512" spans="6:9" x14ac:dyDescent="0.25">
      <c r="F512" s="46"/>
      <c r="H512" s="46"/>
      <c r="I512" s="46"/>
    </row>
    <row r="513" spans="6:9" x14ac:dyDescent="0.25">
      <c r="F513" s="46"/>
      <c r="H513" s="46"/>
      <c r="I513" s="46"/>
    </row>
    <row r="514" spans="6:9" x14ac:dyDescent="0.25">
      <c r="F514" s="46"/>
      <c r="H514" s="46"/>
      <c r="I514" s="46"/>
    </row>
    <row r="515" spans="6:9" x14ac:dyDescent="0.25">
      <c r="F515" s="46"/>
      <c r="H515" s="46"/>
      <c r="I515" s="46"/>
    </row>
    <row r="516" spans="6:9" x14ac:dyDescent="0.25">
      <c r="F516" s="46"/>
      <c r="H516" s="46"/>
      <c r="I516" s="46"/>
    </row>
    <row r="517" spans="6:9" x14ac:dyDescent="0.25">
      <c r="F517" s="46"/>
      <c r="H517" s="46"/>
      <c r="I517" s="46"/>
    </row>
    <row r="518" spans="6:9" x14ac:dyDescent="0.25">
      <c r="F518" s="46"/>
      <c r="H518" s="46"/>
      <c r="I518" s="46"/>
    </row>
    <row r="519" spans="6:9" x14ac:dyDescent="0.25">
      <c r="F519" s="46"/>
      <c r="H519" s="46"/>
      <c r="I519" s="46"/>
    </row>
    <row r="520" spans="6:9" x14ac:dyDescent="0.25">
      <c r="F520" s="46"/>
      <c r="H520" s="46"/>
      <c r="I520" s="46"/>
    </row>
    <row r="521" spans="6:9" x14ac:dyDescent="0.25">
      <c r="F521" s="46"/>
      <c r="H521" s="46"/>
      <c r="I521" s="46"/>
    </row>
    <row r="522" spans="6:9" x14ac:dyDescent="0.25">
      <c r="F522" s="46"/>
      <c r="H522" s="46"/>
      <c r="I522" s="46"/>
    </row>
    <row r="523" spans="6:9" x14ac:dyDescent="0.25">
      <c r="F523" s="46"/>
      <c r="H523" s="46"/>
      <c r="I523" s="46"/>
    </row>
    <row r="524" spans="6:9" x14ac:dyDescent="0.25">
      <c r="F524" s="46"/>
      <c r="H524" s="46"/>
      <c r="I524" s="46"/>
    </row>
    <row r="525" spans="6:9" x14ac:dyDescent="0.25">
      <c r="F525" s="46"/>
      <c r="H525" s="46"/>
      <c r="I525" s="46"/>
    </row>
    <row r="526" spans="6:9" x14ac:dyDescent="0.25">
      <c r="F526" s="46"/>
      <c r="H526" s="46"/>
      <c r="I526" s="46"/>
    </row>
    <row r="527" spans="6:9" x14ac:dyDescent="0.25">
      <c r="F527" s="46"/>
      <c r="H527" s="46"/>
      <c r="I527" s="46"/>
    </row>
    <row r="528" spans="6:9" x14ac:dyDescent="0.25">
      <c r="F528" s="46"/>
      <c r="H528" s="46"/>
      <c r="I528" s="46"/>
    </row>
    <row r="529" spans="6:9" x14ac:dyDescent="0.25">
      <c r="F529" s="46"/>
      <c r="H529" s="46"/>
      <c r="I529" s="46"/>
    </row>
    <row r="530" spans="6:9" x14ac:dyDescent="0.25">
      <c r="F530" s="46"/>
      <c r="H530" s="46"/>
      <c r="I530" s="46"/>
    </row>
    <row r="531" spans="6:9" x14ac:dyDescent="0.25">
      <c r="F531" s="46"/>
      <c r="H531" s="46"/>
      <c r="I531" s="46"/>
    </row>
    <row r="532" spans="6:9" x14ac:dyDescent="0.25">
      <c r="F532" s="46"/>
      <c r="H532" s="46"/>
      <c r="I532" s="46"/>
    </row>
    <row r="533" spans="6:9" x14ac:dyDescent="0.25">
      <c r="F533" s="46"/>
      <c r="H533" s="46"/>
      <c r="I533" s="46"/>
    </row>
    <row r="534" spans="6:9" x14ac:dyDescent="0.25">
      <c r="F534" s="46"/>
      <c r="H534" s="46"/>
      <c r="I534" s="46"/>
    </row>
    <row r="535" spans="6:9" x14ac:dyDescent="0.25">
      <c r="F535" s="46"/>
      <c r="H535" s="46"/>
      <c r="I535" s="46"/>
    </row>
    <row r="536" spans="6:9" x14ac:dyDescent="0.25">
      <c r="F536" s="46"/>
      <c r="H536" s="46"/>
      <c r="I536" s="46"/>
    </row>
    <row r="537" spans="6:9" x14ac:dyDescent="0.25">
      <c r="F537" s="46"/>
      <c r="H537" s="46"/>
      <c r="I537" s="46"/>
    </row>
    <row r="538" spans="6:9" x14ac:dyDescent="0.25">
      <c r="F538" s="46"/>
      <c r="H538" s="46"/>
      <c r="I538" s="46"/>
    </row>
    <row r="539" spans="6:9" x14ac:dyDescent="0.25">
      <c r="F539" s="46"/>
      <c r="H539" s="46"/>
      <c r="I539" s="46"/>
    </row>
    <row r="540" spans="6:9" x14ac:dyDescent="0.25">
      <c r="F540" s="46"/>
      <c r="H540" s="46"/>
      <c r="I540" s="46"/>
    </row>
    <row r="541" spans="6:9" x14ac:dyDescent="0.25">
      <c r="F541" s="46"/>
      <c r="H541" s="46"/>
      <c r="I541" s="46"/>
    </row>
    <row r="542" spans="6:9" x14ac:dyDescent="0.25">
      <c r="F542" s="46"/>
      <c r="H542" s="46"/>
      <c r="I542" s="46"/>
    </row>
    <row r="543" spans="6:9" x14ac:dyDescent="0.25">
      <c r="F543" s="46"/>
      <c r="H543" s="46"/>
      <c r="I543" s="46"/>
    </row>
    <row r="544" spans="6:9" x14ac:dyDescent="0.25">
      <c r="F544" s="46"/>
      <c r="H544" s="46"/>
      <c r="I544" s="46"/>
    </row>
    <row r="545" spans="6:9" x14ac:dyDescent="0.25">
      <c r="F545" s="46"/>
      <c r="H545" s="46"/>
      <c r="I545" s="46"/>
    </row>
    <row r="546" spans="6:9" x14ac:dyDescent="0.25">
      <c r="F546" s="46"/>
      <c r="H546" s="46"/>
      <c r="I546" s="46"/>
    </row>
    <row r="547" spans="6:9" x14ac:dyDescent="0.25">
      <c r="F547" s="46"/>
      <c r="H547" s="46"/>
      <c r="I547" s="46"/>
    </row>
    <row r="548" spans="6:9" x14ac:dyDescent="0.25">
      <c r="F548" s="46"/>
      <c r="H548" s="46"/>
      <c r="I548" s="46"/>
    </row>
    <row r="549" spans="6:9" x14ac:dyDescent="0.25">
      <c r="F549" s="46"/>
      <c r="H549" s="46"/>
      <c r="I549" s="46"/>
    </row>
    <row r="550" spans="6:9" x14ac:dyDescent="0.25">
      <c r="F550" s="46"/>
      <c r="H550" s="46"/>
      <c r="I550" s="46"/>
    </row>
    <row r="551" spans="6:9" x14ac:dyDescent="0.25">
      <c r="F551" s="46"/>
      <c r="H551" s="46"/>
      <c r="I551" s="46"/>
    </row>
    <row r="552" spans="6:9" x14ac:dyDescent="0.25">
      <c r="F552" s="46"/>
      <c r="H552" s="46"/>
      <c r="I552" s="46"/>
    </row>
    <row r="553" spans="6:9" x14ac:dyDescent="0.25">
      <c r="F553" s="46"/>
      <c r="H553" s="46"/>
      <c r="I553" s="46"/>
    </row>
    <row r="554" spans="6:9" x14ac:dyDescent="0.25">
      <c r="F554" s="46"/>
      <c r="H554" s="46"/>
      <c r="I554" s="46"/>
    </row>
    <row r="555" spans="6:9" x14ac:dyDescent="0.25">
      <c r="F555" s="46"/>
      <c r="H555" s="46"/>
      <c r="I555" s="46"/>
    </row>
    <row r="556" spans="6:9" x14ac:dyDescent="0.25">
      <c r="F556" s="46"/>
      <c r="H556" s="46"/>
      <c r="I556" s="46"/>
    </row>
    <row r="557" spans="6:9" x14ac:dyDescent="0.25">
      <c r="F557" s="46"/>
      <c r="H557" s="46"/>
      <c r="I557" s="46"/>
    </row>
    <row r="558" spans="6:9" x14ac:dyDescent="0.25">
      <c r="F558" s="46"/>
      <c r="H558" s="46"/>
      <c r="I558" s="46"/>
    </row>
    <row r="559" spans="6:9" x14ac:dyDescent="0.25">
      <c r="F559" s="46"/>
      <c r="H559" s="46"/>
      <c r="I559" s="46"/>
    </row>
    <row r="560" spans="6:9" x14ac:dyDescent="0.25">
      <c r="F560" s="46"/>
      <c r="H560" s="46"/>
      <c r="I560" s="46"/>
    </row>
    <row r="561" spans="6:9" x14ac:dyDescent="0.25">
      <c r="F561" s="46"/>
      <c r="H561" s="46"/>
      <c r="I561" s="46"/>
    </row>
    <row r="562" spans="6:9" x14ac:dyDescent="0.25">
      <c r="F562" s="46"/>
      <c r="H562" s="46"/>
      <c r="I562" s="46"/>
    </row>
    <row r="563" spans="6:9" x14ac:dyDescent="0.25">
      <c r="F563" s="46"/>
      <c r="H563" s="46"/>
      <c r="I563" s="46"/>
    </row>
    <row r="564" spans="6:9" x14ac:dyDescent="0.25">
      <c r="F564" s="46"/>
      <c r="H564" s="46"/>
      <c r="I564" s="46"/>
    </row>
    <row r="565" spans="6:9" x14ac:dyDescent="0.25">
      <c r="F565" s="46"/>
      <c r="H565" s="46"/>
      <c r="I565" s="46"/>
    </row>
    <row r="566" spans="6:9" x14ac:dyDescent="0.25">
      <c r="F566" s="46"/>
      <c r="H566" s="46"/>
      <c r="I566" s="46"/>
    </row>
    <row r="567" spans="6:9" x14ac:dyDescent="0.25">
      <c r="F567" s="46"/>
      <c r="H567" s="46"/>
      <c r="I567" s="46"/>
    </row>
    <row r="568" spans="6:9" x14ac:dyDescent="0.25">
      <c r="F568" s="46"/>
      <c r="H568" s="46"/>
      <c r="I568" s="46"/>
    </row>
    <row r="569" spans="6:9" x14ac:dyDescent="0.25">
      <c r="F569" s="46"/>
      <c r="H569" s="46"/>
      <c r="I569" s="46"/>
    </row>
    <row r="570" spans="6:9" x14ac:dyDescent="0.25">
      <c r="F570" s="46"/>
      <c r="H570" s="46"/>
      <c r="I570" s="46"/>
    </row>
    <row r="571" spans="6:9" x14ac:dyDescent="0.25">
      <c r="F571" s="46"/>
      <c r="H571" s="46"/>
      <c r="I571" s="46"/>
    </row>
    <row r="572" spans="6:9" x14ac:dyDescent="0.25">
      <c r="F572" s="46"/>
      <c r="H572" s="46"/>
      <c r="I572" s="46"/>
    </row>
    <row r="573" spans="6:9" x14ac:dyDescent="0.25">
      <c r="F573" s="46"/>
      <c r="H573" s="46"/>
      <c r="I573" s="46"/>
    </row>
    <row r="574" spans="6:9" x14ac:dyDescent="0.25">
      <c r="F574" s="46"/>
      <c r="H574" s="46"/>
      <c r="I574" s="46"/>
    </row>
    <row r="575" spans="6:9" x14ac:dyDescent="0.25">
      <c r="F575" s="46"/>
      <c r="H575" s="46"/>
      <c r="I575" s="46"/>
    </row>
    <row r="576" spans="6:9" x14ac:dyDescent="0.25">
      <c r="F576" s="46"/>
      <c r="H576" s="46"/>
      <c r="I576" s="46"/>
    </row>
    <row r="577" spans="6:9" x14ac:dyDescent="0.25">
      <c r="F577" s="46"/>
      <c r="H577" s="46"/>
      <c r="I577" s="46"/>
    </row>
    <row r="578" spans="6:9" x14ac:dyDescent="0.25">
      <c r="F578" s="46"/>
      <c r="H578" s="46"/>
      <c r="I578" s="46"/>
    </row>
    <row r="579" spans="6:9" x14ac:dyDescent="0.25">
      <c r="F579" s="46"/>
      <c r="H579" s="46"/>
      <c r="I579" s="46"/>
    </row>
    <row r="580" spans="6:9" x14ac:dyDescent="0.25">
      <c r="F580" s="46"/>
      <c r="H580" s="46"/>
      <c r="I580" s="46"/>
    </row>
    <row r="581" spans="6:9" x14ac:dyDescent="0.25">
      <c r="F581" s="46"/>
      <c r="H581" s="46"/>
      <c r="I581" s="46"/>
    </row>
    <row r="582" spans="6:9" x14ac:dyDescent="0.25">
      <c r="F582" s="46"/>
      <c r="H582" s="46"/>
      <c r="I582" s="46"/>
    </row>
    <row r="583" spans="6:9" x14ac:dyDescent="0.25">
      <c r="F583" s="46"/>
      <c r="H583" s="46"/>
      <c r="I583" s="46"/>
    </row>
    <row r="584" spans="6:9" x14ac:dyDescent="0.25">
      <c r="F584" s="46"/>
      <c r="H584" s="46"/>
      <c r="I584" s="46"/>
    </row>
    <row r="585" spans="6:9" x14ac:dyDescent="0.25">
      <c r="F585" s="46"/>
      <c r="H585" s="46"/>
      <c r="I585" s="46"/>
    </row>
    <row r="586" spans="6:9" x14ac:dyDescent="0.25">
      <c r="F586" s="46"/>
      <c r="H586" s="46"/>
      <c r="I586" s="46"/>
    </row>
    <row r="587" spans="6:9" x14ac:dyDescent="0.25">
      <c r="F587" s="46"/>
      <c r="H587" s="46"/>
      <c r="I587" s="46"/>
    </row>
    <row r="588" spans="6:9" x14ac:dyDescent="0.25">
      <c r="F588" s="46"/>
      <c r="H588" s="46"/>
      <c r="I588" s="46"/>
    </row>
    <row r="589" spans="6:9" x14ac:dyDescent="0.25">
      <c r="F589" s="46"/>
      <c r="H589" s="46"/>
      <c r="I589" s="46"/>
    </row>
    <row r="590" spans="6:9" x14ac:dyDescent="0.25">
      <c r="F590" s="46"/>
      <c r="H590" s="46"/>
      <c r="I590" s="46"/>
    </row>
    <row r="591" spans="6:9" x14ac:dyDescent="0.25">
      <c r="F591" s="46"/>
      <c r="H591" s="46"/>
      <c r="I591" s="46"/>
    </row>
    <row r="592" spans="6:9" x14ac:dyDescent="0.25">
      <c r="F592" s="46"/>
      <c r="H592" s="46"/>
      <c r="I592" s="46"/>
    </row>
    <row r="593" spans="6:9" x14ac:dyDescent="0.25">
      <c r="F593" s="46"/>
      <c r="H593" s="46"/>
      <c r="I593" s="46"/>
    </row>
    <row r="594" spans="6:9" x14ac:dyDescent="0.25">
      <c r="F594" s="46"/>
      <c r="H594" s="46"/>
      <c r="I594" s="46"/>
    </row>
    <row r="595" spans="6:9" x14ac:dyDescent="0.25">
      <c r="F595" s="46"/>
      <c r="H595" s="46"/>
      <c r="I595" s="46"/>
    </row>
    <row r="596" spans="6:9" x14ac:dyDescent="0.25">
      <c r="F596" s="46"/>
      <c r="H596" s="46"/>
      <c r="I596" s="46"/>
    </row>
    <row r="597" spans="6:9" x14ac:dyDescent="0.25">
      <c r="F597" s="46"/>
      <c r="H597" s="46"/>
      <c r="I597" s="46"/>
    </row>
    <row r="598" spans="6:9" x14ac:dyDescent="0.25">
      <c r="F598" s="46"/>
      <c r="H598" s="46"/>
      <c r="I598" s="46"/>
    </row>
    <row r="599" spans="6:9" x14ac:dyDescent="0.25">
      <c r="F599" s="46"/>
      <c r="H599" s="46"/>
      <c r="I599" s="46"/>
    </row>
    <row r="600" spans="6:9" x14ac:dyDescent="0.25">
      <c r="F600" s="46"/>
      <c r="H600" s="46"/>
      <c r="I600" s="46"/>
    </row>
    <row r="601" spans="6:9" x14ac:dyDescent="0.25">
      <c r="F601" s="46"/>
      <c r="H601" s="46"/>
      <c r="I601" s="46"/>
    </row>
    <row r="602" spans="6:9" x14ac:dyDescent="0.25">
      <c r="F602" s="46"/>
      <c r="H602" s="46"/>
      <c r="I602" s="46"/>
    </row>
    <row r="603" spans="6:9" x14ac:dyDescent="0.25">
      <c r="F603" s="46"/>
      <c r="H603" s="46"/>
      <c r="I603" s="46"/>
    </row>
    <row r="604" spans="6:9" x14ac:dyDescent="0.25">
      <c r="F604" s="46"/>
      <c r="H604" s="46"/>
      <c r="I604" s="46"/>
    </row>
    <row r="605" spans="6:9" x14ac:dyDescent="0.25">
      <c r="F605" s="46"/>
      <c r="H605" s="46"/>
      <c r="I605" s="46"/>
    </row>
    <row r="606" spans="6:9" x14ac:dyDescent="0.25">
      <c r="F606" s="46"/>
      <c r="H606" s="46"/>
      <c r="I606" s="46"/>
    </row>
    <row r="607" spans="6:9" x14ac:dyDescent="0.25">
      <c r="F607" s="46"/>
      <c r="H607" s="46"/>
      <c r="I607" s="46"/>
    </row>
    <row r="608" spans="6:9" x14ac:dyDescent="0.25">
      <c r="F608" s="46"/>
      <c r="H608" s="46"/>
      <c r="I608" s="46"/>
    </row>
    <row r="609" spans="6:9" x14ac:dyDescent="0.25">
      <c r="F609" s="46"/>
      <c r="H609" s="46"/>
      <c r="I609" s="46"/>
    </row>
    <row r="610" spans="6:9" x14ac:dyDescent="0.25">
      <c r="F610" s="46"/>
      <c r="H610" s="46"/>
      <c r="I610" s="46"/>
    </row>
    <row r="611" spans="6:9" x14ac:dyDescent="0.25">
      <c r="F611" s="46"/>
      <c r="H611" s="46"/>
      <c r="I611" s="46"/>
    </row>
    <row r="612" spans="6:9" x14ac:dyDescent="0.25">
      <c r="F612" s="46"/>
      <c r="H612" s="46"/>
      <c r="I612" s="46"/>
    </row>
    <row r="613" spans="6:9" x14ac:dyDescent="0.25">
      <c r="F613" s="46"/>
      <c r="H613" s="46"/>
      <c r="I613" s="46"/>
    </row>
    <row r="614" spans="6:9" x14ac:dyDescent="0.25">
      <c r="F614" s="46"/>
      <c r="H614" s="46"/>
      <c r="I614" s="46"/>
    </row>
    <row r="615" spans="6:9" x14ac:dyDescent="0.25">
      <c r="F615" s="46"/>
      <c r="H615" s="46"/>
      <c r="I615" s="46"/>
    </row>
    <row r="616" spans="6:9" x14ac:dyDescent="0.25">
      <c r="F616" s="46"/>
      <c r="H616" s="46"/>
      <c r="I616" s="46"/>
    </row>
    <row r="617" spans="6:9" x14ac:dyDescent="0.25">
      <c r="F617" s="46"/>
      <c r="H617" s="46"/>
      <c r="I617" s="46"/>
    </row>
    <row r="618" spans="6:9" x14ac:dyDescent="0.25">
      <c r="F618" s="46"/>
      <c r="H618" s="46"/>
      <c r="I618" s="46"/>
    </row>
    <row r="619" spans="6:9" x14ac:dyDescent="0.25">
      <c r="F619" s="46"/>
      <c r="H619" s="46"/>
      <c r="I619" s="46"/>
    </row>
    <row r="620" spans="6:9" x14ac:dyDescent="0.25">
      <c r="F620" s="46"/>
      <c r="H620" s="46"/>
      <c r="I620" s="46"/>
    </row>
    <row r="621" spans="6:9" x14ac:dyDescent="0.25">
      <c r="F621" s="46"/>
      <c r="H621" s="46"/>
      <c r="I621" s="46"/>
    </row>
    <row r="622" spans="6:9" x14ac:dyDescent="0.25">
      <c r="F622" s="46"/>
      <c r="H622" s="46"/>
      <c r="I622" s="46"/>
    </row>
    <row r="623" spans="6:9" x14ac:dyDescent="0.25">
      <c r="F623" s="46"/>
      <c r="H623" s="46"/>
      <c r="I623" s="46"/>
    </row>
    <row r="624" spans="6:9" x14ac:dyDescent="0.25">
      <c r="F624" s="46"/>
      <c r="H624" s="46"/>
      <c r="I624" s="46"/>
    </row>
    <row r="625" spans="6:9" x14ac:dyDescent="0.25">
      <c r="F625" s="46"/>
      <c r="H625" s="46"/>
      <c r="I625" s="46"/>
    </row>
    <row r="626" spans="6:9" x14ac:dyDescent="0.25">
      <c r="F626" s="46"/>
      <c r="H626" s="46"/>
      <c r="I626" s="46"/>
    </row>
    <row r="627" spans="6:9" x14ac:dyDescent="0.25">
      <c r="F627" s="46"/>
      <c r="H627" s="46"/>
      <c r="I627" s="46"/>
    </row>
    <row r="628" spans="6:9" x14ac:dyDescent="0.25">
      <c r="F628" s="46"/>
      <c r="H628" s="46"/>
      <c r="I628" s="46"/>
    </row>
    <row r="629" spans="6:9" x14ac:dyDescent="0.25">
      <c r="F629" s="46"/>
      <c r="H629" s="46"/>
      <c r="I629" s="46"/>
    </row>
    <row r="630" spans="6:9" x14ac:dyDescent="0.25">
      <c r="F630" s="46"/>
      <c r="H630" s="46"/>
      <c r="I630" s="46"/>
    </row>
    <row r="631" spans="6:9" x14ac:dyDescent="0.25">
      <c r="F631" s="46"/>
      <c r="H631" s="46"/>
      <c r="I631" s="46"/>
    </row>
    <row r="632" spans="6:9" x14ac:dyDescent="0.25">
      <c r="F632" s="46"/>
      <c r="H632" s="46"/>
      <c r="I632" s="46"/>
    </row>
    <row r="633" spans="6:9" x14ac:dyDescent="0.25">
      <c r="F633" s="46"/>
      <c r="H633" s="46"/>
      <c r="I633" s="46"/>
    </row>
    <row r="634" spans="6:9" x14ac:dyDescent="0.25">
      <c r="F634" s="46"/>
      <c r="H634" s="46"/>
      <c r="I634" s="46"/>
    </row>
    <row r="635" spans="6:9" x14ac:dyDescent="0.25">
      <c r="F635" s="46"/>
      <c r="H635" s="46"/>
      <c r="I635" s="46"/>
    </row>
    <row r="636" spans="6:9" x14ac:dyDescent="0.25">
      <c r="F636" s="46"/>
      <c r="H636" s="46"/>
      <c r="I636" s="46"/>
    </row>
    <row r="637" spans="6:9" x14ac:dyDescent="0.25">
      <c r="F637" s="46"/>
      <c r="H637" s="46"/>
      <c r="I637" s="46"/>
    </row>
    <row r="638" spans="6:9" x14ac:dyDescent="0.25">
      <c r="F638" s="46"/>
      <c r="H638" s="46"/>
      <c r="I638" s="46"/>
    </row>
    <row r="639" spans="6:9" x14ac:dyDescent="0.25">
      <c r="F639" s="46"/>
      <c r="H639" s="46"/>
      <c r="I639" s="46"/>
    </row>
    <row r="640" spans="6:9" x14ac:dyDescent="0.25">
      <c r="F640" s="46"/>
      <c r="H640" s="46"/>
      <c r="I640" s="46"/>
    </row>
    <row r="641" spans="6:9" x14ac:dyDescent="0.25">
      <c r="F641" s="46"/>
      <c r="H641" s="46"/>
      <c r="I641" s="46"/>
    </row>
    <row r="642" spans="6:9" x14ac:dyDescent="0.25">
      <c r="F642" s="46"/>
      <c r="H642" s="46"/>
      <c r="I642" s="46"/>
    </row>
    <row r="643" spans="6:9" x14ac:dyDescent="0.25">
      <c r="F643" s="46"/>
      <c r="H643" s="46"/>
      <c r="I643" s="46"/>
    </row>
    <row r="644" spans="6:9" x14ac:dyDescent="0.25">
      <c r="F644" s="46"/>
      <c r="H644" s="46"/>
      <c r="I644" s="46"/>
    </row>
    <row r="645" spans="6:9" x14ac:dyDescent="0.25">
      <c r="F645" s="46"/>
      <c r="H645" s="46"/>
      <c r="I645" s="46"/>
    </row>
    <row r="646" spans="6:9" x14ac:dyDescent="0.25">
      <c r="F646" s="46"/>
      <c r="H646" s="46"/>
      <c r="I646" s="46"/>
    </row>
    <row r="647" spans="6:9" x14ac:dyDescent="0.25">
      <c r="F647" s="46"/>
      <c r="H647" s="46"/>
      <c r="I647" s="46"/>
    </row>
    <row r="648" spans="6:9" x14ac:dyDescent="0.25">
      <c r="F648" s="46"/>
      <c r="H648" s="46"/>
      <c r="I648" s="46"/>
    </row>
    <row r="649" spans="6:9" x14ac:dyDescent="0.25">
      <c r="F649" s="46"/>
      <c r="H649" s="46"/>
      <c r="I649" s="46"/>
    </row>
    <row r="650" spans="6:9" x14ac:dyDescent="0.25">
      <c r="F650" s="46"/>
      <c r="H650" s="46"/>
      <c r="I650" s="46"/>
    </row>
    <row r="651" spans="6:9" x14ac:dyDescent="0.25">
      <c r="F651" s="46"/>
      <c r="H651" s="46"/>
      <c r="I651" s="46"/>
    </row>
    <row r="652" spans="6:9" x14ac:dyDescent="0.25">
      <c r="F652" s="46"/>
      <c r="H652" s="46"/>
      <c r="I652" s="46"/>
    </row>
    <row r="653" spans="6:9" x14ac:dyDescent="0.25">
      <c r="F653" s="46"/>
      <c r="H653" s="46"/>
      <c r="I653" s="46"/>
    </row>
    <row r="654" spans="6:9" x14ac:dyDescent="0.25">
      <c r="F654" s="46"/>
      <c r="H654" s="46"/>
      <c r="I654" s="46"/>
    </row>
    <row r="655" spans="6:9" x14ac:dyDescent="0.25">
      <c r="F655" s="46"/>
      <c r="H655" s="46"/>
      <c r="I655" s="46"/>
    </row>
    <row r="656" spans="6:9" x14ac:dyDescent="0.25">
      <c r="F656" s="46"/>
      <c r="H656" s="46"/>
      <c r="I656" s="46"/>
    </row>
    <row r="657" spans="6:9" x14ac:dyDescent="0.25">
      <c r="F657" s="46"/>
      <c r="H657" s="46"/>
      <c r="I657" s="46"/>
    </row>
    <row r="658" spans="6:9" x14ac:dyDescent="0.25">
      <c r="F658" s="46"/>
      <c r="H658" s="46"/>
      <c r="I658" s="46"/>
    </row>
    <row r="659" spans="6:9" x14ac:dyDescent="0.25">
      <c r="F659" s="46"/>
      <c r="H659" s="46"/>
      <c r="I659" s="46"/>
    </row>
    <row r="660" spans="6:9" x14ac:dyDescent="0.25">
      <c r="F660" s="46"/>
      <c r="H660" s="46"/>
      <c r="I660" s="46"/>
    </row>
    <row r="661" spans="6:9" x14ac:dyDescent="0.25">
      <c r="F661" s="46"/>
      <c r="H661" s="46"/>
      <c r="I661" s="46"/>
    </row>
    <row r="662" spans="6:9" x14ac:dyDescent="0.25">
      <c r="F662" s="46"/>
      <c r="H662" s="46"/>
      <c r="I662" s="46"/>
    </row>
    <row r="663" spans="6:9" x14ac:dyDescent="0.25">
      <c r="F663" s="46"/>
      <c r="H663" s="46"/>
      <c r="I663" s="46"/>
    </row>
    <row r="664" spans="6:9" x14ac:dyDescent="0.25">
      <c r="F664" s="46"/>
      <c r="H664" s="46"/>
      <c r="I664" s="46"/>
    </row>
    <row r="665" spans="6:9" x14ac:dyDescent="0.25">
      <c r="F665" s="46"/>
      <c r="H665" s="46"/>
      <c r="I665" s="46"/>
    </row>
    <row r="666" spans="6:9" x14ac:dyDescent="0.25">
      <c r="F666" s="46"/>
      <c r="H666" s="46"/>
      <c r="I666" s="46"/>
    </row>
    <row r="667" spans="6:9" x14ac:dyDescent="0.25">
      <c r="F667" s="46"/>
      <c r="H667" s="46"/>
      <c r="I667" s="46"/>
    </row>
    <row r="668" spans="6:9" x14ac:dyDescent="0.25">
      <c r="F668" s="46"/>
      <c r="H668" s="46"/>
      <c r="I668" s="46"/>
    </row>
    <row r="669" spans="6:9" x14ac:dyDescent="0.25">
      <c r="F669" s="46"/>
      <c r="H669" s="46"/>
      <c r="I669" s="46"/>
    </row>
    <row r="670" spans="6:9" x14ac:dyDescent="0.25">
      <c r="F670" s="46"/>
      <c r="H670" s="46"/>
      <c r="I670" s="46"/>
    </row>
    <row r="671" spans="6:9" x14ac:dyDescent="0.25">
      <c r="F671" s="46"/>
      <c r="H671" s="46"/>
      <c r="I671" s="46"/>
    </row>
    <row r="672" spans="6:9" x14ac:dyDescent="0.25">
      <c r="F672" s="46"/>
      <c r="H672" s="46"/>
      <c r="I672" s="46"/>
    </row>
    <row r="673" spans="6:9" x14ac:dyDescent="0.25">
      <c r="F673" s="46"/>
      <c r="H673" s="46"/>
      <c r="I673" s="46"/>
    </row>
    <row r="674" spans="6:9" x14ac:dyDescent="0.25">
      <c r="F674" s="46"/>
      <c r="H674" s="46"/>
      <c r="I674" s="46"/>
    </row>
    <row r="675" spans="6:9" x14ac:dyDescent="0.25">
      <c r="F675" s="46"/>
      <c r="H675" s="46"/>
      <c r="I675" s="46"/>
    </row>
    <row r="676" spans="6:9" x14ac:dyDescent="0.25">
      <c r="F676" s="46"/>
      <c r="H676" s="46"/>
      <c r="I676" s="46"/>
    </row>
    <row r="677" spans="6:9" x14ac:dyDescent="0.25">
      <c r="F677" s="46"/>
      <c r="H677" s="46"/>
      <c r="I677" s="46"/>
    </row>
    <row r="678" spans="6:9" x14ac:dyDescent="0.25">
      <c r="F678" s="46"/>
      <c r="H678" s="46"/>
      <c r="I678" s="46"/>
    </row>
    <row r="679" spans="6:9" x14ac:dyDescent="0.25">
      <c r="F679" s="46"/>
      <c r="H679" s="46"/>
      <c r="I679" s="46"/>
    </row>
    <row r="680" spans="6:9" x14ac:dyDescent="0.25">
      <c r="F680" s="46"/>
      <c r="H680" s="46"/>
      <c r="I680" s="46"/>
    </row>
    <row r="681" spans="6:9" x14ac:dyDescent="0.25">
      <c r="F681" s="46"/>
      <c r="H681" s="46"/>
      <c r="I681" s="46"/>
    </row>
    <row r="682" spans="6:9" x14ac:dyDescent="0.25">
      <c r="F682" s="46"/>
      <c r="H682" s="46"/>
      <c r="I682" s="46"/>
    </row>
    <row r="683" spans="6:9" x14ac:dyDescent="0.25">
      <c r="F683" s="46"/>
      <c r="H683" s="46"/>
      <c r="I683" s="46"/>
    </row>
    <row r="684" spans="6:9" x14ac:dyDescent="0.25">
      <c r="F684" s="46"/>
      <c r="H684" s="46"/>
      <c r="I684" s="46"/>
    </row>
    <row r="685" spans="6:9" x14ac:dyDescent="0.25">
      <c r="F685" s="46"/>
      <c r="H685" s="46"/>
      <c r="I685" s="46"/>
    </row>
    <row r="686" spans="6:9" x14ac:dyDescent="0.25">
      <c r="F686" s="46"/>
      <c r="H686" s="46"/>
      <c r="I686" s="46"/>
    </row>
    <row r="687" spans="6:9" x14ac:dyDescent="0.25">
      <c r="F687" s="46"/>
      <c r="H687" s="46"/>
      <c r="I687" s="46"/>
    </row>
    <row r="688" spans="6:9" x14ac:dyDescent="0.25">
      <c r="F688" s="46"/>
      <c r="H688" s="46"/>
      <c r="I688" s="46"/>
    </row>
    <row r="689" spans="6:9" x14ac:dyDescent="0.25">
      <c r="F689" s="46"/>
      <c r="H689" s="46"/>
      <c r="I689" s="46"/>
    </row>
    <row r="690" spans="6:9" x14ac:dyDescent="0.25">
      <c r="F690" s="46"/>
      <c r="H690" s="46"/>
      <c r="I690" s="46"/>
    </row>
    <row r="691" spans="6:9" x14ac:dyDescent="0.25">
      <c r="F691" s="46"/>
      <c r="H691" s="46"/>
      <c r="I691" s="46"/>
    </row>
    <row r="692" spans="6:9" x14ac:dyDescent="0.25">
      <c r="F692" s="46"/>
      <c r="H692" s="46"/>
      <c r="I692" s="46"/>
    </row>
    <row r="693" spans="6:9" x14ac:dyDescent="0.25">
      <c r="F693" s="46"/>
      <c r="H693" s="46"/>
      <c r="I693" s="46"/>
    </row>
    <row r="694" spans="6:9" x14ac:dyDescent="0.25">
      <c r="F694" s="46"/>
      <c r="H694" s="46"/>
      <c r="I694" s="46"/>
    </row>
    <row r="695" spans="6:9" x14ac:dyDescent="0.25">
      <c r="F695" s="46"/>
      <c r="H695" s="46"/>
      <c r="I695" s="46"/>
    </row>
    <row r="696" spans="6:9" x14ac:dyDescent="0.25">
      <c r="F696" s="46"/>
      <c r="H696" s="46"/>
      <c r="I696" s="46"/>
    </row>
    <row r="697" spans="6:9" x14ac:dyDescent="0.25">
      <c r="F697" s="46"/>
      <c r="H697" s="46"/>
      <c r="I697" s="46"/>
    </row>
    <row r="698" spans="6:9" x14ac:dyDescent="0.25">
      <c r="F698" s="46"/>
      <c r="H698" s="46"/>
      <c r="I698" s="46"/>
    </row>
    <row r="699" spans="6:9" x14ac:dyDescent="0.25">
      <c r="F699" s="46"/>
      <c r="H699" s="46"/>
      <c r="I699" s="46"/>
    </row>
    <row r="700" spans="6:9" x14ac:dyDescent="0.25">
      <c r="F700" s="46"/>
      <c r="H700" s="46"/>
      <c r="I700" s="46"/>
    </row>
    <row r="701" spans="6:9" x14ac:dyDescent="0.25">
      <c r="F701" s="46"/>
      <c r="H701" s="46"/>
      <c r="I701" s="46"/>
    </row>
    <row r="702" spans="6:9" x14ac:dyDescent="0.25">
      <c r="F702" s="46"/>
      <c r="H702" s="46"/>
      <c r="I702" s="46"/>
    </row>
    <row r="703" spans="6:9" x14ac:dyDescent="0.25">
      <c r="F703" s="46"/>
      <c r="H703" s="46"/>
      <c r="I703" s="46"/>
    </row>
    <row r="704" spans="6:9" x14ac:dyDescent="0.25">
      <c r="F704" s="46"/>
      <c r="H704" s="46"/>
      <c r="I704" s="46"/>
    </row>
    <row r="705" spans="6:9" x14ac:dyDescent="0.25">
      <c r="F705" s="46"/>
      <c r="H705" s="46"/>
      <c r="I705" s="46"/>
    </row>
    <row r="706" spans="6:9" x14ac:dyDescent="0.25">
      <c r="F706" s="46"/>
      <c r="H706" s="46"/>
      <c r="I706" s="46"/>
    </row>
    <row r="707" spans="6:9" x14ac:dyDescent="0.25">
      <c r="F707" s="46"/>
      <c r="H707" s="46"/>
      <c r="I707" s="46"/>
    </row>
    <row r="708" spans="6:9" x14ac:dyDescent="0.25">
      <c r="F708" s="46"/>
      <c r="H708" s="46"/>
      <c r="I708" s="46"/>
    </row>
    <row r="709" spans="6:9" x14ac:dyDescent="0.25">
      <c r="F709" s="46"/>
      <c r="H709" s="46"/>
      <c r="I709" s="46"/>
    </row>
    <row r="710" spans="6:9" x14ac:dyDescent="0.25">
      <c r="F710" s="46"/>
      <c r="H710" s="46"/>
      <c r="I710" s="46"/>
    </row>
    <row r="711" spans="6:9" x14ac:dyDescent="0.25">
      <c r="F711" s="46"/>
      <c r="H711" s="46"/>
      <c r="I711" s="46"/>
    </row>
    <row r="712" spans="6:9" x14ac:dyDescent="0.25">
      <c r="F712" s="46"/>
      <c r="H712" s="46"/>
      <c r="I712" s="46"/>
    </row>
    <row r="713" spans="6:9" x14ac:dyDescent="0.25">
      <c r="F713" s="46"/>
      <c r="H713" s="46"/>
      <c r="I713" s="46"/>
    </row>
    <row r="714" spans="6:9" x14ac:dyDescent="0.25">
      <c r="F714" s="46"/>
      <c r="H714" s="46"/>
      <c r="I714" s="46"/>
    </row>
    <row r="715" spans="6:9" x14ac:dyDescent="0.25">
      <c r="F715" s="46"/>
      <c r="H715" s="46"/>
      <c r="I715" s="46"/>
    </row>
    <row r="716" spans="6:9" x14ac:dyDescent="0.25">
      <c r="F716" s="46"/>
      <c r="H716" s="46"/>
      <c r="I716" s="46"/>
    </row>
    <row r="717" spans="6:9" x14ac:dyDescent="0.25">
      <c r="F717" s="46"/>
      <c r="H717" s="46"/>
      <c r="I717" s="46"/>
    </row>
    <row r="718" spans="6:9" x14ac:dyDescent="0.25">
      <c r="F718" s="46"/>
      <c r="H718" s="46"/>
      <c r="I718" s="46"/>
    </row>
    <row r="719" spans="6:9" x14ac:dyDescent="0.25">
      <c r="F719" s="46"/>
      <c r="H719" s="46"/>
      <c r="I719" s="46"/>
    </row>
    <row r="720" spans="6:9" x14ac:dyDescent="0.25">
      <c r="F720" s="46"/>
      <c r="H720" s="46"/>
      <c r="I720" s="46"/>
    </row>
    <row r="721" spans="6:9" x14ac:dyDescent="0.25">
      <c r="F721" s="46"/>
      <c r="H721" s="46"/>
      <c r="I721" s="46"/>
    </row>
    <row r="722" spans="6:9" x14ac:dyDescent="0.25">
      <c r="F722" s="46"/>
      <c r="H722" s="46"/>
      <c r="I722" s="46"/>
    </row>
    <row r="723" spans="6:9" x14ac:dyDescent="0.25">
      <c r="F723" s="46"/>
      <c r="H723" s="46"/>
      <c r="I723" s="46"/>
    </row>
    <row r="724" spans="6:9" x14ac:dyDescent="0.25">
      <c r="F724" s="46"/>
      <c r="H724" s="46"/>
      <c r="I724" s="46"/>
    </row>
    <row r="725" spans="6:9" x14ac:dyDescent="0.25">
      <c r="F725" s="46"/>
      <c r="H725" s="46"/>
      <c r="I725" s="46"/>
    </row>
    <row r="726" spans="6:9" x14ac:dyDescent="0.25">
      <c r="F726" s="46"/>
      <c r="H726" s="46"/>
      <c r="I726" s="46"/>
    </row>
    <row r="727" spans="6:9" x14ac:dyDescent="0.25">
      <c r="F727" s="46"/>
      <c r="H727" s="46"/>
      <c r="I727" s="46"/>
    </row>
    <row r="728" spans="6:9" x14ac:dyDescent="0.25">
      <c r="F728" s="46"/>
      <c r="H728" s="46"/>
      <c r="I728" s="46"/>
    </row>
    <row r="729" spans="6:9" x14ac:dyDescent="0.25">
      <c r="F729" s="46"/>
      <c r="H729" s="46"/>
      <c r="I729" s="46"/>
    </row>
    <row r="730" spans="6:9" x14ac:dyDescent="0.25">
      <c r="F730" s="46"/>
      <c r="H730" s="46"/>
      <c r="I730" s="46"/>
    </row>
    <row r="731" spans="6:9" x14ac:dyDescent="0.25">
      <c r="F731" s="46"/>
      <c r="H731" s="46"/>
      <c r="I731" s="46"/>
    </row>
    <row r="732" spans="6:9" x14ac:dyDescent="0.25">
      <c r="F732" s="46"/>
      <c r="H732" s="46"/>
      <c r="I732" s="46"/>
    </row>
    <row r="733" spans="6:9" x14ac:dyDescent="0.25">
      <c r="F733" s="46"/>
      <c r="H733" s="46"/>
      <c r="I733" s="46"/>
    </row>
    <row r="734" spans="6:9" x14ac:dyDescent="0.25">
      <c r="F734" s="46"/>
      <c r="H734" s="46"/>
      <c r="I734" s="46"/>
    </row>
    <row r="735" spans="6:9" x14ac:dyDescent="0.25">
      <c r="F735" s="46"/>
      <c r="H735" s="46"/>
      <c r="I735" s="46"/>
    </row>
    <row r="736" spans="6:9" x14ac:dyDescent="0.25">
      <c r="F736" s="46"/>
      <c r="H736" s="46"/>
      <c r="I736" s="46"/>
    </row>
    <row r="737" spans="6:9" x14ac:dyDescent="0.25">
      <c r="F737" s="46"/>
      <c r="H737" s="46"/>
      <c r="I737" s="46"/>
    </row>
    <row r="738" spans="6:9" x14ac:dyDescent="0.25">
      <c r="F738" s="46"/>
      <c r="H738" s="46"/>
      <c r="I738" s="46"/>
    </row>
    <row r="739" spans="6:9" x14ac:dyDescent="0.25">
      <c r="F739" s="46"/>
      <c r="H739" s="46"/>
      <c r="I739" s="46"/>
    </row>
    <row r="740" spans="6:9" x14ac:dyDescent="0.25">
      <c r="F740" s="46"/>
      <c r="H740" s="46"/>
      <c r="I740" s="46"/>
    </row>
    <row r="741" spans="6:9" x14ac:dyDescent="0.25">
      <c r="F741" s="46"/>
      <c r="H741" s="46"/>
      <c r="I741" s="46"/>
    </row>
    <row r="742" spans="6:9" x14ac:dyDescent="0.25">
      <c r="F742" s="46"/>
      <c r="H742" s="46"/>
      <c r="I742" s="46"/>
    </row>
    <row r="743" spans="6:9" x14ac:dyDescent="0.25">
      <c r="F743" s="46"/>
      <c r="H743" s="46"/>
      <c r="I743" s="46"/>
    </row>
    <row r="744" spans="6:9" x14ac:dyDescent="0.25">
      <c r="F744" s="46"/>
      <c r="H744" s="46"/>
      <c r="I744" s="46"/>
    </row>
    <row r="745" spans="6:9" x14ac:dyDescent="0.25">
      <c r="F745" s="46"/>
      <c r="H745" s="46"/>
      <c r="I745" s="46"/>
    </row>
    <row r="746" spans="6:9" x14ac:dyDescent="0.25">
      <c r="F746" s="46"/>
      <c r="H746" s="46"/>
      <c r="I746" s="46"/>
    </row>
    <row r="747" spans="6:9" x14ac:dyDescent="0.25">
      <c r="F747" s="46"/>
      <c r="H747" s="46"/>
      <c r="I747" s="46"/>
    </row>
    <row r="748" spans="6:9" x14ac:dyDescent="0.25">
      <c r="F748" s="46"/>
      <c r="H748" s="46"/>
      <c r="I748" s="46"/>
    </row>
    <row r="749" spans="6:9" x14ac:dyDescent="0.25">
      <c r="F749" s="46"/>
      <c r="H749" s="46"/>
      <c r="I749" s="46"/>
    </row>
    <row r="750" spans="6:9" x14ac:dyDescent="0.25">
      <c r="F750" s="46"/>
      <c r="H750" s="46"/>
      <c r="I750" s="46"/>
    </row>
    <row r="751" spans="6:9" x14ac:dyDescent="0.25">
      <c r="F751" s="46"/>
      <c r="H751" s="46"/>
      <c r="I751" s="46"/>
    </row>
    <row r="752" spans="6:9" x14ac:dyDescent="0.25">
      <c r="F752" s="46"/>
      <c r="H752" s="46"/>
      <c r="I752" s="46"/>
    </row>
    <row r="753" spans="6:9" x14ac:dyDescent="0.25">
      <c r="F753" s="46"/>
      <c r="H753" s="46"/>
      <c r="I753" s="46"/>
    </row>
    <row r="754" spans="6:9" x14ac:dyDescent="0.25">
      <c r="F754" s="46"/>
      <c r="H754" s="46"/>
      <c r="I754" s="46"/>
    </row>
    <row r="755" spans="6:9" x14ac:dyDescent="0.25">
      <c r="F755" s="46"/>
      <c r="H755" s="46"/>
      <c r="I755" s="46"/>
    </row>
    <row r="756" spans="6:9" x14ac:dyDescent="0.25">
      <c r="F756" s="46"/>
      <c r="H756" s="46"/>
      <c r="I756" s="46"/>
    </row>
    <row r="757" spans="6:9" x14ac:dyDescent="0.25">
      <c r="F757" s="46"/>
      <c r="H757" s="46"/>
      <c r="I757" s="46"/>
    </row>
    <row r="758" spans="6:9" x14ac:dyDescent="0.25">
      <c r="F758" s="46"/>
      <c r="H758" s="46"/>
      <c r="I758" s="46"/>
    </row>
    <row r="759" spans="6:9" x14ac:dyDescent="0.25">
      <c r="F759" s="46"/>
      <c r="H759" s="46"/>
      <c r="I759" s="46"/>
    </row>
    <row r="760" spans="6:9" x14ac:dyDescent="0.25">
      <c r="F760" s="46"/>
      <c r="H760" s="46"/>
      <c r="I760" s="46"/>
    </row>
    <row r="761" spans="6:9" x14ac:dyDescent="0.25">
      <c r="F761" s="46"/>
      <c r="H761" s="46"/>
      <c r="I761" s="46"/>
    </row>
    <row r="762" spans="6:9" x14ac:dyDescent="0.25">
      <c r="F762" s="46"/>
      <c r="H762" s="46"/>
      <c r="I762" s="46"/>
    </row>
    <row r="763" spans="6:9" x14ac:dyDescent="0.25">
      <c r="F763" s="46"/>
      <c r="H763" s="46"/>
      <c r="I763" s="46"/>
    </row>
    <row r="764" spans="6:9" x14ac:dyDescent="0.25">
      <c r="F764" s="46"/>
      <c r="H764" s="46"/>
      <c r="I764" s="46"/>
    </row>
    <row r="765" spans="6:9" x14ac:dyDescent="0.25">
      <c r="F765" s="46"/>
      <c r="H765" s="46"/>
      <c r="I765" s="46"/>
    </row>
    <row r="766" spans="6:9" x14ac:dyDescent="0.25">
      <c r="F766" s="46"/>
      <c r="H766" s="46"/>
      <c r="I766" s="46"/>
    </row>
    <row r="767" spans="6:9" x14ac:dyDescent="0.25">
      <c r="F767" s="46"/>
      <c r="H767" s="46"/>
      <c r="I767" s="46"/>
    </row>
    <row r="768" spans="6:9" x14ac:dyDescent="0.25">
      <c r="F768" s="46"/>
      <c r="H768" s="46"/>
      <c r="I768" s="46"/>
    </row>
    <row r="769" spans="6:9" x14ac:dyDescent="0.25">
      <c r="F769" s="46"/>
      <c r="H769" s="46"/>
      <c r="I769" s="46"/>
    </row>
    <row r="770" spans="6:9" x14ac:dyDescent="0.25">
      <c r="F770" s="46"/>
      <c r="H770" s="46"/>
      <c r="I770" s="46"/>
    </row>
    <row r="771" spans="6:9" x14ac:dyDescent="0.25">
      <c r="F771" s="46"/>
      <c r="H771" s="46"/>
      <c r="I771" s="46"/>
    </row>
    <row r="772" spans="6:9" x14ac:dyDescent="0.25">
      <c r="F772" s="46"/>
      <c r="H772" s="46"/>
      <c r="I772" s="46"/>
    </row>
    <row r="773" spans="6:9" x14ac:dyDescent="0.25">
      <c r="F773" s="46"/>
      <c r="H773" s="46"/>
      <c r="I773" s="46"/>
    </row>
    <row r="774" spans="6:9" x14ac:dyDescent="0.25">
      <c r="F774" s="46"/>
      <c r="H774" s="46"/>
      <c r="I774" s="46"/>
    </row>
    <row r="775" spans="6:9" x14ac:dyDescent="0.25">
      <c r="F775" s="46"/>
      <c r="H775" s="46"/>
      <c r="I775" s="46"/>
    </row>
    <row r="776" spans="6:9" x14ac:dyDescent="0.25">
      <c r="F776" s="46"/>
      <c r="H776" s="46"/>
      <c r="I776" s="46"/>
    </row>
    <row r="777" spans="6:9" x14ac:dyDescent="0.25">
      <c r="F777" s="46"/>
      <c r="H777" s="46"/>
      <c r="I777" s="46"/>
    </row>
    <row r="778" spans="6:9" x14ac:dyDescent="0.25">
      <c r="F778" s="46"/>
      <c r="H778" s="46"/>
      <c r="I778" s="46"/>
    </row>
    <row r="779" spans="6:9" x14ac:dyDescent="0.25">
      <c r="F779" s="46"/>
      <c r="H779" s="46"/>
      <c r="I779" s="46"/>
    </row>
    <row r="780" spans="6:9" x14ac:dyDescent="0.25">
      <c r="F780" s="46"/>
      <c r="H780" s="46"/>
      <c r="I780" s="46"/>
    </row>
    <row r="781" spans="6:9" x14ac:dyDescent="0.25">
      <c r="F781" s="46"/>
      <c r="H781" s="46"/>
      <c r="I781" s="46"/>
    </row>
    <row r="782" spans="6:9" x14ac:dyDescent="0.25">
      <c r="F782" s="46"/>
      <c r="H782" s="46"/>
      <c r="I782" s="46"/>
    </row>
    <row r="783" spans="6:9" x14ac:dyDescent="0.25">
      <c r="F783" s="46"/>
      <c r="H783" s="46"/>
      <c r="I783" s="46"/>
    </row>
    <row r="784" spans="6:9" x14ac:dyDescent="0.25">
      <c r="F784" s="46"/>
      <c r="H784" s="46"/>
      <c r="I784" s="46"/>
    </row>
    <row r="785" spans="6:9" x14ac:dyDescent="0.25">
      <c r="F785" s="46"/>
      <c r="H785" s="46"/>
      <c r="I785" s="46"/>
    </row>
    <row r="786" spans="6:9" x14ac:dyDescent="0.25">
      <c r="F786" s="46"/>
      <c r="H786" s="46"/>
      <c r="I786" s="46"/>
    </row>
    <row r="787" spans="6:9" x14ac:dyDescent="0.25">
      <c r="F787" s="46"/>
      <c r="H787" s="46"/>
      <c r="I787" s="46"/>
    </row>
    <row r="788" spans="6:9" x14ac:dyDescent="0.25">
      <c r="F788" s="46"/>
      <c r="H788" s="46"/>
      <c r="I788" s="46"/>
    </row>
    <row r="789" spans="6:9" x14ac:dyDescent="0.25">
      <c r="F789" s="46"/>
      <c r="H789" s="46"/>
      <c r="I789" s="46"/>
    </row>
    <row r="790" spans="6:9" x14ac:dyDescent="0.25">
      <c r="F790" s="46"/>
      <c r="H790" s="46"/>
      <c r="I790" s="46"/>
    </row>
    <row r="791" spans="6:9" x14ac:dyDescent="0.25">
      <c r="F791" s="46"/>
      <c r="H791" s="46"/>
      <c r="I791" s="46"/>
    </row>
    <row r="792" spans="6:9" x14ac:dyDescent="0.25">
      <c r="F792" s="46"/>
      <c r="H792" s="46"/>
      <c r="I792" s="46"/>
    </row>
    <row r="793" spans="6:9" x14ac:dyDescent="0.25">
      <c r="F793" s="46"/>
      <c r="H793" s="46"/>
      <c r="I793" s="46"/>
    </row>
    <row r="794" spans="6:9" x14ac:dyDescent="0.25">
      <c r="F794" s="46"/>
      <c r="H794" s="46"/>
      <c r="I794" s="46"/>
    </row>
    <row r="795" spans="6:9" x14ac:dyDescent="0.25">
      <c r="F795" s="46"/>
      <c r="H795" s="46"/>
      <c r="I795" s="46"/>
    </row>
    <row r="796" spans="6:9" x14ac:dyDescent="0.25">
      <c r="F796" s="46"/>
      <c r="H796" s="46"/>
      <c r="I796" s="46"/>
    </row>
    <row r="797" spans="6:9" x14ac:dyDescent="0.25">
      <c r="F797" s="46"/>
      <c r="H797" s="46"/>
      <c r="I797" s="46"/>
    </row>
    <row r="798" spans="6:9" x14ac:dyDescent="0.25">
      <c r="F798" s="46"/>
      <c r="H798" s="46"/>
      <c r="I798" s="46"/>
    </row>
    <row r="799" spans="6:9" x14ac:dyDescent="0.25">
      <c r="F799" s="46"/>
      <c r="H799" s="46"/>
      <c r="I799" s="46"/>
    </row>
    <row r="800" spans="6:9" x14ac:dyDescent="0.25">
      <c r="F800" s="46"/>
      <c r="H800" s="46"/>
      <c r="I800" s="46"/>
    </row>
    <row r="801" spans="6:9" x14ac:dyDescent="0.25">
      <c r="F801" s="46"/>
      <c r="H801" s="46"/>
      <c r="I801" s="46"/>
    </row>
    <row r="802" spans="6:9" x14ac:dyDescent="0.25">
      <c r="F802" s="46"/>
      <c r="H802" s="46"/>
      <c r="I802" s="46"/>
    </row>
    <row r="803" spans="6:9" x14ac:dyDescent="0.25">
      <c r="F803" s="46"/>
      <c r="H803" s="46"/>
      <c r="I803" s="46"/>
    </row>
    <row r="804" spans="6:9" x14ac:dyDescent="0.25">
      <c r="F804" s="46"/>
      <c r="H804" s="46"/>
      <c r="I804" s="46"/>
    </row>
    <row r="805" spans="6:9" x14ac:dyDescent="0.25">
      <c r="F805" s="46"/>
      <c r="H805" s="46"/>
      <c r="I805" s="46"/>
    </row>
    <row r="806" spans="6:9" x14ac:dyDescent="0.25">
      <c r="F806" s="46"/>
      <c r="H806" s="46"/>
      <c r="I806" s="46"/>
    </row>
    <row r="807" spans="6:9" x14ac:dyDescent="0.25">
      <c r="F807" s="46"/>
      <c r="H807" s="46"/>
      <c r="I807" s="46"/>
    </row>
    <row r="808" spans="6:9" x14ac:dyDescent="0.25">
      <c r="F808" s="46"/>
      <c r="H808" s="46"/>
      <c r="I808" s="46"/>
    </row>
    <row r="809" spans="6:9" x14ac:dyDescent="0.25">
      <c r="F809" s="46"/>
      <c r="H809" s="46"/>
      <c r="I809" s="46"/>
    </row>
    <row r="810" spans="6:9" x14ac:dyDescent="0.25">
      <c r="F810" s="46"/>
      <c r="H810" s="46"/>
      <c r="I810" s="46"/>
    </row>
    <row r="811" spans="6:9" x14ac:dyDescent="0.25">
      <c r="F811" s="46"/>
      <c r="H811" s="46"/>
      <c r="I811" s="46"/>
    </row>
    <row r="812" spans="6:9" x14ac:dyDescent="0.25">
      <c r="F812" s="46"/>
      <c r="H812" s="46"/>
      <c r="I812" s="46"/>
    </row>
    <row r="813" spans="6:9" x14ac:dyDescent="0.25">
      <c r="F813" s="46"/>
      <c r="H813" s="46"/>
      <c r="I813" s="46"/>
    </row>
    <row r="814" spans="6:9" x14ac:dyDescent="0.25">
      <c r="F814" s="46"/>
      <c r="H814" s="46"/>
      <c r="I814" s="46"/>
    </row>
    <row r="815" spans="6:9" x14ac:dyDescent="0.25">
      <c r="F815" s="46"/>
      <c r="H815" s="46"/>
      <c r="I815" s="46"/>
    </row>
    <row r="816" spans="6:9" x14ac:dyDescent="0.25">
      <c r="F816" s="46"/>
      <c r="H816" s="46"/>
      <c r="I816" s="46"/>
    </row>
    <row r="817" spans="6:9" x14ac:dyDescent="0.25">
      <c r="F817" s="46"/>
      <c r="H817" s="46"/>
      <c r="I817" s="46"/>
    </row>
    <row r="818" spans="6:9" x14ac:dyDescent="0.25">
      <c r="F818" s="46"/>
      <c r="H818" s="46"/>
      <c r="I818" s="46"/>
    </row>
    <row r="819" spans="6:9" x14ac:dyDescent="0.25">
      <c r="F819" s="46"/>
      <c r="H819" s="46"/>
      <c r="I819" s="46"/>
    </row>
    <row r="820" spans="6:9" x14ac:dyDescent="0.25">
      <c r="F820" s="46"/>
      <c r="H820" s="46"/>
      <c r="I820" s="46"/>
    </row>
    <row r="821" spans="6:9" x14ac:dyDescent="0.25">
      <c r="F821" s="46"/>
      <c r="H821" s="46"/>
      <c r="I821" s="46"/>
    </row>
    <row r="822" spans="6:9" x14ac:dyDescent="0.25">
      <c r="F822" s="46"/>
      <c r="H822" s="46"/>
      <c r="I822" s="46"/>
    </row>
    <row r="823" spans="6:9" x14ac:dyDescent="0.25">
      <c r="F823" s="46"/>
      <c r="H823" s="46"/>
      <c r="I823" s="46"/>
    </row>
    <row r="824" spans="6:9" x14ac:dyDescent="0.25">
      <c r="F824" s="46"/>
      <c r="H824" s="46"/>
      <c r="I824" s="46"/>
    </row>
    <row r="825" spans="6:9" x14ac:dyDescent="0.25">
      <c r="F825" s="46"/>
      <c r="H825" s="46"/>
      <c r="I825" s="46"/>
    </row>
    <row r="826" spans="6:9" x14ac:dyDescent="0.25">
      <c r="F826" s="46"/>
      <c r="H826" s="46"/>
      <c r="I826" s="46"/>
    </row>
    <row r="827" spans="6:9" x14ac:dyDescent="0.25">
      <c r="F827" s="46"/>
      <c r="H827" s="46"/>
      <c r="I827" s="46"/>
    </row>
    <row r="828" spans="6:9" x14ac:dyDescent="0.25">
      <c r="F828" s="46"/>
      <c r="H828" s="46"/>
      <c r="I828" s="46"/>
    </row>
    <row r="829" spans="6:9" x14ac:dyDescent="0.25">
      <c r="F829" s="46"/>
      <c r="H829" s="46"/>
      <c r="I829" s="46"/>
    </row>
    <row r="830" spans="6:9" x14ac:dyDescent="0.25">
      <c r="F830" s="46"/>
      <c r="H830" s="46"/>
      <c r="I830" s="46"/>
    </row>
    <row r="831" spans="6:9" x14ac:dyDescent="0.25">
      <c r="F831" s="46"/>
      <c r="H831" s="46"/>
      <c r="I831" s="46"/>
    </row>
    <row r="832" spans="6:9" x14ac:dyDescent="0.25">
      <c r="F832" s="46"/>
      <c r="H832" s="46"/>
      <c r="I832" s="46"/>
    </row>
    <row r="833" spans="6:9" x14ac:dyDescent="0.25">
      <c r="F833" s="46"/>
      <c r="H833" s="46"/>
      <c r="I833" s="46"/>
    </row>
    <row r="834" spans="6:9" x14ac:dyDescent="0.25">
      <c r="F834" s="46"/>
      <c r="H834" s="46"/>
      <c r="I834" s="46"/>
    </row>
    <row r="835" spans="6:9" x14ac:dyDescent="0.25">
      <c r="F835" s="46"/>
      <c r="H835" s="46"/>
      <c r="I835" s="46"/>
    </row>
    <row r="836" spans="6:9" x14ac:dyDescent="0.25">
      <c r="F836" s="46"/>
      <c r="H836" s="46"/>
      <c r="I836" s="46"/>
    </row>
    <row r="837" spans="6:9" x14ac:dyDescent="0.25">
      <c r="F837" s="46"/>
      <c r="H837" s="46"/>
      <c r="I837" s="46"/>
    </row>
    <row r="838" spans="6:9" x14ac:dyDescent="0.25">
      <c r="F838" s="46"/>
      <c r="H838" s="46"/>
      <c r="I838" s="46"/>
    </row>
    <row r="839" spans="6:9" x14ac:dyDescent="0.25">
      <c r="F839" s="46"/>
      <c r="H839" s="46"/>
      <c r="I839" s="46"/>
    </row>
    <row r="840" spans="6:9" x14ac:dyDescent="0.25">
      <c r="F840" s="46"/>
      <c r="H840" s="46"/>
      <c r="I840" s="46"/>
    </row>
    <row r="841" spans="6:9" x14ac:dyDescent="0.25">
      <c r="F841" s="46"/>
      <c r="H841" s="46"/>
      <c r="I841" s="46"/>
    </row>
    <row r="842" spans="6:9" x14ac:dyDescent="0.25">
      <c r="F842" s="46"/>
      <c r="H842" s="46"/>
      <c r="I842" s="46"/>
    </row>
    <row r="843" spans="6:9" x14ac:dyDescent="0.25">
      <c r="F843" s="46"/>
      <c r="H843" s="46"/>
      <c r="I843" s="46"/>
    </row>
    <row r="844" spans="6:9" x14ac:dyDescent="0.25">
      <c r="F844" s="46"/>
      <c r="H844" s="46"/>
      <c r="I844" s="46"/>
    </row>
    <row r="845" spans="6:9" x14ac:dyDescent="0.25">
      <c r="F845" s="46"/>
      <c r="H845" s="46"/>
      <c r="I845" s="46"/>
    </row>
    <row r="846" spans="6:9" x14ac:dyDescent="0.25">
      <c r="F846" s="46"/>
      <c r="H846" s="46"/>
      <c r="I846" s="46"/>
    </row>
    <row r="847" spans="6:9" x14ac:dyDescent="0.25">
      <c r="F847" s="46"/>
      <c r="H847" s="46"/>
      <c r="I847" s="46"/>
    </row>
    <row r="848" spans="6:9" x14ac:dyDescent="0.25">
      <c r="F848" s="46"/>
      <c r="H848" s="46"/>
      <c r="I848" s="46"/>
    </row>
    <row r="849" spans="6:9" x14ac:dyDescent="0.25">
      <c r="F849" s="46"/>
      <c r="H849" s="46"/>
      <c r="I849" s="46"/>
    </row>
    <row r="850" spans="6:9" x14ac:dyDescent="0.25">
      <c r="F850" s="46"/>
      <c r="H850" s="46"/>
      <c r="I850" s="46"/>
    </row>
    <row r="851" spans="6:9" x14ac:dyDescent="0.25">
      <c r="F851" s="46"/>
      <c r="H851" s="46"/>
      <c r="I851" s="46"/>
    </row>
    <row r="852" spans="6:9" x14ac:dyDescent="0.25">
      <c r="F852" s="46"/>
      <c r="H852" s="46"/>
      <c r="I852" s="46"/>
    </row>
    <row r="853" spans="6:9" x14ac:dyDescent="0.25">
      <c r="F853" s="46"/>
      <c r="H853" s="46"/>
      <c r="I853" s="46"/>
    </row>
    <row r="854" spans="6:9" x14ac:dyDescent="0.25">
      <c r="F854" s="46"/>
      <c r="H854" s="46"/>
      <c r="I854" s="46"/>
    </row>
    <row r="855" spans="6:9" x14ac:dyDescent="0.25">
      <c r="F855" s="46"/>
      <c r="H855" s="46"/>
      <c r="I855" s="46"/>
    </row>
    <row r="856" spans="6:9" x14ac:dyDescent="0.25">
      <c r="F856" s="46"/>
      <c r="H856" s="46"/>
      <c r="I856" s="46"/>
    </row>
    <row r="857" spans="6:9" x14ac:dyDescent="0.25">
      <c r="F857" s="46"/>
      <c r="H857" s="46"/>
      <c r="I857" s="46"/>
    </row>
    <row r="858" spans="6:9" x14ac:dyDescent="0.25">
      <c r="F858" s="46"/>
      <c r="H858" s="46"/>
      <c r="I858" s="46"/>
    </row>
    <row r="859" spans="6:9" x14ac:dyDescent="0.25">
      <c r="F859" s="46"/>
      <c r="H859" s="46"/>
      <c r="I859" s="46"/>
    </row>
    <row r="860" spans="6:9" x14ac:dyDescent="0.25">
      <c r="F860" s="46"/>
      <c r="H860" s="46"/>
      <c r="I860" s="46"/>
    </row>
    <row r="861" spans="6:9" x14ac:dyDescent="0.25">
      <c r="F861" s="46"/>
      <c r="H861" s="46"/>
      <c r="I861" s="46"/>
    </row>
    <row r="862" spans="6:9" x14ac:dyDescent="0.25">
      <c r="F862" s="46"/>
      <c r="H862" s="46"/>
      <c r="I862" s="46"/>
    </row>
    <row r="863" spans="6:9" x14ac:dyDescent="0.25">
      <c r="F863" s="46"/>
      <c r="H863" s="46"/>
      <c r="I863" s="46"/>
    </row>
    <row r="864" spans="6:9" x14ac:dyDescent="0.25">
      <c r="F864" s="46"/>
      <c r="H864" s="46"/>
      <c r="I864" s="46"/>
    </row>
    <row r="865" spans="6:9" x14ac:dyDescent="0.25">
      <c r="F865" s="46"/>
      <c r="H865" s="46"/>
      <c r="I865" s="46"/>
    </row>
    <row r="866" spans="6:9" x14ac:dyDescent="0.25">
      <c r="F866" s="46"/>
      <c r="H866" s="46"/>
      <c r="I866" s="46"/>
    </row>
    <row r="867" spans="6:9" x14ac:dyDescent="0.25">
      <c r="F867" s="46"/>
      <c r="H867" s="46"/>
      <c r="I867" s="46"/>
    </row>
    <row r="868" spans="6:9" x14ac:dyDescent="0.25">
      <c r="F868" s="46"/>
      <c r="H868" s="46"/>
      <c r="I868" s="46"/>
    </row>
    <row r="869" spans="6:9" x14ac:dyDescent="0.25">
      <c r="F869" s="46"/>
      <c r="H869" s="46"/>
      <c r="I869" s="46"/>
    </row>
    <row r="870" spans="6:9" x14ac:dyDescent="0.25">
      <c r="F870" s="46"/>
      <c r="H870" s="46"/>
      <c r="I870" s="46"/>
    </row>
    <row r="871" spans="6:9" x14ac:dyDescent="0.25">
      <c r="F871" s="46"/>
      <c r="H871" s="46"/>
      <c r="I871" s="46"/>
    </row>
    <row r="872" spans="6:9" x14ac:dyDescent="0.25">
      <c r="F872" s="46"/>
      <c r="H872" s="46"/>
      <c r="I872" s="46"/>
    </row>
    <row r="873" spans="6:9" x14ac:dyDescent="0.25">
      <c r="F873" s="46"/>
      <c r="H873" s="46"/>
      <c r="I873" s="46"/>
    </row>
    <row r="874" spans="6:9" x14ac:dyDescent="0.25">
      <c r="F874" s="46"/>
      <c r="H874" s="46"/>
      <c r="I874" s="46"/>
    </row>
    <row r="875" spans="6:9" x14ac:dyDescent="0.25">
      <c r="F875" s="46"/>
      <c r="H875" s="46"/>
      <c r="I875" s="46"/>
    </row>
    <row r="876" spans="6:9" x14ac:dyDescent="0.25">
      <c r="F876" s="46"/>
      <c r="H876" s="46"/>
      <c r="I876" s="46"/>
    </row>
    <row r="877" spans="6:9" x14ac:dyDescent="0.25">
      <c r="F877" s="46"/>
      <c r="H877" s="46"/>
      <c r="I877" s="46"/>
    </row>
    <row r="878" spans="6:9" x14ac:dyDescent="0.25">
      <c r="F878" s="46"/>
      <c r="H878" s="46"/>
      <c r="I878" s="46"/>
    </row>
    <row r="879" spans="6:9" x14ac:dyDescent="0.25">
      <c r="F879" s="46"/>
      <c r="H879" s="46"/>
      <c r="I879" s="46"/>
    </row>
    <row r="880" spans="6:9" x14ac:dyDescent="0.25">
      <c r="F880" s="46"/>
      <c r="H880" s="46"/>
      <c r="I880" s="46"/>
    </row>
    <row r="881" spans="6:9" x14ac:dyDescent="0.25">
      <c r="F881" s="46"/>
      <c r="H881" s="46"/>
      <c r="I881" s="46"/>
    </row>
    <row r="882" spans="6:9" x14ac:dyDescent="0.25">
      <c r="F882" s="46"/>
      <c r="H882" s="46"/>
      <c r="I882" s="46"/>
    </row>
    <row r="883" spans="6:9" x14ac:dyDescent="0.25">
      <c r="F883" s="46"/>
      <c r="H883" s="46"/>
      <c r="I883" s="46"/>
    </row>
    <row r="884" spans="6:9" x14ac:dyDescent="0.25">
      <c r="F884" s="46"/>
      <c r="H884" s="46"/>
      <c r="I884" s="46"/>
    </row>
    <row r="885" spans="6:9" x14ac:dyDescent="0.25">
      <c r="F885" s="46"/>
      <c r="H885" s="46"/>
      <c r="I885" s="46"/>
    </row>
    <row r="886" spans="6:9" x14ac:dyDescent="0.25">
      <c r="F886" s="46"/>
      <c r="H886" s="46"/>
      <c r="I886" s="46"/>
    </row>
    <row r="887" spans="6:9" x14ac:dyDescent="0.25">
      <c r="F887" s="46"/>
      <c r="H887" s="46"/>
      <c r="I887" s="46"/>
    </row>
    <row r="888" spans="6:9" x14ac:dyDescent="0.25">
      <c r="F888" s="46"/>
      <c r="H888" s="46"/>
      <c r="I888" s="46"/>
    </row>
    <row r="889" spans="6:9" x14ac:dyDescent="0.25">
      <c r="F889" s="46"/>
      <c r="H889" s="46"/>
      <c r="I889" s="46"/>
    </row>
    <row r="890" spans="6:9" x14ac:dyDescent="0.25">
      <c r="F890" s="46"/>
      <c r="H890" s="46"/>
      <c r="I890" s="46"/>
    </row>
    <row r="891" spans="6:9" x14ac:dyDescent="0.25">
      <c r="F891" s="46"/>
      <c r="H891" s="46"/>
      <c r="I891" s="46"/>
    </row>
    <row r="892" spans="6:9" x14ac:dyDescent="0.25">
      <c r="F892" s="46"/>
      <c r="H892" s="46"/>
      <c r="I892" s="46"/>
    </row>
    <row r="893" spans="6:9" x14ac:dyDescent="0.25">
      <c r="F893" s="46"/>
      <c r="H893" s="46"/>
      <c r="I893" s="46"/>
    </row>
    <row r="894" spans="6:9" x14ac:dyDescent="0.25">
      <c r="F894" s="46"/>
      <c r="H894" s="46"/>
      <c r="I894" s="46"/>
    </row>
    <row r="895" spans="6:9" x14ac:dyDescent="0.25">
      <c r="F895" s="46"/>
      <c r="H895" s="46"/>
      <c r="I895" s="46"/>
    </row>
    <row r="896" spans="6:9" x14ac:dyDescent="0.25">
      <c r="F896" s="46"/>
      <c r="H896" s="46"/>
      <c r="I896" s="46"/>
    </row>
    <row r="897" spans="6:9" x14ac:dyDescent="0.25">
      <c r="F897" s="46"/>
      <c r="H897" s="46"/>
      <c r="I897" s="46"/>
    </row>
    <row r="898" spans="6:9" x14ac:dyDescent="0.25">
      <c r="F898" s="46"/>
      <c r="H898" s="46"/>
      <c r="I898" s="46"/>
    </row>
    <row r="899" spans="6:9" x14ac:dyDescent="0.25">
      <c r="F899" s="46"/>
      <c r="H899" s="46"/>
      <c r="I899" s="46"/>
    </row>
    <row r="900" spans="6:9" x14ac:dyDescent="0.25">
      <c r="F900" s="46"/>
      <c r="H900" s="46"/>
      <c r="I900" s="46"/>
    </row>
    <row r="901" spans="6:9" x14ac:dyDescent="0.25">
      <c r="F901" s="46"/>
      <c r="H901" s="46"/>
      <c r="I901" s="46"/>
    </row>
    <row r="902" spans="6:9" x14ac:dyDescent="0.25">
      <c r="F902" s="46"/>
      <c r="H902" s="46"/>
      <c r="I902" s="46"/>
    </row>
    <row r="903" spans="6:9" x14ac:dyDescent="0.25">
      <c r="F903" s="46"/>
      <c r="H903" s="46"/>
      <c r="I903" s="46"/>
    </row>
    <row r="904" spans="6:9" x14ac:dyDescent="0.25">
      <c r="F904" s="46"/>
      <c r="H904" s="46"/>
      <c r="I904" s="46"/>
    </row>
    <row r="905" spans="6:9" x14ac:dyDescent="0.25">
      <c r="F905" s="46"/>
      <c r="H905" s="46"/>
      <c r="I905" s="46"/>
    </row>
    <row r="906" spans="6:9" x14ac:dyDescent="0.25">
      <c r="F906" s="46"/>
      <c r="H906" s="46"/>
      <c r="I906" s="46"/>
    </row>
    <row r="907" spans="6:9" x14ac:dyDescent="0.25">
      <c r="F907" s="46"/>
      <c r="H907" s="46"/>
      <c r="I907" s="46"/>
    </row>
    <row r="908" spans="6:9" x14ac:dyDescent="0.25">
      <c r="F908" s="46"/>
      <c r="H908" s="46"/>
      <c r="I908" s="46"/>
    </row>
    <row r="909" spans="6:9" x14ac:dyDescent="0.25">
      <c r="F909" s="46"/>
      <c r="H909" s="46"/>
      <c r="I909" s="46"/>
    </row>
    <row r="910" spans="6:9" x14ac:dyDescent="0.25">
      <c r="F910" s="46"/>
      <c r="H910" s="46"/>
      <c r="I910" s="46"/>
    </row>
    <row r="911" spans="6:9" x14ac:dyDescent="0.25">
      <c r="F911" s="46"/>
      <c r="H911" s="46"/>
      <c r="I911" s="46"/>
    </row>
    <row r="912" spans="6:9" x14ac:dyDescent="0.25">
      <c r="F912" s="46"/>
      <c r="H912" s="46"/>
      <c r="I912" s="46"/>
    </row>
    <row r="913" spans="6:9" x14ac:dyDescent="0.25">
      <c r="F913" s="46"/>
      <c r="H913" s="46"/>
      <c r="I913" s="46"/>
    </row>
    <row r="914" spans="6:9" x14ac:dyDescent="0.25">
      <c r="F914" s="46"/>
      <c r="H914" s="46"/>
      <c r="I914" s="46"/>
    </row>
    <row r="915" spans="6:9" x14ac:dyDescent="0.25">
      <c r="F915" s="46"/>
      <c r="H915" s="46"/>
      <c r="I915" s="46"/>
    </row>
    <row r="916" spans="6:9" x14ac:dyDescent="0.25">
      <c r="F916" s="46"/>
      <c r="H916" s="46"/>
      <c r="I916" s="46"/>
    </row>
    <row r="917" spans="6:9" x14ac:dyDescent="0.25">
      <c r="F917" s="46"/>
      <c r="H917" s="46"/>
      <c r="I917" s="46"/>
    </row>
    <row r="918" spans="6:9" x14ac:dyDescent="0.25">
      <c r="F918" s="46"/>
      <c r="H918" s="46"/>
      <c r="I918" s="46"/>
    </row>
    <row r="919" spans="6:9" x14ac:dyDescent="0.25">
      <c r="F919" s="46"/>
      <c r="H919" s="46"/>
      <c r="I919" s="46"/>
    </row>
    <row r="920" spans="6:9" x14ac:dyDescent="0.25">
      <c r="F920" s="46"/>
      <c r="H920" s="46"/>
      <c r="I920" s="46"/>
    </row>
    <row r="921" spans="6:9" x14ac:dyDescent="0.25">
      <c r="F921" s="46"/>
      <c r="H921" s="46"/>
      <c r="I921" s="46"/>
    </row>
    <row r="922" spans="6:9" x14ac:dyDescent="0.25">
      <c r="F922" s="46"/>
      <c r="H922" s="46"/>
      <c r="I922" s="46"/>
    </row>
    <row r="923" spans="6:9" x14ac:dyDescent="0.25">
      <c r="F923" s="46"/>
      <c r="H923" s="46"/>
      <c r="I923" s="46"/>
    </row>
    <row r="924" spans="6:9" x14ac:dyDescent="0.25">
      <c r="F924" s="46"/>
      <c r="H924" s="46"/>
      <c r="I924" s="46"/>
    </row>
    <row r="925" spans="6:9" x14ac:dyDescent="0.25">
      <c r="F925" s="46"/>
      <c r="H925" s="46"/>
      <c r="I925" s="46"/>
    </row>
    <row r="926" spans="6:9" x14ac:dyDescent="0.25">
      <c r="F926" s="46"/>
      <c r="H926" s="46"/>
      <c r="I926" s="46"/>
    </row>
    <row r="927" spans="6:9" x14ac:dyDescent="0.25">
      <c r="F927" s="46"/>
      <c r="H927" s="46"/>
      <c r="I927" s="46"/>
    </row>
    <row r="928" spans="6:9" x14ac:dyDescent="0.25">
      <c r="F928" s="46"/>
      <c r="H928" s="46"/>
      <c r="I928" s="46"/>
    </row>
    <row r="929" spans="6:9" x14ac:dyDescent="0.25">
      <c r="F929" s="46"/>
      <c r="H929" s="46"/>
      <c r="I929" s="46"/>
    </row>
    <row r="930" spans="6:9" x14ac:dyDescent="0.25">
      <c r="F930" s="46"/>
      <c r="H930" s="46"/>
      <c r="I930" s="46"/>
    </row>
    <row r="931" spans="6:9" x14ac:dyDescent="0.25">
      <c r="F931" s="46"/>
      <c r="H931" s="46"/>
      <c r="I931" s="46"/>
    </row>
    <row r="932" spans="6:9" x14ac:dyDescent="0.25">
      <c r="F932" s="46"/>
      <c r="H932" s="46"/>
      <c r="I932" s="46"/>
    </row>
    <row r="933" spans="6:9" x14ac:dyDescent="0.25">
      <c r="F933" s="46"/>
      <c r="H933" s="46"/>
      <c r="I933" s="46"/>
    </row>
    <row r="934" spans="6:9" x14ac:dyDescent="0.25">
      <c r="F934" s="46"/>
      <c r="H934" s="46"/>
      <c r="I934" s="46"/>
    </row>
    <row r="935" spans="6:9" x14ac:dyDescent="0.25">
      <c r="F935" s="46"/>
      <c r="H935" s="46"/>
      <c r="I935" s="46"/>
    </row>
    <row r="936" spans="6:9" x14ac:dyDescent="0.25">
      <c r="F936" s="46"/>
      <c r="H936" s="46"/>
      <c r="I936" s="46"/>
    </row>
    <row r="937" spans="6:9" x14ac:dyDescent="0.25">
      <c r="F937" s="46"/>
      <c r="H937" s="46"/>
      <c r="I937" s="46"/>
    </row>
    <row r="938" spans="6:9" x14ac:dyDescent="0.25">
      <c r="F938" s="46"/>
      <c r="H938" s="46"/>
      <c r="I938" s="46"/>
    </row>
    <row r="939" spans="6:9" x14ac:dyDescent="0.25">
      <c r="F939" s="46"/>
      <c r="H939" s="46"/>
      <c r="I939" s="46"/>
    </row>
    <row r="940" spans="6:9" x14ac:dyDescent="0.25">
      <c r="F940" s="46"/>
      <c r="H940" s="46"/>
      <c r="I940" s="46"/>
    </row>
    <row r="941" spans="6:9" x14ac:dyDescent="0.25">
      <c r="F941" s="46"/>
      <c r="H941" s="46"/>
      <c r="I941" s="46"/>
    </row>
    <row r="942" spans="6:9" x14ac:dyDescent="0.25">
      <c r="F942" s="46"/>
      <c r="H942" s="46"/>
      <c r="I942" s="46"/>
    </row>
    <row r="943" spans="6:9" x14ac:dyDescent="0.25">
      <c r="F943" s="46"/>
      <c r="H943" s="46"/>
      <c r="I943" s="46"/>
    </row>
    <row r="944" spans="6:9" x14ac:dyDescent="0.25">
      <c r="F944" s="46"/>
      <c r="H944" s="46"/>
      <c r="I944" s="46"/>
    </row>
    <row r="945" spans="6:9" x14ac:dyDescent="0.25">
      <c r="F945" s="46"/>
      <c r="H945" s="46"/>
      <c r="I945" s="46"/>
    </row>
    <row r="946" spans="6:9" x14ac:dyDescent="0.25">
      <c r="F946" s="46"/>
      <c r="H946" s="46"/>
      <c r="I946" s="46"/>
    </row>
    <row r="947" spans="6:9" x14ac:dyDescent="0.25">
      <c r="F947" s="46"/>
      <c r="H947" s="46"/>
      <c r="I947" s="46"/>
    </row>
    <row r="948" spans="6:9" x14ac:dyDescent="0.25">
      <c r="F948" s="46"/>
      <c r="H948" s="46"/>
      <c r="I948" s="46"/>
    </row>
    <row r="949" spans="6:9" x14ac:dyDescent="0.25">
      <c r="F949" s="46"/>
      <c r="H949" s="46"/>
      <c r="I949" s="46"/>
    </row>
    <row r="950" spans="6:9" x14ac:dyDescent="0.25">
      <c r="F950" s="46"/>
      <c r="H950" s="46"/>
      <c r="I950" s="46"/>
    </row>
    <row r="951" spans="6:9" x14ac:dyDescent="0.25">
      <c r="F951" s="46"/>
      <c r="H951" s="46"/>
      <c r="I951" s="46"/>
    </row>
    <row r="952" spans="6:9" x14ac:dyDescent="0.25">
      <c r="F952" s="46"/>
      <c r="H952" s="46"/>
      <c r="I952" s="46"/>
    </row>
    <row r="953" spans="6:9" x14ac:dyDescent="0.25">
      <c r="F953" s="46"/>
      <c r="H953" s="46"/>
      <c r="I953" s="46"/>
    </row>
    <row r="954" spans="6:9" x14ac:dyDescent="0.25">
      <c r="F954" s="46"/>
      <c r="H954" s="46"/>
      <c r="I954" s="46"/>
    </row>
    <row r="955" spans="6:9" x14ac:dyDescent="0.25">
      <c r="F955" s="46"/>
      <c r="H955" s="46"/>
      <c r="I955" s="46"/>
    </row>
    <row r="956" spans="6:9" x14ac:dyDescent="0.25">
      <c r="F956" s="46"/>
      <c r="H956" s="46"/>
      <c r="I956" s="46"/>
    </row>
    <row r="957" spans="6:9" x14ac:dyDescent="0.25">
      <c r="F957" s="46"/>
      <c r="H957" s="46"/>
      <c r="I957" s="46"/>
    </row>
    <row r="958" spans="6:9" x14ac:dyDescent="0.25">
      <c r="F958" s="46"/>
      <c r="H958" s="46"/>
      <c r="I958" s="46"/>
    </row>
    <row r="959" spans="6:9" x14ac:dyDescent="0.25">
      <c r="F959" s="46"/>
      <c r="H959" s="46"/>
      <c r="I959" s="46"/>
    </row>
    <row r="960" spans="6:9" x14ac:dyDescent="0.25">
      <c r="F960" s="46"/>
      <c r="H960" s="46"/>
      <c r="I960" s="46"/>
    </row>
    <row r="961" spans="6:9" x14ac:dyDescent="0.25">
      <c r="F961" s="46"/>
      <c r="H961" s="46"/>
      <c r="I961" s="46"/>
    </row>
    <row r="962" spans="6:9" x14ac:dyDescent="0.25">
      <c r="F962" s="46"/>
      <c r="H962" s="46"/>
      <c r="I962" s="46"/>
    </row>
    <row r="963" spans="6:9" x14ac:dyDescent="0.25">
      <c r="F963" s="46"/>
      <c r="H963" s="46"/>
      <c r="I963" s="46"/>
    </row>
    <row r="964" spans="6:9" x14ac:dyDescent="0.25">
      <c r="F964" s="46"/>
      <c r="H964" s="46"/>
      <c r="I964" s="46"/>
    </row>
    <row r="965" spans="6:9" x14ac:dyDescent="0.25">
      <c r="F965" s="46"/>
      <c r="H965" s="46"/>
      <c r="I965" s="46"/>
    </row>
    <row r="966" spans="6:9" x14ac:dyDescent="0.25">
      <c r="F966" s="46"/>
      <c r="H966" s="46"/>
      <c r="I966" s="46"/>
    </row>
    <row r="967" spans="6:9" x14ac:dyDescent="0.25">
      <c r="F967" s="46"/>
      <c r="H967" s="46"/>
      <c r="I967" s="46"/>
    </row>
    <row r="968" spans="6:9" x14ac:dyDescent="0.25">
      <c r="F968" s="46"/>
      <c r="H968" s="46"/>
      <c r="I968" s="46"/>
    </row>
    <row r="969" spans="6:9" x14ac:dyDescent="0.25">
      <c r="F969" s="46"/>
      <c r="H969" s="46"/>
      <c r="I969" s="46"/>
    </row>
    <row r="970" spans="6:9" x14ac:dyDescent="0.25">
      <c r="F970" s="46"/>
      <c r="H970" s="46"/>
      <c r="I970" s="46"/>
    </row>
    <row r="971" spans="6:9" x14ac:dyDescent="0.25">
      <c r="F971" s="46"/>
      <c r="H971" s="46"/>
      <c r="I971" s="46"/>
    </row>
    <row r="972" spans="6:9" x14ac:dyDescent="0.25">
      <c r="F972" s="46"/>
      <c r="H972" s="46"/>
      <c r="I972" s="46"/>
    </row>
    <row r="973" spans="6:9" x14ac:dyDescent="0.25">
      <c r="F973" s="46"/>
      <c r="H973" s="46"/>
      <c r="I973" s="46"/>
    </row>
    <row r="974" spans="6:9" x14ac:dyDescent="0.25">
      <c r="F974" s="46"/>
      <c r="H974" s="46"/>
      <c r="I974" s="46"/>
    </row>
    <row r="975" spans="6:9" x14ac:dyDescent="0.25">
      <c r="F975" s="46"/>
      <c r="H975" s="46"/>
      <c r="I975" s="46"/>
    </row>
    <row r="976" spans="6:9" x14ac:dyDescent="0.25">
      <c r="F976" s="46"/>
      <c r="H976" s="46"/>
      <c r="I976" s="46"/>
    </row>
    <row r="977" spans="6:9" x14ac:dyDescent="0.25">
      <c r="F977" s="46"/>
      <c r="H977" s="46"/>
      <c r="I977" s="46"/>
    </row>
    <row r="978" spans="6:9" x14ac:dyDescent="0.25">
      <c r="F978" s="46"/>
      <c r="H978" s="46"/>
      <c r="I978" s="46"/>
    </row>
    <row r="979" spans="6:9" x14ac:dyDescent="0.25">
      <c r="F979" s="46"/>
      <c r="H979" s="46"/>
      <c r="I979" s="46"/>
    </row>
    <row r="980" spans="6:9" x14ac:dyDescent="0.25">
      <c r="F980" s="46"/>
      <c r="H980" s="46"/>
      <c r="I980" s="46"/>
    </row>
    <row r="981" spans="6:9" x14ac:dyDescent="0.25">
      <c r="F981" s="46"/>
      <c r="H981" s="46"/>
      <c r="I981" s="46"/>
    </row>
    <row r="982" spans="6:9" x14ac:dyDescent="0.25">
      <c r="F982" s="46"/>
      <c r="H982" s="46"/>
      <c r="I982" s="46"/>
    </row>
    <row r="983" spans="6:9" x14ac:dyDescent="0.25">
      <c r="F983" s="46"/>
      <c r="H983" s="46"/>
      <c r="I983" s="46"/>
    </row>
    <row r="984" spans="6:9" x14ac:dyDescent="0.25">
      <c r="F984" s="46"/>
      <c r="H984" s="46"/>
      <c r="I984" s="46"/>
    </row>
    <row r="985" spans="6:9" x14ac:dyDescent="0.25">
      <c r="F985" s="46"/>
      <c r="H985" s="46"/>
      <c r="I985" s="46"/>
    </row>
    <row r="986" spans="6:9" x14ac:dyDescent="0.25">
      <c r="F986" s="46"/>
      <c r="H986" s="46"/>
      <c r="I986" s="46"/>
    </row>
    <row r="987" spans="6:9" x14ac:dyDescent="0.25">
      <c r="F987" s="46"/>
      <c r="H987" s="46"/>
      <c r="I987" s="46"/>
    </row>
    <row r="988" spans="6:9" x14ac:dyDescent="0.25">
      <c r="F988" s="46"/>
      <c r="H988" s="46"/>
      <c r="I988" s="46"/>
    </row>
    <row r="989" spans="6:9" x14ac:dyDescent="0.25">
      <c r="F989" s="46"/>
      <c r="H989" s="46"/>
      <c r="I989" s="46"/>
    </row>
    <row r="990" spans="6:9" x14ac:dyDescent="0.25">
      <c r="F990" s="46"/>
      <c r="H990" s="46"/>
      <c r="I990" s="46"/>
    </row>
    <row r="991" spans="6:9" x14ac:dyDescent="0.25">
      <c r="F991" s="46"/>
      <c r="H991" s="46"/>
      <c r="I991" s="46"/>
    </row>
    <row r="992" spans="6:9" x14ac:dyDescent="0.25">
      <c r="F992" s="46"/>
      <c r="H992" s="46"/>
      <c r="I992" s="46"/>
    </row>
    <row r="993" spans="6:9" x14ac:dyDescent="0.25">
      <c r="F993" s="46"/>
      <c r="H993" s="46"/>
      <c r="I993" s="46"/>
    </row>
    <row r="994" spans="6:9" x14ac:dyDescent="0.25">
      <c r="F994" s="46"/>
      <c r="H994" s="46"/>
      <c r="I994" s="46"/>
    </row>
    <row r="995" spans="6:9" x14ac:dyDescent="0.25">
      <c r="F995" s="46"/>
      <c r="H995" s="46"/>
      <c r="I995" s="46"/>
    </row>
    <row r="996" spans="6:9" x14ac:dyDescent="0.25">
      <c r="F996" s="46"/>
      <c r="H996" s="46"/>
      <c r="I996" s="46"/>
    </row>
    <row r="997" spans="6:9" x14ac:dyDescent="0.25">
      <c r="F997" s="46"/>
      <c r="H997" s="46"/>
      <c r="I997" s="46"/>
    </row>
    <row r="998" spans="6:9" x14ac:dyDescent="0.25">
      <c r="F998" s="46"/>
      <c r="H998" s="46"/>
      <c r="I998" s="46"/>
    </row>
    <row r="999" spans="6:9" x14ac:dyDescent="0.25">
      <c r="F999" s="46"/>
      <c r="H999" s="46"/>
      <c r="I999" s="46"/>
    </row>
    <row r="1000" spans="6:9" x14ac:dyDescent="0.25">
      <c r="F1000" s="46"/>
      <c r="H1000" s="46"/>
      <c r="I1000" s="46"/>
    </row>
    <row r="1001" spans="6:9" x14ac:dyDescent="0.25">
      <c r="F1001" s="46"/>
      <c r="H1001" s="46"/>
      <c r="I1001" s="46"/>
    </row>
    <row r="1002" spans="6:9" x14ac:dyDescent="0.25">
      <c r="F1002" s="46"/>
      <c r="H1002" s="46"/>
      <c r="I1002" s="46"/>
    </row>
    <row r="1003" spans="6:9" x14ac:dyDescent="0.25">
      <c r="F1003" s="46"/>
      <c r="H1003" s="46"/>
      <c r="I1003" s="46"/>
    </row>
    <row r="1004" spans="6:9" x14ac:dyDescent="0.25">
      <c r="F1004" s="46"/>
      <c r="H1004" s="46"/>
      <c r="I1004" s="46"/>
    </row>
    <row r="1005" spans="6:9" x14ac:dyDescent="0.25">
      <c r="F1005" s="46"/>
      <c r="H1005" s="46"/>
      <c r="I1005" s="46"/>
    </row>
    <row r="1006" spans="6:9" x14ac:dyDescent="0.25">
      <c r="F1006" s="46"/>
      <c r="H1006" s="46"/>
      <c r="I1006" s="46"/>
    </row>
    <row r="1007" spans="6:9" x14ac:dyDescent="0.25">
      <c r="F1007" s="46"/>
      <c r="H1007" s="46"/>
      <c r="I1007" s="46"/>
    </row>
    <row r="1008" spans="6:9" x14ac:dyDescent="0.25">
      <c r="F1008" s="46"/>
      <c r="H1008" s="46"/>
      <c r="I1008" s="46"/>
    </row>
    <row r="1009" spans="6:9" x14ac:dyDescent="0.25">
      <c r="F1009" s="46"/>
      <c r="H1009" s="46"/>
      <c r="I1009" s="46"/>
    </row>
    <row r="1010" spans="6:9" x14ac:dyDescent="0.25">
      <c r="F1010" s="46"/>
      <c r="H1010" s="46"/>
      <c r="I1010" s="46"/>
    </row>
    <row r="1011" spans="6:9" x14ac:dyDescent="0.25">
      <c r="F1011" s="46"/>
      <c r="H1011" s="46"/>
      <c r="I1011" s="46"/>
    </row>
    <row r="1012" spans="6:9" x14ac:dyDescent="0.25">
      <c r="F1012" s="46"/>
      <c r="H1012" s="46"/>
      <c r="I1012" s="46"/>
    </row>
    <row r="1013" spans="6:9" x14ac:dyDescent="0.25">
      <c r="F1013" s="46"/>
      <c r="H1013" s="46"/>
      <c r="I1013" s="46"/>
    </row>
    <row r="1014" spans="6:9" x14ac:dyDescent="0.25">
      <c r="F1014" s="46"/>
      <c r="H1014" s="46"/>
      <c r="I1014" s="46"/>
    </row>
    <row r="1015" spans="6:9" x14ac:dyDescent="0.25">
      <c r="F1015" s="46"/>
      <c r="H1015" s="46"/>
      <c r="I1015" s="46"/>
    </row>
    <row r="1016" spans="6:9" x14ac:dyDescent="0.25">
      <c r="F1016" s="46"/>
      <c r="H1016" s="46"/>
      <c r="I1016" s="46"/>
    </row>
    <row r="1017" spans="6:9" x14ac:dyDescent="0.25">
      <c r="F1017" s="46"/>
      <c r="H1017" s="46"/>
      <c r="I1017" s="46"/>
    </row>
    <row r="1018" spans="6:9" x14ac:dyDescent="0.25">
      <c r="F1018" s="46"/>
      <c r="H1018" s="46"/>
      <c r="I1018" s="46"/>
    </row>
    <row r="1019" spans="6:9" x14ac:dyDescent="0.25">
      <c r="F1019" s="46"/>
      <c r="H1019" s="46"/>
      <c r="I1019" s="46"/>
    </row>
    <row r="1020" spans="6:9" x14ac:dyDescent="0.25">
      <c r="F1020" s="46"/>
      <c r="H1020" s="46"/>
      <c r="I1020" s="46"/>
    </row>
    <row r="1021" spans="6:9" x14ac:dyDescent="0.25">
      <c r="F1021" s="46"/>
      <c r="H1021" s="46"/>
      <c r="I1021" s="46"/>
    </row>
    <row r="1022" spans="6:9" x14ac:dyDescent="0.25">
      <c r="F1022" s="46"/>
      <c r="H1022" s="46"/>
      <c r="I1022" s="46"/>
    </row>
    <row r="1023" spans="6:9" x14ac:dyDescent="0.25">
      <c r="F1023" s="46"/>
      <c r="H1023" s="46"/>
      <c r="I1023" s="46"/>
    </row>
    <row r="1024" spans="6:9" x14ac:dyDescent="0.25">
      <c r="F1024" s="46"/>
      <c r="H1024" s="46"/>
      <c r="I1024" s="46"/>
    </row>
    <row r="1025" spans="6:9" x14ac:dyDescent="0.25">
      <c r="F1025" s="46"/>
      <c r="H1025" s="46"/>
      <c r="I1025" s="46"/>
    </row>
    <row r="1026" spans="6:9" x14ac:dyDescent="0.25">
      <c r="F1026" s="46"/>
      <c r="H1026" s="46"/>
      <c r="I1026" s="46"/>
    </row>
    <row r="1027" spans="6:9" x14ac:dyDescent="0.25">
      <c r="F1027" s="46"/>
      <c r="H1027" s="46"/>
      <c r="I1027" s="46"/>
    </row>
    <row r="1028" spans="6:9" x14ac:dyDescent="0.25">
      <c r="F1028" s="46"/>
      <c r="H1028" s="46"/>
      <c r="I1028" s="46"/>
    </row>
    <row r="1029" spans="6:9" x14ac:dyDescent="0.25">
      <c r="F1029" s="46"/>
      <c r="H1029" s="46"/>
      <c r="I1029" s="46"/>
    </row>
    <row r="1030" spans="6:9" x14ac:dyDescent="0.25">
      <c r="F1030" s="46"/>
      <c r="H1030" s="46"/>
      <c r="I1030" s="46"/>
    </row>
    <row r="1031" spans="6:9" x14ac:dyDescent="0.25">
      <c r="F1031" s="46"/>
      <c r="H1031" s="46"/>
      <c r="I1031" s="46"/>
    </row>
    <row r="1032" spans="6:9" x14ac:dyDescent="0.25">
      <c r="F1032" s="46"/>
      <c r="H1032" s="46"/>
      <c r="I1032" s="46"/>
    </row>
    <row r="1033" spans="6:9" x14ac:dyDescent="0.25">
      <c r="F1033" s="46"/>
      <c r="H1033" s="46"/>
      <c r="I1033" s="46"/>
    </row>
    <row r="1034" spans="6:9" x14ac:dyDescent="0.25">
      <c r="F1034" s="46"/>
      <c r="H1034" s="46"/>
      <c r="I1034" s="46"/>
    </row>
    <row r="1035" spans="6:9" x14ac:dyDescent="0.25">
      <c r="F1035" s="46"/>
      <c r="H1035" s="46"/>
      <c r="I1035" s="46"/>
    </row>
    <row r="1036" spans="6:9" x14ac:dyDescent="0.25">
      <c r="F1036" s="46"/>
      <c r="H1036" s="46"/>
      <c r="I1036" s="46"/>
    </row>
    <row r="1037" spans="6:9" x14ac:dyDescent="0.25">
      <c r="F1037" s="46"/>
      <c r="H1037" s="46"/>
      <c r="I1037" s="46"/>
    </row>
  </sheetData>
  <mergeCells count="24">
    <mergeCell ref="E480:F480"/>
    <mergeCell ref="E481:F481"/>
    <mergeCell ref="E482:F482"/>
    <mergeCell ref="E484:F484"/>
    <mergeCell ref="E479:F479"/>
    <mergeCell ref="E476:F476"/>
    <mergeCell ref="E477:F477"/>
    <mergeCell ref="A460:I460"/>
    <mergeCell ref="I8:I9"/>
    <mergeCell ref="A8:A9"/>
    <mergeCell ref="B8:E9"/>
    <mergeCell ref="F8:F9"/>
    <mergeCell ref="G8:G9"/>
    <mergeCell ref="H8:H9"/>
    <mergeCell ref="A1:I1"/>
    <mergeCell ref="A2:I2"/>
    <mergeCell ref="A7:B7"/>
    <mergeCell ref="C7:I7"/>
    <mergeCell ref="E475:F475"/>
    <mergeCell ref="A3:I4"/>
    <mergeCell ref="A5:B5"/>
    <mergeCell ref="C5:I5"/>
    <mergeCell ref="A6:B6"/>
    <mergeCell ref="C6:I6"/>
  </mergeCells>
  <printOptions horizontalCentered="1"/>
  <pageMargins left="0.5" right="0.5" top="0.5" bottom="0.75" header="0.21" footer="0.22"/>
  <pageSetup paperSize="123" scale="82" orientation="portrait" r:id="rId1"/>
  <rowBreaks count="5" manualBreakCount="5">
    <brk id="87" max="8" man="1"/>
    <brk id="165" max="8" man="1"/>
    <brk id="242" max="8" man="1"/>
    <brk id="320" max="8" man="1"/>
    <brk id="398"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8"/>
  <sheetViews>
    <sheetView zoomScale="80" zoomScaleNormal="80" workbookViewId="0">
      <selection activeCell="I3" sqref="I3"/>
    </sheetView>
  </sheetViews>
  <sheetFormatPr defaultRowHeight="14.4" x14ac:dyDescent="0.3"/>
  <cols>
    <col min="1" max="1" width="7.6640625" customWidth="1"/>
    <col min="2" max="2" width="21.6640625" bestFit="1" customWidth="1"/>
    <col min="3" max="4" width="7.6640625" customWidth="1"/>
    <col min="5" max="7" width="5.6640625" customWidth="1"/>
    <col min="8" max="8" width="8.6640625" customWidth="1"/>
    <col min="9" max="9" width="11.6640625" customWidth="1"/>
    <col min="10" max="11" width="9.6640625" customWidth="1"/>
    <col min="12" max="12" width="20.6640625" customWidth="1"/>
    <col min="13" max="13" width="18.6640625" customWidth="1"/>
    <col min="14" max="14" width="10.6640625" customWidth="1"/>
  </cols>
  <sheetData>
    <row r="1" spans="1:16" ht="15" customHeight="1" x14ac:dyDescent="0.3">
      <c r="A1" s="866" t="s">
        <v>476</v>
      </c>
      <c r="B1" s="864" t="s">
        <v>477</v>
      </c>
      <c r="C1" s="868" t="s">
        <v>478</v>
      </c>
      <c r="D1" s="868"/>
      <c r="E1" s="868" t="s">
        <v>479</v>
      </c>
      <c r="F1" s="868"/>
      <c r="G1" s="868"/>
      <c r="H1" s="866" t="s">
        <v>480</v>
      </c>
      <c r="I1" s="864" t="s">
        <v>481</v>
      </c>
      <c r="J1" s="864" t="s">
        <v>482</v>
      </c>
      <c r="K1" s="864" t="s">
        <v>483</v>
      </c>
      <c r="L1" s="864" t="s">
        <v>484</v>
      </c>
      <c r="M1" s="864" t="s">
        <v>485</v>
      </c>
      <c r="N1" s="866" t="s">
        <v>486</v>
      </c>
    </row>
    <row r="2" spans="1:16" ht="15" customHeight="1" thickBot="1" x14ac:dyDescent="0.35">
      <c r="A2" s="867"/>
      <c r="B2" s="865"/>
      <c r="C2" s="153" t="s">
        <v>487</v>
      </c>
      <c r="D2" s="153" t="s">
        <v>488</v>
      </c>
      <c r="E2" s="153" t="s">
        <v>489</v>
      </c>
      <c r="F2" s="153" t="s">
        <v>490</v>
      </c>
      <c r="G2" s="153" t="s">
        <v>491</v>
      </c>
      <c r="H2" s="867"/>
      <c r="I2" s="865"/>
      <c r="J2" s="865"/>
      <c r="K2" s="865"/>
      <c r="L2" s="865"/>
      <c r="M2" s="865"/>
      <c r="N2" s="867"/>
    </row>
    <row r="3" spans="1:16" ht="12.75" customHeight="1" x14ac:dyDescent="0.3">
      <c r="A3" s="154">
        <v>1</v>
      </c>
      <c r="B3" s="155" t="s">
        <v>492</v>
      </c>
      <c r="C3" s="154">
        <v>5</v>
      </c>
      <c r="D3" s="154">
        <v>6</v>
      </c>
      <c r="E3" s="154">
        <v>4</v>
      </c>
      <c r="F3" s="154"/>
      <c r="G3" s="154">
        <v>2</v>
      </c>
      <c r="H3" s="154"/>
      <c r="I3" s="154">
        <f>5*20+6*18</f>
        <v>208</v>
      </c>
      <c r="J3" s="154">
        <v>220</v>
      </c>
      <c r="K3" s="156">
        <f>IF(ISBLANK(J3),"",I3/J3)</f>
        <v>0.94545454545454544</v>
      </c>
      <c r="L3" s="154" t="s">
        <v>493</v>
      </c>
      <c r="M3" s="154" t="s">
        <v>494</v>
      </c>
      <c r="N3" s="154" t="s">
        <v>495</v>
      </c>
      <c r="P3" s="157" t="s">
        <v>501</v>
      </c>
    </row>
    <row r="4" spans="1:16" ht="12.75" customHeight="1" x14ac:dyDescent="0.3">
      <c r="A4" s="158">
        <v>2</v>
      </c>
      <c r="B4" s="159" t="s">
        <v>492</v>
      </c>
      <c r="C4" s="158"/>
      <c r="D4" s="158">
        <v>7</v>
      </c>
      <c r="E4" s="158"/>
      <c r="F4" s="158"/>
      <c r="G4" s="158">
        <v>1</v>
      </c>
      <c r="H4" s="158"/>
      <c r="I4" s="158">
        <f>7*18</f>
        <v>126</v>
      </c>
      <c r="J4" s="158">
        <v>220</v>
      </c>
      <c r="K4" s="160">
        <f>IF(ISBLANK(J4),"",I4/J4)</f>
        <v>0.57272727272727275</v>
      </c>
      <c r="L4" s="158" t="s">
        <v>493</v>
      </c>
      <c r="M4" s="158" t="s">
        <v>494</v>
      </c>
      <c r="N4" s="158" t="s">
        <v>495</v>
      </c>
      <c r="P4" s="157" t="s">
        <v>502</v>
      </c>
    </row>
    <row r="5" spans="1:16" ht="12.75" customHeight="1" x14ac:dyDescent="0.3">
      <c r="A5" s="158">
        <v>3</v>
      </c>
      <c r="B5" s="159" t="s">
        <v>496</v>
      </c>
      <c r="C5" s="158"/>
      <c r="D5" s="158"/>
      <c r="E5" s="158"/>
      <c r="F5" s="158"/>
      <c r="G5" s="158"/>
      <c r="H5" s="158">
        <v>6</v>
      </c>
      <c r="I5" s="158">
        <f>H5*360</f>
        <v>2160</v>
      </c>
      <c r="J5" s="158">
        <v>220</v>
      </c>
      <c r="K5" s="160">
        <f>IF(ISBLANK(J5),"",I5/J5)</f>
        <v>9.8181818181818183</v>
      </c>
      <c r="L5" s="158" t="s">
        <v>493</v>
      </c>
      <c r="M5" s="158" t="s">
        <v>494</v>
      </c>
      <c r="N5" s="158" t="s">
        <v>495</v>
      </c>
      <c r="P5" s="157" t="s">
        <v>503</v>
      </c>
    </row>
    <row r="6" spans="1:16" ht="12.75" customHeight="1" x14ac:dyDescent="0.3">
      <c r="A6" s="158">
        <v>4</v>
      </c>
      <c r="B6" s="159" t="s">
        <v>497</v>
      </c>
      <c r="C6" s="158"/>
      <c r="D6" s="158"/>
      <c r="E6" s="158"/>
      <c r="F6" s="158"/>
      <c r="G6" s="158"/>
      <c r="H6" s="158">
        <v>7</v>
      </c>
      <c r="I6" s="158">
        <f>H6*360</f>
        <v>2520</v>
      </c>
      <c r="J6" s="158">
        <v>220</v>
      </c>
      <c r="K6" s="160">
        <f t="shared" ref="K6:K8" si="0">IF(ISBLANK(J6),"",I6/J6)</f>
        <v>11.454545454545455</v>
      </c>
      <c r="L6" s="158" t="s">
        <v>493</v>
      </c>
      <c r="M6" s="158" t="s">
        <v>494</v>
      </c>
      <c r="N6" s="158" t="s">
        <v>495</v>
      </c>
      <c r="P6" s="157" t="s">
        <v>504</v>
      </c>
    </row>
    <row r="7" spans="1:16" ht="12.75" customHeight="1" x14ac:dyDescent="0.3">
      <c r="A7" s="158">
        <v>5</v>
      </c>
      <c r="B7" s="159" t="s">
        <v>498</v>
      </c>
      <c r="C7" s="158"/>
      <c r="D7" s="158"/>
      <c r="E7" s="158"/>
      <c r="F7" s="158"/>
      <c r="G7" s="158"/>
      <c r="H7" s="158">
        <v>4</v>
      </c>
      <c r="I7" s="158">
        <f>H7*360</f>
        <v>1440</v>
      </c>
      <c r="J7" s="158">
        <v>220</v>
      </c>
      <c r="K7" s="160">
        <f t="shared" si="0"/>
        <v>6.5454545454545459</v>
      </c>
      <c r="L7" s="158" t="s">
        <v>493</v>
      </c>
      <c r="M7" s="158" t="s">
        <v>494</v>
      </c>
      <c r="N7" s="158" t="s">
        <v>495</v>
      </c>
      <c r="P7" s="157" t="s">
        <v>505</v>
      </c>
    </row>
    <row r="8" spans="1:16" ht="12.75" customHeight="1" x14ac:dyDescent="0.3">
      <c r="A8" s="158">
        <v>6</v>
      </c>
      <c r="B8" s="159" t="s">
        <v>499</v>
      </c>
      <c r="C8" s="158"/>
      <c r="D8" s="158"/>
      <c r="E8" s="158"/>
      <c r="F8" s="158"/>
      <c r="G8" s="158"/>
      <c r="H8" s="158"/>
      <c r="I8" s="158"/>
      <c r="J8" s="158"/>
      <c r="K8" s="160" t="str">
        <f t="shared" si="0"/>
        <v/>
      </c>
      <c r="L8" s="158"/>
      <c r="M8" s="158"/>
      <c r="N8" s="158" t="s">
        <v>495</v>
      </c>
      <c r="P8" s="157" t="s">
        <v>506</v>
      </c>
    </row>
    <row r="9" spans="1:16" ht="18" customHeight="1" x14ac:dyDescent="0.3">
      <c r="A9" s="158" t="s">
        <v>51</v>
      </c>
      <c r="B9" s="159"/>
      <c r="C9" s="158">
        <f>SUM(C3:C8)</f>
        <v>5</v>
      </c>
      <c r="D9" s="158">
        <f t="shared" ref="D9:K9" si="1">SUM(D3:D8)</f>
        <v>13</v>
      </c>
      <c r="E9" s="158">
        <f t="shared" si="1"/>
        <v>4</v>
      </c>
      <c r="F9" s="158">
        <f t="shared" si="1"/>
        <v>0</v>
      </c>
      <c r="G9" s="158">
        <f t="shared" si="1"/>
        <v>3</v>
      </c>
      <c r="H9" s="158">
        <f t="shared" si="1"/>
        <v>17</v>
      </c>
      <c r="I9" s="158">
        <f t="shared" si="1"/>
        <v>6454</v>
      </c>
      <c r="J9" s="158">
        <f t="shared" si="1"/>
        <v>1100</v>
      </c>
      <c r="K9" s="160">
        <f t="shared" si="1"/>
        <v>29.336363636363636</v>
      </c>
      <c r="L9" s="159"/>
      <c r="M9" s="159"/>
      <c r="N9" s="159"/>
    </row>
    <row r="10" spans="1:16" x14ac:dyDescent="0.3">
      <c r="A10" s="161"/>
      <c r="B10" s="157"/>
      <c r="C10" s="157"/>
      <c r="D10" s="157"/>
      <c r="E10" s="157"/>
      <c r="F10" s="157"/>
      <c r="G10" s="157"/>
      <c r="H10" s="157"/>
      <c r="I10" s="157"/>
      <c r="J10" s="157"/>
      <c r="K10" s="157"/>
      <c r="L10" s="157"/>
      <c r="M10" s="157"/>
      <c r="N10" s="157"/>
    </row>
    <row r="11" spans="1:16" ht="12" customHeight="1" x14ac:dyDescent="0.3">
      <c r="A11" s="157"/>
      <c r="B11" s="36" t="s">
        <v>269</v>
      </c>
      <c r="C11" s="157"/>
      <c r="D11" s="157"/>
      <c r="E11" s="157"/>
      <c r="F11" s="157"/>
      <c r="G11" s="157"/>
      <c r="H11" s="157"/>
      <c r="I11" s="157"/>
      <c r="J11" s="157"/>
      <c r="K11" s="157"/>
      <c r="L11" s="157"/>
      <c r="M11" s="157"/>
      <c r="N11" s="157"/>
    </row>
    <row r="12" spans="1:16" ht="12" customHeight="1" x14ac:dyDescent="0.3">
      <c r="A12" s="157"/>
      <c r="B12" s="37" t="s">
        <v>270</v>
      </c>
      <c r="C12" s="157"/>
      <c r="D12" s="157"/>
      <c r="E12" s="157"/>
      <c r="F12" s="157"/>
      <c r="G12" s="157"/>
      <c r="H12" s="157"/>
      <c r="I12" s="157"/>
      <c r="J12" s="157"/>
      <c r="K12" s="157"/>
      <c r="L12" s="157"/>
      <c r="M12" s="157"/>
      <c r="N12" s="157"/>
    </row>
    <row r="13" spans="1:16" ht="12" customHeight="1" x14ac:dyDescent="0.3">
      <c r="A13" s="157"/>
      <c r="B13" s="37" t="s">
        <v>271</v>
      </c>
      <c r="C13" s="157"/>
      <c r="D13" s="157"/>
      <c r="E13" s="157"/>
      <c r="F13" s="157"/>
      <c r="G13" s="157"/>
      <c r="H13" s="157"/>
      <c r="I13" s="157"/>
      <c r="J13" s="157"/>
      <c r="K13" s="157"/>
      <c r="L13" s="157"/>
      <c r="M13" s="157"/>
      <c r="N13" s="157"/>
    </row>
    <row r="14" spans="1:16" ht="12" customHeight="1" x14ac:dyDescent="0.3">
      <c r="A14" s="157"/>
      <c r="B14" s="37" t="s">
        <v>272</v>
      </c>
      <c r="C14" s="157"/>
      <c r="D14" s="157"/>
      <c r="E14" s="157"/>
      <c r="F14" s="157"/>
      <c r="G14" s="157"/>
      <c r="H14" s="157"/>
      <c r="I14" s="157"/>
      <c r="J14" s="157"/>
      <c r="K14" s="157"/>
      <c r="M14" s="157"/>
      <c r="N14" s="157"/>
    </row>
    <row r="15" spans="1:16" ht="12" customHeight="1" x14ac:dyDescent="0.3">
      <c r="A15" s="157"/>
      <c r="B15" s="37" t="s">
        <v>273</v>
      </c>
      <c r="C15" s="157"/>
      <c r="D15" s="157"/>
      <c r="E15" s="157"/>
      <c r="F15" s="157"/>
      <c r="G15" s="157"/>
      <c r="H15" s="157"/>
      <c r="I15" s="157"/>
      <c r="J15" s="157"/>
      <c r="K15" s="157"/>
      <c r="L15" s="157"/>
      <c r="M15" s="157"/>
      <c r="N15" s="157"/>
    </row>
    <row r="16" spans="1:16" ht="12" customHeight="1" x14ac:dyDescent="0.3">
      <c r="A16" s="157"/>
      <c r="B16" s="37" t="s">
        <v>274</v>
      </c>
      <c r="C16" s="157"/>
      <c r="D16" s="157"/>
      <c r="E16" s="157"/>
      <c r="F16" s="157"/>
      <c r="G16" s="157"/>
      <c r="H16" s="157"/>
      <c r="I16" s="157"/>
      <c r="J16" s="157"/>
      <c r="K16" s="157"/>
      <c r="L16" s="157"/>
      <c r="M16" s="157"/>
      <c r="N16" s="157"/>
    </row>
    <row r="17" spans="1:14" ht="12" customHeight="1" x14ac:dyDescent="0.3">
      <c r="A17" s="157"/>
      <c r="B17" s="37" t="s">
        <v>275</v>
      </c>
      <c r="C17" s="157"/>
      <c r="D17" s="157"/>
      <c r="E17" s="157"/>
      <c r="F17" s="157"/>
      <c r="G17" s="157"/>
      <c r="H17" s="157"/>
      <c r="I17" s="157"/>
      <c r="J17" s="157"/>
      <c r="K17" s="157"/>
      <c r="L17" s="157"/>
      <c r="M17" s="157"/>
      <c r="N17" s="157"/>
    </row>
    <row r="18" spans="1:14" ht="12" customHeight="1" x14ac:dyDescent="0.3">
      <c r="A18" s="157"/>
      <c r="B18" s="37" t="s">
        <v>276</v>
      </c>
      <c r="C18" s="157"/>
      <c r="D18" s="157"/>
      <c r="E18" s="157"/>
      <c r="F18" s="157"/>
      <c r="G18" s="157"/>
      <c r="H18" s="157"/>
      <c r="I18" s="157"/>
      <c r="J18" s="157"/>
      <c r="K18" s="157"/>
      <c r="L18" s="157"/>
      <c r="M18" s="157"/>
      <c r="N18" s="157"/>
    </row>
    <row r="19" spans="1:14" ht="12" customHeight="1" x14ac:dyDescent="0.3">
      <c r="B19" s="37" t="s">
        <v>277</v>
      </c>
    </row>
    <row r="20" spans="1:14" ht="12" customHeight="1" x14ac:dyDescent="0.3">
      <c r="B20" s="37" t="s">
        <v>278</v>
      </c>
    </row>
    <row r="21" spans="1:14" ht="12" customHeight="1" x14ac:dyDescent="0.3">
      <c r="B21" s="37" t="s">
        <v>279</v>
      </c>
    </row>
    <row r="22" spans="1:14" ht="12" customHeight="1" x14ac:dyDescent="0.3">
      <c r="B22" s="37" t="s">
        <v>280</v>
      </c>
    </row>
    <row r="23" spans="1:14" ht="12" customHeight="1" x14ac:dyDescent="0.3">
      <c r="B23" s="37" t="s">
        <v>281</v>
      </c>
    </row>
    <row r="24" spans="1:14" ht="12" customHeight="1" x14ac:dyDescent="0.3">
      <c r="B24" s="38" t="s">
        <v>282</v>
      </c>
    </row>
    <row r="25" spans="1:14" ht="12" customHeight="1" x14ac:dyDescent="0.3">
      <c r="B25" s="37" t="s">
        <v>283</v>
      </c>
    </row>
    <row r="26" spans="1:14" ht="12" customHeight="1" x14ac:dyDescent="0.3">
      <c r="B26" s="37" t="s">
        <v>284</v>
      </c>
    </row>
    <row r="27" spans="1:14" ht="12" customHeight="1" x14ac:dyDescent="0.3">
      <c r="B27" s="37" t="s">
        <v>285</v>
      </c>
    </row>
    <row r="28" spans="1:14" ht="12" customHeight="1" x14ac:dyDescent="0.3">
      <c r="B28" s="37" t="s">
        <v>286</v>
      </c>
    </row>
    <row r="29" spans="1:14" ht="12" customHeight="1" x14ac:dyDescent="0.3">
      <c r="B29" s="37" t="s">
        <v>287</v>
      </c>
    </row>
    <row r="30" spans="1:14" ht="12" customHeight="1" x14ac:dyDescent="0.3">
      <c r="B30" s="37" t="s">
        <v>288</v>
      </c>
    </row>
    <row r="31" spans="1:14" ht="12" customHeight="1" x14ac:dyDescent="0.3">
      <c r="B31" s="37" t="s">
        <v>289</v>
      </c>
    </row>
    <row r="32" spans="1:14" ht="12" customHeight="1" x14ac:dyDescent="0.3">
      <c r="B32" s="37" t="s">
        <v>290</v>
      </c>
    </row>
    <row r="33" spans="2:2" ht="12" customHeight="1" x14ac:dyDescent="0.3">
      <c r="B33" s="37" t="s">
        <v>291</v>
      </c>
    </row>
    <row r="34" spans="2:2" ht="12" customHeight="1" x14ac:dyDescent="0.3">
      <c r="B34" s="37" t="s">
        <v>292</v>
      </c>
    </row>
    <row r="35" spans="2:2" ht="12" customHeight="1" x14ac:dyDescent="0.3">
      <c r="B35" s="37" t="s">
        <v>293</v>
      </c>
    </row>
    <row r="36" spans="2:2" ht="12" customHeight="1" x14ac:dyDescent="0.3">
      <c r="B36" s="37" t="s">
        <v>294</v>
      </c>
    </row>
    <row r="37" spans="2:2" ht="12" customHeight="1" x14ac:dyDescent="0.3">
      <c r="B37" s="37" t="s">
        <v>295</v>
      </c>
    </row>
    <row r="38" spans="2:2" ht="12" customHeight="1" x14ac:dyDescent="0.3">
      <c r="B38" s="37" t="s">
        <v>296</v>
      </c>
    </row>
  </sheetData>
  <mergeCells count="11">
    <mergeCell ref="I1:I2"/>
    <mergeCell ref="A1:A2"/>
    <mergeCell ref="B1:B2"/>
    <mergeCell ref="C1:D1"/>
    <mergeCell ref="E1:G1"/>
    <mergeCell ref="H1:H2"/>
    <mergeCell ref="J1:J2"/>
    <mergeCell ref="K1:K2"/>
    <mergeCell ref="L1:L2"/>
    <mergeCell ref="M1:M2"/>
    <mergeCell ref="N1:N2"/>
  </mergeCells>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V916"/>
  <sheetViews>
    <sheetView tabSelected="1" view="pageBreakPreview" topLeftCell="A316" zoomScale="70" zoomScaleNormal="85" zoomScaleSheetLayoutView="70" zoomScalePageLayoutView="55" workbookViewId="0">
      <selection activeCell="G358" sqref="G358"/>
    </sheetView>
  </sheetViews>
  <sheetFormatPr defaultRowHeight="13.2" x14ac:dyDescent="0.25"/>
  <cols>
    <col min="1" max="2" width="5.6640625" style="431" customWidth="1"/>
    <col min="3" max="3" width="40.6640625" style="431" customWidth="1"/>
    <col min="4" max="4" width="5.6640625" style="431" customWidth="1"/>
    <col min="5" max="5" width="14.6640625" style="431" customWidth="1"/>
    <col min="6" max="6" width="8.6640625" style="690" customWidth="1"/>
    <col min="7" max="7" width="7.6640625" style="431" customWidth="1"/>
    <col min="8" max="8" width="12.6640625" style="691" customWidth="1"/>
    <col min="9" max="9" width="14.6640625" style="691" customWidth="1"/>
    <col min="10" max="10" width="10.44140625" style="431" customWidth="1"/>
    <col min="11" max="11" width="11.6640625" style="431" customWidth="1"/>
    <col min="12" max="12" width="14.6640625" style="431" customWidth="1"/>
    <col min="13" max="13" width="12.6640625" style="431" customWidth="1"/>
    <col min="14" max="16" width="9.6640625" style="431" customWidth="1"/>
    <col min="17" max="240" width="8.88671875" style="431"/>
    <col min="241" max="241" width="5.5546875" style="431" customWidth="1"/>
    <col min="242" max="242" width="4.88671875" style="431" customWidth="1"/>
    <col min="243" max="243" width="2.6640625" style="431" customWidth="1"/>
    <col min="244" max="245" width="2.88671875" style="431" customWidth="1"/>
    <col min="246" max="246" width="2.6640625" style="431" customWidth="1"/>
    <col min="247" max="247" width="3.88671875" style="431" customWidth="1"/>
    <col min="248" max="248" width="25.6640625" style="431" customWidth="1"/>
    <col min="249" max="249" width="6.5546875" style="431" customWidth="1"/>
    <col min="250" max="250" width="7.33203125" style="431" customWidth="1"/>
    <col min="251" max="251" width="13.88671875" style="431" customWidth="1"/>
    <col min="252" max="252" width="16.5546875" style="431" customWidth="1"/>
    <col min="253" max="253" width="13.88671875" style="431" customWidth="1"/>
    <col min="254" max="254" width="11.109375" style="431" bestFit="1" customWidth="1"/>
    <col min="255" max="257" width="8.88671875" style="431"/>
    <col min="258" max="258" width="10.88671875" style="431" customWidth="1"/>
    <col min="259" max="496" width="8.88671875" style="431"/>
    <col min="497" max="497" width="5.5546875" style="431" customWidth="1"/>
    <col min="498" max="498" width="4.88671875" style="431" customWidth="1"/>
    <col min="499" max="499" width="2.6640625" style="431" customWidth="1"/>
    <col min="500" max="501" width="2.88671875" style="431" customWidth="1"/>
    <col min="502" max="502" width="2.6640625" style="431" customWidth="1"/>
    <col min="503" max="503" width="3.88671875" style="431" customWidth="1"/>
    <col min="504" max="504" width="25.6640625" style="431" customWidth="1"/>
    <col min="505" max="505" width="6.5546875" style="431" customWidth="1"/>
    <col min="506" max="506" width="7.33203125" style="431" customWidth="1"/>
    <col min="507" max="507" width="13.88671875" style="431" customWidth="1"/>
    <col min="508" max="508" width="16.5546875" style="431" customWidth="1"/>
    <col min="509" max="509" width="13.88671875" style="431" customWidth="1"/>
    <col min="510" max="510" width="11.109375" style="431" bestFit="1" customWidth="1"/>
    <col min="511" max="513" width="8.88671875" style="431"/>
    <col min="514" max="514" width="10.88671875" style="431" customWidth="1"/>
    <col min="515" max="752" width="8.88671875" style="431"/>
    <col min="753" max="753" width="5.5546875" style="431" customWidth="1"/>
    <col min="754" max="754" width="4.88671875" style="431" customWidth="1"/>
    <col min="755" max="755" width="2.6640625" style="431" customWidth="1"/>
    <col min="756" max="757" width="2.88671875" style="431" customWidth="1"/>
    <col min="758" max="758" width="2.6640625" style="431" customWidth="1"/>
    <col min="759" max="759" width="3.88671875" style="431" customWidth="1"/>
    <col min="760" max="760" width="25.6640625" style="431" customWidth="1"/>
    <col min="761" max="761" width="6.5546875" style="431" customWidth="1"/>
    <col min="762" max="762" width="7.33203125" style="431" customWidth="1"/>
    <col min="763" max="763" width="13.88671875" style="431" customWidth="1"/>
    <col min="764" max="764" width="16.5546875" style="431" customWidth="1"/>
    <col min="765" max="765" width="13.88671875" style="431" customWidth="1"/>
    <col min="766" max="766" width="11.109375" style="431" bestFit="1" customWidth="1"/>
    <col min="767" max="769" width="8.88671875" style="431"/>
    <col min="770" max="770" width="10.88671875" style="431" customWidth="1"/>
    <col min="771" max="1008" width="8.88671875" style="431"/>
    <col min="1009" max="1009" width="5.5546875" style="431" customWidth="1"/>
    <col min="1010" max="1010" width="4.88671875" style="431" customWidth="1"/>
    <col min="1011" max="1011" width="2.6640625" style="431" customWidth="1"/>
    <col min="1012" max="1013" width="2.88671875" style="431" customWidth="1"/>
    <col min="1014" max="1014" width="2.6640625" style="431" customWidth="1"/>
    <col min="1015" max="1015" width="3.88671875" style="431" customWidth="1"/>
    <col min="1016" max="1016" width="25.6640625" style="431" customWidth="1"/>
    <col min="1017" max="1017" width="6.5546875" style="431" customWidth="1"/>
    <col min="1018" max="1018" width="7.33203125" style="431" customWidth="1"/>
    <col min="1019" max="1019" width="13.88671875" style="431" customWidth="1"/>
    <col min="1020" max="1020" width="16.5546875" style="431" customWidth="1"/>
    <col min="1021" max="1021" width="13.88671875" style="431" customWidth="1"/>
    <col min="1022" max="1022" width="11.109375" style="431" bestFit="1" customWidth="1"/>
    <col min="1023" max="1025" width="8.88671875" style="431"/>
    <col min="1026" max="1026" width="10.88671875" style="431" customWidth="1"/>
    <col min="1027" max="1264" width="8.88671875" style="431"/>
    <col min="1265" max="1265" width="5.5546875" style="431" customWidth="1"/>
    <col min="1266" max="1266" width="4.88671875" style="431" customWidth="1"/>
    <col min="1267" max="1267" width="2.6640625" style="431" customWidth="1"/>
    <col min="1268" max="1269" width="2.88671875" style="431" customWidth="1"/>
    <col min="1270" max="1270" width="2.6640625" style="431" customWidth="1"/>
    <col min="1271" max="1271" width="3.88671875" style="431" customWidth="1"/>
    <col min="1272" max="1272" width="25.6640625" style="431" customWidth="1"/>
    <col min="1273" max="1273" width="6.5546875" style="431" customWidth="1"/>
    <col min="1274" max="1274" width="7.33203125" style="431" customWidth="1"/>
    <col min="1275" max="1275" width="13.88671875" style="431" customWidth="1"/>
    <col min="1276" max="1276" width="16.5546875" style="431" customWidth="1"/>
    <col min="1277" max="1277" width="13.88671875" style="431" customWidth="1"/>
    <col min="1278" max="1278" width="11.109375" style="431" bestFit="1" customWidth="1"/>
    <col min="1279" max="1281" width="8.88671875" style="431"/>
    <col min="1282" max="1282" width="10.88671875" style="431" customWidth="1"/>
    <col min="1283" max="1520" width="8.88671875" style="431"/>
    <col min="1521" max="1521" width="5.5546875" style="431" customWidth="1"/>
    <col min="1522" max="1522" width="4.88671875" style="431" customWidth="1"/>
    <col min="1523" max="1523" width="2.6640625" style="431" customWidth="1"/>
    <col min="1524" max="1525" width="2.88671875" style="431" customWidth="1"/>
    <col min="1526" max="1526" width="2.6640625" style="431" customWidth="1"/>
    <col min="1527" max="1527" width="3.88671875" style="431" customWidth="1"/>
    <col min="1528" max="1528" width="25.6640625" style="431" customWidth="1"/>
    <col min="1529" max="1529" width="6.5546875" style="431" customWidth="1"/>
    <col min="1530" max="1530" width="7.33203125" style="431" customWidth="1"/>
    <col min="1531" max="1531" width="13.88671875" style="431" customWidth="1"/>
    <col min="1532" max="1532" width="16.5546875" style="431" customWidth="1"/>
    <col min="1533" max="1533" width="13.88671875" style="431" customWidth="1"/>
    <col min="1534" max="1534" width="11.109375" style="431" bestFit="1" customWidth="1"/>
    <col min="1535" max="1537" width="8.88671875" style="431"/>
    <col min="1538" max="1538" width="10.88671875" style="431" customWidth="1"/>
    <col min="1539" max="1776" width="8.88671875" style="431"/>
    <col min="1777" max="1777" width="5.5546875" style="431" customWidth="1"/>
    <col min="1778" max="1778" width="4.88671875" style="431" customWidth="1"/>
    <col min="1779" max="1779" width="2.6640625" style="431" customWidth="1"/>
    <col min="1780" max="1781" width="2.88671875" style="431" customWidth="1"/>
    <col min="1782" max="1782" width="2.6640625" style="431" customWidth="1"/>
    <col min="1783" max="1783" width="3.88671875" style="431" customWidth="1"/>
    <col min="1784" max="1784" width="25.6640625" style="431" customWidth="1"/>
    <col min="1785" max="1785" width="6.5546875" style="431" customWidth="1"/>
    <col min="1786" max="1786" width="7.33203125" style="431" customWidth="1"/>
    <col min="1787" max="1787" width="13.88671875" style="431" customWidth="1"/>
    <col min="1788" max="1788" width="16.5546875" style="431" customWidth="1"/>
    <col min="1789" max="1789" width="13.88671875" style="431" customWidth="1"/>
    <col min="1790" max="1790" width="11.109375" style="431" bestFit="1" customWidth="1"/>
    <col min="1791" max="1793" width="8.88671875" style="431"/>
    <col min="1794" max="1794" width="10.88671875" style="431" customWidth="1"/>
    <col min="1795" max="2032" width="8.88671875" style="431"/>
    <col min="2033" max="2033" width="5.5546875" style="431" customWidth="1"/>
    <col min="2034" max="2034" width="4.88671875" style="431" customWidth="1"/>
    <col min="2035" max="2035" width="2.6640625" style="431" customWidth="1"/>
    <col min="2036" max="2037" width="2.88671875" style="431" customWidth="1"/>
    <col min="2038" max="2038" width="2.6640625" style="431" customWidth="1"/>
    <col min="2039" max="2039" width="3.88671875" style="431" customWidth="1"/>
    <col min="2040" max="2040" width="25.6640625" style="431" customWidth="1"/>
    <col min="2041" max="2041" width="6.5546875" style="431" customWidth="1"/>
    <col min="2042" max="2042" width="7.33203125" style="431" customWidth="1"/>
    <col min="2043" max="2043" width="13.88671875" style="431" customWidth="1"/>
    <col min="2044" max="2044" width="16.5546875" style="431" customWidth="1"/>
    <col min="2045" max="2045" width="13.88671875" style="431" customWidth="1"/>
    <col min="2046" max="2046" width="11.109375" style="431" bestFit="1" customWidth="1"/>
    <col min="2047" max="2049" width="8.88671875" style="431"/>
    <col min="2050" max="2050" width="10.88671875" style="431" customWidth="1"/>
    <col min="2051" max="2288" width="8.88671875" style="431"/>
    <col min="2289" max="2289" width="5.5546875" style="431" customWidth="1"/>
    <col min="2290" max="2290" width="4.88671875" style="431" customWidth="1"/>
    <col min="2291" max="2291" width="2.6640625" style="431" customWidth="1"/>
    <col min="2292" max="2293" width="2.88671875" style="431" customWidth="1"/>
    <col min="2294" max="2294" width="2.6640625" style="431" customWidth="1"/>
    <col min="2295" max="2295" width="3.88671875" style="431" customWidth="1"/>
    <col min="2296" max="2296" width="25.6640625" style="431" customWidth="1"/>
    <col min="2297" max="2297" width="6.5546875" style="431" customWidth="1"/>
    <col min="2298" max="2298" width="7.33203125" style="431" customWidth="1"/>
    <col min="2299" max="2299" width="13.88671875" style="431" customWidth="1"/>
    <col min="2300" max="2300" width="16.5546875" style="431" customWidth="1"/>
    <col min="2301" max="2301" width="13.88671875" style="431" customWidth="1"/>
    <col min="2302" max="2302" width="11.109375" style="431" bestFit="1" customWidth="1"/>
    <col min="2303" max="2305" width="8.88671875" style="431"/>
    <col min="2306" max="2306" width="10.88671875" style="431" customWidth="1"/>
    <col min="2307" max="2544" width="8.88671875" style="431"/>
    <col min="2545" max="2545" width="5.5546875" style="431" customWidth="1"/>
    <col min="2546" max="2546" width="4.88671875" style="431" customWidth="1"/>
    <col min="2547" max="2547" width="2.6640625" style="431" customWidth="1"/>
    <col min="2548" max="2549" width="2.88671875" style="431" customWidth="1"/>
    <col min="2550" max="2550" width="2.6640625" style="431" customWidth="1"/>
    <col min="2551" max="2551" width="3.88671875" style="431" customWidth="1"/>
    <col min="2552" max="2552" width="25.6640625" style="431" customWidth="1"/>
    <col min="2553" max="2553" width="6.5546875" style="431" customWidth="1"/>
    <col min="2554" max="2554" width="7.33203125" style="431" customWidth="1"/>
    <col min="2555" max="2555" width="13.88671875" style="431" customWidth="1"/>
    <col min="2556" max="2556" width="16.5546875" style="431" customWidth="1"/>
    <col min="2557" max="2557" width="13.88671875" style="431" customWidth="1"/>
    <col min="2558" max="2558" width="11.109375" style="431" bestFit="1" customWidth="1"/>
    <col min="2559" max="2561" width="8.88671875" style="431"/>
    <col min="2562" max="2562" width="10.88671875" style="431" customWidth="1"/>
    <col min="2563" max="2800" width="8.88671875" style="431"/>
    <col min="2801" max="2801" width="5.5546875" style="431" customWidth="1"/>
    <col min="2802" max="2802" width="4.88671875" style="431" customWidth="1"/>
    <col min="2803" max="2803" width="2.6640625" style="431" customWidth="1"/>
    <col min="2804" max="2805" width="2.88671875" style="431" customWidth="1"/>
    <col min="2806" max="2806" width="2.6640625" style="431" customWidth="1"/>
    <col min="2807" max="2807" width="3.88671875" style="431" customWidth="1"/>
    <col min="2808" max="2808" width="25.6640625" style="431" customWidth="1"/>
    <col min="2809" max="2809" width="6.5546875" style="431" customWidth="1"/>
    <col min="2810" max="2810" width="7.33203125" style="431" customWidth="1"/>
    <col min="2811" max="2811" width="13.88671875" style="431" customWidth="1"/>
    <col min="2812" max="2812" width="16.5546875" style="431" customWidth="1"/>
    <col min="2813" max="2813" width="13.88671875" style="431" customWidth="1"/>
    <col min="2814" max="2814" width="11.109375" style="431" bestFit="1" customWidth="1"/>
    <col min="2815" max="2817" width="8.88671875" style="431"/>
    <col min="2818" max="2818" width="10.88671875" style="431" customWidth="1"/>
    <col min="2819" max="3056" width="8.88671875" style="431"/>
    <col min="3057" max="3057" width="5.5546875" style="431" customWidth="1"/>
    <col min="3058" max="3058" width="4.88671875" style="431" customWidth="1"/>
    <col min="3059" max="3059" width="2.6640625" style="431" customWidth="1"/>
    <col min="3060" max="3061" width="2.88671875" style="431" customWidth="1"/>
    <col min="3062" max="3062" width="2.6640625" style="431" customWidth="1"/>
    <col min="3063" max="3063" width="3.88671875" style="431" customWidth="1"/>
    <col min="3064" max="3064" width="25.6640625" style="431" customWidth="1"/>
    <col min="3065" max="3065" width="6.5546875" style="431" customWidth="1"/>
    <col min="3066" max="3066" width="7.33203125" style="431" customWidth="1"/>
    <col min="3067" max="3067" width="13.88671875" style="431" customWidth="1"/>
    <col min="3068" max="3068" width="16.5546875" style="431" customWidth="1"/>
    <col min="3069" max="3069" width="13.88671875" style="431" customWidth="1"/>
    <col min="3070" max="3070" width="11.109375" style="431" bestFit="1" customWidth="1"/>
    <col min="3071" max="3073" width="8.88671875" style="431"/>
    <col min="3074" max="3074" width="10.88671875" style="431" customWidth="1"/>
    <col min="3075" max="3312" width="8.88671875" style="431"/>
    <col min="3313" max="3313" width="5.5546875" style="431" customWidth="1"/>
    <col min="3314" max="3314" width="4.88671875" style="431" customWidth="1"/>
    <col min="3315" max="3315" width="2.6640625" style="431" customWidth="1"/>
    <col min="3316" max="3317" width="2.88671875" style="431" customWidth="1"/>
    <col min="3318" max="3318" width="2.6640625" style="431" customWidth="1"/>
    <col min="3319" max="3319" width="3.88671875" style="431" customWidth="1"/>
    <col min="3320" max="3320" width="25.6640625" style="431" customWidth="1"/>
    <col min="3321" max="3321" width="6.5546875" style="431" customWidth="1"/>
    <col min="3322" max="3322" width="7.33203125" style="431" customWidth="1"/>
    <col min="3323" max="3323" width="13.88671875" style="431" customWidth="1"/>
    <col min="3324" max="3324" width="16.5546875" style="431" customWidth="1"/>
    <col min="3325" max="3325" width="13.88671875" style="431" customWidth="1"/>
    <col min="3326" max="3326" width="11.109375" style="431" bestFit="1" customWidth="1"/>
    <col min="3327" max="3329" width="8.88671875" style="431"/>
    <col min="3330" max="3330" width="10.88671875" style="431" customWidth="1"/>
    <col min="3331" max="3568" width="8.88671875" style="431"/>
    <col min="3569" max="3569" width="5.5546875" style="431" customWidth="1"/>
    <col min="3570" max="3570" width="4.88671875" style="431" customWidth="1"/>
    <col min="3571" max="3571" width="2.6640625" style="431" customWidth="1"/>
    <col min="3572" max="3573" width="2.88671875" style="431" customWidth="1"/>
    <col min="3574" max="3574" width="2.6640625" style="431" customWidth="1"/>
    <col min="3575" max="3575" width="3.88671875" style="431" customWidth="1"/>
    <col min="3576" max="3576" width="25.6640625" style="431" customWidth="1"/>
    <col min="3577" max="3577" width="6.5546875" style="431" customWidth="1"/>
    <col min="3578" max="3578" width="7.33203125" style="431" customWidth="1"/>
    <col min="3579" max="3579" width="13.88671875" style="431" customWidth="1"/>
    <col min="3580" max="3580" width="16.5546875" style="431" customWidth="1"/>
    <col min="3581" max="3581" width="13.88671875" style="431" customWidth="1"/>
    <col min="3582" max="3582" width="11.109375" style="431" bestFit="1" customWidth="1"/>
    <col min="3583" max="3585" width="8.88671875" style="431"/>
    <col min="3586" max="3586" width="10.88671875" style="431" customWidth="1"/>
    <col min="3587" max="3824" width="8.88671875" style="431"/>
    <col min="3825" max="3825" width="5.5546875" style="431" customWidth="1"/>
    <col min="3826" max="3826" width="4.88671875" style="431" customWidth="1"/>
    <col min="3827" max="3827" width="2.6640625" style="431" customWidth="1"/>
    <col min="3828" max="3829" width="2.88671875" style="431" customWidth="1"/>
    <col min="3830" max="3830" width="2.6640625" style="431" customWidth="1"/>
    <col min="3831" max="3831" width="3.88671875" style="431" customWidth="1"/>
    <col min="3832" max="3832" width="25.6640625" style="431" customWidth="1"/>
    <col min="3833" max="3833" width="6.5546875" style="431" customWidth="1"/>
    <col min="3834" max="3834" width="7.33203125" style="431" customWidth="1"/>
    <col min="3835" max="3835" width="13.88671875" style="431" customWidth="1"/>
    <col min="3836" max="3836" width="16.5546875" style="431" customWidth="1"/>
    <col min="3837" max="3837" width="13.88671875" style="431" customWidth="1"/>
    <col min="3838" max="3838" width="11.109375" style="431" bestFit="1" customWidth="1"/>
    <col min="3839" max="3841" width="8.88671875" style="431"/>
    <col min="3842" max="3842" width="10.88671875" style="431" customWidth="1"/>
    <col min="3843" max="4080" width="8.88671875" style="431"/>
    <col min="4081" max="4081" width="5.5546875" style="431" customWidth="1"/>
    <col min="4082" max="4082" width="4.88671875" style="431" customWidth="1"/>
    <col min="4083" max="4083" width="2.6640625" style="431" customWidth="1"/>
    <col min="4084" max="4085" width="2.88671875" style="431" customWidth="1"/>
    <col min="4086" max="4086" width="2.6640625" style="431" customWidth="1"/>
    <col min="4087" max="4087" width="3.88671875" style="431" customWidth="1"/>
    <col min="4088" max="4088" width="25.6640625" style="431" customWidth="1"/>
    <col min="4089" max="4089" width="6.5546875" style="431" customWidth="1"/>
    <col min="4090" max="4090" width="7.33203125" style="431" customWidth="1"/>
    <col min="4091" max="4091" width="13.88671875" style="431" customWidth="1"/>
    <col min="4092" max="4092" width="16.5546875" style="431" customWidth="1"/>
    <col min="4093" max="4093" width="13.88671875" style="431" customWidth="1"/>
    <col min="4094" max="4094" width="11.109375" style="431" bestFit="1" customWidth="1"/>
    <col min="4095" max="4097" width="8.88671875" style="431"/>
    <col min="4098" max="4098" width="10.88671875" style="431" customWidth="1"/>
    <col min="4099" max="4336" width="8.88671875" style="431"/>
    <col min="4337" max="4337" width="5.5546875" style="431" customWidth="1"/>
    <col min="4338" max="4338" width="4.88671875" style="431" customWidth="1"/>
    <col min="4339" max="4339" width="2.6640625" style="431" customWidth="1"/>
    <col min="4340" max="4341" width="2.88671875" style="431" customWidth="1"/>
    <col min="4342" max="4342" width="2.6640625" style="431" customWidth="1"/>
    <col min="4343" max="4343" width="3.88671875" style="431" customWidth="1"/>
    <col min="4344" max="4344" width="25.6640625" style="431" customWidth="1"/>
    <col min="4345" max="4345" width="6.5546875" style="431" customWidth="1"/>
    <col min="4346" max="4346" width="7.33203125" style="431" customWidth="1"/>
    <col min="4347" max="4347" width="13.88671875" style="431" customWidth="1"/>
    <col min="4348" max="4348" width="16.5546875" style="431" customWidth="1"/>
    <col min="4349" max="4349" width="13.88671875" style="431" customWidth="1"/>
    <col min="4350" max="4350" width="11.109375" style="431" bestFit="1" customWidth="1"/>
    <col min="4351" max="4353" width="8.88671875" style="431"/>
    <col min="4354" max="4354" width="10.88671875" style="431" customWidth="1"/>
    <col min="4355" max="4592" width="8.88671875" style="431"/>
    <col min="4593" max="4593" width="5.5546875" style="431" customWidth="1"/>
    <col min="4594" max="4594" width="4.88671875" style="431" customWidth="1"/>
    <col min="4595" max="4595" width="2.6640625" style="431" customWidth="1"/>
    <col min="4596" max="4597" width="2.88671875" style="431" customWidth="1"/>
    <col min="4598" max="4598" width="2.6640625" style="431" customWidth="1"/>
    <col min="4599" max="4599" width="3.88671875" style="431" customWidth="1"/>
    <col min="4600" max="4600" width="25.6640625" style="431" customWidth="1"/>
    <col min="4601" max="4601" width="6.5546875" style="431" customWidth="1"/>
    <col min="4602" max="4602" width="7.33203125" style="431" customWidth="1"/>
    <col min="4603" max="4603" width="13.88671875" style="431" customWidth="1"/>
    <col min="4604" max="4604" width="16.5546875" style="431" customWidth="1"/>
    <col min="4605" max="4605" width="13.88671875" style="431" customWidth="1"/>
    <col min="4606" max="4606" width="11.109375" style="431" bestFit="1" customWidth="1"/>
    <col min="4607" max="4609" width="8.88671875" style="431"/>
    <col min="4610" max="4610" width="10.88671875" style="431" customWidth="1"/>
    <col min="4611" max="4848" width="8.88671875" style="431"/>
    <col min="4849" max="4849" width="5.5546875" style="431" customWidth="1"/>
    <col min="4850" max="4850" width="4.88671875" style="431" customWidth="1"/>
    <col min="4851" max="4851" width="2.6640625" style="431" customWidth="1"/>
    <col min="4852" max="4853" width="2.88671875" style="431" customWidth="1"/>
    <col min="4854" max="4854" width="2.6640625" style="431" customWidth="1"/>
    <col min="4855" max="4855" width="3.88671875" style="431" customWidth="1"/>
    <col min="4856" max="4856" width="25.6640625" style="431" customWidth="1"/>
    <col min="4857" max="4857" width="6.5546875" style="431" customWidth="1"/>
    <col min="4858" max="4858" width="7.33203125" style="431" customWidth="1"/>
    <col min="4859" max="4859" width="13.88671875" style="431" customWidth="1"/>
    <col min="4860" max="4860" width="16.5546875" style="431" customWidth="1"/>
    <col min="4861" max="4861" width="13.88671875" style="431" customWidth="1"/>
    <col min="4862" max="4862" width="11.109375" style="431" bestFit="1" customWidth="1"/>
    <col min="4863" max="4865" width="8.88671875" style="431"/>
    <col min="4866" max="4866" width="10.88671875" style="431" customWidth="1"/>
    <col min="4867" max="5104" width="8.88671875" style="431"/>
    <col min="5105" max="5105" width="5.5546875" style="431" customWidth="1"/>
    <col min="5106" max="5106" width="4.88671875" style="431" customWidth="1"/>
    <col min="5107" max="5107" width="2.6640625" style="431" customWidth="1"/>
    <col min="5108" max="5109" width="2.88671875" style="431" customWidth="1"/>
    <col min="5110" max="5110" width="2.6640625" style="431" customWidth="1"/>
    <col min="5111" max="5111" width="3.88671875" style="431" customWidth="1"/>
    <col min="5112" max="5112" width="25.6640625" style="431" customWidth="1"/>
    <col min="5113" max="5113" width="6.5546875" style="431" customWidth="1"/>
    <col min="5114" max="5114" width="7.33203125" style="431" customWidth="1"/>
    <col min="5115" max="5115" width="13.88671875" style="431" customWidth="1"/>
    <col min="5116" max="5116" width="16.5546875" style="431" customWidth="1"/>
    <col min="5117" max="5117" width="13.88671875" style="431" customWidth="1"/>
    <col min="5118" max="5118" width="11.109375" style="431" bestFit="1" customWidth="1"/>
    <col min="5119" max="5121" width="8.88671875" style="431"/>
    <col min="5122" max="5122" width="10.88671875" style="431" customWidth="1"/>
    <col min="5123" max="5360" width="8.88671875" style="431"/>
    <col min="5361" max="5361" width="5.5546875" style="431" customWidth="1"/>
    <col min="5362" max="5362" width="4.88671875" style="431" customWidth="1"/>
    <col min="5363" max="5363" width="2.6640625" style="431" customWidth="1"/>
    <col min="5364" max="5365" width="2.88671875" style="431" customWidth="1"/>
    <col min="5366" max="5366" width="2.6640625" style="431" customWidth="1"/>
    <col min="5367" max="5367" width="3.88671875" style="431" customWidth="1"/>
    <col min="5368" max="5368" width="25.6640625" style="431" customWidth="1"/>
    <col min="5369" max="5369" width="6.5546875" style="431" customWidth="1"/>
    <col min="5370" max="5370" width="7.33203125" style="431" customWidth="1"/>
    <col min="5371" max="5371" width="13.88671875" style="431" customWidth="1"/>
    <col min="5372" max="5372" width="16.5546875" style="431" customWidth="1"/>
    <col min="5373" max="5373" width="13.88671875" style="431" customWidth="1"/>
    <col min="5374" max="5374" width="11.109375" style="431" bestFit="1" customWidth="1"/>
    <col min="5375" max="5377" width="8.88671875" style="431"/>
    <col min="5378" max="5378" width="10.88671875" style="431" customWidth="1"/>
    <col min="5379" max="5616" width="8.88671875" style="431"/>
    <col min="5617" max="5617" width="5.5546875" style="431" customWidth="1"/>
    <col min="5618" max="5618" width="4.88671875" style="431" customWidth="1"/>
    <col min="5619" max="5619" width="2.6640625" style="431" customWidth="1"/>
    <col min="5620" max="5621" width="2.88671875" style="431" customWidth="1"/>
    <col min="5622" max="5622" width="2.6640625" style="431" customWidth="1"/>
    <col min="5623" max="5623" width="3.88671875" style="431" customWidth="1"/>
    <col min="5624" max="5624" width="25.6640625" style="431" customWidth="1"/>
    <col min="5625" max="5625" width="6.5546875" style="431" customWidth="1"/>
    <col min="5626" max="5626" width="7.33203125" style="431" customWidth="1"/>
    <col min="5627" max="5627" width="13.88671875" style="431" customWidth="1"/>
    <col min="5628" max="5628" width="16.5546875" style="431" customWidth="1"/>
    <col min="5629" max="5629" width="13.88671875" style="431" customWidth="1"/>
    <col min="5630" max="5630" width="11.109375" style="431" bestFit="1" customWidth="1"/>
    <col min="5631" max="5633" width="8.88671875" style="431"/>
    <col min="5634" max="5634" width="10.88671875" style="431" customWidth="1"/>
    <col min="5635" max="5872" width="8.88671875" style="431"/>
    <col min="5873" max="5873" width="5.5546875" style="431" customWidth="1"/>
    <col min="5874" max="5874" width="4.88671875" style="431" customWidth="1"/>
    <col min="5875" max="5875" width="2.6640625" style="431" customWidth="1"/>
    <col min="5876" max="5877" width="2.88671875" style="431" customWidth="1"/>
    <col min="5878" max="5878" width="2.6640625" style="431" customWidth="1"/>
    <col min="5879" max="5879" width="3.88671875" style="431" customWidth="1"/>
    <col min="5880" max="5880" width="25.6640625" style="431" customWidth="1"/>
    <col min="5881" max="5881" width="6.5546875" style="431" customWidth="1"/>
    <col min="5882" max="5882" width="7.33203125" style="431" customWidth="1"/>
    <col min="5883" max="5883" width="13.88671875" style="431" customWidth="1"/>
    <col min="5884" max="5884" width="16.5546875" style="431" customWidth="1"/>
    <col min="5885" max="5885" width="13.88671875" style="431" customWidth="1"/>
    <col min="5886" max="5886" width="11.109375" style="431" bestFit="1" customWidth="1"/>
    <col min="5887" max="5889" width="8.88671875" style="431"/>
    <col min="5890" max="5890" width="10.88671875" style="431" customWidth="1"/>
    <col min="5891" max="6128" width="8.88671875" style="431"/>
    <col min="6129" max="6129" width="5.5546875" style="431" customWidth="1"/>
    <col min="6130" max="6130" width="4.88671875" style="431" customWidth="1"/>
    <col min="6131" max="6131" width="2.6640625" style="431" customWidth="1"/>
    <col min="6132" max="6133" width="2.88671875" style="431" customWidth="1"/>
    <col min="6134" max="6134" width="2.6640625" style="431" customWidth="1"/>
    <col min="6135" max="6135" width="3.88671875" style="431" customWidth="1"/>
    <col min="6136" max="6136" width="25.6640625" style="431" customWidth="1"/>
    <col min="6137" max="6137" width="6.5546875" style="431" customWidth="1"/>
    <col min="6138" max="6138" width="7.33203125" style="431" customWidth="1"/>
    <col min="6139" max="6139" width="13.88671875" style="431" customWidth="1"/>
    <col min="6140" max="6140" width="16.5546875" style="431" customWidth="1"/>
    <col min="6141" max="6141" width="13.88671875" style="431" customWidth="1"/>
    <col min="6142" max="6142" width="11.109375" style="431" bestFit="1" customWidth="1"/>
    <col min="6143" max="6145" width="8.88671875" style="431"/>
    <col min="6146" max="6146" width="10.88671875" style="431" customWidth="1"/>
    <col min="6147" max="6384" width="8.88671875" style="431"/>
    <col min="6385" max="6385" width="5.5546875" style="431" customWidth="1"/>
    <col min="6386" max="6386" width="4.88671875" style="431" customWidth="1"/>
    <col min="6387" max="6387" width="2.6640625" style="431" customWidth="1"/>
    <col min="6388" max="6389" width="2.88671875" style="431" customWidth="1"/>
    <col min="6390" max="6390" width="2.6640625" style="431" customWidth="1"/>
    <col min="6391" max="6391" width="3.88671875" style="431" customWidth="1"/>
    <col min="6392" max="6392" width="25.6640625" style="431" customWidth="1"/>
    <col min="6393" max="6393" width="6.5546875" style="431" customWidth="1"/>
    <col min="6394" max="6394" width="7.33203125" style="431" customWidth="1"/>
    <col min="6395" max="6395" width="13.88671875" style="431" customWidth="1"/>
    <col min="6396" max="6396" width="16.5546875" style="431" customWidth="1"/>
    <col min="6397" max="6397" width="13.88671875" style="431" customWidth="1"/>
    <col min="6398" max="6398" width="11.109375" style="431" bestFit="1" customWidth="1"/>
    <col min="6399" max="6401" width="8.88671875" style="431"/>
    <col min="6402" max="6402" width="10.88671875" style="431" customWidth="1"/>
    <col min="6403" max="6640" width="8.88671875" style="431"/>
    <col min="6641" max="6641" width="5.5546875" style="431" customWidth="1"/>
    <col min="6642" max="6642" width="4.88671875" style="431" customWidth="1"/>
    <col min="6643" max="6643" width="2.6640625" style="431" customWidth="1"/>
    <col min="6644" max="6645" width="2.88671875" style="431" customWidth="1"/>
    <col min="6646" max="6646" width="2.6640625" style="431" customWidth="1"/>
    <col min="6647" max="6647" width="3.88671875" style="431" customWidth="1"/>
    <col min="6648" max="6648" width="25.6640625" style="431" customWidth="1"/>
    <col min="6649" max="6649" width="6.5546875" style="431" customWidth="1"/>
    <col min="6650" max="6650" width="7.33203125" style="431" customWidth="1"/>
    <col min="6651" max="6651" width="13.88671875" style="431" customWidth="1"/>
    <col min="6652" max="6652" width="16.5546875" style="431" customWidth="1"/>
    <col min="6653" max="6653" width="13.88671875" style="431" customWidth="1"/>
    <col min="6654" max="6654" width="11.109375" style="431" bestFit="1" customWidth="1"/>
    <col min="6655" max="6657" width="8.88671875" style="431"/>
    <col min="6658" max="6658" width="10.88671875" style="431" customWidth="1"/>
    <col min="6659" max="6896" width="8.88671875" style="431"/>
    <col min="6897" max="6897" width="5.5546875" style="431" customWidth="1"/>
    <col min="6898" max="6898" width="4.88671875" style="431" customWidth="1"/>
    <col min="6899" max="6899" width="2.6640625" style="431" customWidth="1"/>
    <col min="6900" max="6901" width="2.88671875" style="431" customWidth="1"/>
    <col min="6902" max="6902" width="2.6640625" style="431" customWidth="1"/>
    <col min="6903" max="6903" width="3.88671875" style="431" customWidth="1"/>
    <col min="6904" max="6904" width="25.6640625" style="431" customWidth="1"/>
    <col min="6905" max="6905" width="6.5546875" style="431" customWidth="1"/>
    <col min="6906" max="6906" width="7.33203125" style="431" customWidth="1"/>
    <col min="6907" max="6907" width="13.88671875" style="431" customWidth="1"/>
    <col min="6908" max="6908" width="16.5546875" style="431" customWidth="1"/>
    <col min="6909" max="6909" width="13.88671875" style="431" customWidth="1"/>
    <col min="6910" max="6910" width="11.109375" style="431" bestFit="1" customWidth="1"/>
    <col min="6911" max="6913" width="8.88671875" style="431"/>
    <col min="6914" max="6914" width="10.88671875" style="431" customWidth="1"/>
    <col min="6915" max="7152" width="8.88671875" style="431"/>
    <col min="7153" max="7153" width="5.5546875" style="431" customWidth="1"/>
    <col min="7154" max="7154" width="4.88671875" style="431" customWidth="1"/>
    <col min="7155" max="7155" width="2.6640625" style="431" customWidth="1"/>
    <col min="7156" max="7157" width="2.88671875" style="431" customWidth="1"/>
    <col min="7158" max="7158" width="2.6640625" style="431" customWidth="1"/>
    <col min="7159" max="7159" width="3.88671875" style="431" customWidth="1"/>
    <col min="7160" max="7160" width="25.6640625" style="431" customWidth="1"/>
    <col min="7161" max="7161" width="6.5546875" style="431" customWidth="1"/>
    <col min="7162" max="7162" width="7.33203125" style="431" customWidth="1"/>
    <col min="7163" max="7163" width="13.88671875" style="431" customWidth="1"/>
    <col min="7164" max="7164" width="16.5546875" style="431" customWidth="1"/>
    <col min="7165" max="7165" width="13.88671875" style="431" customWidth="1"/>
    <col min="7166" max="7166" width="11.109375" style="431" bestFit="1" customWidth="1"/>
    <col min="7167" max="7169" width="8.88671875" style="431"/>
    <col min="7170" max="7170" width="10.88671875" style="431" customWidth="1"/>
    <col min="7171" max="7408" width="8.88671875" style="431"/>
    <col min="7409" max="7409" width="5.5546875" style="431" customWidth="1"/>
    <col min="7410" max="7410" width="4.88671875" style="431" customWidth="1"/>
    <col min="7411" max="7411" width="2.6640625" style="431" customWidth="1"/>
    <col min="7412" max="7413" width="2.88671875" style="431" customWidth="1"/>
    <col min="7414" max="7414" width="2.6640625" style="431" customWidth="1"/>
    <col min="7415" max="7415" width="3.88671875" style="431" customWidth="1"/>
    <col min="7416" max="7416" width="25.6640625" style="431" customWidth="1"/>
    <col min="7417" max="7417" width="6.5546875" style="431" customWidth="1"/>
    <col min="7418" max="7418" width="7.33203125" style="431" customWidth="1"/>
    <col min="7419" max="7419" width="13.88671875" style="431" customWidth="1"/>
    <col min="7420" max="7420" width="16.5546875" style="431" customWidth="1"/>
    <col min="7421" max="7421" width="13.88671875" style="431" customWidth="1"/>
    <col min="7422" max="7422" width="11.109375" style="431" bestFit="1" customWidth="1"/>
    <col min="7423" max="7425" width="8.88671875" style="431"/>
    <col min="7426" max="7426" width="10.88671875" style="431" customWidth="1"/>
    <col min="7427" max="7664" width="8.88671875" style="431"/>
    <col min="7665" max="7665" width="5.5546875" style="431" customWidth="1"/>
    <col min="7666" max="7666" width="4.88671875" style="431" customWidth="1"/>
    <col min="7667" max="7667" width="2.6640625" style="431" customWidth="1"/>
    <col min="7668" max="7669" width="2.88671875" style="431" customWidth="1"/>
    <col min="7670" max="7670" width="2.6640625" style="431" customWidth="1"/>
    <col min="7671" max="7671" width="3.88671875" style="431" customWidth="1"/>
    <col min="7672" max="7672" width="25.6640625" style="431" customWidth="1"/>
    <col min="7673" max="7673" width="6.5546875" style="431" customWidth="1"/>
    <col min="7674" max="7674" width="7.33203125" style="431" customWidth="1"/>
    <col min="7675" max="7675" width="13.88671875" style="431" customWidth="1"/>
    <col min="7676" max="7676" width="16.5546875" style="431" customWidth="1"/>
    <col min="7677" max="7677" width="13.88671875" style="431" customWidth="1"/>
    <col min="7678" max="7678" width="11.109375" style="431" bestFit="1" customWidth="1"/>
    <col min="7679" max="7681" width="8.88671875" style="431"/>
    <col min="7682" max="7682" width="10.88671875" style="431" customWidth="1"/>
    <col min="7683" max="7920" width="8.88671875" style="431"/>
    <col min="7921" max="7921" width="5.5546875" style="431" customWidth="1"/>
    <col min="7922" max="7922" width="4.88671875" style="431" customWidth="1"/>
    <col min="7923" max="7923" width="2.6640625" style="431" customWidth="1"/>
    <col min="7924" max="7925" width="2.88671875" style="431" customWidth="1"/>
    <col min="7926" max="7926" width="2.6640625" style="431" customWidth="1"/>
    <col min="7927" max="7927" width="3.88671875" style="431" customWidth="1"/>
    <col min="7928" max="7928" width="25.6640625" style="431" customWidth="1"/>
    <col min="7929" max="7929" width="6.5546875" style="431" customWidth="1"/>
    <col min="7930" max="7930" width="7.33203125" style="431" customWidth="1"/>
    <col min="7931" max="7931" width="13.88671875" style="431" customWidth="1"/>
    <col min="7932" max="7932" width="16.5546875" style="431" customWidth="1"/>
    <col min="7933" max="7933" width="13.88671875" style="431" customWidth="1"/>
    <col min="7934" max="7934" width="11.109375" style="431" bestFit="1" customWidth="1"/>
    <col min="7935" max="7937" width="8.88671875" style="431"/>
    <col min="7938" max="7938" width="10.88671875" style="431" customWidth="1"/>
    <col min="7939" max="8176" width="8.88671875" style="431"/>
    <col min="8177" max="8177" width="5.5546875" style="431" customWidth="1"/>
    <col min="8178" max="8178" width="4.88671875" style="431" customWidth="1"/>
    <col min="8179" max="8179" width="2.6640625" style="431" customWidth="1"/>
    <col min="8180" max="8181" width="2.88671875" style="431" customWidth="1"/>
    <col min="8182" max="8182" width="2.6640625" style="431" customWidth="1"/>
    <col min="8183" max="8183" width="3.88671875" style="431" customWidth="1"/>
    <col min="8184" max="8184" width="25.6640625" style="431" customWidth="1"/>
    <col min="8185" max="8185" width="6.5546875" style="431" customWidth="1"/>
    <col min="8186" max="8186" width="7.33203125" style="431" customWidth="1"/>
    <col min="8187" max="8187" width="13.88671875" style="431" customWidth="1"/>
    <col min="8188" max="8188" width="16.5546875" style="431" customWidth="1"/>
    <col min="8189" max="8189" width="13.88671875" style="431" customWidth="1"/>
    <col min="8190" max="8190" width="11.109375" style="431" bestFit="1" customWidth="1"/>
    <col min="8191" max="8193" width="8.88671875" style="431"/>
    <col min="8194" max="8194" width="10.88671875" style="431" customWidth="1"/>
    <col min="8195" max="8432" width="8.88671875" style="431"/>
    <col min="8433" max="8433" width="5.5546875" style="431" customWidth="1"/>
    <col min="8434" max="8434" width="4.88671875" style="431" customWidth="1"/>
    <col min="8435" max="8435" width="2.6640625" style="431" customWidth="1"/>
    <col min="8436" max="8437" width="2.88671875" style="431" customWidth="1"/>
    <col min="8438" max="8438" width="2.6640625" style="431" customWidth="1"/>
    <col min="8439" max="8439" width="3.88671875" style="431" customWidth="1"/>
    <col min="8440" max="8440" width="25.6640625" style="431" customWidth="1"/>
    <col min="8441" max="8441" width="6.5546875" style="431" customWidth="1"/>
    <col min="8442" max="8442" width="7.33203125" style="431" customWidth="1"/>
    <col min="8443" max="8443" width="13.88671875" style="431" customWidth="1"/>
    <col min="8444" max="8444" width="16.5546875" style="431" customWidth="1"/>
    <col min="8445" max="8445" width="13.88671875" style="431" customWidth="1"/>
    <col min="8446" max="8446" width="11.109375" style="431" bestFit="1" customWidth="1"/>
    <col min="8447" max="8449" width="8.88671875" style="431"/>
    <col min="8450" max="8450" width="10.88671875" style="431" customWidth="1"/>
    <col min="8451" max="8688" width="8.88671875" style="431"/>
    <col min="8689" max="8689" width="5.5546875" style="431" customWidth="1"/>
    <col min="8690" max="8690" width="4.88671875" style="431" customWidth="1"/>
    <col min="8691" max="8691" width="2.6640625" style="431" customWidth="1"/>
    <col min="8692" max="8693" width="2.88671875" style="431" customWidth="1"/>
    <col min="8694" max="8694" width="2.6640625" style="431" customWidth="1"/>
    <col min="8695" max="8695" width="3.88671875" style="431" customWidth="1"/>
    <col min="8696" max="8696" width="25.6640625" style="431" customWidth="1"/>
    <col min="8697" max="8697" width="6.5546875" style="431" customWidth="1"/>
    <col min="8698" max="8698" width="7.33203125" style="431" customWidth="1"/>
    <col min="8699" max="8699" width="13.88671875" style="431" customWidth="1"/>
    <col min="8700" max="8700" width="16.5546875" style="431" customWidth="1"/>
    <col min="8701" max="8701" width="13.88671875" style="431" customWidth="1"/>
    <col min="8702" max="8702" width="11.109375" style="431" bestFit="1" customWidth="1"/>
    <col min="8703" max="8705" width="8.88671875" style="431"/>
    <col min="8706" max="8706" width="10.88671875" style="431" customWidth="1"/>
    <col min="8707" max="8944" width="8.88671875" style="431"/>
    <col min="8945" max="8945" width="5.5546875" style="431" customWidth="1"/>
    <col min="8946" max="8946" width="4.88671875" style="431" customWidth="1"/>
    <col min="8947" max="8947" width="2.6640625" style="431" customWidth="1"/>
    <col min="8948" max="8949" width="2.88671875" style="431" customWidth="1"/>
    <col min="8950" max="8950" width="2.6640625" style="431" customWidth="1"/>
    <col min="8951" max="8951" width="3.88671875" style="431" customWidth="1"/>
    <col min="8952" max="8952" width="25.6640625" style="431" customWidth="1"/>
    <col min="8953" max="8953" width="6.5546875" style="431" customWidth="1"/>
    <col min="8954" max="8954" width="7.33203125" style="431" customWidth="1"/>
    <col min="8955" max="8955" width="13.88671875" style="431" customWidth="1"/>
    <col min="8956" max="8956" width="16.5546875" style="431" customWidth="1"/>
    <col min="8957" max="8957" width="13.88671875" style="431" customWidth="1"/>
    <col min="8958" max="8958" width="11.109375" style="431" bestFit="1" customWidth="1"/>
    <col min="8959" max="8961" width="8.88671875" style="431"/>
    <col min="8962" max="8962" width="10.88671875" style="431" customWidth="1"/>
    <col min="8963" max="9200" width="8.88671875" style="431"/>
    <col min="9201" max="9201" width="5.5546875" style="431" customWidth="1"/>
    <col min="9202" max="9202" width="4.88671875" style="431" customWidth="1"/>
    <col min="9203" max="9203" width="2.6640625" style="431" customWidth="1"/>
    <col min="9204" max="9205" width="2.88671875" style="431" customWidth="1"/>
    <col min="9206" max="9206" width="2.6640625" style="431" customWidth="1"/>
    <col min="9207" max="9207" width="3.88671875" style="431" customWidth="1"/>
    <col min="9208" max="9208" width="25.6640625" style="431" customWidth="1"/>
    <col min="9209" max="9209" width="6.5546875" style="431" customWidth="1"/>
    <col min="9210" max="9210" width="7.33203125" style="431" customWidth="1"/>
    <col min="9211" max="9211" width="13.88671875" style="431" customWidth="1"/>
    <col min="9212" max="9212" width="16.5546875" style="431" customWidth="1"/>
    <col min="9213" max="9213" width="13.88671875" style="431" customWidth="1"/>
    <col min="9214" max="9214" width="11.109375" style="431" bestFit="1" customWidth="1"/>
    <col min="9215" max="9217" width="8.88671875" style="431"/>
    <col min="9218" max="9218" width="10.88671875" style="431" customWidth="1"/>
    <col min="9219" max="9456" width="8.88671875" style="431"/>
    <col min="9457" max="9457" width="5.5546875" style="431" customWidth="1"/>
    <col min="9458" max="9458" width="4.88671875" style="431" customWidth="1"/>
    <col min="9459" max="9459" width="2.6640625" style="431" customWidth="1"/>
    <col min="9460" max="9461" width="2.88671875" style="431" customWidth="1"/>
    <col min="9462" max="9462" width="2.6640625" style="431" customWidth="1"/>
    <col min="9463" max="9463" width="3.88671875" style="431" customWidth="1"/>
    <col min="9464" max="9464" width="25.6640625" style="431" customWidth="1"/>
    <col min="9465" max="9465" width="6.5546875" style="431" customWidth="1"/>
    <col min="9466" max="9466" width="7.33203125" style="431" customWidth="1"/>
    <col min="9467" max="9467" width="13.88671875" style="431" customWidth="1"/>
    <col min="9468" max="9468" width="16.5546875" style="431" customWidth="1"/>
    <col min="9469" max="9469" width="13.88671875" style="431" customWidth="1"/>
    <col min="9470" max="9470" width="11.109375" style="431" bestFit="1" customWidth="1"/>
    <col min="9471" max="9473" width="8.88671875" style="431"/>
    <col min="9474" max="9474" width="10.88671875" style="431" customWidth="1"/>
    <col min="9475" max="9712" width="8.88671875" style="431"/>
    <col min="9713" max="9713" width="5.5546875" style="431" customWidth="1"/>
    <col min="9714" max="9714" width="4.88671875" style="431" customWidth="1"/>
    <col min="9715" max="9715" width="2.6640625" style="431" customWidth="1"/>
    <col min="9716" max="9717" width="2.88671875" style="431" customWidth="1"/>
    <col min="9718" max="9718" width="2.6640625" style="431" customWidth="1"/>
    <col min="9719" max="9719" width="3.88671875" style="431" customWidth="1"/>
    <col min="9720" max="9720" width="25.6640625" style="431" customWidth="1"/>
    <col min="9721" max="9721" width="6.5546875" style="431" customWidth="1"/>
    <col min="9722" max="9722" width="7.33203125" style="431" customWidth="1"/>
    <col min="9723" max="9723" width="13.88671875" style="431" customWidth="1"/>
    <col min="9724" max="9724" width="16.5546875" style="431" customWidth="1"/>
    <col min="9725" max="9725" width="13.88671875" style="431" customWidth="1"/>
    <col min="9726" max="9726" width="11.109375" style="431" bestFit="1" customWidth="1"/>
    <col min="9727" max="9729" width="8.88671875" style="431"/>
    <col min="9730" max="9730" width="10.88671875" style="431" customWidth="1"/>
    <col min="9731" max="9968" width="8.88671875" style="431"/>
    <col min="9969" max="9969" width="5.5546875" style="431" customWidth="1"/>
    <col min="9970" max="9970" width="4.88671875" style="431" customWidth="1"/>
    <col min="9971" max="9971" width="2.6640625" style="431" customWidth="1"/>
    <col min="9972" max="9973" width="2.88671875" style="431" customWidth="1"/>
    <col min="9974" max="9974" width="2.6640625" style="431" customWidth="1"/>
    <col min="9975" max="9975" width="3.88671875" style="431" customWidth="1"/>
    <col min="9976" max="9976" width="25.6640625" style="431" customWidth="1"/>
    <col min="9977" max="9977" width="6.5546875" style="431" customWidth="1"/>
    <col min="9978" max="9978" width="7.33203125" style="431" customWidth="1"/>
    <col min="9979" max="9979" width="13.88671875" style="431" customWidth="1"/>
    <col min="9980" max="9980" width="16.5546875" style="431" customWidth="1"/>
    <col min="9981" max="9981" width="13.88671875" style="431" customWidth="1"/>
    <col min="9982" max="9982" width="11.109375" style="431" bestFit="1" customWidth="1"/>
    <col min="9983" max="9985" width="8.88671875" style="431"/>
    <col min="9986" max="9986" width="10.88671875" style="431" customWidth="1"/>
    <col min="9987" max="10224" width="8.88671875" style="431"/>
    <col min="10225" max="10225" width="5.5546875" style="431" customWidth="1"/>
    <col min="10226" max="10226" width="4.88671875" style="431" customWidth="1"/>
    <col min="10227" max="10227" width="2.6640625" style="431" customWidth="1"/>
    <col min="10228" max="10229" width="2.88671875" style="431" customWidth="1"/>
    <col min="10230" max="10230" width="2.6640625" style="431" customWidth="1"/>
    <col min="10231" max="10231" width="3.88671875" style="431" customWidth="1"/>
    <col min="10232" max="10232" width="25.6640625" style="431" customWidth="1"/>
    <col min="10233" max="10233" width="6.5546875" style="431" customWidth="1"/>
    <col min="10234" max="10234" width="7.33203125" style="431" customWidth="1"/>
    <col min="10235" max="10235" width="13.88671875" style="431" customWidth="1"/>
    <col min="10236" max="10236" width="16.5546875" style="431" customWidth="1"/>
    <col min="10237" max="10237" width="13.88671875" style="431" customWidth="1"/>
    <col min="10238" max="10238" width="11.109375" style="431" bestFit="1" customWidth="1"/>
    <col min="10239" max="10241" width="8.88671875" style="431"/>
    <col min="10242" max="10242" width="10.88671875" style="431" customWidth="1"/>
    <col min="10243" max="10480" width="8.88671875" style="431"/>
    <col min="10481" max="10481" width="5.5546875" style="431" customWidth="1"/>
    <col min="10482" max="10482" width="4.88671875" style="431" customWidth="1"/>
    <col min="10483" max="10483" width="2.6640625" style="431" customWidth="1"/>
    <col min="10484" max="10485" width="2.88671875" style="431" customWidth="1"/>
    <col min="10486" max="10486" width="2.6640625" style="431" customWidth="1"/>
    <col min="10487" max="10487" width="3.88671875" style="431" customWidth="1"/>
    <col min="10488" max="10488" width="25.6640625" style="431" customWidth="1"/>
    <col min="10489" max="10489" width="6.5546875" style="431" customWidth="1"/>
    <col min="10490" max="10490" width="7.33203125" style="431" customWidth="1"/>
    <col min="10491" max="10491" width="13.88671875" style="431" customWidth="1"/>
    <col min="10492" max="10492" width="16.5546875" style="431" customWidth="1"/>
    <col min="10493" max="10493" width="13.88671875" style="431" customWidth="1"/>
    <col min="10494" max="10494" width="11.109375" style="431" bestFit="1" customWidth="1"/>
    <col min="10495" max="10497" width="8.88671875" style="431"/>
    <col min="10498" max="10498" width="10.88671875" style="431" customWidth="1"/>
    <col min="10499" max="10736" width="8.88671875" style="431"/>
    <col min="10737" max="10737" width="5.5546875" style="431" customWidth="1"/>
    <col min="10738" max="10738" width="4.88671875" style="431" customWidth="1"/>
    <col min="10739" max="10739" width="2.6640625" style="431" customWidth="1"/>
    <col min="10740" max="10741" width="2.88671875" style="431" customWidth="1"/>
    <col min="10742" max="10742" width="2.6640625" style="431" customWidth="1"/>
    <col min="10743" max="10743" width="3.88671875" style="431" customWidth="1"/>
    <col min="10744" max="10744" width="25.6640625" style="431" customWidth="1"/>
    <col min="10745" max="10745" width="6.5546875" style="431" customWidth="1"/>
    <col min="10746" max="10746" width="7.33203125" style="431" customWidth="1"/>
    <col min="10747" max="10747" width="13.88671875" style="431" customWidth="1"/>
    <col min="10748" max="10748" width="16.5546875" style="431" customWidth="1"/>
    <col min="10749" max="10749" width="13.88671875" style="431" customWidth="1"/>
    <col min="10750" max="10750" width="11.109375" style="431" bestFit="1" customWidth="1"/>
    <col min="10751" max="10753" width="8.88671875" style="431"/>
    <col min="10754" max="10754" width="10.88671875" style="431" customWidth="1"/>
    <col min="10755" max="10992" width="8.88671875" style="431"/>
    <col min="10993" max="10993" width="5.5546875" style="431" customWidth="1"/>
    <col min="10994" max="10994" width="4.88671875" style="431" customWidth="1"/>
    <col min="10995" max="10995" width="2.6640625" style="431" customWidth="1"/>
    <col min="10996" max="10997" width="2.88671875" style="431" customWidth="1"/>
    <col min="10998" max="10998" width="2.6640625" style="431" customWidth="1"/>
    <col min="10999" max="10999" width="3.88671875" style="431" customWidth="1"/>
    <col min="11000" max="11000" width="25.6640625" style="431" customWidth="1"/>
    <col min="11001" max="11001" width="6.5546875" style="431" customWidth="1"/>
    <col min="11002" max="11002" width="7.33203125" style="431" customWidth="1"/>
    <col min="11003" max="11003" width="13.88671875" style="431" customWidth="1"/>
    <col min="11004" max="11004" width="16.5546875" style="431" customWidth="1"/>
    <col min="11005" max="11005" width="13.88671875" style="431" customWidth="1"/>
    <col min="11006" max="11006" width="11.109375" style="431" bestFit="1" customWidth="1"/>
    <col min="11007" max="11009" width="8.88671875" style="431"/>
    <col min="11010" max="11010" width="10.88671875" style="431" customWidth="1"/>
    <col min="11011" max="11248" width="8.88671875" style="431"/>
    <col min="11249" max="11249" width="5.5546875" style="431" customWidth="1"/>
    <col min="11250" max="11250" width="4.88671875" style="431" customWidth="1"/>
    <col min="11251" max="11251" width="2.6640625" style="431" customWidth="1"/>
    <col min="11252" max="11253" width="2.88671875" style="431" customWidth="1"/>
    <col min="11254" max="11254" width="2.6640625" style="431" customWidth="1"/>
    <col min="11255" max="11255" width="3.88671875" style="431" customWidth="1"/>
    <col min="11256" max="11256" width="25.6640625" style="431" customWidth="1"/>
    <col min="11257" max="11257" width="6.5546875" style="431" customWidth="1"/>
    <col min="11258" max="11258" width="7.33203125" style="431" customWidth="1"/>
    <col min="11259" max="11259" width="13.88671875" style="431" customWidth="1"/>
    <col min="11260" max="11260" width="16.5546875" style="431" customWidth="1"/>
    <col min="11261" max="11261" width="13.88671875" style="431" customWidth="1"/>
    <col min="11262" max="11262" width="11.109375" style="431" bestFit="1" customWidth="1"/>
    <col min="11263" max="11265" width="8.88671875" style="431"/>
    <col min="11266" max="11266" width="10.88671875" style="431" customWidth="1"/>
    <col min="11267" max="11504" width="8.88671875" style="431"/>
    <col min="11505" max="11505" width="5.5546875" style="431" customWidth="1"/>
    <col min="11506" max="11506" width="4.88671875" style="431" customWidth="1"/>
    <col min="11507" max="11507" width="2.6640625" style="431" customWidth="1"/>
    <col min="11508" max="11509" width="2.88671875" style="431" customWidth="1"/>
    <col min="11510" max="11510" width="2.6640625" style="431" customWidth="1"/>
    <col min="11511" max="11511" width="3.88671875" style="431" customWidth="1"/>
    <col min="11512" max="11512" width="25.6640625" style="431" customWidth="1"/>
    <col min="11513" max="11513" width="6.5546875" style="431" customWidth="1"/>
    <col min="11514" max="11514" width="7.33203125" style="431" customWidth="1"/>
    <col min="11515" max="11515" width="13.88671875" style="431" customWidth="1"/>
    <col min="11516" max="11516" width="16.5546875" style="431" customWidth="1"/>
    <col min="11517" max="11517" width="13.88671875" style="431" customWidth="1"/>
    <col min="11518" max="11518" width="11.109375" style="431" bestFit="1" customWidth="1"/>
    <col min="11519" max="11521" width="8.88671875" style="431"/>
    <col min="11522" max="11522" width="10.88671875" style="431" customWidth="1"/>
    <col min="11523" max="11760" width="8.88671875" style="431"/>
    <col min="11761" max="11761" width="5.5546875" style="431" customWidth="1"/>
    <col min="11762" max="11762" width="4.88671875" style="431" customWidth="1"/>
    <col min="11763" max="11763" width="2.6640625" style="431" customWidth="1"/>
    <col min="11764" max="11765" width="2.88671875" style="431" customWidth="1"/>
    <col min="11766" max="11766" width="2.6640625" style="431" customWidth="1"/>
    <col min="11767" max="11767" width="3.88671875" style="431" customWidth="1"/>
    <col min="11768" max="11768" width="25.6640625" style="431" customWidth="1"/>
    <col min="11769" max="11769" width="6.5546875" style="431" customWidth="1"/>
    <col min="11770" max="11770" width="7.33203125" style="431" customWidth="1"/>
    <col min="11771" max="11771" width="13.88671875" style="431" customWidth="1"/>
    <col min="11772" max="11772" width="16.5546875" style="431" customWidth="1"/>
    <col min="11773" max="11773" width="13.88671875" style="431" customWidth="1"/>
    <col min="11774" max="11774" width="11.109375" style="431" bestFit="1" customWidth="1"/>
    <col min="11775" max="11777" width="8.88671875" style="431"/>
    <col min="11778" max="11778" width="10.88671875" style="431" customWidth="1"/>
    <col min="11779" max="12016" width="8.88671875" style="431"/>
    <col min="12017" max="12017" width="5.5546875" style="431" customWidth="1"/>
    <col min="12018" max="12018" width="4.88671875" style="431" customWidth="1"/>
    <col min="12019" max="12019" width="2.6640625" style="431" customWidth="1"/>
    <col min="12020" max="12021" width="2.88671875" style="431" customWidth="1"/>
    <col min="12022" max="12022" width="2.6640625" style="431" customWidth="1"/>
    <col min="12023" max="12023" width="3.88671875" style="431" customWidth="1"/>
    <col min="12024" max="12024" width="25.6640625" style="431" customWidth="1"/>
    <col min="12025" max="12025" width="6.5546875" style="431" customWidth="1"/>
    <col min="12026" max="12026" width="7.33203125" style="431" customWidth="1"/>
    <col min="12027" max="12027" width="13.88671875" style="431" customWidth="1"/>
    <col min="12028" max="12028" width="16.5546875" style="431" customWidth="1"/>
    <col min="12029" max="12029" width="13.88671875" style="431" customWidth="1"/>
    <col min="12030" max="12030" width="11.109375" style="431" bestFit="1" customWidth="1"/>
    <col min="12031" max="12033" width="8.88671875" style="431"/>
    <col min="12034" max="12034" width="10.88671875" style="431" customWidth="1"/>
    <col min="12035" max="12272" width="8.88671875" style="431"/>
    <col min="12273" max="12273" width="5.5546875" style="431" customWidth="1"/>
    <col min="12274" max="12274" width="4.88671875" style="431" customWidth="1"/>
    <col min="12275" max="12275" width="2.6640625" style="431" customWidth="1"/>
    <col min="12276" max="12277" width="2.88671875" style="431" customWidth="1"/>
    <col min="12278" max="12278" width="2.6640625" style="431" customWidth="1"/>
    <col min="12279" max="12279" width="3.88671875" style="431" customWidth="1"/>
    <col min="12280" max="12280" width="25.6640625" style="431" customWidth="1"/>
    <col min="12281" max="12281" width="6.5546875" style="431" customWidth="1"/>
    <col min="12282" max="12282" width="7.33203125" style="431" customWidth="1"/>
    <col min="12283" max="12283" width="13.88671875" style="431" customWidth="1"/>
    <col min="12284" max="12284" width="16.5546875" style="431" customWidth="1"/>
    <col min="12285" max="12285" width="13.88671875" style="431" customWidth="1"/>
    <col min="12286" max="12286" width="11.109375" style="431" bestFit="1" customWidth="1"/>
    <col min="12287" max="12289" width="8.88671875" style="431"/>
    <col min="12290" max="12290" width="10.88671875" style="431" customWidth="1"/>
    <col min="12291" max="12528" width="8.88671875" style="431"/>
    <col min="12529" max="12529" width="5.5546875" style="431" customWidth="1"/>
    <col min="12530" max="12530" width="4.88671875" style="431" customWidth="1"/>
    <col min="12531" max="12531" width="2.6640625" style="431" customWidth="1"/>
    <col min="12532" max="12533" width="2.88671875" style="431" customWidth="1"/>
    <col min="12534" max="12534" width="2.6640625" style="431" customWidth="1"/>
    <col min="12535" max="12535" width="3.88671875" style="431" customWidth="1"/>
    <col min="12536" max="12536" width="25.6640625" style="431" customWidth="1"/>
    <col min="12537" max="12537" width="6.5546875" style="431" customWidth="1"/>
    <col min="12538" max="12538" width="7.33203125" style="431" customWidth="1"/>
    <col min="12539" max="12539" width="13.88671875" style="431" customWidth="1"/>
    <col min="12540" max="12540" width="16.5546875" style="431" customWidth="1"/>
    <col min="12541" max="12541" width="13.88671875" style="431" customWidth="1"/>
    <col min="12542" max="12542" width="11.109375" style="431" bestFit="1" customWidth="1"/>
    <col min="12543" max="12545" width="8.88671875" style="431"/>
    <col min="12546" max="12546" width="10.88671875" style="431" customWidth="1"/>
    <col min="12547" max="12784" width="8.88671875" style="431"/>
    <col min="12785" max="12785" width="5.5546875" style="431" customWidth="1"/>
    <col min="12786" max="12786" width="4.88671875" style="431" customWidth="1"/>
    <col min="12787" max="12787" width="2.6640625" style="431" customWidth="1"/>
    <col min="12788" max="12789" width="2.88671875" style="431" customWidth="1"/>
    <col min="12790" max="12790" width="2.6640625" style="431" customWidth="1"/>
    <col min="12791" max="12791" width="3.88671875" style="431" customWidth="1"/>
    <col min="12792" max="12792" width="25.6640625" style="431" customWidth="1"/>
    <col min="12793" max="12793" width="6.5546875" style="431" customWidth="1"/>
    <col min="12794" max="12794" width="7.33203125" style="431" customWidth="1"/>
    <col min="12795" max="12795" width="13.88671875" style="431" customWidth="1"/>
    <col min="12796" max="12796" width="16.5546875" style="431" customWidth="1"/>
    <col min="12797" max="12797" width="13.88671875" style="431" customWidth="1"/>
    <col min="12798" max="12798" width="11.109375" style="431" bestFit="1" customWidth="1"/>
    <col min="12799" max="12801" width="8.88671875" style="431"/>
    <col min="12802" max="12802" width="10.88671875" style="431" customWidth="1"/>
    <col min="12803" max="13040" width="8.88671875" style="431"/>
    <col min="13041" max="13041" width="5.5546875" style="431" customWidth="1"/>
    <col min="13042" max="13042" width="4.88671875" style="431" customWidth="1"/>
    <col min="13043" max="13043" width="2.6640625" style="431" customWidth="1"/>
    <col min="13044" max="13045" width="2.88671875" style="431" customWidth="1"/>
    <col min="13046" max="13046" width="2.6640625" style="431" customWidth="1"/>
    <col min="13047" max="13047" width="3.88671875" style="431" customWidth="1"/>
    <col min="13048" max="13048" width="25.6640625" style="431" customWidth="1"/>
    <col min="13049" max="13049" width="6.5546875" style="431" customWidth="1"/>
    <col min="13050" max="13050" width="7.33203125" style="431" customWidth="1"/>
    <col min="13051" max="13051" width="13.88671875" style="431" customWidth="1"/>
    <col min="13052" max="13052" width="16.5546875" style="431" customWidth="1"/>
    <col min="13053" max="13053" width="13.88671875" style="431" customWidth="1"/>
    <col min="13054" max="13054" width="11.109375" style="431" bestFit="1" customWidth="1"/>
    <col min="13055" max="13057" width="8.88671875" style="431"/>
    <col min="13058" max="13058" width="10.88671875" style="431" customWidth="1"/>
    <col min="13059" max="13296" width="8.88671875" style="431"/>
    <col min="13297" max="13297" width="5.5546875" style="431" customWidth="1"/>
    <col min="13298" max="13298" width="4.88671875" style="431" customWidth="1"/>
    <col min="13299" max="13299" width="2.6640625" style="431" customWidth="1"/>
    <col min="13300" max="13301" width="2.88671875" style="431" customWidth="1"/>
    <col min="13302" max="13302" width="2.6640625" style="431" customWidth="1"/>
    <col min="13303" max="13303" width="3.88671875" style="431" customWidth="1"/>
    <col min="13304" max="13304" width="25.6640625" style="431" customWidth="1"/>
    <col min="13305" max="13305" width="6.5546875" style="431" customWidth="1"/>
    <col min="13306" max="13306" width="7.33203125" style="431" customWidth="1"/>
    <col min="13307" max="13307" width="13.88671875" style="431" customWidth="1"/>
    <col min="13308" max="13308" width="16.5546875" style="431" customWidth="1"/>
    <col min="13309" max="13309" width="13.88671875" style="431" customWidth="1"/>
    <col min="13310" max="13310" width="11.109375" style="431" bestFit="1" customWidth="1"/>
    <col min="13311" max="13313" width="8.88671875" style="431"/>
    <col min="13314" max="13314" width="10.88671875" style="431" customWidth="1"/>
    <col min="13315" max="13552" width="8.88671875" style="431"/>
    <col min="13553" max="13553" width="5.5546875" style="431" customWidth="1"/>
    <col min="13554" max="13554" width="4.88671875" style="431" customWidth="1"/>
    <col min="13555" max="13555" width="2.6640625" style="431" customWidth="1"/>
    <col min="13556" max="13557" width="2.88671875" style="431" customWidth="1"/>
    <col min="13558" max="13558" width="2.6640625" style="431" customWidth="1"/>
    <col min="13559" max="13559" width="3.88671875" style="431" customWidth="1"/>
    <col min="13560" max="13560" width="25.6640625" style="431" customWidth="1"/>
    <col min="13561" max="13561" width="6.5546875" style="431" customWidth="1"/>
    <col min="13562" max="13562" width="7.33203125" style="431" customWidth="1"/>
    <col min="13563" max="13563" width="13.88671875" style="431" customWidth="1"/>
    <col min="13564" max="13564" width="16.5546875" style="431" customWidth="1"/>
    <col min="13565" max="13565" width="13.88671875" style="431" customWidth="1"/>
    <col min="13566" max="13566" width="11.109375" style="431" bestFit="1" customWidth="1"/>
    <col min="13567" max="13569" width="8.88671875" style="431"/>
    <col min="13570" max="13570" width="10.88671875" style="431" customWidth="1"/>
    <col min="13571" max="13808" width="8.88671875" style="431"/>
    <col min="13809" max="13809" width="5.5546875" style="431" customWidth="1"/>
    <col min="13810" max="13810" width="4.88671875" style="431" customWidth="1"/>
    <col min="13811" max="13811" width="2.6640625" style="431" customWidth="1"/>
    <col min="13812" max="13813" width="2.88671875" style="431" customWidth="1"/>
    <col min="13814" max="13814" width="2.6640625" style="431" customWidth="1"/>
    <col min="13815" max="13815" width="3.88671875" style="431" customWidth="1"/>
    <col min="13816" max="13816" width="25.6640625" style="431" customWidth="1"/>
    <col min="13817" max="13817" width="6.5546875" style="431" customWidth="1"/>
    <col min="13818" max="13818" width="7.33203125" style="431" customWidth="1"/>
    <col min="13819" max="13819" width="13.88671875" style="431" customWidth="1"/>
    <col min="13820" max="13820" width="16.5546875" style="431" customWidth="1"/>
    <col min="13821" max="13821" width="13.88671875" style="431" customWidth="1"/>
    <col min="13822" max="13822" width="11.109375" style="431" bestFit="1" customWidth="1"/>
    <col min="13823" max="13825" width="8.88671875" style="431"/>
    <col min="13826" max="13826" width="10.88671875" style="431" customWidth="1"/>
    <col min="13827" max="14064" width="8.88671875" style="431"/>
    <col min="14065" max="14065" width="5.5546875" style="431" customWidth="1"/>
    <col min="14066" max="14066" width="4.88671875" style="431" customWidth="1"/>
    <col min="14067" max="14067" width="2.6640625" style="431" customWidth="1"/>
    <col min="14068" max="14069" width="2.88671875" style="431" customWidth="1"/>
    <col min="14070" max="14070" width="2.6640625" style="431" customWidth="1"/>
    <col min="14071" max="14071" width="3.88671875" style="431" customWidth="1"/>
    <col min="14072" max="14072" width="25.6640625" style="431" customWidth="1"/>
    <col min="14073" max="14073" width="6.5546875" style="431" customWidth="1"/>
    <col min="14074" max="14074" width="7.33203125" style="431" customWidth="1"/>
    <col min="14075" max="14075" width="13.88671875" style="431" customWidth="1"/>
    <col min="14076" max="14076" width="16.5546875" style="431" customWidth="1"/>
    <col min="14077" max="14077" width="13.88671875" style="431" customWidth="1"/>
    <col min="14078" max="14078" width="11.109375" style="431" bestFit="1" customWidth="1"/>
    <col min="14079" max="14081" width="8.88671875" style="431"/>
    <col min="14082" max="14082" width="10.88671875" style="431" customWidth="1"/>
    <col min="14083" max="14320" width="8.88671875" style="431"/>
    <col min="14321" max="14321" width="5.5546875" style="431" customWidth="1"/>
    <col min="14322" max="14322" width="4.88671875" style="431" customWidth="1"/>
    <col min="14323" max="14323" width="2.6640625" style="431" customWidth="1"/>
    <col min="14324" max="14325" width="2.88671875" style="431" customWidth="1"/>
    <col min="14326" max="14326" width="2.6640625" style="431" customWidth="1"/>
    <col min="14327" max="14327" width="3.88671875" style="431" customWidth="1"/>
    <col min="14328" max="14328" width="25.6640625" style="431" customWidth="1"/>
    <col min="14329" max="14329" width="6.5546875" style="431" customWidth="1"/>
    <col min="14330" max="14330" width="7.33203125" style="431" customWidth="1"/>
    <col min="14331" max="14331" width="13.88671875" style="431" customWidth="1"/>
    <col min="14332" max="14332" width="16.5546875" style="431" customWidth="1"/>
    <col min="14333" max="14333" width="13.88671875" style="431" customWidth="1"/>
    <col min="14334" max="14334" width="11.109375" style="431" bestFit="1" customWidth="1"/>
    <col min="14335" max="14337" width="8.88671875" style="431"/>
    <col min="14338" max="14338" width="10.88671875" style="431" customWidth="1"/>
    <col min="14339" max="14576" width="8.88671875" style="431"/>
    <col min="14577" max="14577" width="5.5546875" style="431" customWidth="1"/>
    <col min="14578" max="14578" width="4.88671875" style="431" customWidth="1"/>
    <col min="14579" max="14579" width="2.6640625" style="431" customWidth="1"/>
    <col min="14580" max="14581" width="2.88671875" style="431" customWidth="1"/>
    <col min="14582" max="14582" width="2.6640625" style="431" customWidth="1"/>
    <col min="14583" max="14583" width="3.88671875" style="431" customWidth="1"/>
    <col min="14584" max="14584" width="25.6640625" style="431" customWidth="1"/>
    <col min="14585" max="14585" width="6.5546875" style="431" customWidth="1"/>
    <col min="14586" max="14586" width="7.33203125" style="431" customWidth="1"/>
    <col min="14587" max="14587" width="13.88671875" style="431" customWidth="1"/>
    <col min="14588" max="14588" width="16.5546875" style="431" customWidth="1"/>
    <col min="14589" max="14589" width="13.88671875" style="431" customWidth="1"/>
    <col min="14590" max="14590" width="11.109375" style="431" bestFit="1" customWidth="1"/>
    <col min="14591" max="14593" width="8.88671875" style="431"/>
    <col min="14594" max="14594" width="10.88671875" style="431" customWidth="1"/>
    <col min="14595" max="14832" width="8.88671875" style="431"/>
    <col min="14833" max="14833" width="5.5546875" style="431" customWidth="1"/>
    <col min="14834" max="14834" width="4.88671875" style="431" customWidth="1"/>
    <col min="14835" max="14835" width="2.6640625" style="431" customWidth="1"/>
    <col min="14836" max="14837" width="2.88671875" style="431" customWidth="1"/>
    <col min="14838" max="14838" width="2.6640625" style="431" customWidth="1"/>
    <col min="14839" max="14839" width="3.88671875" style="431" customWidth="1"/>
    <col min="14840" max="14840" width="25.6640625" style="431" customWidth="1"/>
    <col min="14841" max="14841" width="6.5546875" style="431" customWidth="1"/>
    <col min="14842" max="14842" width="7.33203125" style="431" customWidth="1"/>
    <col min="14843" max="14843" width="13.88671875" style="431" customWidth="1"/>
    <col min="14844" max="14844" width="16.5546875" style="431" customWidth="1"/>
    <col min="14845" max="14845" width="13.88671875" style="431" customWidth="1"/>
    <col min="14846" max="14846" width="11.109375" style="431" bestFit="1" customWidth="1"/>
    <col min="14847" max="14849" width="8.88671875" style="431"/>
    <col min="14850" max="14850" width="10.88671875" style="431" customWidth="1"/>
    <col min="14851" max="15088" width="8.88671875" style="431"/>
    <col min="15089" max="15089" width="5.5546875" style="431" customWidth="1"/>
    <col min="15090" max="15090" width="4.88671875" style="431" customWidth="1"/>
    <col min="15091" max="15091" width="2.6640625" style="431" customWidth="1"/>
    <col min="15092" max="15093" width="2.88671875" style="431" customWidth="1"/>
    <col min="15094" max="15094" width="2.6640625" style="431" customWidth="1"/>
    <col min="15095" max="15095" width="3.88671875" style="431" customWidth="1"/>
    <col min="15096" max="15096" width="25.6640625" style="431" customWidth="1"/>
    <col min="15097" max="15097" width="6.5546875" style="431" customWidth="1"/>
    <col min="15098" max="15098" width="7.33203125" style="431" customWidth="1"/>
    <col min="15099" max="15099" width="13.88671875" style="431" customWidth="1"/>
    <col min="15100" max="15100" width="16.5546875" style="431" customWidth="1"/>
    <col min="15101" max="15101" width="13.88671875" style="431" customWidth="1"/>
    <col min="15102" max="15102" width="11.109375" style="431" bestFit="1" customWidth="1"/>
    <col min="15103" max="15105" width="8.88671875" style="431"/>
    <col min="15106" max="15106" width="10.88671875" style="431" customWidth="1"/>
    <col min="15107" max="15344" width="8.88671875" style="431"/>
    <col min="15345" max="15345" width="5.5546875" style="431" customWidth="1"/>
    <col min="15346" max="15346" width="4.88671875" style="431" customWidth="1"/>
    <col min="15347" max="15347" width="2.6640625" style="431" customWidth="1"/>
    <col min="15348" max="15349" width="2.88671875" style="431" customWidth="1"/>
    <col min="15350" max="15350" width="2.6640625" style="431" customWidth="1"/>
    <col min="15351" max="15351" width="3.88671875" style="431" customWidth="1"/>
    <col min="15352" max="15352" width="25.6640625" style="431" customWidth="1"/>
    <col min="15353" max="15353" width="6.5546875" style="431" customWidth="1"/>
    <col min="15354" max="15354" width="7.33203125" style="431" customWidth="1"/>
    <col min="15355" max="15355" width="13.88671875" style="431" customWidth="1"/>
    <col min="15356" max="15356" width="16.5546875" style="431" customWidth="1"/>
    <col min="15357" max="15357" width="13.88671875" style="431" customWidth="1"/>
    <col min="15358" max="15358" width="11.109375" style="431" bestFit="1" customWidth="1"/>
    <col min="15359" max="15361" width="8.88671875" style="431"/>
    <col min="15362" max="15362" width="10.88671875" style="431" customWidth="1"/>
    <col min="15363" max="15600" width="8.88671875" style="431"/>
    <col min="15601" max="15601" width="5.5546875" style="431" customWidth="1"/>
    <col min="15602" max="15602" width="4.88671875" style="431" customWidth="1"/>
    <col min="15603" max="15603" width="2.6640625" style="431" customWidth="1"/>
    <col min="15604" max="15605" width="2.88671875" style="431" customWidth="1"/>
    <col min="15606" max="15606" width="2.6640625" style="431" customWidth="1"/>
    <col min="15607" max="15607" width="3.88671875" style="431" customWidth="1"/>
    <col min="15608" max="15608" width="25.6640625" style="431" customWidth="1"/>
    <col min="15609" max="15609" width="6.5546875" style="431" customWidth="1"/>
    <col min="15610" max="15610" width="7.33203125" style="431" customWidth="1"/>
    <col min="15611" max="15611" width="13.88671875" style="431" customWidth="1"/>
    <col min="15612" max="15612" width="16.5546875" style="431" customWidth="1"/>
    <col min="15613" max="15613" width="13.88671875" style="431" customWidth="1"/>
    <col min="15614" max="15614" width="11.109375" style="431" bestFit="1" customWidth="1"/>
    <col min="15615" max="15617" width="8.88671875" style="431"/>
    <col min="15618" max="15618" width="10.88671875" style="431" customWidth="1"/>
    <col min="15619" max="15856" width="8.88671875" style="431"/>
    <col min="15857" max="15857" width="5.5546875" style="431" customWidth="1"/>
    <col min="15858" max="15858" width="4.88671875" style="431" customWidth="1"/>
    <col min="15859" max="15859" width="2.6640625" style="431" customWidth="1"/>
    <col min="15860" max="15861" width="2.88671875" style="431" customWidth="1"/>
    <col min="15862" max="15862" width="2.6640625" style="431" customWidth="1"/>
    <col min="15863" max="15863" width="3.88671875" style="431" customWidth="1"/>
    <col min="15864" max="15864" width="25.6640625" style="431" customWidth="1"/>
    <col min="15865" max="15865" width="6.5546875" style="431" customWidth="1"/>
    <col min="15866" max="15866" width="7.33203125" style="431" customWidth="1"/>
    <col min="15867" max="15867" width="13.88671875" style="431" customWidth="1"/>
    <col min="15868" max="15868" width="16.5546875" style="431" customWidth="1"/>
    <col min="15869" max="15869" width="13.88671875" style="431" customWidth="1"/>
    <col min="15870" max="15870" width="11.109375" style="431" bestFit="1" customWidth="1"/>
    <col min="15871" max="15873" width="8.88671875" style="431"/>
    <col min="15874" max="15874" width="10.88671875" style="431" customWidth="1"/>
    <col min="15875" max="16112" width="8.88671875" style="431"/>
    <col min="16113" max="16113" width="5.5546875" style="431" customWidth="1"/>
    <col min="16114" max="16114" width="4.88671875" style="431" customWidth="1"/>
    <col min="16115" max="16115" width="2.6640625" style="431" customWidth="1"/>
    <col min="16116" max="16117" width="2.88671875" style="431" customWidth="1"/>
    <col min="16118" max="16118" width="2.6640625" style="431" customWidth="1"/>
    <col min="16119" max="16119" width="3.88671875" style="431" customWidth="1"/>
    <col min="16120" max="16120" width="25.6640625" style="431" customWidth="1"/>
    <col min="16121" max="16121" width="6.5546875" style="431" customWidth="1"/>
    <col min="16122" max="16122" width="7.33203125" style="431" customWidth="1"/>
    <col min="16123" max="16123" width="13.88671875" style="431" customWidth="1"/>
    <col min="16124" max="16124" width="16.5546875" style="431" customWidth="1"/>
    <col min="16125" max="16125" width="13.88671875" style="431" customWidth="1"/>
    <col min="16126" max="16126" width="11.109375" style="431" bestFit="1" customWidth="1"/>
    <col min="16127" max="16129" width="8.88671875" style="431"/>
    <col min="16130" max="16130" width="10.88671875" style="431" customWidth="1"/>
    <col min="16131" max="16384" width="8.88671875" style="431"/>
  </cols>
  <sheetData>
    <row r="1" spans="1:22" ht="12.75" customHeight="1" x14ac:dyDescent="0.3">
      <c r="A1" s="754" t="s">
        <v>15</v>
      </c>
      <c r="B1" s="754"/>
      <c r="C1" s="743" t="s">
        <v>680</v>
      </c>
      <c r="D1" s="430"/>
      <c r="E1" s="430"/>
      <c r="F1" s="430"/>
      <c r="G1" s="430"/>
      <c r="H1" s="430"/>
      <c r="I1" s="430"/>
      <c r="M1" s="432"/>
      <c r="N1" s="432"/>
      <c r="O1" s="432"/>
      <c r="P1" s="432"/>
      <c r="Q1" s="432"/>
      <c r="R1" s="432"/>
      <c r="S1" s="432"/>
      <c r="T1" s="432"/>
      <c r="U1" s="432"/>
    </row>
    <row r="2" spans="1:22" ht="12.75" customHeight="1" x14ac:dyDescent="0.3">
      <c r="A2" s="754" t="s">
        <v>16</v>
      </c>
      <c r="B2" s="754"/>
      <c r="C2" s="750"/>
      <c r="D2" s="430"/>
      <c r="E2" s="430"/>
      <c r="F2" s="430"/>
      <c r="G2" s="430"/>
      <c r="H2" s="430"/>
      <c r="I2" s="430"/>
      <c r="K2" s="433" t="s">
        <v>358</v>
      </c>
      <c r="L2" s="434">
        <v>1200000</v>
      </c>
      <c r="M2" s="435"/>
      <c r="N2" s="432"/>
      <c r="O2" s="432" t="s">
        <v>472</v>
      </c>
      <c r="P2" s="432"/>
      <c r="Q2" s="432"/>
      <c r="R2" s="432"/>
      <c r="S2" s="432"/>
      <c r="T2" s="432"/>
      <c r="U2" s="432"/>
    </row>
    <row r="3" spans="1:22" ht="12.75" customHeight="1" thickBot="1" x14ac:dyDescent="0.35">
      <c r="A3" s="754" t="s">
        <v>17</v>
      </c>
      <c r="B3" s="754"/>
      <c r="C3" s="17"/>
      <c r="D3" s="436"/>
      <c r="E3" s="437"/>
      <c r="F3" s="437"/>
      <c r="G3" s="437"/>
      <c r="H3" s="437"/>
      <c r="I3" s="437"/>
      <c r="K3" s="438" t="s">
        <v>357</v>
      </c>
      <c r="L3" s="439">
        <v>0</v>
      </c>
      <c r="M3" s="440">
        <f>E357</f>
        <v>1276735</v>
      </c>
      <c r="N3" s="432"/>
      <c r="O3" s="432" t="s">
        <v>473</v>
      </c>
      <c r="P3" s="432"/>
      <c r="Q3" s="432"/>
      <c r="R3" s="432"/>
      <c r="S3" s="432"/>
      <c r="T3" s="432"/>
      <c r="U3" s="432"/>
    </row>
    <row r="4" spans="1:22" ht="19.2" customHeight="1" thickBot="1" x14ac:dyDescent="0.35">
      <c r="A4" s="751" t="s">
        <v>18</v>
      </c>
      <c r="B4" s="752"/>
      <c r="C4" s="752"/>
      <c r="D4" s="752"/>
      <c r="E4" s="752"/>
      <c r="F4" s="752"/>
      <c r="G4" s="752"/>
      <c r="H4" s="752"/>
      <c r="I4" s="753"/>
      <c r="K4" s="438" t="s">
        <v>362</v>
      </c>
      <c r="L4" s="441">
        <v>0.01</v>
      </c>
      <c r="M4" s="442">
        <f>H357</f>
        <v>0</v>
      </c>
      <c r="N4" s="432"/>
      <c r="O4" s="432" t="s">
        <v>474</v>
      </c>
      <c r="P4" s="432"/>
      <c r="Q4" s="432"/>
      <c r="R4" s="432"/>
      <c r="S4" s="432"/>
      <c r="T4" s="432"/>
      <c r="U4" s="432"/>
    </row>
    <row r="5" spans="1:22" ht="12.75" customHeight="1" thickBot="1" x14ac:dyDescent="0.35">
      <c r="A5" s="755" t="s">
        <v>35</v>
      </c>
      <c r="B5" s="774" t="s">
        <v>53</v>
      </c>
      <c r="C5" s="774"/>
      <c r="D5" s="774"/>
      <c r="E5" s="774"/>
      <c r="F5" s="776" t="s">
        <v>13</v>
      </c>
      <c r="G5" s="774" t="s">
        <v>19</v>
      </c>
      <c r="H5" s="772" t="s">
        <v>52</v>
      </c>
      <c r="I5" s="770" t="s">
        <v>11</v>
      </c>
      <c r="J5" s="432"/>
      <c r="K5" s="438" t="s">
        <v>360</v>
      </c>
      <c r="L5" s="443">
        <v>0.3</v>
      </c>
      <c r="M5" s="442">
        <f>F357</f>
        <v>0</v>
      </c>
      <c r="N5" s="432"/>
      <c r="O5" s="432"/>
      <c r="P5" s="432"/>
      <c r="Q5" s="432"/>
      <c r="R5" s="432"/>
      <c r="S5" s="432"/>
      <c r="T5" s="432"/>
      <c r="U5" s="432"/>
      <c r="V5" s="432"/>
    </row>
    <row r="6" spans="1:22" ht="12.75" customHeight="1" thickTop="1" thickBot="1" x14ac:dyDescent="0.35">
      <c r="A6" s="756"/>
      <c r="B6" s="775"/>
      <c r="C6" s="775"/>
      <c r="D6" s="775"/>
      <c r="E6" s="775"/>
      <c r="F6" s="777"/>
      <c r="G6" s="775"/>
      <c r="H6" s="773"/>
      <c r="I6" s="771"/>
      <c r="J6" s="432"/>
      <c r="K6" s="444" t="s">
        <v>352</v>
      </c>
      <c r="L6" s="445">
        <f>ABC!G33</f>
        <v>1220214.2833333332</v>
      </c>
      <c r="M6" s="432"/>
      <c r="N6" s="432"/>
      <c r="O6" s="432"/>
      <c r="P6" s="432"/>
      <c r="Q6" s="432"/>
      <c r="R6" s="432"/>
      <c r="S6" s="432"/>
      <c r="T6" s="432"/>
      <c r="U6" s="432"/>
      <c r="V6" s="432"/>
    </row>
    <row r="7" spans="1:22" s="446" customFormat="1" ht="12.75" customHeight="1" x14ac:dyDescent="0.3">
      <c r="A7" s="692" t="s">
        <v>20</v>
      </c>
      <c r="B7" s="693" t="s">
        <v>83</v>
      </c>
      <c r="C7" s="694"/>
      <c r="D7" s="694"/>
      <c r="E7" s="695"/>
      <c r="F7" s="696">
        <f>F10+F11+F12</f>
        <v>58.68</v>
      </c>
      <c r="G7" s="697" t="s">
        <v>137</v>
      </c>
      <c r="H7" s="698"/>
      <c r="I7" s="699"/>
      <c r="J7" s="432"/>
      <c r="K7" s="438" t="s">
        <v>41</v>
      </c>
      <c r="L7" s="443">
        <f>5%+0.5%+0.5%</f>
        <v>0.06</v>
      </c>
      <c r="M7" s="432"/>
      <c r="N7" s="432"/>
      <c r="O7" s="432"/>
      <c r="P7" s="432"/>
      <c r="Q7" s="432"/>
      <c r="R7" s="432"/>
      <c r="S7" s="432"/>
      <c r="T7" s="432"/>
      <c r="U7" s="432"/>
      <c r="V7" s="432"/>
    </row>
    <row r="8" spans="1:22" s="446" customFormat="1" ht="15" customHeight="1" x14ac:dyDescent="0.3">
      <c r="A8" s="447"/>
      <c r="B8" s="204" t="s">
        <v>22</v>
      </c>
      <c r="C8" s="448"/>
      <c r="D8" s="448"/>
      <c r="E8" s="449"/>
      <c r="F8" s="450"/>
      <c r="G8" s="451"/>
      <c r="H8" s="452"/>
      <c r="I8" s="453"/>
      <c r="J8" s="432"/>
      <c r="K8" s="438" t="s">
        <v>363</v>
      </c>
      <c r="L8" s="443">
        <v>0.1</v>
      </c>
      <c r="M8" s="432"/>
      <c r="N8" s="432"/>
      <c r="O8" s="432"/>
      <c r="P8" s="432"/>
      <c r="Q8" s="432"/>
      <c r="R8" s="432"/>
      <c r="S8" s="432"/>
      <c r="T8" s="432"/>
      <c r="U8" s="432"/>
      <c r="V8" s="432"/>
    </row>
    <row r="9" spans="1:22" s="446" customFormat="1" ht="15" customHeight="1" x14ac:dyDescent="0.3">
      <c r="A9" s="447"/>
      <c r="B9" s="218"/>
      <c r="C9" s="454" t="s">
        <v>507</v>
      </c>
      <c r="D9" s="455"/>
      <c r="E9" s="449"/>
      <c r="F9" s="450"/>
      <c r="G9" s="451"/>
      <c r="H9" s="452"/>
      <c r="I9" s="456"/>
      <c r="J9" s="432"/>
      <c r="K9" s="457" t="s">
        <v>359</v>
      </c>
      <c r="L9" s="445">
        <f>ABC!N33</f>
        <v>266006.71376666671</v>
      </c>
      <c r="M9" s="432"/>
      <c r="N9" s="432"/>
      <c r="O9" s="432"/>
      <c r="P9" s="432"/>
      <c r="Q9" s="432"/>
      <c r="R9" s="432"/>
      <c r="S9" s="432"/>
      <c r="T9" s="432"/>
      <c r="U9" s="432"/>
      <c r="V9" s="432"/>
    </row>
    <row r="10" spans="1:22" s="446" customFormat="1" ht="15" customHeight="1" x14ac:dyDescent="0.3">
      <c r="A10" s="447"/>
      <c r="B10" s="218"/>
      <c r="C10" s="448" t="s">
        <v>508</v>
      </c>
      <c r="D10" s="448"/>
      <c r="E10" s="449"/>
      <c r="F10" s="450">
        <v>10.68</v>
      </c>
      <c r="G10" s="451"/>
      <c r="H10" s="458"/>
      <c r="I10" s="459"/>
      <c r="J10" s="432"/>
      <c r="K10" s="457" t="s">
        <v>51</v>
      </c>
      <c r="L10" s="445">
        <f>ABC!O33</f>
        <v>1486220.9970999998</v>
      </c>
      <c r="M10" s="432"/>
      <c r="N10" s="432"/>
      <c r="O10" s="432"/>
      <c r="P10" s="432"/>
      <c r="Q10" s="432"/>
      <c r="R10" s="432"/>
      <c r="S10" s="432"/>
      <c r="T10" s="432"/>
      <c r="U10" s="432"/>
      <c r="V10" s="432"/>
    </row>
    <row r="11" spans="1:22" s="446" customFormat="1" ht="16.2" customHeight="1" x14ac:dyDescent="0.3">
      <c r="A11" s="447"/>
      <c r="B11" s="218"/>
      <c r="C11" s="460" t="s">
        <v>509</v>
      </c>
      <c r="D11" s="460"/>
      <c r="E11" s="449"/>
      <c r="F11" s="450">
        <v>21</v>
      </c>
      <c r="G11" s="451"/>
      <c r="H11" s="458"/>
      <c r="I11" s="459"/>
      <c r="L11" s="461"/>
    </row>
    <row r="12" spans="1:22" s="446" customFormat="1" ht="12" customHeight="1" x14ac:dyDescent="0.3">
      <c r="A12" s="447"/>
      <c r="B12" s="218"/>
      <c r="C12" s="460" t="s">
        <v>762</v>
      </c>
      <c r="D12" s="448"/>
      <c r="E12" s="449"/>
      <c r="F12" s="450">
        <v>27</v>
      </c>
      <c r="G12" s="451"/>
      <c r="H12" s="458"/>
      <c r="I12" s="459"/>
      <c r="K12" s="462"/>
      <c r="L12" s="462"/>
    </row>
    <row r="13" spans="1:22" s="446" customFormat="1" ht="18" customHeight="1" x14ac:dyDescent="0.3">
      <c r="A13" s="447"/>
      <c r="B13" s="218" t="s">
        <v>365</v>
      </c>
      <c r="C13" s="448"/>
      <c r="D13" s="448"/>
      <c r="E13" s="449"/>
      <c r="F13" s="450"/>
      <c r="G13" s="451"/>
      <c r="H13" s="458"/>
      <c r="I13" s="459"/>
    </row>
    <row r="14" spans="1:22" s="432" customFormat="1" ht="12" customHeight="1" x14ac:dyDescent="0.3">
      <c r="A14" s="447"/>
      <c r="B14" s="218"/>
      <c r="C14" s="448" t="s">
        <v>538</v>
      </c>
      <c r="D14" s="448"/>
      <c r="E14" s="449"/>
      <c r="F14" s="463">
        <f>F7</f>
        <v>58.68</v>
      </c>
      <c r="G14" s="451" t="s">
        <v>4</v>
      </c>
      <c r="H14" s="458">
        <v>200</v>
      </c>
      <c r="I14" s="464">
        <f>H14*F14</f>
        <v>11736</v>
      </c>
    </row>
    <row r="15" spans="1:22" s="432" customFormat="1" ht="12" customHeight="1" x14ac:dyDescent="0.3">
      <c r="A15" s="447"/>
      <c r="B15" s="218" t="s">
        <v>25</v>
      </c>
      <c r="C15" s="448"/>
      <c r="D15" s="448"/>
      <c r="E15" s="449"/>
      <c r="F15" s="463"/>
      <c r="G15" s="451"/>
      <c r="H15" s="458"/>
      <c r="I15" s="459"/>
    </row>
    <row r="16" spans="1:22" s="432" customFormat="1" ht="12" customHeight="1" x14ac:dyDescent="0.3">
      <c r="A16" s="447"/>
      <c r="B16" s="218"/>
      <c r="C16" s="460" t="s">
        <v>107</v>
      </c>
      <c r="D16" s="460"/>
      <c r="E16" s="465"/>
      <c r="F16" s="463">
        <f>2*2*10/12*50</f>
        <v>166.66666666666669</v>
      </c>
      <c r="G16" s="451" t="s">
        <v>69</v>
      </c>
      <c r="H16" s="458">
        <v>21</v>
      </c>
      <c r="I16" s="464">
        <f>H16*F16</f>
        <v>3500.0000000000005</v>
      </c>
    </row>
    <row r="17" spans="1:13" s="432" customFormat="1" ht="12" customHeight="1" x14ac:dyDescent="0.3">
      <c r="A17" s="447"/>
      <c r="B17" s="218"/>
      <c r="C17" s="448" t="s">
        <v>84</v>
      </c>
      <c r="D17" s="448"/>
      <c r="E17" s="449"/>
      <c r="F17" s="463">
        <v>3</v>
      </c>
      <c r="G17" s="451" t="s">
        <v>0</v>
      </c>
      <c r="H17" s="458">
        <v>80</v>
      </c>
      <c r="I17" s="464">
        <f>H17*F17</f>
        <v>240</v>
      </c>
    </row>
    <row r="18" spans="1:13" s="432" customFormat="1" ht="12" customHeight="1" x14ac:dyDescent="0.3">
      <c r="A18" s="447"/>
      <c r="B18" s="218"/>
      <c r="C18" s="448" t="s">
        <v>85</v>
      </c>
      <c r="D18" s="448"/>
      <c r="E18" s="449"/>
      <c r="F18" s="463">
        <v>3</v>
      </c>
      <c r="G18" s="451" t="s">
        <v>81</v>
      </c>
      <c r="H18" s="458">
        <v>50</v>
      </c>
      <c r="I18" s="464">
        <f>H18*F18</f>
        <v>150</v>
      </c>
    </row>
    <row r="19" spans="1:13" s="432" customFormat="1" ht="12" customHeight="1" x14ac:dyDescent="0.3">
      <c r="A19" s="447"/>
      <c r="B19" s="218"/>
      <c r="C19" s="448"/>
      <c r="D19" s="448"/>
      <c r="E19" s="449"/>
      <c r="F19" s="450"/>
      <c r="G19" s="451"/>
      <c r="H19" s="458"/>
      <c r="I19" s="464"/>
    </row>
    <row r="20" spans="1:13" s="432" customFormat="1" ht="12" customHeight="1" x14ac:dyDescent="0.3">
      <c r="A20" s="447"/>
      <c r="B20" s="218"/>
      <c r="C20" s="448"/>
      <c r="D20" s="448"/>
      <c r="E20" s="449"/>
      <c r="F20" s="466"/>
      <c r="G20" s="467"/>
      <c r="H20" s="468" t="s">
        <v>26</v>
      </c>
      <c r="I20" s="464">
        <f>SUM(I16:I18)</f>
        <v>3890.0000000000005</v>
      </c>
    </row>
    <row r="21" spans="1:13" s="432" customFormat="1" ht="12" customHeight="1" x14ac:dyDescent="0.3">
      <c r="A21" s="447"/>
      <c r="B21" s="218"/>
      <c r="C21" s="448"/>
      <c r="D21" s="448"/>
      <c r="E21" s="449"/>
      <c r="F21" s="466"/>
      <c r="G21" s="467"/>
      <c r="H21" s="468" t="s">
        <v>9</v>
      </c>
      <c r="I21" s="464">
        <f>I14</f>
        <v>11736</v>
      </c>
    </row>
    <row r="22" spans="1:13" s="432" customFormat="1" ht="12" customHeight="1" x14ac:dyDescent="0.3">
      <c r="A22" s="469"/>
      <c r="B22" s="470"/>
      <c r="C22" s="471"/>
      <c r="D22" s="471"/>
      <c r="E22" s="472"/>
      <c r="F22" s="473"/>
      <c r="G22" s="474"/>
      <c r="H22" s="475" t="s">
        <v>23</v>
      </c>
      <c r="I22" s="476">
        <f>I20+I21</f>
        <v>15626</v>
      </c>
      <c r="K22" s="432" t="s">
        <v>34</v>
      </c>
    </row>
    <row r="23" spans="1:13" s="432" customFormat="1" ht="12" customHeight="1" x14ac:dyDescent="0.3">
      <c r="A23" s="700" t="s">
        <v>24</v>
      </c>
      <c r="B23" s="701" t="s">
        <v>435</v>
      </c>
      <c r="C23" s="702"/>
      <c r="D23" s="702"/>
      <c r="E23" s="703"/>
      <c r="F23" s="704">
        <v>14</v>
      </c>
      <c r="G23" s="705" t="s">
        <v>4</v>
      </c>
      <c r="H23" s="706"/>
      <c r="I23" s="707"/>
    </row>
    <row r="24" spans="1:13" s="432" customFormat="1" ht="12" customHeight="1" x14ac:dyDescent="0.3">
      <c r="A24" s="447"/>
      <c r="B24" s="218" t="s">
        <v>22</v>
      </c>
      <c r="C24" s="448"/>
      <c r="D24" s="448"/>
      <c r="E24" s="449"/>
      <c r="F24" s="485"/>
      <c r="G24" s="486"/>
      <c r="H24" s="487"/>
      <c r="I24" s="459"/>
    </row>
    <row r="25" spans="1:13" s="432" customFormat="1" ht="12" customHeight="1" x14ac:dyDescent="0.3">
      <c r="A25" s="447"/>
      <c r="B25" s="218"/>
      <c r="C25" s="448" t="s">
        <v>106</v>
      </c>
      <c r="D25" s="448"/>
      <c r="E25" s="449"/>
      <c r="F25" s="485"/>
      <c r="G25" s="486"/>
      <c r="H25" s="487"/>
      <c r="I25" s="459"/>
    </row>
    <row r="26" spans="1:13" s="432" customFormat="1" ht="12" customHeight="1" x14ac:dyDescent="0.3">
      <c r="A26" s="447"/>
      <c r="B26" s="218"/>
      <c r="C26" s="448" t="s">
        <v>111</v>
      </c>
      <c r="D26" s="448"/>
      <c r="E26" s="449"/>
      <c r="F26" s="485"/>
      <c r="G26" s="486"/>
      <c r="H26" s="487"/>
      <c r="I26" s="459"/>
    </row>
    <row r="27" spans="1:13" s="432" customFormat="1" ht="12" customHeight="1" x14ac:dyDescent="0.3">
      <c r="A27" s="447"/>
      <c r="B27" s="218"/>
      <c r="C27" s="448"/>
      <c r="D27" s="448"/>
      <c r="E27" s="449"/>
      <c r="F27" s="485"/>
      <c r="G27" s="486"/>
      <c r="H27" s="487"/>
      <c r="I27" s="459"/>
    </row>
    <row r="28" spans="1:13" s="432" customFormat="1" ht="12" customHeight="1" x14ac:dyDescent="0.3">
      <c r="A28" s="447"/>
      <c r="B28" s="218" t="s">
        <v>25</v>
      </c>
      <c r="C28" s="448"/>
      <c r="D28" s="448"/>
      <c r="E28" s="449"/>
      <c r="F28" s="485"/>
      <c r="G28" s="486"/>
      <c r="H28" s="487"/>
      <c r="I28" s="459"/>
    </row>
    <row r="29" spans="1:13" s="432" customFormat="1" ht="12" customHeight="1" x14ac:dyDescent="0.3">
      <c r="A29" s="447"/>
      <c r="B29" s="218"/>
      <c r="C29" s="448" t="s">
        <v>681</v>
      </c>
      <c r="D29" s="448"/>
      <c r="E29" s="449"/>
      <c r="F29" s="463">
        <f>F23</f>
        <v>14</v>
      </c>
      <c r="G29" s="451" t="s">
        <v>4</v>
      </c>
      <c r="H29" s="458">
        <v>250</v>
      </c>
      <c r="I29" s="464">
        <f>H29*F29</f>
        <v>3500</v>
      </c>
    </row>
    <row r="30" spans="1:13" s="432" customFormat="1" ht="12" customHeight="1" x14ac:dyDescent="0.3">
      <c r="A30" s="447"/>
      <c r="B30" s="218"/>
      <c r="C30" s="448"/>
      <c r="D30" s="448"/>
      <c r="E30" s="449"/>
      <c r="F30" s="450"/>
      <c r="G30" s="451"/>
      <c r="H30" s="458"/>
      <c r="I30" s="464"/>
    </row>
    <row r="31" spans="1:13" s="432" customFormat="1" ht="12" customHeight="1" x14ac:dyDescent="0.3">
      <c r="A31" s="489"/>
      <c r="B31" s="218"/>
      <c r="C31" s="448"/>
      <c r="D31" s="448"/>
      <c r="E31" s="449"/>
      <c r="F31" s="466"/>
      <c r="G31" s="467"/>
      <c r="H31" s="468" t="s">
        <v>26</v>
      </c>
      <c r="I31" s="464">
        <f>SUM(I29:I30)</f>
        <v>3500</v>
      </c>
      <c r="M31" s="432" t="s">
        <v>717</v>
      </c>
    </row>
    <row r="32" spans="1:13" s="432" customFormat="1" ht="12" customHeight="1" x14ac:dyDescent="0.3">
      <c r="A32" s="489"/>
      <c r="B32" s="218"/>
      <c r="C32" s="448"/>
      <c r="D32" s="448"/>
      <c r="E32" s="449"/>
      <c r="F32" s="466"/>
      <c r="G32" s="467"/>
      <c r="H32" s="468" t="str">
        <f>"Labor Cost "&amp;TEXT(L$5,"#%")&amp;" of MC"</f>
        <v>Labor Cost 30% of MC</v>
      </c>
      <c r="I32" s="464">
        <f>L$5*I31</f>
        <v>1050</v>
      </c>
    </row>
    <row r="33" spans="1:9" s="432" customFormat="1" ht="12" customHeight="1" x14ac:dyDescent="0.3">
      <c r="A33" s="469"/>
      <c r="B33" s="470"/>
      <c r="C33" s="471"/>
      <c r="D33" s="471"/>
      <c r="E33" s="472"/>
      <c r="F33" s="473"/>
      <c r="G33" s="474"/>
      <c r="H33" s="475" t="s">
        <v>23</v>
      </c>
      <c r="I33" s="476">
        <f>I31+I32</f>
        <v>4550</v>
      </c>
    </row>
    <row r="34" spans="1:9" s="432" customFormat="1" ht="12" customHeight="1" x14ac:dyDescent="0.3">
      <c r="A34" s="700" t="s">
        <v>27</v>
      </c>
      <c r="B34" s="701" t="s">
        <v>370</v>
      </c>
      <c r="C34" s="702"/>
      <c r="D34" s="702"/>
      <c r="E34" s="703"/>
      <c r="F34" s="704">
        <v>64.930000000000007</v>
      </c>
      <c r="G34" s="711" t="s">
        <v>112</v>
      </c>
      <c r="H34" s="706"/>
      <c r="I34" s="707"/>
    </row>
    <row r="35" spans="1:9" s="432" customFormat="1" ht="12" customHeight="1" x14ac:dyDescent="0.3">
      <c r="A35" s="447"/>
      <c r="B35" s="204" t="s">
        <v>22</v>
      </c>
      <c r="C35" s="448"/>
      <c r="D35" s="448"/>
      <c r="E35" s="449"/>
      <c r="F35" s="485"/>
      <c r="G35" s="451"/>
      <c r="H35" s="458"/>
      <c r="I35" s="464"/>
    </row>
    <row r="36" spans="1:9" s="432" customFormat="1" ht="12" customHeight="1" x14ac:dyDescent="0.3">
      <c r="A36" s="447"/>
      <c r="B36" s="204" t="s">
        <v>177</v>
      </c>
      <c r="C36" s="448"/>
      <c r="D36" s="448"/>
      <c r="E36" s="449"/>
      <c r="F36" s="485"/>
      <c r="G36" s="451"/>
      <c r="H36" s="458"/>
      <c r="I36" s="464"/>
    </row>
    <row r="37" spans="1:9" s="432" customFormat="1" ht="12" customHeight="1" x14ac:dyDescent="0.3">
      <c r="A37" s="447"/>
      <c r="B37" s="204" t="s">
        <v>178</v>
      </c>
      <c r="C37" s="448"/>
      <c r="D37" s="448"/>
      <c r="E37" s="449"/>
      <c r="F37" s="485"/>
      <c r="G37" s="451"/>
      <c r="H37" s="458"/>
      <c r="I37" s="464"/>
    </row>
    <row r="38" spans="1:9" s="432" customFormat="1" ht="12" customHeight="1" x14ac:dyDescent="0.3">
      <c r="A38" s="447"/>
      <c r="B38" s="498" t="s">
        <v>171</v>
      </c>
      <c r="C38" s="499" t="s">
        <v>555</v>
      </c>
      <c r="D38" s="448"/>
      <c r="E38" s="500"/>
      <c r="F38" s="485"/>
      <c r="G38" s="451"/>
      <c r="H38" s="458"/>
      <c r="I38" s="464"/>
    </row>
    <row r="39" spans="1:9" s="432" customFormat="1" ht="12" customHeight="1" x14ac:dyDescent="0.3">
      <c r="A39" s="447"/>
      <c r="B39" s="498" t="s">
        <v>172</v>
      </c>
      <c r="C39" s="499" t="s">
        <v>556</v>
      </c>
      <c r="D39" s="448"/>
      <c r="E39" s="500"/>
      <c r="F39" s="485"/>
      <c r="G39" s="451"/>
      <c r="H39" s="458"/>
      <c r="I39" s="464"/>
    </row>
    <row r="40" spans="1:9" s="432" customFormat="1" ht="12" customHeight="1" x14ac:dyDescent="0.3">
      <c r="A40" s="447"/>
      <c r="B40" s="498" t="s">
        <v>173</v>
      </c>
      <c r="C40" s="501" t="s">
        <v>721</v>
      </c>
      <c r="D40" s="448"/>
      <c r="E40" s="500"/>
      <c r="F40" s="485"/>
      <c r="G40" s="451"/>
      <c r="H40" s="458"/>
      <c r="I40" s="464"/>
    </row>
    <row r="41" spans="1:9" s="432" customFormat="1" ht="12" customHeight="1" x14ac:dyDescent="0.3">
      <c r="A41" s="447"/>
      <c r="B41" s="498"/>
      <c r="C41" s="501" t="s">
        <v>531</v>
      </c>
      <c r="D41" s="448"/>
      <c r="E41" s="500"/>
      <c r="F41" s="485"/>
      <c r="G41" s="451"/>
      <c r="H41" s="458"/>
      <c r="I41" s="464"/>
    </row>
    <row r="42" spans="1:9" s="432" customFormat="1" ht="12" customHeight="1" x14ac:dyDescent="0.3">
      <c r="A42" s="447"/>
      <c r="B42" s="498" t="s">
        <v>174</v>
      </c>
      <c r="C42" s="499" t="s">
        <v>557</v>
      </c>
      <c r="D42" s="448"/>
      <c r="E42" s="500"/>
      <c r="F42" s="485"/>
      <c r="G42" s="451"/>
      <c r="H42" s="458"/>
      <c r="I42" s="464"/>
    </row>
    <row r="43" spans="1:9" s="432" customFormat="1" ht="12" customHeight="1" x14ac:dyDescent="0.3">
      <c r="A43" s="447"/>
      <c r="B43" s="503" t="s">
        <v>175</v>
      </c>
      <c r="C43" s="501" t="s">
        <v>328</v>
      </c>
      <c r="D43" s="448"/>
      <c r="E43" s="500"/>
      <c r="F43" s="485"/>
      <c r="G43" s="451"/>
      <c r="H43" s="458"/>
      <c r="I43" s="464"/>
    </row>
    <row r="44" spans="1:9" s="432" customFormat="1" ht="12" customHeight="1" x14ac:dyDescent="0.3">
      <c r="A44" s="447"/>
      <c r="B44" s="503" t="s">
        <v>558</v>
      </c>
      <c r="C44" s="501" t="s">
        <v>559</v>
      </c>
      <c r="D44" s="448"/>
      <c r="E44" s="500"/>
      <c r="F44" s="485"/>
      <c r="G44" s="451"/>
      <c r="H44" s="458"/>
      <c r="I44" s="464"/>
    </row>
    <row r="45" spans="1:9" s="432" customFormat="1" ht="12" customHeight="1" x14ac:dyDescent="0.3">
      <c r="A45" s="447"/>
      <c r="B45" s="502" t="s">
        <v>79</v>
      </c>
      <c r="C45" s="448" t="s">
        <v>108</v>
      </c>
      <c r="D45" s="448"/>
      <c r="E45" s="449"/>
      <c r="F45" s="485"/>
      <c r="G45" s="451"/>
      <c r="H45" s="458"/>
      <c r="I45" s="464"/>
    </row>
    <row r="46" spans="1:9" s="432" customFormat="1" ht="12" customHeight="1" x14ac:dyDescent="0.3">
      <c r="A46" s="447"/>
      <c r="B46" s="204"/>
      <c r="C46" s="448" t="s">
        <v>138</v>
      </c>
      <c r="D46" s="448"/>
      <c r="E46" s="449"/>
      <c r="F46" s="485"/>
      <c r="G46" s="451"/>
      <c r="H46" s="458"/>
      <c r="I46" s="464"/>
    </row>
    <row r="47" spans="1:9" s="432" customFormat="1" ht="12" customHeight="1" x14ac:dyDescent="0.3">
      <c r="A47" s="447"/>
      <c r="B47" s="204"/>
      <c r="C47" s="448" t="s">
        <v>469</v>
      </c>
      <c r="D47" s="448"/>
      <c r="E47" s="449"/>
      <c r="F47" s="485"/>
      <c r="G47" s="451"/>
      <c r="H47" s="458"/>
      <c r="I47" s="464"/>
    </row>
    <row r="48" spans="1:9" s="432" customFormat="1" ht="12" customHeight="1" x14ac:dyDescent="0.3">
      <c r="A48" s="447"/>
      <c r="B48" s="204" t="s">
        <v>25</v>
      </c>
      <c r="C48" s="460"/>
      <c r="D48" s="448"/>
      <c r="E48" s="500"/>
      <c r="F48" s="485"/>
      <c r="G48" s="451"/>
      <c r="H48" s="458"/>
      <c r="I48" s="464"/>
    </row>
    <row r="49" spans="1:15" s="432" customFormat="1" ht="12" customHeight="1" x14ac:dyDescent="0.3">
      <c r="A49" s="447"/>
      <c r="B49" s="204"/>
      <c r="C49" s="448" t="s">
        <v>3</v>
      </c>
      <c r="D49" s="448"/>
      <c r="E49" s="449"/>
      <c r="F49" s="463">
        <f>ROUNDUP(F34*9,0)</f>
        <v>585</v>
      </c>
      <c r="G49" s="451" t="s">
        <v>2</v>
      </c>
      <c r="H49" s="458">
        <v>250</v>
      </c>
      <c r="I49" s="464">
        <f t="shared" ref="I49:I54" si="0">H49*F49</f>
        <v>146250</v>
      </c>
    </row>
    <row r="50" spans="1:15" s="432" customFormat="1" ht="12" customHeight="1" x14ac:dyDescent="0.3">
      <c r="A50" s="447"/>
      <c r="B50" s="204"/>
      <c r="C50" s="448" t="s">
        <v>73</v>
      </c>
      <c r="D50" s="448"/>
      <c r="E50" s="449"/>
      <c r="F50" s="463">
        <f>ROUNDUP(F34*0.5,0)</f>
        <v>33</v>
      </c>
      <c r="G50" s="451" t="s">
        <v>4</v>
      </c>
      <c r="H50" s="458">
        <v>950</v>
      </c>
      <c r="I50" s="464">
        <f t="shared" si="0"/>
        <v>31350</v>
      </c>
    </row>
    <row r="51" spans="1:15" s="432" customFormat="1" ht="12" customHeight="1" x14ac:dyDescent="0.3">
      <c r="A51" s="447"/>
      <c r="B51" s="204"/>
      <c r="C51" s="448" t="s">
        <v>67</v>
      </c>
      <c r="D51" s="448"/>
      <c r="E51" s="449"/>
      <c r="F51" s="463">
        <f>ROUNDDOWN(F34*1,0)</f>
        <v>64</v>
      </c>
      <c r="G51" s="451" t="s">
        <v>4</v>
      </c>
      <c r="H51" s="458">
        <v>950</v>
      </c>
      <c r="I51" s="464">
        <f t="shared" si="0"/>
        <v>60800</v>
      </c>
    </row>
    <row r="52" spans="1:15" s="432" customFormat="1" ht="12" customHeight="1" x14ac:dyDescent="0.3">
      <c r="A52" s="447"/>
      <c r="B52" s="204"/>
      <c r="C52" s="448" t="s">
        <v>70</v>
      </c>
      <c r="D52" s="448"/>
      <c r="E52" s="449"/>
      <c r="F52" s="463">
        <v>15</v>
      </c>
      <c r="G52" s="451" t="s">
        <v>0</v>
      </c>
      <c r="H52" s="458">
        <f t="shared" ref="H52" si="1">CEILING(L64,0.5)</f>
        <v>67</v>
      </c>
      <c r="I52" s="464">
        <f t="shared" si="0"/>
        <v>1005</v>
      </c>
    </row>
    <row r="53" spans="1:15" s="432" customFormat="1" ht="12" customHeight="1" x14ac:dyDescent="0.3">
      <c r="A53" s="447"/>
      <c r="B53" s="218"/>
      <c r="C53" s="448" t="s">
        <v>763</v>
      </c>
      <c r="D53" s="448"/>
      <c r="E53" s="449"/>
      <c r="F53" s="463">
        <v>148</v>
      </c>
      <c r="G53" s="451" t="s">
        <v>179</v>
      </c>
      <c r="H53" s="458">
        <v>95</v>
      </c>
      <c r="I53" s="464">
        <f t="shared" ref="I53" si="2">H53*F53</f>
        <v>14060</v>
      </c>
    </row>
    <row r="54" spans="1:15" s="432" customFormat="1" ht="12" customHeight="1" x14ac:dyDescent="0.3">
      <c r="A54" s="447"/>
      <c r="B54" s="218"/>
      <c r="C54" s="448" t="s">
        <v>189</v>
      </c>
      <c r="D54" s="448"/>
      <c r="E54" s="449"/>
      <c r="F54" s="463">
        <v>194</v>
      </c>
      <c r="G54" s="451" t="s">
        <v>179</v>
      </c>
      <c r="H54" s="458">
        <f>CEILING(L65,0.5)</f>
        <v>154.5</v>
      </c>
      <c r="I54" s="464">
        <f t="shared" si="0"/>
        <v>29973</v>
      </c>
      <c r="K54" s="432">
        <f>6.8+8+6.8+8+6.8</f>
        <v>36.4</v>
      </c>
    </row>
    <row r="55" spans="1:15" s="432" customFormat="1" ht="12" customHeight="1" x14ac:dyDescent="0.3">
      <c r="A55" s="447"/>
      <c r="B55" s="218"/>
      <c r="C55" s="448" t="s">
        <v>188</v>
      </c>
      <c r="D55" s="448"/>
      <c r="E55" s="449"/>
      <c r="F55" s="463">
        <v>164</v>
      </c>
      <c r="G55" s="451" t="s">
        <v>179</v>
      </c>
      <c r="H55" s="458">
        <f>CEILING(L66,0.5)</f>
        <v>223.5</v>
      </c>
      <c r="I55" s="464">
        <f>H55*F55</f>
        <v>36654</v>
      </c>
      <c r="O55" s="504"/>
    </row>
    <row r="56" spans="1:15" s="432" customFormat="1" ht="12" customHeight="1" x14ac:dyDescent="0.3">
      <c r="A56" s="447"/>
      <c r="B56" s="218"/>
      <c r="C56" s="448" t="s">
        <v>74</v>
      </c>
      <c r="D56" s="448"/>
      <c r="E56" s="500"/>
      <c r="F56" s="463">
        <v>18</v>
      </c>
      <c r="G56" s="451" t="s">
        <v>1</v>
      </c>
      <c r="H56" s="458">
        <f>CEILING(L68,0.5)</f>
        <v>55</v>
      </c>
      <c r="I56" s="464">
        <f>H56*F56</f>
        <v>990</v>
      </c>
      <c r="O56" s="504"/>
    </row>
    <row r="57" spans="1:15" s="432" customFormat="1" ht="12" customHeight="1" x14ac:dyDescent="0.3">
      <c r="A57" s="447"/>
      <c r="B57" s="218"/>
      <c r="C57" s="448"/>
      <c r="D57" s="448"/>
      <c r="E57" s="500"/>
      <c r="F57" s="450"/>
      <c r="G57" s="451"/>
      <c r="H57" s="458"/>
      <c r="I57" s="464"/>
      <c r="O57" s="504"/>
    </row>
    <row r="58" spans="1:15" s="432" customFormat="1" ht="12" customHeight="1" x14ac:dyDescent="0.3">
      <c r="A58" s="447"/>
      <c r="B58" s="218"/>
      <c r="C58" s="448"/>
      <c r="D58" s="448"/>
      <c r="E58" s="449"/>
      <c r="F58" s="466"/>
      <c r="G58" s="467"/>
      <c r="H58" s="468" t="s">
        <v>26</v>
      </c>
      <c r="I58" s="464">
        <f>I49+I50+I51+I52+I53+I54+I55+I56</f>
        <v>321082</v>
      </c>
      <c r="O58" s="504"/>
    </row>
    <row r="59" spans="1:15" s="432" customFormat="1" ht="12" customHeight="1" x14ac:dyDescent="0.3">
      <c r="A59" s="447"/>
      <c r="B59" s="218"/>
      <c r="C59" s="448"/>
      <c r="D59" s="448"/>
      <c r="E59" s="449"/>
      <c r="F59" s="466"/>
      <c r="G59" s="467"/>
      <c r="H59" s="468" t="str">
        <f>"Labor Cost "&amp;TEXT(L$5,"#%")&amp;" of MC"</f>
        <v>Labor Cost 30% of MC</v>
      </c>
      <c r="I59" s="464">
        <f>L$5*I58</f>
        <v>96324.599999999991</v>
      </c>
      <c r="O59" s="504"/>
    </row>
    <row r="60" spans="1:15" s="432" customFormat="1" ht="12" customHeight="1" x14ac:dyDescent="0.3">
      <c r="A60" s="469"/>
      <c r="B60" s="470"/>
      <c r="C60" s="471"/>
      <c r="D60" s="471"/>
      <c r="E60" s="472"/>
      <c r="F60" s="473"/>
      <c r="G60" s="474"/>
      <c r="H60" s="475" t="s">
        <v>23</v>
      </c>
      <c r="I60" s="476">
        <f>I58+I59</f>
        <v>417406.6</v>
      </c>
      <c r="K60" s="505"/>
      <c r="L60" s="505"/>
    </row>
    <row r="61" spans="1:15" s="432" customFormat="1" ht="12" customHeight="1" x14ac:dyDescent="0.3">
      <c r="A61" s="700" t="s">
        <v>28</v>
      </c>
      <c r="B61" s="701" t="s">
        <v>368</v>
      </c>
      <c r="C61" s="702"/>
      <c r="D61" s="702"/>
      <c r="E61" s="703"/>
      <c r="F61" s="704">
        <v>539.91</v>
      </c>
      <c r="G61" s="711" t="s">
        <v>76</v>
      </c>
      <c r="H61" s="706"/>
      <c r="I61" s="707"/>
      <c r="K61" s="506">
        <v>255</v>
      </c>
      <c r="L61" s="506">
        <f>K61*(1+L$3)+10</f>
        <v>265</v>
      </c>
      <c r="N61" s="432" t="s">
        <v>3</v>
      </c>
      <c r="O61" s="432">
        <v>128</v>
      </c>
    </row>
    <row r="62" spans="1:15" s="432" customFormat="1" ht="12" customHeight="1" x14ac:dyDescent="0.3">
      <c r="A62" s="447"/>
      <c r="B62" s="204" t="s">
        <v>22</v>
      </c>
      <c r="C62" s="448"/>
      <c r="D62" s="448"/>
      <c r="E62" s="449"/>
      <c r="F62" s="485"/>
      <c r="G62" s="451"/>
      <c r="H62" s="458"/>
      <c r="I62" s="464"/>
      <c r="K62" s="506">
        <v>900</v>
      </c>
      <c r="L62" s="506">
        <f t="shared" ref="L62:L68" si="3">K62*(1+L$3)</f>
        <v>900</v>
      </c>
      <c r="N62" s="432" t="s">
        <v>73</v>
      </c>
      <c r="O62" s="432">
        <v>8.5</v>
      </c>
    </row>
    <row r="63" spans="1:15" s="432" customFormat="1" ht="12" customHeight="1" x14ac:dyDescent="0.3">
      <c r="A63" s="447"/>
      <c r="B63" s="218" t="s">
        <v>475</v>
      </c>
      <c r="C63" s="460"/>
      <c r="D63" s="460"/>
      <c r="E63" s="449"/>
      <c r="F63" s="450"/>
      <c r="G63" s="451"/>
      <c r="H63" s="458"/>
      <c r="I63" s="459"/>
      <c r="K63" s="506">
        <v>900</v>
      </c>
      <c r="L63" s="506">
        <f t="shared" si="3"/>
        <v>900</v>
      </c>
      <c r="N63" s="432" t="s">
        <v>67</v>
      </c>
      <c r="O63" s="432">
        <v>12</v>
      </c>
    </row>
    <row r="64" spans="1:15" s="432" customFormat="1" ht="12" customHeight="1" x14ac:dyDescent="0.3">
      <c r="A64" s="447"/>
      <c r="B64" s="498" t="s">
        <v>171</v>
      </c>
      <c r="C64" s="460" t="s">
        <v>560</v>
      </c>
      <c r="D64" s="460"/>
      <c r="E64" s="449"/>
      <c r="F64" s="485"/>
      <c r="G64" s="451"/>
      <c r="H64" s="458"/>
      <c r="I64" s="459"/>
      <c r="K64" s="506">
        <v>58</v>
      </c>
      <c r="L64" s="506">
        <f>K64*(1+L$3)+8.7</f>
        <v>66.7</v>
      </c>
      <c r="N64" s="432" t="s">
        <v>70</v>
      </c>
      <c r="O64" s="432">
        <v>16</v>
      </c>
    </row>
    <row r="65" spans="1:15" s="432" customFormat="1" ht="12" customHeight="1" x14ac:dyDescent="0.3">
      <c r="A65" s="447"/>
      <c r="B65" s="498" t="s">
        <v>172</v>
      </c>
      <c r="C65" s="460" t="s">
        <v>561</v>
      </c>
      <c r="D65" s="460"/>
      <c r="E65" s="449"/>
      <c r="F65" s="485"/>
      <c r="G65" s="451"/>
      <c r="H65" s="458"/>
      <c r="I65" s="459"/>
      <c r="K65" s="506">
        <v>134</v>
      </c>
      <c r="L65" s="506">
        <f>K65*(1+L$3)+20.1</f>
        <v>154.1</v>
      </c>
      <c r="N65" s="432" t="s">
        <v>332</v>
      </c>
      <c r="O65" s="432">
        <v>113</v>
      </c>
    </row>
    <row r="66" spans="1:15" s="432" customFormat="1" ht="12" customHeight="1" x14ac:dyDescent="0.3">
      <c r="A66" s="447"/>
      <c r="B66" s="218" t="s">
        <v>722</v>
      </c>
      <c r="C66" s="460"/>
      <c r="D66" s="460"/>
      <c r="E66" s="449"/>
      <c r="F66" s="450"/>
      <c r="G66" s="451"/>
      <c r="H66" s="458"/>
      <c r="I66" s="459"/>
      <c r="K66" s="506">
        <v>194</v>
      </c>
      <c r="L66" s="506">
        <f>K66*(1+L$3)+29.1</f>
        <v>223.1</v>
      </c>
      <c r="N66" s="432" t="s">
        <v>333</v>
      </c>
      <c r="O66" s="432">
        <v>23</v>
      </c>
    </row>
    <row r="67" spans="1:15" s="432" customFormat="1" ht="12" customHeight="1" x14ac:dyDescent="0.3">
      <c r="A67" s="510"/>
      <c r="B67" s="511" t="s">
        <v>723</v>
      </c>
      <c r="C67" s="512"/>
      <c r="D67" s="512"/>
      <c r="E67" s="513"/>
      <c r="F67" s="514"/>
      <c r="G67" s="515"/>
      <c r="H67" s="516"/>
      <c r="I67" s="517"/>
      <c r="K67" s="506">
        <v>344</v>
      </c>
      <c r="L67" s="506">
        <f>K67*(1+L$3)+51.6</f>
        <v>395.6</v>
      </c>
      <c r="N67" s="432" t="s">
        <v>334</v>
      </c>
      <c r="O67" s="432">
        <v>52</v>
      </c>
    </row>
    <row r="68" spans="1:15" s="432" customFormat="1" ht="12" customHeight="1" x14ac:dyDescent="0.3">
      <c r="A68" s="447"/>
      <c r="B68" s="488" t="s">
        <v>79</v>
      </c>
      <c r="C68" s="518" t="s">
        <v>375</v>
      </c>
      <c r="D68" s="460"/>
      <c r="E68" s="449"/>
      <c r="F68" s="450"/>
      <c r="G68" s="451"/>
      <c r="H68" s="458"/>
      <c r="I68" s="459"/>
      <c r="K68" s="506">
        <v>55</v>
      </c>
      <c r="L68" s="506">
        <f t="shared" si="3"/>
        <v>55</v>
      </c>
      <c r="N68" s="432" t="s">
        <v>74</v>
      </c>
      <c r="O68" s="432">
        <v>3</v>
      </c>
    </row>
    <row r="69" spans="1:15" s="432" customFormat="1" ht="12" customHeight="1" x14ac:dyDescent="0.3">
      <c r="A69" s="447"/>
      <c r="B69" s="218"/>
      <c r="C69" s="518"/>
      <c r="D69" s="460"/>
      <c r="E69" s="449"/>
      <c r="F69" s="450"/>
      <c r="G69" s="451"/>
      <c r="H69" s="458"/>
      <c r="I69" s="459"/>
      <c r="K69" s="508"/>
      <c r="L69" s="508" t="s">
        <v>671</v>
      </c>
    </row>
    <row r="70" spans="1:15" s="432" customFormat="1" ht="12" customHeight="1" x14ac:dyDescent="0.3">
      <c r="A70" s="447"/>
      <c r="B70" s="204" t="s">
        <v>25</v>
      </c>
      <c r="C70" s="460"/>
      <c r="D70" s="460"/>
      <c r="E70" s="449"/>
      <c r="F70" s="450"/>
      <c r="G70" s="451"/>
      <c r="H70" s="458"/>
      <c r="I70" s="459"/>
      <c r="J70" s="509"/>
    </row>
    <row r="71" spans="1:15" s="432" customFormat="1" ht="12" customHeight="1" x14ac:dyDescent="0.3">
      <c r="A71" s="447"/>
      <c r="B71" s="204"/>
      <c r="C71" s="448" t="s">
        <v>3</v>
      </c>
      <c r="D71" s="460"/>
      <c r="E71" s="449"/>
      <c r="F71" s="463">
        <f>'Masonry Works.'!F33</f>
        <v>386</v>
      </c>
      <c r="G71" s="451" t="s">
        <v>2</v>
      </c>
      <c r="H71" s="458">
        <v>250</v>
      </c>
      <c r="I71" s="464">
        <f t="shared" ref="I71:I78" si="4">H71*F71</f>
        <v>96500</v>
      </c>
      <c r="J71" s="509"/>
    </row>
    <row r="72" spans="1:15" s="432" customFormat="1" ht="12" customHeight="1" x14ac:dyDescent="0.3">
      <c r="A72" s="447"/>
      <c r="B72" s="204"/>
      <c r="C72" s="448" t="s">
        <v>755</v>
      </c>
      <c r="D72" s="460"/>
      <c r="E72" s="449"/>
      <c r="F72" s="463">
        <v>24</v>
      </c>
      <c r="G72" s="451" t="s">
        <v>4</v>
      </c>
      <c r="H72" s="458">
        <f t="shared" ref="H72" si="5">CEILING(L85,0.5)</f>
        <v>900</v>
      </c>
      <c r="I72" s="464">
        <f t="shared" si="4"/>
        <v>21600</v>
      </c>
      <c r="J72" s="509"/>
    </row>
    <row r="73" spans="1:15" s="432" customFormat="1" ht="12" customHeight="1" x14ac:dyDescent="0.3">
      <c r="A73" s="447"/>
      <c r="B73" s="204"/>
      <c r="C73" s="448" t="s">
        <v>756</v>
      </c>
      <c r="D73" s="460"/>
      <c r="E73" s="449"/>
      <c r="F73" s="463">
        <v>8</v>
      </c>
      <c r="G73" s="451" t="s">
        <v>4</v>
      </c>
      <c r="H73" s="458">
        <v>1100</v>
      </c>
      <c r="I73" s="464">
        <f t="shared" si="4"/>
        <v>8800</v>
      </c>
      <c r="J73" s="509"/>
    </row>
    <row r="74" spans="1:15" s="432" customFormat="1" ht="12" customHeight="1" x14ac:dyDescent="0.3">
      <c r="A74" s="447"/>
      <c r="B74" s="218"/>
      <c r="C74" s="448" t="s">
        <v>70</v>
      </c>
      <c r="D74" s="460"/>
      <c r="E74" s="449"/>
      <c r="F74" s="463">
        <v>15</v>
      </c>
      <c r="G74" s="451" t="s">
        <v>0</v>
      </c>
      <c r="H74" s="458">
        <f>CEILING(L88,0.5)</f>
        <v>67</v>
      </c>
      <c r="I74" s="464">
        <f t="shared" si="4"/>
        <v>1005</v>
      </c>
      <c r="J74" s="509"/>
    </row>
    <row r="75" spans="1:15" s="432" customFormat="1" ht="12" customHeight="1" x14ac:dyDescent="0.3">
      <c r="A75" s="447"/>
      <c r="B75" s="218"/>
      <c r="C75" s="448" t="s">
        <v>189</v>
      </c>
      <c r="D75" s="460"/>
      <c r="E75" s="449"/>
      <c r="F75" s="463">
        <f>'Masonry Works.'!F37</f>
        <v>338</v>
      </c>
      <c r="G75" s="451" t="s">
        <v>179</v>
      </c>
      <c r="H75" s="458">
        <f>CEILING(L89,0.5)</f>
        <v>154.5</v>
      </c>
      <c r="I75" s="464">
        <f t="shared" si="4"/>
        <v>52221</v>
      </c>
      <c r="J75" s="509"/>
    </row>
    <row r="76" spans="1:15" s="432" customFormat="1" ht="12" customHeight="1" x14ac:dyDescent="0.3">
      <c r="A76" s="447"/>
      <c r="B76" s="218"/>
      <c r="C76" s="448" t="s">
        <v>74</v>
      </c>
      <c r="D76" s="460"/>
      <c r="E76" s="449"/>
      <c r="F76" s="463">
        <v>10</v>
      </c>
      <c r="G76" s="451" t="s">
        <v>1</v>
      </c>
      <c r="H76" s="458">
        <f>CEILING(L91,0.5)</f>
        <v>55</v>
      </c>
      <c r="I76" s="464">
        <f t="shared" si="4"/>
        <v>550</v>
      </c>
      <c r="J76" s="509"/>
    </row>
    <row r="77" spans="1:15" s="432" customFormat="1" ht="12" customHeight="1" x14ac:dyDescent="0.3">
      <c r="A77" s="447"/>
      <c r="B77" s="218"/>
      <c r="C77" s="448" t="s">
        <v>148</v>
      </c>
      <c r="D77" s="460"/>
      <c r="E77" s="449"/>
      <c r="F77" s="463">
        <f>ROUNDUP('Masonry Works.'!E42,0)</f>
        <v>6749</v>
      </c>
      <c r="G77" s="451" t="s">
        <v>1</v>
      </c>
      <c r="H77" s="458">
        <v>10</v>
      </c>
      <c r="I77" s="464">
        <f t="shared" si="4"/>
        <v>67490</v>
      </c>
      <c r="K77" s="432">
        <f>6.8*2+8*2+3.7+2.9+2.6+1.65+1.9+3.7+3.2</f>
        <v>49.250000000000007</v>
      </c>
      <c r="L77" s="432">
        <f>6.8*2+8*2+2.45+2.9+1.65</f>
        <v>36.6</v>
      </c>
      <c r="N77" s="432" t="s">
        <v>374</v>
      </c>
    </row>
    <row r="78" spans="1:15" s="432" customFormat="1" ht="12" customHeight="1" x14ac:dyDescent="0.3">
      <c r="A78" s="447"/>
      <c r="B78" s="218"/>
      <c r="C78" s="448" t="s">
        <v>562</v>
      </c>
      <c r="D78" s="460"/>
      <c r="E78" s="449"/>
      <c r="F78" s="463">
        <v>334</v>
      </c>
      <c r="G78" s="451" t="s">
        <v>1</v>
      </c>
      <c r="H78" s="458">
        <v>18</v>
      </c>
      <c r="I78" s="464">
        <f t="shared" si="4"/>
        <v>6012</v>
      </c>
      <c r="K78" s="432">
        <f>(2.2+2)+(1.6+4)+(1.1+1.8)</f>
        <v>12.700000000000001</v>
      </c>
      <c r="N78" s="432" t="s">
        <v>372</v>
      </c>
    </row>
    <row r="79" spans="1:15" s="432" customFormat="1" ht="12" customHeight="1" x14ac:dyDescent="0.3">
      <c r="A79" s="447"/>
      <c r="B79" s="218"/>
      <c r="C79" s="448"/>
      <c r="D79" s="448"/>
      <c r="E79" s="500"/>
      <c r="F79" s="450"/>
      <c r="G79" s="451"/>
      <c r="H79" s="458"/>
      <c r="I79" s="464"/>
      <c r="J79" s="509"/>
      <c r="N79" s="432" t="s">
        <v>373</v>
      </c>
    </row>
    <row r="80" spans="1:15" s="432" customFormat="1" ht="12" customHeight="1" x14ac:dyDescent="0.3">
      <c r="A80" s="447"/>
      <c r="B80" s="218"/>
      <c r="C80" s="448"/>
      <c r="D80" s="448"/>
      <c r="E80" s="449"/>
      <c r="F80" s="466"/>
      <c r="G80" s="467"/>
      <c r="H80" s="468" t="s">
        <v>26</v>
      </c>
      <c r="I80" s="464">
        <f>SUM(I71:I79)</f>
        <v>254178</v>
      </c>
      <c r="J80" s="509"/>
    </row>
    <row r="81" spans="1:15" s="432" customFormat="1" ht="12" customHeight="1" x14ac:dyDescent="0.3">
      <c r="A81" s="447"/>
      <c r="B81" s="218"/>
      <c r="C81" s="448"/>
      <c r="D81" s="448"/>
      <c r="E81" s="449"/>
      <c r="F81" s="466"/>
      <c r="G81" s="467"/>
      <c r="H81" s="468" t="str">
        <f>"Labor Cost "&amp;TEXT(L$5,"#%")&amp;" of MC"</f>
        <v>Labor Cost 30% of MC</v>
      </c>
      <c r="I81" s="464">
        <f>L$5*I80</f>
        <v>76253.399999999994</v>
      </c>
      <c r="J81" s="509"/>
    </row>
    <row r="82" spans="1:15" s="432" customFormat="1" ht="12" customHeight="1" x14ac:dyDescent="0.3">
      <c r="A82" s="469"/>
      <c r="B82" s="470"/>
      <c r="C82" s="471"/>
      <c r="D82" s="471"/>
      <c r="E82" s="472"/>
      <c r="F82" s="473"/>
      <c r="G82" s="474"/>
      <c r="H82" s="475" t="s">
        <v>23</v>
      </c>
      <c r="I82" s="476">
        <f>I80+I81</f>
        <v>330431.40000000002</v>
      </c>
      <c r="J82" s="509"/>
    </row>
    <row r="83" spans="1:15" s="432" customFormat="1" ht="12" customHeight="1" x14ac:dyDescent="0.3">
      <c r="A83" s="700" t="s">
        <v>29</v>
      </c>
      <c r="B83" s="701" t="s">
        <v>77</v>
      </c>
      <c r="C83" s="702"/>
      <c r="D83" s="702"/>
      <c r="E83" s="703"/>
      <c r="F83" s="704">
        <v>137.31</v>
      </c>
      <c r="G83" s="711" t="s">
        <v>113</v>
      </c>
      <c r="H83" s="706"/>
      <c r="I83" s="707"/>
      <c r="J83" s="509"/>
      <c r="O83" s="432" t="s">
        <v>451</v>
      </c>
    </row>
    <row r="84" spans="1:15" s="432" customFormat="1" ht="12" customHeight="1" x14ac:dyDescent="0.3">
      <c r="A84" s="447"/>
      <c r="B84" s="204" t="s">
        <v>22</v>
      </c>
      <c r="C84" s="448"/>
      <c r="D84" s="448"/>
      <c r="E84" s="449"/>
      <c r="F84" s="485"/>
      <c r="G84" s="486"/>
      <c r="H84" s="487"/>
      <c r="I84" s="459"/>
      <c r="J84" s="509"/>
      <c r="K84" s="506">
        <v>255</v>
      </c>
      <c r="L84" s="506">
        <f>K84*(1+L$3)+10</f>
        <v>265</v>
      </c>
      <c r="N84" s="432" t="s">
        <v>3</v>
      </c>
      <c r="O84" s="432">
        <v>244</v>
      </c>
    </row>
    <row r="85" spans="1:15" s="432" customFormat="1" ht="12" customHeight="1" x14ac:dyDescent="0.3">
      <c r="A85" s="447"/>
      <c r="B85" s="218"/>
      <c r="C85" s="520" t="s">
        <v>759</v>
      </c>
      <c r="D85" s="448"/>
      <c r="E85" s="449"/>
      <c r="F85" s="485"/>
      <c r="G85" s="486"/>
      <c r="H85" s="487"/>
      <c r="I85" s="459"/>
      <c r="J85" s="509"/>
      <c r="K85" s="506">
        <v>900</v>
      </c>
      <c r="L85" s="506">
        <f t="shared" ref="L85:L92" si="6">K85*(1+L$3)</f>
        <v>900</v>
      </c>
      <c r="N85" s="432" t="s">
        <v>73</v>
      </c>
      <c r="O85" s="432">
        <v>18</v>
      </c>
    </row>
    <row r="86" spans="1:15" s="432" customFormat="1" ht="12" customHeight="1" x14ac:dyDescent="0.3">
      <c r="A86" s="447"/>
      <c r="B86" s="218"/>
      <c r="C86" s="520" t="s">
        <v>758</v>
      </c>
      <c r="D86" s="521"/>
      <c r="E86" s="449"/>
      <c r="F86" s="485"/>
      <c r="G86" s="486"/>
      <c r="H86" s="487"/>
      <c r="I86" s="459"/>
      <c r="J86" s="509"/>
      <c r="K86" s="506">
        <v>900</v>
      </c>
      <c r="L86" s="506">
        <f t="shared" si="6"/>
        <v>900</v>
      </c>
      <c r="N86" s="432" t="s">
        <v>67</v>
      </c>
      <c r="O86" s="432">
        <v>3</v>
      </c>
    </row>
    <row r="87" spans="1:15" s="432" customFormat="1" ht="12" customHeight="1" x14ac:dyDescent="0.3">
      <c r="A87" s="447"/>
      <c r="B87" s="218"/>
      <c r="C87" s="448" t="s">
        <v>673</v>
      </c>
      <c r="D87" s="448"/>
      <c r="E87" s="449"/>
      <c r="F87" s="485"/>
      <c r="G87" s="486"/>
      <c r="H87" s="487"/>
      <c r="I87" s="459"/>
      <c r="J87" s="509"/>
      <c r="K87" s="506"/>
      <c r="L87" s="506"/>
    </row>
    <row r="88" spans="1:15" s="432" customFormat="1" ht="12" customHeight="1" x14ac:dyDescent="0.3">
      <c r="A88" s="447"/>
      <c r="B88" s="218"/>
      <c r="D88" s="448"/>
      <c r="E88" s="449"/>
      <c r="F88" s="485"/>
      <c r="G88" s="486"/>
      <c r="H88" s="487"/>
      <c r="I88" s="459"/>
      <c r="J88" s="509"/>
      <c r="K88" s="506">
        <v>58</v>
      </c>
      <c r="L88" s="506">
        <f>K88*(1+L$3)+8.7</f>
        <v>66.7</v>
      </c>
      <c r="N88" s="432" t="s">
        <v>70</v>
      </c>
      <c r="O88" s="432">
        <v>6.5</v>
      </c>
    </row>
    <row r="89" spans="1:15" s="432" customFormat="1" ht="12" customHeight="1" x14ac:dyDescent="0.3">
      <c r="A89" s="447"/>
      <c r="B89" s="204" t="s">
        <v>25</v>
      </c>
      <c r="C89" s="448"/>
      <c r="D89" s="448"/>
      <c r="E89" s="449"/>
      <c r="F89" s="485"/>
      <c r="G89" s="486"/>
      <c r="H89" s="487"/>
      <c r="I89" s="459"/>
      <c r="J89" s="509"/>
      <c r="K89" s="506">
        <v>134</v>
      </c>
      <c r="L89" s="506">
        <f>K89*(1+L$3)+20.1</f>
        <v>154.1</v>
      </c>
      <c r="N89" s="432" t="s">
        <v>332</v>
      </c>
      <c r="O89" s="432">
        <v>125</v>
      </c>
    </row>
    <row r="90" spans="1:15" s="432" customFormat="1" ht="12" customHeight="1" x14ac:dyDescent="0.3">
      <c r="A90" s="447"/>
      <c r="B90" s="488" t="s">
        <v>563</v>
      </c>
      <c r="C90" s="448"/>
      <c r="D90" s="448"/>
      <c r="E90" s="449"/>
      <c r="F90" s="485"/>
      <c r="G90" s="451"/>
      <c r="H90" s="458"/>
      <c r="I90" s="464"/>
      <c r="J90" s="509"/>
      <c r="K90" s="506">
        <v>194</v>
      </c>
      <c r="L90" s="506">
        <f>K90*(1+L$3)+29.1</f>
        <v>223.1</v>
      </c>
      <c r="N90" s="432" t="s">
        <v>333</v>
      </c>
      <c r="O90" s="432">
        <v>17</v>
      </c>
    </row>
    <row r="91" spans="1:15" s="432" customFormat="1" ht="12" customHeight="1" x14ac:dyDescent="0.3">
      <c r="A91" s="447"/>
      <c r="B91" s="218"/>
      <c r="C91" s="520" t="s">
        <v>757</v>
      </c>
      <c r="D91" s="520"/>
      <c r="E91" s="522"/>
      <c r="F91" s="463">
        <v>48</v>
      </c>
      <c r="G91" s="523" t="s">
        <v>147</v>
      </c>
      <c r="H91" s="524">
        <v>360</v>
      </c>
      <c r="I91" s="525">
        <f>H91*F91</f>
        <v>17280</v>
      </c>
      <c r="J91" s="509"/>
      <c r="K91" s="506">
        <v>55</v>
      </c>
      <c r="L91" s="506">
        <f t="shared" si="6"/>
        <v>55</v>
      </c>
      <c r="N91" s="432" t="s">
        <v>74</v>
      </c>
      <c r="O91" s="432">
        <v>1</v>
      </c>
    </row>
    <row r="92" spans="1:15" s="432" customFormat="1" ht="12" customHeight="1" x14ac:dyDescent="0.3">
      <c r="A92" s="447"/>
      <c r="B92" s="218"/>
      <c r="C92" s="520" t="s">
        <v>383</v>
      </c>
      <c r="D92" s="520"/>
      <c r="E92" s="522"/>
      <c r="F92" s="463">
        <f>ROUNDUP((F91*12)/5,0)</f>
        <v>116</v>
      </c>
      <c r="G92" s="523" t="s">
        <v>179</v>
      </c>
      <c r="H92" s="524">
        <v>125</v>
      </c>
      <c r="I92" s="525">
        <f t="shared" ref="I92:I101" si="7">H92*F92</f>
        <v>14500</v>
      </c>
      <c r="J92" s="509"/>
      <c r="K92" s="506">
        <v>14</v>
      </c>
      <c r="L92" s="506">
        <f t="shared" si="6"/>
        <v>14</v>
      </c>
      <c r="N92" s="432" t="s">
        <v>335</v>
      </c>
      <c r="O92" s="432">
        <v>1832</v>
      </c>
    </row>
    <row r="93" spans="1:15" s="432" customFormat="1" ht="12" customHeight="1" x14ac:dyDescent="0.3">
      <c r="A93" s="447"/>
      <c r="B93" s="218"/>
      <c r="C93" s="520" t="s">
        <v>384</v>
      </c>
      <c r="D93" s="520"/>
      <c r="E93" s="522"/>
      <c r="F93" s="463">
        <v>48</v>
      </c>
      <c r="G93" s="523" t="s">
        <v>179</v>
      </c>
      <c r="H93" s="524">
        <v>135</v>
      </c>
      <c r="I93" s="525">
        <f t="shared" si="7"/>
        <v>6480</v>
      </c>
      <c r="J93" s="509"/>
      <c r="K93" s="519"/>
      <c r="L93" s="519"/>
    </row>
    <row r="94" spans="1:15" s="432" customFormat="1" ht="12" customHeight="1" x14ac:dyDescent="0.3">
      <c r="A94" s="447"/>
      <c r="B94" s="218"/>
      <c r="C94" s="448" t="s">
        <v>385</v>
      </c>
      <c r="D94" s="448"/>
      <c r="E94" s="449"/>
      <c r="F94" s="463">
        <v>35</v>
      </c>
      <c r="G94" s="451" t="s">
        <v>179</v>
      </c>
      <c r="H94" s="458">
        <f t="shared" ref="H94:H97" si="8">CEILING(L111,0.5)</f>
        <v>65</v>
      </c>
      <c r="I94" s="464">
        <f>H94*F94</f>
        <v>2275</v>
      </c>
      <c r="J94" s="509"/>
    </row>
    <row r="95" spans="1:15" s="432" customFormat="1" ht="12" customHeight="1" x14ac:dyDescent="0.3">
      <c r="A95" s="447"/>
      <c r="B95" s="218"/>
      <c r="C95" s="520" t="s">
        <v>386</v>
      </c>
      <c r="D95" s="520"/>
      <c r="E95" s="522"/>
      <c r="F95" s="463">
        <v>432</v>
      </c>
      <c r="G95" s="523" t="s">
        <v>1</v>
      </c>
      <c r="H95" s="524">
        <f t="shared" si="8"/>
        <v>5</v>
      </c>
      <c r="I95" s="525">
        <f t="shared" si="7"/>
        <v>2160</v>
      </c>
      <c r="J95" s="509"/>
    </row>
    <row r="96" spans="1:15" s="432" customFormat="1" ht="12" customHeight="1" x14ac:dyDescent="0.3">
      <c r="A96" s="447"/>
      <c r="B96" s="218"/>
      <c r="C96" s="520" t="s">
        <v>241</v>
      </c>
      <c r="D96" s="520"/>
      <c r="E96" s="522"/>
      <c r="F96" s="463">
        <v>2</v>
      </c>
      <c r="G96" s="523" t="s">
        <v>1</v>
      </c>
      <c r="H96" s="524">
        <f t="shared" si="8"/>
        <v>139</v>
      </c>
      <c r="I96" s="525">
        <f t="shared" si="7"/>
        <v>278</v>
      </c>
      <c r="J96" s="509"/>
    </row>
    <row r="97" spans="1:18" s="432" customFormat="1" ht="12" customHeight="1" x14ac:dyDescent="0.3">
      <c r="A97" s="447"/>
      <c r="B97" s="218"/>
      <c r="C97" s="520" t="s">
        <v>74</v>
      </c>
      <c r="D97" s="520"/>
      <c r="E97" s="522"/>
      <c r="F97" s="463">
        <v>3</v>
      </c>
      <c r="G97" s="523" t="s">
        <v>1</v>
      </c>
      <c r="H97" s="524">
        <f t="shared" si="8"/>
        <v>55</v>
      </c>
      <c r="I97" s="525">
        <f>H97*F97</f>
        <v>165</v>
      </c>
      <c r="J97" s="509"/>
      <c r="R97" s="432">
        <v>6</v>
      </c>
    </row>
    <row r="98" spans="1:18" s="432" customFormat="1" ht="12" customHeight="1" x14ac:dyDescent="0.3">
      <c r="A98" s="447"/>
      <c r="B98" s="218"/>
      <c r="C98" s="520" t="s">
        <v>229</v>
      </c>
      <c r="D98" s="520"/>
      <c r="E98" s="522"/>
      <c r="F98" s="463">
        <v>5</v>
      </c>
      <c r="G98" s="523" t="s">
        <v>146</v>
      </c>
      <c r="H98" s="524">
        <v>240</v>
      </c>
      <c r="I98" s="525">
        <f t="shared" si="7"/>
        <v>1200</v>
      </c>
      <c r="J98" s="509"/>
      <c r="R98" s="432">
        <v>6</v>
      </c>
    </row>
    <row r="99" spans="1:18" s="432" customFormat="1" ht="12" customHeight="1" x14ac:dyDescent="0.3">
      <c r="A99" s="447"/>
      <c r="B99" s="218"/>
      <c r="C99" s="520" t="s">
        <v>388</v>
      </c>
      <c r="D99" s="520"/>
      <c r="E99" s="522"/>
      <c r="F99" s="463">
        <v>2</v>
      </c>
      <c r="G99" s="523" t="s">
        <v>0</v>
      </c>
      <c r="H99" s="524">
        <f>CEILING(L117,0.5)</f>
        <v>60</v>
      </c>
      <c r="I99" s="525">
        <f t="shared" si="7"/>
        <v>120</v>
      </c>
      <c r="J99" s="509"/>
    </row>
    <row r="100" spans="1:18" s="432" customFormat="1" ht="12" customHeight="1" x14ac:dyDescent="0.3">
      <c r="A100" s="447"/>
      <c r="B100" s="218"/>
      <c r="C100" s="520" t="s">
        <v>389</v>
      </c>
      <c r="D100" s="520"/>
      <c r="E100" s="522"/>
      <c r="F100" s="463">
        <v>2</v>
      </c>
      <c r="G100" s="523" t="s">
        <v>1</v>
      </c>
      <c r="H100" s="524">
        <f>CEILING(L118,0.5)</f>
        <v>95</v>
      </c>
      <c r="I100" s="525">
        <f t="shared" si="7"/>
        <v>190</v>
      </c>
      <c r="J100" s="509"/>
    </row>
    <row r="101" spans="1:18" s="432" customFormat="1" ht="12" customHeight="1" x14ac:dyDescent="0.3">
      <c r="A101" s="447"/>
      <c r="B101" s="218"/>
      <c r="C101" s="520" t="s">
        <v>390</v>
      </c>
      <c r="D101" s="520"/>
      <c r="E101" s="522"/>
      <c r="F101" s="463">
        <v>500</v>
      </c>
      <c r="G101" s="523" t="s">
        <v>1</v>
      </c>
      <c r="H101" s="524">
        <f>CEILING(L119,0.5)</f>
        <v>2</v>
      </c>
      <c r="I101" s="525">
        <f t="shared" si="7"/>
        <v>1000</v>
      </c>
      <c r="J101" s="509"/>
    </row>
    <row r="102" spans="1:18" s="432" customFormat="1" ht="12" customHeight="1" x14ac:dyDescent="0.3">
      <c r="A102" s="447"/>
      <c r="B102" s="488" t="s">
        <v>674</v>
      </c>
      <c r="C102" s="520"/>
      <c r="D102" s="520"/>
      <c r="E102" s="522"/>
      <c r="F102" s="463"/>
      <c r="G102" s="523"/>
      <c r="H102" s="524"/>
      <c r="I102" s="525"/>
      <c r="J102" s="509"/>
    </row>
    <row r="103" spans="1:18" s="432" customFormat="1" ht="12" customHeight="1" x14ac:dyDescent="0.3">
      <c r="A103" s="447"/>
      <c r="B103" s="218"/>
      <c r="C103" s="520" t="s">
        <v>696</v>
      </c>
      <c r="D103" s="520"/>
      <c r="E103" s="522"/>
      <c r="F103" s="463">
        <v>5</v>
      </c>
      <c r="G103" s="523" t="s">
        <v>80</v>
      </c>
      <c r="H103" s="524">
        <f>CEILING(L122,0.5)</f>
        <v>75</v>
      </c>
      <c r="I103" s="525">
        <f t="shared" ref="I103" si="9">H103*F103</f>
        <v>375</v>
      </c>
      <c r="J103" s="509"/>
    </row>
    <row r="104" spans="1:18" s="432" customFormat="1" ht="12" customHeight="1" x14ac:dyDescent="0.3">
      <c r="A104" s="447"/>
      <c r="B104" s="526" t="s">
        <v>306</v>
      </c>
      <c r="C104" s="448"/>
      <c r="D104" s="448"/>
      <c r="E104" s="449"/>
      <c r="F104" s="463"/>
      <c r="G104" s="486"/>
      <c r="H104" s="487"/>
      <c r="I104" s="459"/>
      <c r="J104" s="509"/>
    </row>
    <row r="105" spans="1:18" s="432" customFormat="1" ht="12" customHeight="1" x14ac:dyDescent="0.3">
      <c r="A105" s="447"/>
      <c r="B105" s="218"/>
      <c r="C105" s="448" t="s">
        <v>397</v>
      </c>
      <c r="D105" s="448"/>
      <c r="E105" s="449"/>
      <c r="F105" s="463">
        <f>100*2*2*10/12</f>
        <v>333.33333333333331</v>
      </c>
      <c r="G105" s="451" t="s">
        <v>69</v>
      </c>
      <c r="H105" s="458">
        <v>21</v>
      </c>
      <c r="I105" s="464">
        <f>H105*F105</f>
        <v>7000</v>
      </c>
      <c r="J105" s="509"/>
    </row>
    <row r="106" spans="1:18" s="432" customFormat="1" ht="12" customHeight="1" x14ac:dyDescent="0.3">
      <c r="A106" s="447"/>
      <c r="B106" s="218"/>
      <c r="C106" s="448" t="s">
        <v>398</v>
      </c>
      <c r="D106" s="448"/>
      <c r="E106" s="449"/>
      <c r="F106" s="463">
        <f>40*2*3*10/12</f>
        <v>200</v>
      </c>
      <c r="G106" s="451" t="s">
        <v>69</v>
      </c>
      <c r="H106" s="458">
        <v>21</v>
      </c>
      <c r="I106" s="464">
        <f>H106*F106</f>
        <v>4200</v>
      </c>
      <c r="J106" s="509"/>
    </row>
    <row r="107" spans="1:18" s="432" customFormat="1" ht="12" customHeight="1" x14ac:dyDescent="0.3">
      <c r="A107" s="447"/>
      <c r="B107" s="218"/>
      <c r="C107" s="448" t="s">
        <v>675</v>
      </c>
      <c r="D107" s="448"/>
      <c r="E107" s="449"/>
      <c r="F107" s="463">
        <v>47</v>
      </c>
      <c r="G107" s="451" t="s">
        <v>147</v>
      </c>
      <c r="H107" s="458">
        <f t="shared" ref="H107" si="10">CEILING(L131,0.5)</f>
        <v>325</v>
      </c>
      <c r="I107" s="464">
        <f>H107*F107</f>
        <v>15275</v>
      </c>
      <c r="J107" s="509"/>
      <c r="M107" s="432">
        <f>((6.8*8)+(3.2*1.3+1*1.3+6.8*1+1*1+3.2*1+1*1+6.8*1+1*1.3)+(4.8*1.3+1*1.3+6.8*1+1*1+4.8*1))</f>
        <v>100.10000000000001</v>
      </c>
    </row>
    <row r="108" spans="1:18" s="432" customFormat="1" ht="12" customHeight="1" x14ac:dyDescent="0.3">
      <c r="A108" s="447"/>
      <c r="B108" s="488"/>
      <c r="C108" s="448" t="s">
        <v>145</v>
      </c>
      <c r="D108" s="448"/>
      <c r="E108" s="449"/>
      <c r="F108" s="463">
        <v>2</v>
      </c>
      <c r="G108" s="451" t="s">
        <v>0</v>
      </c>
      <c r="H108" s="458">
        <v>70</v>
      </c>
      <c r="I108" s="464">
        <f>H108*F108</f>
        <v>140</v>
      </c>
      <c r="J108" s="509"/>
      <c r="K108" s="506">
        <v>368</v>
      </c>
      <c r="L108" s="506">
        <f t="shared" ref="L108:L119" si="11">K108*(1+L$3)</f>
        <v>368</v>
      </c>
      <c r="M108" s="432">
        <f>((6.8*8)+(3.2*1.3+1*1.3+6.8*1+1*1+3.2*1+1*1+6.8*1+1*1.3)+(4.8*1.3+1*1.3+6.8*1+1*1+4.8*1))/(1.2*2.4)</f>
        <v>34.75694444444445</v>
      </c>
      <c r="N108" s="432" t="s">
        <v>382</v>
      </c>
      <c r="O108" s="432">
        <v>37</v>
      </c>
      <c r="P108" s="432" t="s">
        <v>147</v>
      </c>
    </row>
    <row r="109" spans="1:18" s="432" customFormat="1" ht="12" customHeight="1" x14ac:dyDescent="0.3">
      <c r="A109" s="447"/>
      <c r="B109" s="218"/>
      <c r="C109" s="448" t="s">
        <v>151</v>
      </c>
      <c r="D109" s="448"/>
      <c r="E109" s="449"/>
      <c r="F109" s="463">
        <v>20</v>
      </c>
      <c r="G109" s="451" t="s">
        <v>0</v>
      </c>
      <c r="H109" s="458">
        <v>70</v>
      </c>
      <c r="I109" s="464">
        <f t="shared" ref="I109:I111" si="12">H109*F109</f>
        <v>1400</v>
      </c>
      <c r="J109" s="509"/>
      <c r="K109" s="506">
        <v>135</v>
      </c>
      <c r="L109" s="506">
        <f t="shared" si="11"/>
        <v>135</v>
      </c>
      <c r="N109" s="432" t="s">
        <v>383</v>
      </c>
      <c r="O109" s="432">
        <v>72</v>
      </c>
      <c r="P109" s="432" t="s">
        <v>179</v>
      </c>
    </row>
    <row r="110" spans="1:18" s="432" customFormat="1" ht="12" customHeight="1" x14ac:dyDescent="0.3">
      <c r="A110" s="447"/>
      <c r="B110" s="218"/>
      <c r="C110" s="448" t="s">
        <v>110</v>
      </c>
      <c r="D110" s="448"/>
      <c r="E110" s="449"/>
      <c r="F110" s="463">
        <v>15</v>
      </c>
      <c r="G110" s="451" t="s">
        <v>0</v>
      </c>
      <c r="H110" s="458">
        <v>70</v>
      </c>
      <c r="I110" s="464">
        <f t="shared" si="12"/>
        <v>1050</v>
      </c>
      <c r="J110" s="509"/>
      <c r="K110" s="506">
        <v>155</v>
      </c>
      <c r="L110" s="506">
        <f t="shared" si="11"/>
        <v>155</v>
      </c>
      <c r="N110" s="432" t="s">
        <v>384</v>
      </c>
      <c r="O110" s="432">
        <v>37</v>
      </c>
      <c r="P110" s="432" t="s">
        <v>179</v>
      </c>
    </row>
    <row r="111" spans="1:18" s="432" customFormat="1" ht="12" customHeight="1" x14ac:dyDescent="0.3">
      <c r="A111" s="447"/>
      <c r="B111" s="218"/>
      <c r="C111" s="448" t="s">
        <v>266</v>
      </c>
      <c r="D111" s="448"/>
      <c r="E111" s="449"/>
      <c r="F111" s="463">
        <v>3</v>
      </c>
      <c r="G111" s="451" t="s">
        <v>0</v>
      </c>
      <c r="H111" s="458">
        <v>70</v>
      </c>
      <c r="I111" s="464">
        <f t="shared" si="12"/>
        <v>210</v>
      </c>
      <c r="J111" s="509"/>
      <c r="K111" s="506">
        <v>65</v>
      </c>
      <c r="L111" s="506">
        <f t="shared" si="11"/>
        <v>65</v>
      </c>
      <c r="N111" s="432" t="s">
        <v>385</v>
      </c>
      <c r="O111" s="432">
        <v>34</v>
      </c>
      <c r="P111" s="432" t="s">
        <v>179</v>
      </c>
    </row>
    <row r="112" spans="1:18" s="432" customFormat="1" ht="12" customHeight="1" x14ac:dyDescent="0.3">
      <c r="A112" s="447"/>
      <c r="B112" s="218"/>
      <c r="C112" s="448"/>
      <c r="D112" s="448"/>
      <c r="E112" s="449"/>
      <c r="F112" s="485"/>
      <c r="G112" s="451"/>
      <c r="H112" s="529"/>
      <c r="I112" s="464"/>
      <c r="J112" s="509"/>
      <c r="K112" s="506">
        <v>5</v>
      </c>
      <c r="L112" s="506">
        <f t="shared" si="11"/>
        <v>5</v>
      </c>
      <c r="N112" s="432" t="s">
        <v>386</v>
      </c>
      <c r="O112" s="432">
        <v>111</v>
      </c>
      <c r="P112" s="432" t="s">
        <v>1</v>
      </c>
    </row>
    <row r="113" spans="1:16" s="432" customFormat="1" ht="12" customHeight="1" x14ac:dyDescent="0.3">
      <c r="A113" s="447"/>
      <c r="B113" s="218"/>
      <c r="C113" s="448"/>
      <c r="D113" s="448"/>
      <c r="E113" s="449"/>
      <c r="F113" s="466"/>
      <c r="G113" s="467"/>
      <c r="H113" s="468" t="s">
        <v>26</v>
      </c>
      <c r="I113" s="464">
        <f>SUM(I91:I112)</f>
        <v>75298</v>
      </c>
      <c r="J113" s="509"/>
      <c r="K113" s="506">
        <v>138.75</v>
      </c>
      <c r="L113" s="506">
        <f t="shared" si="11"/>
        <v>138.75</v>
      </c>
      <c r="N113" s="432" t="s">
        <v>241</v>
      </c>
      <c r="O113" s="432">
        <v>1</v>
      </c>
      <c r="P113" s="432" t="s">
        <v>1</v>
      </c>
    </row>
    <row r="114" spans="1:16" s="432" customFormat="1" ht="12" customHeight="1" x14ac:dyDescent="0.3">
      <c r="A114" s="447"/>
      <c r="B114" s="218"/>
      <c r="C114" s="448"/>
      <c r="D114" s="448"/>
      <c r="E114" s="449"/>
      <c r="F114" s="466"/>
      <c r="G114" s="467"/>
      <c r="H114" s="468" t="str">
        <f>"Labor Cost "&amp;TEXT(L$5,"#%")&amp;" of MC"</f>
        <v>Labor Cost 30% of MC</v>
      </c>
      <c r="I114" s="464">
        <f>L$5*I113</f>
        <v>22589.399999999998</v>
      </c>
      <c r="J114" s="509"/>
      <c r="K114" s="506">
        <v>55</v>
      </c>
      <c r="L114" s="506">
        <f t="shared" si="11"/>
        <v>55</v>
      </c>
      <c r="N114" s="432" t="s">
        <v>74</v>
      </c>
      <c r="O114" s="432">
        <v>3</v>
      </c>
      <c r="P114" s="432" t="s">
        <v>1</v>
      </c>
    </row>
    <row r="115" spans="1:16" s="432" customFormat="1" ht="12" customHeight="1" x14ac:dyDescent="0.3">
      <c r="A115" s="469"/>
      <c r="B115" s="470"/>
      <c r="C115" s="471"/>
      <c r="D115" s="471"/>
      <c r="E115" s="472"/>
      <c r="F115" s="473"/>
      <c r="G115" s="474"/>
      <c r="H115" s="475" t="s">
        <v>23</v>
      </c>
      <c r="I115" s="476">
        <f>I113+I114</f>
        <v>97887.4</v>
      </c>
      <c r="J115" s="509"/>
      <c r="K115" s="506">
        <v>0.75</v>
      </c>
      <c r="L115" s="506">
        <f t="shared" si="11"/>
        <v>0.75</v>
      </c>
      <c r="N115" s="432" t="s">
        <v>229</v>
      </c>
      <c r="O115" s="432">
        <v>1202</v>
      </c>
      <c r="P115" s="432" t="s">
        <v>1</v>
      </c>
    </row>
    <row r="116" spans="1:16" s="432" customFormat="1" ht="12" customHeight="1" x14ac:dyDescent="0.3">
      <c r="A116" s="700" t="s">
        <v>31</v>
      </c>
      <c r="B116" s="701" t="s">
        <v>71</v>
      </c>
      <c r="C116" s="702"/>
      <c r="D116" s="702"/>
      <c r="E116" s="703"/>
      <c r="F116" s="704">
        <f>SUM(F120:F125)</f>
        <v>31</v>
      </c>
      <c r="G116" s="711" t="s">
        <v>718</v>
      </c>
      <c r="H116" s="706"/>
      <c r="I116" s="707"/>
      <c r="J116" s="509"/>
      <c r="K116" s="506">
        <v>1.5</v>
      </c>
      <c r="L116" s="506">
        <f t="shared" si="11"/>
        <v>1.5</v>
      </c>
      <c r="N116" s="432" t="s">
        <v>387</v>
      </c>
      <c r="O116" s="432">
        <v>585</v>
      </c>
      <c r="P116" s="432" t="s">
        <v>1</v>
      </c>
    </row>
    <row r="117" spans="1:16" s="432" customFormat="1" ht="12" customHeight="1" x14ac:dyDescent="0.3">
      <c r="A117" s="530"/>
      <c r="B117" s="534"/>
      <c r="C117" s="499"/>
      <c r="D117" s="499"/>
      <c r="E117" s="532"/>
      <c r="F117" s="485"/>
      <c r="G117" s="451"/>
      <c r="H117" s="452"/>
      <c r="I117" s="533"/>
      <c r="J117" s="509"/>
      <c r="K117" s="506">
        <v>60</v>
      </c>
      <c r="L117" s="506">
        <f t="shared" si="11"/>
        <v>60</v>
      </c>
      <c r="N117" s="432" t="s">
        <v>388</v>
      </c>
      <c r="O117" s="432">
        <v>2</v>
      </c>
      <c r="P117" s="432" t="s">
        <v>0</v>
      </c>
    </row>
    <row r="118" spans="1:16" s="432" customFormat="1" ht="12" customHeight="1" x14ac:dyDescent="0.3">
      <c r="A118" s="530"/>
      <c r="B118" s="218" t="s">
        <v>25</v>
      </c>
      <c r="C118" s="531"/>
      <c r="D118" s="531"/>
      <c r="E118" s="532"/>
      <c r="F118" s="485"/>
      <c r="G118" s="451"/>
      <c r="H118" s="452"/>
      <c r="I118" s="533"/>
      <c r="J118" s="509"/>
      <c r="K118" s="506">
        <v>95</v>
      </c>
      <c r="L118" s="506">
        <f t="shared" si="11"/>
        <v>95</v>
      </c>
      <c r="N118" s="432" t="s">
        <v>389</v>
      </c>
      <c r="O118" s="432">
        <v>2</v>
      </c>
      <c r="P118" s="432" t="s">
        <v>1</v>
      </c>
    </row>
    <row r="119" spans="1:16" s="432" customFormat="1" ht="12" customHeight="1" x14ac:dyDescent="0.3">
      <c r="A119" s="530"/>
      <c r="B119" s="488" t="s">
        <v>72</v>
      </c>
      <c r="C119" s="531"/>
      <c r="D119" s="531"/>
      <c r="E119" s="532"/>
      <c r="F119" s="485"/>
      <c r="G119" s="451"/>
      <c r="H119" s="452"/>
      <c r="I119" s="533"/>
      <c r="J119" s="509"/>
      <c r="K119" s="506">
        <v>2</v>
      </c>
      <c r="L119" s="506">
        <f t="shared" si="11"/>
        <v>2</v>
      </c>
      <c r="N119" s="432" t="s">
        <v>390</v>
      </c>
      <c r="O119" s="432">
        <v>51</v>
      </c>
      <c r="P119" s="432" t="s">
        <v>1</v>
      </c>
    </row>
    <row r="120" spans="1:16" s="432" customFormat="1" ht="12" customHeight="1" x14ac:dyDescent="0.3">
      <c r="A120" s="535"/>
      <c r="B120" s="511" t="s">
        <v>571</v>
      </c>
      <c r="C120" s="536"/>
      <c r="D120" s="536"/>
      <c r="E120" s="537"/>
      <c r="F120" s="538">
        <v>9</v>
      </c>
      <c r="G120" s="515" t="s">
        <v>10</v>
      </c>
      <c r="H120" s="516">
        <v>2300</v>
      </c>
      <c r="I120" s="539">
        <f t="shared" ref="I120:I122" si="13">H120*F120</f>
        <v>20700</v>
      </c>
      <c r="J120" s="527"/>
      <c r="K120" s="528"/>
      <c r="L120" s="528"/>
    </row>
    <row r="121" spans="1:16" s="432" customFormat="1" ht="12" customHeight="1" x14ac:dyDescent="0.3">
      <c r="A121" s="530"/>
      <c r="B121" s="218" t="s">
        <v>697</v>
      </c>
      <c r="C121" s="499"/>
      <c r="D121" s="499"/>
      <c r="E121" s="540"/>
      <c r="F121" s="463">
        <v>6</v>
      </c>
      <c r="G121" s="451" t="s">
        <v>6</v>
      </c>
      <c r="H121" s="458">
        <v>2000</v>
      </c>
      <c r="I121" s="464">
        <f t="shared" si="13"/>
        <v>12000</v>
      </c>
      <c r="J121" s="527"/>
      <c r="K121" s="506">
        <v>450</v>
      </c>
      <c r="L121" s="506">
        <f>K121*(1+L$3)</f>
        <v>450</v>
      </c>
    </row>
    <row r="122" spans="1:16" s="432" customFormat="1" ht="12" customHeight="1" x14ac:dyDescent="0.3">
      <c r="A122" s="530"/>
      <c r="B122" s="218" t="s">
        <v>698</v>
      </c>
      <c r="C122" s="499"/>
      <c r="D122" s="499"/>
      <c r="E122" s="540"/>
      <c r="F122" s="463">
        <v>9</v>
      </c>
      <c r="G122" s="451" t="s">
        <v>10</v>
      </c>
      <c r="H122" s="458">
        <v>1800</v>
      </c>
      <c r="I122" s="464">
        <f t="shared" si="13"/>
        <v>16200</v>
      </c>
      <c r="J122" s="527"/>
      <c r="K122" s="506">
        <v>75</v>
      </c>
      <c r="L122" s="506">
        <f>K122*(1+L$3)</f>
        <v>75</v>
      </c>
    </row>
    <row r="123" spans="1:16" s="432" customFormat="1" ht="12" customHeight="1" x14ac:dyDescent="0.3">
      <c r="A123" s="530"/>
      <c r="B123" s="218"/>
      <c r="C123" s="499"/>
      <c r="D123" s="499"/>
      <c r="E123" s="540"/>
      <c r="F123" s="463"/>
      <c r="G123" s="451"/>
      <c r="H123" s="543"/>
      <c r="I123" s="464"/>
      <c r="J123" s="527"/>
      <c r="K123" s="506">
        <v>90</v>
      </c>
      <c r="L123" s="506">
        <f>K123*(1+L$3)</f>
        <v>90</v>
      </c>
    </row>
    <row r="124" spans="1:16" s="432" customFormat="1" ht="12" customHeight="1" x14ac:dyDescent="0.3">
      <c r="A124" s="530"/>
      <c r="B124" s="488" t="s">
        <v>136</v>
      </c>
      <c r="C124" s="460"/>
      <c r="D124" s="460"/>
      <c r="E124" s="540"/>
      <c r="F124" s="463"/>
      <c r="G124" s="451"/>
      <c r="H124" s="543"/>
      <c r="I124" s="464"/>
      <c r="J124" s="509"/>
    </row>
    <row r="125" spans="1:16" s="432" customFormat="1" ht="12" customHeight="1" x14ac:dyDescent="0.3">
      <c r="A125" s="530"/>
      <c r="B125" s="218" t="s">
        <v>699</v>
      </c>
      <c r="C125" s="499"/>
      <c r="D125" s="499"/>
      <c r="E125" s="540"/>
      <c r="F125" s="463">
        <v>7</v>
      </c>
      <c r="G125" s="451" t="s">
        <v>6</v>
      </c>
      <c r="H125" s="458">
        <v>2650</v>
      </c>
      <c r="I125" s="464">
        <f>H125*F125</f>
        <v>18550</v>
      </c>
      <c r="J125" s="509"/>
      <c r="K125" s="506"/>
      <c r="L125" s="506"/>
    </row>
    <row r="126" spans="1:16" s="432" customFormat="1" ht="12" customHeight="1" x14ac:dyDescent="0.3">
      <c r="A126" s="530"/>
      <c r="B126" s="204" t="s">
        <v>192</v>
      </c>
      <c r="C126" s="499"/>
      <c r="D126" s="499"/>
      <c r="E126" s="449"/>
      <c r="F126" s="463"/>
      <c r="G126" s="451"/>
      <c r="H126" s="543"/>
      <c r="I126" s="464"/>
      <c r="J126" s="509"/>
      <c r="K126" s="506"/>
      <c r="L126" s="506"/>
    </row>
    <row r="127" spans="1:16" s="432" customFormat="1" ht="12" customHeight="1" x14ac:dyDescent="0.3">
      <c r="A127" s="530"/>
      <c r="B127" s="218" t="s">
        <v>701</v>
      </c>
      <c r="C127" s="499"/>
      <c r="D127" s="499"/>
      <c r="E127" s="449"/>
      <c r="F127" s="463">
        <v>9</v>
      </c>
      <c r="G127" s="451" t="s">
        <v>10</v>
      </c>
      <c r="H127" s="458">
        <v>50</v>
      </c>
      <c r="I127" s="464">
        <f>H127*F127</f>
        <v>450</v>
      </c>
      <c r="J127" s="509"/>
      <c r="K127" s="506">
        <v>44</v>
      </c>
      <c r="L127" s="506">
        <f>K127*(1+L$3)</f>
        <v>44</v>
      </c>
    </row>
    <row r="128" spans="1:16" s="432" customFormat="1" ht="12" customHeight="1" x14ac:dyDescent="0.3">
      <c r="A128" s="530"/>
      <c r="B128" s="204" t="s">
        <v>700</v>
      </c>
      <c r="D128" s="499"/>
      <c r="E128" s="449"/>
      <c r="F128" s="463"/>
      <c r="G128" s="451"/>
      <c r="H128" s="543"/>
      <c r="I128" s="464"/>
      <c r="J128" s="509"/>
    </row>
    <row r="129" spans="1:15" s="432" customFormat="1" ht="12" customHeight="1" x14ac:dyDescent="0.3">
      <c r="A129" s="530"/>
      <c r="B129" s="204"/>
      <c r="C129" s="499"/>
      <c r="D129" s="499"/>
      <c r="E129" s="449"/>
      <c r="F129" s="485"/>
      <c r="G129" s="451"/>
      <c r="H129" s="543"/>
      <c r="I129" s="464"/>
      <c r="J129" s="509"/>
      <c r="K129" s="506"/>
      <c r="L129" s="506"/>
    </row>
    <row r="130" spans="1:15" s="432" customFormat="1" ht="12" customHeight="1" x14ac:dyDescent="0.3">
      <c r="A130" s="530"/>
      <c r="B130" s="218"/>
      <c r="C130" s="460"/>
      <c r="D130" s="460"/>
      <c r="E130" s="540"/>
      <c r="F130" s="466"/>
      <c r="G130" s="467"/>
      <c r="H130" s="468" t="s">
        <v>26</v>
      </c>
      <c r="I130" s="464">
        <f>SUM(I120:I128)</f>
        <v>67900</v>
      </c>
      <c r="J130" s="509"/>
      <c r="K130" s="506"/>
      <c r="L130" s="506"/>
    </row>
    <row r="131" spans="1:15" s="432" customFormat="1" ht="12" customHeight="1" x14ac:dyDescent="0.3">
      <c r="A131" s="530"/>
      <c r="B131" s="218"/>
      <c r="C131" s="460"/>
      <c r="D131" s="460"/>
      <c r="E131" s="540"/>
      <c r="F131" s="466"/>
      <c r="G131" s="467"/>
      <c r="H131" s="468" t="str">
        <f>"Labor Cost "&amp;TEXT(L$5,"#%")&amp;" of MC"</f>
        <v>Labor Cost 30% of MC</v>
      </c>
      <c r="I131" s="464"/>
      <c r="J131" s="509"/>
      <c r="K131" s="506">
        <v>325</v>
      </c>
      <c r="L131" s="506">
        <f>K131*(1+L$3)</f>
        <v>325</v>
      </c>
    </row>
    <row r="132" spans="1:15" s="432" customFormat="1" ht="12" customHeight="1" x14ac:dyDescent="0.3">
      <c r="A132" s="469"/>
      <c r="B132" s="470"/>
      <c r="C132" s="471"/>
      <c r="D132" s="471"/>
      <c r="E132" s="472"/>
      <c r="F132" s="473"/>
      <c r="G132" s="474"/>
      <c r="H132" s="475" t="s">
        <v>23</v>
      </c>
      <c r="I132" s="476">
        <f>I130</f>
        <v>67900</v>
      </c>
      <c r="J132" s="509"/>
      <c r="K132" s="506">
        <v>55.75</v>
      </c>
      <c r="L132" s="506">
        <f>K132*(1+L$3)</f>
        <v>55.75</v>
      </c>
    </row>
    <row r="133" spans="1:15" s="432" customFormat="1" ht="12" customHeight="1" x14ac:dyDescent="0.3">
      <c r="A133" s="700" t="s">
        <v>32</v>
      </c>
      <c r="B133" s="701" t="s">
        <v>676</v>
      </c>
      <c r="C133" s="702"/>
      <c r="D133" s="702"/>
      <c r="E133" s="703"/>
      <c r="F133" s="704">
        <v>1</v>
      </c>
      <c r="G133" s="705" t="s">
        <v>21</v>
      </c>
      <c r="H133" s="706"/>
      <c r="I133" s="707"/>
      <c r="J133" s="509"/>
      <c r="K133" s="506">
        <v>48</v>
      </c>
      <c r="L133" s="506">
        <f>K133*(1+L$3)</f>
        <v>48</v>
      </c>
    </row>
    <row r="134" spans="1:15" s="432" customFormat="1" ht="12" customHeight="1" x14ac:dyDescent="0.3">
      <c r="A134" s="530"/>
      <c r="B134" s="204" t="s">
        <v>22</v>
      </c>
      <c r="C134" s="460"/>
      <c r="D134" s="460"/>
      <c r="E134" s="540"/>
      <c r="F134" s="485"/>
      <c r="G134" s="451"/>
      <c r="H134" s="487"/>
      <c r="I134" s="459"/>
      <c r="J134" s="509"/>
      <c r="K134" s="506">
        <v>44</v>
      </c>
      <c r="L134" s="506">
        <f>K134*(1+L$3)</f>
        <v>44</v>
      </c>
    </row>
    <row r="135" spans="1:15" s="432" customFormat="1" ht="12" customHeight="1" x14ac:dyDescent="0.3">
      <c r="A135" s="530"/>
      <c r="B135" s="204"/>
      <c r="C135" s="460" t="s">
        <v>715</v>
      </c>
      <c r="D135" s="460"/>
      <c r="E135" s="540"/>
      <c r="F135" s="485"/>
      <c r="G135" s="451"/>
      <c r="H135" s="487"/>
      <c r="I135" s="459"/>
      <c r="J135" s="509"/>
      <c r="K135" s="506">
        <v>60</v>
      </c>
      <c r="L135" s="506">
        <f>K135*(1+L$3)</f>
        <v>60</v>
      </c>
    </row>
    <row r="136" spans="1:15" s="432" customFormat="1" ht="12" customHeight="1" x14ac:dyDescent="0.3">
      <c r="A136" s="530"/>
      <c r="B136" s="204"/>
      <c r="C136" s="460" t="s">
        <v>420</v>
      </c>
      <c r="D136" s="460"/>
      <c r="E136" s="540"/>
      <c r="F136" s="485"/>
      <c r="G136" s="451"/>
      <c r="H136" s="487"/>
      <c r="I136" s="459"/>
      <c r="J136" s="509"/>
      <c r="K136" s="519"/>
      <c r="L136" s="519"/>
    </row>
    <row r="137" spans="1:15" s="432" customFormat="1" ht="12" customHeight="1" x14ac:dyDescent="0.3">
      <c r="A137" s="530"/>
      <c r="B137" s="204"/>
      <c r="C137" s="460" t="s">
        <v>714</v>
      </c>
      <c r="D137" s="460"/>
      <c r="E137" s="540"/>
      <c r="F137" s="485"/>
      <c r="G137" s="451"/>
      <c r="H137" s="487"/>
      <c r="I137" s="459"/>
      <c r="J137" s="509"/>
      <c r="N137" s="541"/>
      <c r="O137" s="542"/>
    </row>
    <row r="138" spans="1:15" s="432" customFormat="1" ht="12" customHeight="1" x14ac:dyDescent="0.3">
      <c r="A138" s="530"/>
      <c r="B138" s="204"/>
      <c r="C138" s="460" t="s">
        <v>716</v>
      </c>
      <c r="D138" s="460"/>
      <c r="E138" s="540"/>
      <c r="F138" s="485"/>
      <c r="G138" s="451"/>
      <c r="H138" s="487"/>
      <c r="I138" s="459"/>
      <c r="J138" s="509"/>
      <c r="N138" s="541"/>
      <c r="O138" s="542"/>
    </row>
    <row r="139" spans="1:15" s="432" customFormat="1" ht="12" customHeight="1" x14ac:dyDescent="0.3">
      <c r="A139" s="530"/>
      <c r="B139" s="204"/>
      <c r="C139" s="460"/>
      <c r="D139" s="460"/>
      <c r="E139" s="540"/>
      <c r="F139" s="485"/>
      <c r="G139" s="451"/>
      <c r="H139" s="487"/>
      <c r="I139" s="459"/>
      <c r="J139" s="509"/>
      <c r="N139" s="541"/>
      <c r="O139" s="542"/>
    </row>
    <row r="140" spans="1:15" s="432" customFormat="1" ht="12" customHeight="1" x14ac:dyDescent="0.3">
      <c r="A140" s="530"/>
      <c r="B140" s="204" t="s">
        <v>25</v>
      </c>
      <c r="C140" s="460"/>
      <c r="D140" s="460"/>
      <c r="E140" s="540"/>
      <c r="F140" s="485"/>
      <c r="G140" s="451"/>
      <c r="H140" s="487"/>
      <c r="I140" s="459"/>
      <c r="J140" s="509"/>
      <c r="N140" s="541"/>
      <c r="O140" s="542"/>
    </row>
    <row r="141" spans="1:15" s="432" customFormat="1" ht="12" customHeight="1" x14ac:dyDescent="0.3">
      <c r="A141" s="530"/>
      <c r="B141" s="547" t="s">
        <v>418</v>
      </c>
      <c r="C141" s="460"/>
      <c r="D141" s="460"/>
      <c r="E141" s="540"/>
      <c r="F141" s="485"/>
      <c r="G141" s="451"/>
      <c r="H141" s="487"/>
      <c r="I141" s="459"/>
      <c r="J141" s="509"/>
    </row>
    <row r="142" spans="1:15" s="432" customFormat="1" ht="12" customHeight="1" x14ac:dyDescent="0.3">
      <c r="A142" s="530"/>
      <c r="B142" s="502"/>
      <c r="C142" s="460" t="s">
        <v>706</v>
      </c>
      <c r="D142" s="460"/>
      <c r="E142" s="540"/>
      <c r="F142" s="463">
        <v>12</v>
      </c>
      <c r="G142" s="451" t="s">
        <v>179</v>
      </c>
      <c r="H142" s="458">
        <v>950</v>
      </c>
      <c r="I142" s="464">
        <f>H142*F142</f>
        <v>11400</v>
      </c>
      <c r="J142" s="509"/>
    </row>
    <row r="143" spans="1:15" s="432" customFormat="1" ht="12" customHeight="1" x14ac:dyDescent="0.3">
      <c r="A143" s="530"/>
      <c r="B143" s="502"/>
      <c r="C143" s="460" t="s">
        <v>710</v>
      </c>
      <c r="D143" s="460"/>
      <c r="E143" s="540"/>
      <c r="F143" s="463">
        <v>48</v>
      </c>
      <c r="G143" s="451" t="s">
        <v>179</v>
      </c>
      <c r="H143" s="715">
        <v>580</v>
      </c>
      <c r="I143" s="464">
        <f>H143*F143</f>
        <v>27840</v>
      </c>
      <c r="J143" s="509"/>
    </row>
    <row r="144" spans="1:15" s="432" customFormat="1" ht="12" customHeight="1" x14ac:dyDescent="0.3">
      <c r="A144" s="530"/>
      <c r="B144" s="502"/>
      <c r="C144" s="460" t="s">
        <v>707</v>
      </c>
      <c r="D144" s="460"/>
      <c r="E144" s="540"/>
      <c r="F144" s="463">
        <v>9</v>
      </c>
      <c r="G144" s="451" t="s">
        <v>179</v>
      </c>
      <c r="H144" s="458">
        <f>CEILING(L180,0.5)</f>
        <v>223.5</v>
      </c>
      <c r="I144" s="464">
        <f>H144*F144</f>
        <v>2011.5</v>
      </c>
      <c r="J144" s="509"/>
    </row>
    <row r="145" spans="1:14" s="432" customFormat="1" ht="12" customHeight="1" x14ac:dyDescent="0.3">
      <c r="A145" s="530"/>
      <c r="B145" s="502"/>
      <c r="C145" s="460" t="s">
        <v>307</v>
      </c>
      <c r="D145" s="460"/>
      <c r="E145" s="540"/>
      <c r="F145" s="463">
        <v>22</v>
      </c>
      <c r="G145" s="451" t="s">
        <v>179</v>
      </c>
      <c r="H145" s="458">
        <v>450</v>
      </c>
      <c r="I145" s="464">
        <f t="shared" ref="I145:I146" si="14">H145*F145</f>
        <v>9900</v>
      </c>
      <c r="J145" s="509"/>
    </row>
    <row r="146" spans="1:14" s="432" customFormat="1" ht="12" customHeight="1" x14ac:dyDescent="0.3">
      <c r="A146" s="530"/>
      <c r="B146" s="502"/>
      <c r="C146" s="460" t="s">
        <v>308</v>
      </c>
      <c r="D146" s="460"/>
      <c r="E146" s="540"/>
      <c r="F146" s="463">
        <v>8</v>
      </c>
      <c r="G146" s="451" t="s">
        <v>179</v>
      </c>
      <c r="H146" s="458">
        <v>150</v>
      </c>
      <c r="I146" s="464">
        <f t="shared" si="14"/>
        <v>1200</v>
      </c>
      <c r="J146" s="509"/>
    </row>
    <row r="147" spans="1:14" s="432" customFormat="1" ht="12" customHeight="1" x14ac:dyDescent="0.3">
      <c r="A147" s="530"/>
      <c r="B147" s="502" t="s">
        <v>712</v>
      </c>
      <c r="C147" s="460"/>
      <c r="D147" s="460"/>
      <c r="E147" s="540"/>
      <c r="F147" s="463"/>
      <c r="G147" s="451"/>
      <c r="H147" s="458"/>
      <c r="I147" s="464"/>
      <c r="J147" s="509"/>
    </row>
    <row r="148" spans="1:14" s="432" customFormat="1" ht="12" customHeight="1" x14ac:dyDescent="0.3">
      <c r="A148" s="530"/>
      <c r="B148" s="502"/>
      <c r="C148" s="460" t="s">
        <v>342</v>
      </c>
      <c r="D148" s="460"/>
      <c r="E148" s="548"/>
      <c r="F148" s="463">
        <v>7</v>
      </c>
      <c r="G148" s="523" t="s">
        <v>179</v>
      </c>
      <c r="H148" s="458">
        <v>1200</v>
      </c>
      <c r="I148" s="464">
        <f>H148*F148</f>
        <v>8400</v>
      </c>
      <c r="J148" s="509"/>
    </row>
    <row r="149" spans="1:14" s="432" customFormat="1" ht="12" customHeight="1" x14ac:dyDescent="0.3">
      <c r="A149" s="530"/>
      <c r="B149" s="502"/>
      <c r="C149" s="460" t="s">
        <v>711</v>
      </c>
      <c r="D149" s="460"/>
      <c r="E149" s="548"/>
      <c r="F149" s="463">
        <v>19</v>
      </c>
      <c r="G149" s="523" t="s">
        <v>179</v>
      </c>
      <c r="H149" s="458">
        <v>250</v>
      </c>
      <c r="I149" s="464">
        <f>H149*F149</f>
        <v>4750</v>
      </c>
      <c r="J149" s="509"/>
    </row>
    <row r="150" spans="1:14" s="432" customFormat="1" ht="12" customHeight="1" x14ac:dyDescent="0.3">
      <c r="A150" s="530"/>
      <c r="B150" s="502"/>
      <c r="C150" s="460" t="s">
        <v>713</v>
      </c>
      <c r="D150" s="460"/>
      <c r="E150" s="548"/>
      <c r="F150" s="463">
        <v>6</v>
      </c>
      <c r="G150" s="523" t="s">
        <v>1</v>
      </c>
      <c r="H150" s="458">
        <f>CEILING(L185,0.5)</f>
        <v>120</v>
      </c>
      <c r="I150" s="464">
        <f>H150*F150</f>
        <v>720</v>
      </c>
      <c r="J150" s="509"/>
    </row>
    <row r="151" spans="1:14" s="432" customFormat="1" ht="12" customHeight="1" x14ac:dyDescent="0.3">
      <c r="A151" s="530"/>
      <c r="B151" s="502"/>
      <c r="C151" s="460" t="s">
        <v>708</v>
      </c>
      <c r="D151" s="460"/>
      <c r="E151" s="548"/>
      <c r="F151" s="463">
        <v>2</v>
      </c>
      <c r="G151" s="523" t="s">
        <v>1</v>
      </c>
      <c r="H151" s="458">
        <f>CEILING(L186,0.5)</f>
        <v>90</v>
      </c>
      <c r="I151" s="464">
        <f>H151*F151</f>
        <v>180</v>
      </c>
      <c r="J151" s="509"/>
    </row>
    <row r="152" spans="1:14" s="432" customFormat="1" ht="12" customHeight="1" x14ac:dyDescent="0.3">
      <c r="A152" s="530"/>
      <c r="B152" s="502" t="s">
        <v>79</v>
      </c>
      <c r="C152" s="550" t="s">
        <v>409</v>
      </c>
      <c r="D152" s="520"/>
      <c r="E152" s="549"/>
      <c r="F152" s="463"/>
      <c r="G152" s="523"/>
      <c r="H152" s="458"/>
      <c r="I152" s="464"/>
      <c r="J152" s="509"/>
    </row>
    <row r="153" spans="1:14" s="432" customFormat="1" ht="12" customHeight="1" x14ac:dyDescent="0.3">
      <c r="A153" s="530"/>
      <c r="B153" s="502" t="s">
        <v>467</v>
      </c>
      <c r="C153" s="454"/>
      <c r="D153" s="520"/>
      <c r="E153" s="549"/>
      <c r="F153" s="463"/>
      <c r="G153" s="523"/>
      <c r="H153" s="458"/>
      <c r="I153" s="464"/>
      <c r="J153" s="509"/>
    </row>
    <row r="154" spans="1:14" s="432" customFormat="1" ht="12" customHeight="1" x14ac:dyDescent="0.3">
      <c r="A154" s="530"/>
      <c r="B154" s="502"/>
      <c r="C154" s="460" t="s">
        <v>98</v>
      </c>
      <c r="D154" s="460"/>
      <c r="E154" s="540"/>
      <c r="F154" s="463">
        <v>5</v>
      </c>
      <c r="G154" s="451" t="s">
        <v>7</v>
      </c>
      <c r="H154" s="458">
        <f>CEILING(L194,0.5)</f>
        <v>440</v>
      </c>
      <c r="I154" s="464">
        <f>H154*F154</f>
        <v>2200</v>
      </c>
      <c r="J154" s="509"/>
      <c r="K154" s="506">
        <f>1235*2*110%</f>
        <v>2717</v>
      </c>
      <c r="L154" s="506">
        <f>K154*(1+L$3)</f>
        <v>2717</v>
      </c>
      <c r="M154" s="432" t="s">
        <v>302</v>
      </c>
    </row>
    <row r="155" spans="1:14" s="432" customFormat="1" ht="12" customHeight="1" x14ac:dyDescent="0.3">
      <c r="A155" s="530"/>
      <c r="B155" s="502"/>
      <c r="C155" s="460" t="s">
        <v>8</v>
      </c>
      <c r="D155" s="460"/>
      <c r="E155" s="540"/>
      <c r="F155" s="463">
        <v>2</v>
      </c>
      <c r="G155" s="451" t="s">
        <v>7</v>
      </c>
      <c r="H155" s="458">
        <f>CEILING(L195,0.5)</f>
        <v>160</v>
      </c>
      <c r="I155" s="464">
        <f>H155*F155</f>
        <v>320</v>
      </c>
      <c r="J155" s="509"/>
      <c r="K155" s="519"/>
      <c r="L155" s="519"/>
    </row>
    <row r="156" spans="1:14" s="432" customFormat="1" ht="12" customHeight="1" x14ac:dyDescent="0.3">
      <c r="A156" s="530"/>
      <c r="B156" s="502"/>
      <c r="C156" s="454" t="s">
        <v>105</v>
      </c>
      <c r="D156" s="520"/>
      <c r="E156" s="549"/>
      <c r="F156" s="463">
        <v>3</v>
      </c>
      <c r="G156" s="523" t="s">
        <v>1</v>
      </c>
      <c r="H156" s="458">
        <f>CEILING(L196,0.5)</f>
        <v>30</v>
      </c>
      <c r="I156" s="464">
        <f>H156*F156</f>
        <v>90</v>
      </c>
      <c r="J156" s="509"/>
      <c r="M156" s="432">
        <f>165+35*13</f>
        <v>620</v>
      </c>
      <c r="N156" s="432">
        <f>120+35*6</f>
        <v>330</v>
      </c>
    </row>
    <row r="157" spans="1:14" s="432" customFormat="1" ht="12" customHeight="1" x14ac:dyDescent="0.3">
      <c r="A157" s="530"/>
      <c r="B157" s="502" t="s">
        <v>463</v>
      </c>
      <c r="C157" s="460"/>
      <c r="D157" s="460"/>
      <c r="E157" s="540"/>
      <c r="F157" s="463"/>
      <c r="G157" s="523"/>
      <c r="H157" s="458"/>
      <c r="I157" s="464"/>
      <c r="J157" s="509"/>
      <c r="K157" s="506">
        <f>1235*110%</f>
        <v>1358.5</v>
      </c>
      <c r="L157" s="506">
        <f>K157*(1+L$3)</f>
        <v>1358.5</v>
      </c>
      <c r="M157" s="432" t="s">
        <v>303</v>
      </c>
    </row>
    <row r="158" spans="1:14" s="432" customFormat="1" ht="12" customHeight="1" x14ac:dyDescent="0.3">
      <c r="A158" s="530"/>
      <c r="B158" s="502"/>
      <c r="C158" s="460" t="s">
        <v>109</v>
      </c>
      <c r="D158" s="460"/>
      <c r="E158" s="540"/>
      <c r="F158" s="463">
        <v>2</v>
      </c>
      <c r="G158" s="451" t="s">
        <v>146</v>
      </c>
      <c r="H158" s="458">
        <v>2400</v>
      </c>
      <c r="I158" s="464">
        <f>H158*F158</f>
        <v>4800</v>
      </c>
      <c r="J158" s="509"/>
      <c r="M158" s="432">
        <f>715+40*13</f>
        <v>1235</v>
      </c>
      <c r="N158" s="432">
        <f>435+40*6</f>
        <v>675</v>
      </c>
    </row>
    <row r="159" spans="1:14" s="432" customFormat="1" ht="12" customHeight="1" x14ac:dyDescent="0.3">
      <c r="A159" s="530"/>
      <c r="B159" s="502"/>
      <c r="C159" s="460" t="s">
        <v>709</v>
      </c>
      <c r="D159" s="460"/>
      <c r="E159" s="540"/>
      <c r="F159" s="463">
        <v>8</v>
      </c>
      <c r="G159" s="451" t="s">
        <v>68</v>
      </c>
      <c r="H159" s="458">
        <v>75</v>
      </c>
      <c r="I159" s="464">
        <f>H159*F159</f>
        <v>600</v>
      </c>
      <c r="J159" s="509"/>
      <c r="K159" s="506">
        <f>675*110%</f>
        <v>742.50000000000011</v>
      </c>
      <c r="L159" s="506">
        <f>K159*(1+L$3)</f>
        <v>742.50000000000011</v>
      </c>
    </row>
    <row r="160" spans="1:14" s="432" customFormat="1" ht="12" customHeight="1" x14ac:dyDescent="0.3">
      <c r="A160" s="530"/>
      <c r="B160" s="502"/>
      <c r="C160" s="460"/>
      <c r="D160" s="460"/>
      <c r="E160" s="540"/>
      <c r="F160" s="450"/>
      <c r="G160" s="451"/>
      <c r="H160" s="458"/>
      <c r="I160" s="464"/>
      <c r="J160" s="509"/>
    </row>
    <row r="161" spans="1:11" s="432" customFormat="1" ht="12" customHeight="1" x14ac:dyDescent="0.3">
      <c r="A161" s="530"/>
      <c r="B161" s="502"/>
      <c r="C161" s="460"/>
      <c r="D161" s="460"/>
      <c r="E161" s="540"/>
      <c r="F161" s="466"/>
      <c r="G161" s="467"/>
      <c r="H161" s="468" t="s">
        <v>26</v>
      </c>
      <c r="I161" s="464">
        <f>SUM(I143:I160)</f>
        <v>63011.5</v>
      </c>
      <c r="J161" s="509"/>
    </row>
    <row r="162" spans="1:11" s="432" customFormat="1" ht="12" customHeight="1" x14ac:dyDescent="0.3">
      <c r="A162" s="530"/>
      <c r="B162" s="218"/>
      <c r="C162" s="460"/>
      <c r="D162" s="460"/>
      <c r="E162" s="540"/>
      <c r="F162" s="466"/>
      <c r="G162" s="467"/>
      <c r="H162" s="468" t="str">
        <f>"Labor Cost "&amp;TEXT(L$5,"#%")&amp;" of MC"</f>
        <v>Labor Cost 30% of MC</v>
      </c>
      <c r="I162" s="464">
        <f>L$5*I161</f>
        <v>18903.45</v>
      </c>
      <c r="J162" s="509"/>
    </row>
    <row r="163" spans="1:11" s="432" customFormat="1" ht="12" customHeight="1" x14ac:dyDescent="0.3">
      <c r="A163" s="469"/>
      <c r="B163" s="470"/>
      <c r="C163" s="471"/>
      <c r="D163" s="471"/>
      <c r="E163" s="472"/>
      <c r="F163" s="473"/>
      <c r="G163" s="474"/>
      <c r="H163" s="475" t="s">
        <v>23</v>
      </c>
      <c r="I163" s="476">
        <f>I161+I162</f>
        <v>81914.95</v>
      </c>
      <c r="J163" s="509"/>
    </row>
    <row r="164" spans="1:11" s="432" customFormat="1" ht="12" customHeight="1" x14ac:dyDescent="0.3">
      <c r="A164" s="700" t="s">
        <v>82</v>
      </c>
      <c r="B164" s="701" t="s">
        <v>75</v>
      </c>
      <c r="C164" s="702"/>
      <c r="D164" s="702"/>
      <c r="E164" s="703"/>
      <c r="F164" s="704">
        <v>221</v>
      </c>
      <c r="G164" s="705" t="s">
        <v>228</v>
      </c>
      <c r="H164" s="706"/>
      <c r="I164" s="707"/>
      <c r="J164" s="509"/>
    </row>
    <row r="165" spans="1:11" s="432" customFormat="1" ht="12" customHeight="1" x14ac:dyDescent="0.3">
      <c r="A165" s="530"/>
      <c r="B165" s="204" t="s">
        <v>22</v>
      </c>
      <c r="C165" s="460"/>
      <c r="D165" s="460"/>
      <c r="E165" s="540"/>
      <c r="F165" s="450"/>
      <c r="G165" s="451"/>
      <c r="H165" s="458"/>
      <c r="I165" s="464"/>
      <c r="J165" s="509"/>
    </row>
    <row r="166" spans="1:11" s="432" customFormat="1" ht="12" customHeight="1" x14ac:dyDescent="0.3">
      <c r="A166" s="530"/>
      <c r="B166" s="502"/>
      <c r="C166" s="460" t="s">
        <v>693</v>
      </c>
      <c r="D166" s="460"/>
      <c r="E166" s="540"/>
      <c r="F166" s="450"/>
      <c r="G166" s="451"/>
      <c r="H166" s="458"/>
      <c r="I166" s="464"/>
      <c r="J166" s="509"/>
    </row>
    <row r="167" spans="1:11" s="432" customFormat="1" ht="12" customHeight="1" x14ac:dyDescent="0.3">
      <c r="A167" s="530"/>
      <c r="B167" s="502"/>
      <c r="C167" s="460" t="s">
        <v>695</v>
      </c>
      <c r="D167" s="460"/>
      <c r="E167" s="540"/>
      <c r="F167" s="450"/>
      <c r="G167" s="451"/>
      <c r="H167" s="458"/>
      <c r="I167" s="464"/>
      <c r="J167" s="509"/>
      <c r="K167" s="432">
        <f>5.4*9.3+5.85*9.3</f>
        <v>104.625</v>
      </c>
    </row>
    <row r="168" spans="1:11" s="432" customFormat="1" ht="12" customHeight="1" x14ac:dyDescent="0.3">
      <c r="A168" s="530"/>
      <c r="B168" s="502"/>
      <c r="C168" s="460" t="s">
        <v>694</v>
      </c>
      <c r="D168" s="460"/>
      <c r="E168" s="540"/>
      <c r="F168" s="450"/>
      <c r="G168" s="451"/>
      <c r="H168" s="458"/>
      <c r="I168" s="464"/>
      <c r="J168" s="509"/>
    </row>
    <row r="169" spans="1:11" s="432" customFormat="1" ht="12" customHeight="1" x14ac:dyDescent="0.3">
      <c r="A169" s="530"/>
      <c r="B169" s="502"/>
      <c r="C169" s="460"/>
      <c r="D169" s="460"/>
      <c r="E169" s="540"/>
      <c r="F169" s="450"/>
      <c r="G169" s="451"/>
      <c r="H169" s="458"/>
      <c r="I169" s="464"/>
      <c r="J169" s="509"/>
    </row>
    <row r="170" spans="1:11" s="432" customFormat="1" ht="12" customHeight="1" x14ac:dyDescent="0.3">
      <c r="A170" s="530"/>
      <c r="B170" s="204" t="s">
        <v>25</v>
      </c>
      <c r="C170" s="460"/>
      <c r="D170" s="460"/>
      <c r="E170" s="540"/>
      <c r="F170" s="450"/>
      <c r="G170" s="451"/>
      <c r="H170" s="458"/>
      <c r="I170" s="464"/>
      <c r="J170" s="509"/>
    </row>
    <row r="171" spans="1:11" s="432" customFormat="1" ht="12" customHeight="1" x14ac:dyDescent="0.3">
      <c r="A171" s="530"/>
      <c r="B171" s="502"/>
      <c r="C171" s="460" t="s">
        <v>410</v>
      </c>
      <c r="D171" s="460"/>
      <c r="E171" s="540"/>
      <c r="F171" s="463">
        <f>F164</f>
        <v>221</v>
      </c>
      <c r="G171" s="451" t="s">
        <v>228</v>
      </c>
      <c r="H171" s="458">
        <v>260</v>
      </c>
      <c r="I171" s="464">
        <f>H171*F171</f>
        <v>57460</v>
      </c>
      <c r="J171" s="509"/>
    </row>
    <row r="172" spans="1:11" s="432" customFormat="1" ht="12" customHeight="1" x14ac:dyDescent="0.3">
      <c r="A172" s="535"/>
      <c r="B172" s="552"/>
      <c r="C172" s="512" t="s">
        <v>234</v>
      </c>
      <c r="D172" s="512"/>
      <c r="E172" s="537"/>
      <c r="F172" s="538">
        <v>19</v>
      </c>
      <c r="G172" s="515" t="s">
        <v>179</v>
      </c>
      <c r="H172" s="516">
        <f>CEILING(L214,0.5)</f>
        <v>584.5</v>
      </c>
      <c r="I172" s="539">
        <f>H172*F172</f>
        <v>11105.5</v>
      </c>
      <c r="J172" s="509"/>
    </row>
    <row r="173" spans="1:11" s="432" customFormat="1" ht="12" customHeight="1" x14ac:dyDescent="0.3">
      <c r="A173" s="530"/>
      <c r="B173" s="502"/>
      <c r="C173" s="460" t="s">
        <v>393</v>
      </c>
      <c r="D173" s="460"/>
      <c r="E173" s="540"/>
      <c r="F173" s="463">
        <v>10</v>
      </c>
      <c r="G173" s="451" t="s">
        <v>179</v>
      </c>
      <c r="H173" s="458">
        <f>CEILING(L215,0.5)</f>
        <v>584.5</v>
      </c>
      <c r="I173" s="464">
        <f>H173*F173</f>
        <v>5845</v>
      </c>
      <c r="J173" s="509"/>
    </row>
    <row r="174" spans="1:11" s="432" customFormat="1" ht="12" customHeight="1" x14ac:dyDescent="0.3">
      <c r="A174" s="530"/>
      <c r="B174" s="502"/>
      <c r="C174" s="460" t="s">
        <v>180</v>
      </c>
      <c r="D174" s="460"/>
      <c r="E174" s="540"/>
      <c r="F174" s="463">
        <v>1380</v>
      </c>
      <c r="G174" s="451" t="s">
        <v>1</v>
      </c>
      <c r="H174" s="458">
        <f t="shared" ref="H174" si="15">CEILING(L216,0.5)</f>
        <v>3</v>
      </c>
      <c r="I174" s="464">
        <f t="shared" ref="I174" si="16">H174*F174</f>
        <v>4140</v>
      </c>
      <c r="J174" s="509"/>
    </row>
    <row r="175" spans="1:11" s="432" customFormat="1" ht="12" customHeight="1" x14ac:dyDescent="0.3">
      <c r="A175" s="530"/>
      <c r="B175" s="502"/>
      <c r="C175" s="460" t="s">
        <v>229</v>
      </c>
      <c r="D175" s="460"/>
      <c r="E175" s="540"/>
      <c r="F175" s="463">
        <v>1</v>
      </c>
      <c r="G175" s="451" t="s">
        <v>146</v>
      </c>
      <c r="H175" s="458">
        <v>250</v>
      </c>
      <c r="I175" s="464">
        <f>H175*F175</f>
        <v>250</v>
      </c>
      <c r="J175" s="509"/>
    </row>
    <row r="176" spans="1:11" s="432" customFormat="1" ht="12" customHeight="1" x14ac:dyDescent="0.3">
      <c r="A176" s="530"/>
      <c r="B176" s="502"/>
      <c r="C176" s="460" t="s">
        <v>230</v>
      </c>
      <c r="D176" s="460"/>
      <c r="E176" s="540"/>
      <c r="F176" s="463">
        <v>2</v>
      </c>
      <c r="G176" s="451" t="s">
        <v>231</v>
      </c>
      <c r="H176" s="458">
        <f>CEILING(L218,0.5)</f>
        <v>408.5</v>
      </c>
      <c r="I176" s="464">
        <f>H176*F176</f>
        <v>817</v>
      </c>
      <c r="J176" s="509"/>
    </row>
    <row r="177" spans="1:15" s="432" customFormat="1" ht="12" customHeight="1" x14ac:dyDescent="0.3">
      <c r="A177" s="530"/>
      <c r="B177" s="502"/>
      <c r="C177" s="460" t="s">
        <v>232</v>
      </c>
      <c r="D177" s="460"/>
      <c r="E177" s="540"/>
      <c r="F177" s="463">
        <v>2</v>
      </c>
      <c r="G177" s="451" t="s">
        <v>233</v>
      </c>
      <c r="H177" s="458">
        <f>CEILING(L219,0.5)</f>
        <v>322</v>
      </c>
      <c r="I177" s="464">
        <f>H177*F177</f>
        <v>644</v>
      </c>
      <c r="J177" s="509"/>
      <c r="K177" s="506">
        <v>1005</v>
      </c>
      <c r="L177" s="506">
        <f>K177*(1+L$3)+112.5</f>
        <v>1117.5</v>
      </c>
      <c r="M177" s="432">
        <f>(9.3*2)*4/6</f>
        <v>12.4</v>
      </c>
    </row>
    <row r="178" spans="1:15" s="432" customFormat="1" ht="12" customHeight="1" x14ac:dyDescent="0.3">
      <c r="A178" s="530"/>
      <c r="B178" s="502"/>
      <c r="C178" s="460"/>
      <c r="D178" s="460"/>
      <c r="E178" s="540"/>
      <c r="F178" s="450"/>
      <c r="G178" s="451"/>
      <c r="H178" s="458"/>
      <c r="I178" s="464"/>
      <c r="J178" s="509"/>
      <c r="K178" s="506"/>
      <c r="L178" s="506"/>
    </row>
    <row r="179" spans="1:15" s="432" customFormat="1" ht="12" customHeight="1" x14ac:dyDescent="0.3">
      <c r="A179" s="530"/>
      <c r="B179" s="502"/>
      <c r="C179" s="460"/>
      <c r="D179" s="460"/>
      <c r="E179" s="540"/>
      <c r="F179" s="466"/>
      <c r="G179" s="467"/>
      <c r="H179" s="468" t="s">
        <v>26</v>
      </c>
      <c r="I179" s="464">
        <f>SUM(I171:I178)</f>
        <v>80261.5</v>
      </c>
      <c r="J179" s="509"/>
      <c r="K179" s="506">
        <v>620</v>
      </c>
      <c r="L179" s="506">
        <f>K179*(1+L$3)+93</f>
        <v>713</v>
      </c>
      <c r="M179" s="551">
        <f>(16*5.4+16*5.9)/6</f>
        <v>30.133333333333336</v>
      </c>
    </row>
    <row r="180" spans="1:15" s="432" customFormat="1" ht="12" customHeight="1" x14ac:dyDescent="0.3">
      <c r="A180" s="530"/>
      <c r="B180" s="502"/>
      <c r="C180" s="460"/>
      <c r="D180" s="460"/>
      <c r="E180" s="540"/>
      <c r="F180" s="466"/>
      <c r="G180" s="467"/>
      <c r="H180" s="468" t="str">
        <f>"Labor Cost "&amp;TEXT(L$5,"#%")&amp;" of MC"</f>
        <v>Labor Cost 30% of MC</v>
      </c>
      <c r="I180" s="464">
        <f>L$5*I179</f>
        <v>24078.45</v>
      </c>
      <c r="J180" s="509"/>
      <c r="K180" s="506">
        <v>194</v>
      </c>
      <c r="L180" s="506">
        <f>K180*(1+L$3)+29.1</f>
        <v>223.1</v>
      </c>
    </row>
    <row r="181" spans="1:15" s="432" customFormat="1" ht="12" customHeight="1" x14ac:dyDescent="0.3">
      <c r="A181" s="469"/>
      <c r="B181" s="470"/>
      <c r="C181" s="471"/>
      <c r="D181" s="471"/>
      <c r="E181" s="472"/>
      <c r="F181" s="473"/>
      <c r="G181" s="474"/>
      <c r="H181" s="475" t="s">
        <v>23</v>
      </c>
      <c r="I181" s="476">
        <f>I179+I180</f>
        <v>104339.95</v>
      </c>
      <c r="J181" s="509"/>
      <c r="K181" s="506">
        <v>433.5</v>
      </c>
      <c r="L181" s="506">
        <f>K181*(1+L$3)+65.03</f>
        <v>498.53</v>
      </c>
      <c r="M181" s="432">
        <f>5.4*2+9.3*2+5.85*2+9.3*2</f>
        <v>59.7</v>
      </c>
      <c r="N181" s="432">
        <f>M181*2</f>
        <v>119.4</v>
      </c>
      <c r="O181" s="432">
        <f>N181/6</f>
        <v>19.900000000000002</v>
      </c>
    </row>
    <row r="182" spans="1:15" s="432" customFormat="1" ht="12" customHeight="1" x14ac:dyDescent="0.3">
      <c r="A182" s="709" t="s">
        <v>88</v>
      </c>
      <c r="B182" s="710" t="s">
        <v>30</v>
      </c>
      <c r="C182" s="702"/>
      <c r="D182" s="702"/>
      <c r="E182" s="703"/>
      <c r="F182" s="704">
        <v>352.21</v>
      </c>
      <c r="G182" s="705" t="s">
        <v>76</v>
      </c>
      <c r="H182" s="706"/>
      <c r="I182" s="707"/>
      <c r="J182" s="509"/>
      <c r="K182" s="506">
        <v>135</v>
      </c>
      <c r="L182" s="506">
        <f>K182*(1+L$3)+20.25</f>
        <v>155.25</v>
      </c>
      <c r="N182" s="432">
        <f>M181/0.3</f>
        <v>199.00000000000003</v>
      </c>
      <c r="O182" s="432">
        <f>N182*0.25/6</f>
        <v>8.2916666666666679</v>
      </c>
    </row>
    <row r="183" spans="1:15" s="432" customFormat="1" ht="12" customHeight="1" x14ac:dyDescent="0.3">
      <c r="A183" s="708"/>
      <c r="B183" s="204" t="s">
        <v>22</v>
      </c>
      <c r="C183" s="460"/>
      <c r="D183" s="460"/>
      <c r="E183" s="465"/>
      <c r="F183" s="485"/>
      <c r="G183" s="554"/>
      <c r="H183" s="555"/>
      <c r="I183" s="464"/>
    </row>
    <row r="184" spans="1:15" s="432" customFormat="1" ht="12" customHeight="1" x14ac:dyDescent="0.3">
      <c r="A184" s="708"/>
      <c r="B184" s="204"/>
      <c r="C184" s="448" t="s">
        <v>683</v>
      </c>
      <c r="D184" s="448"/>
      <c r="E184" s="465"/>
      <c r="F184" s="485"/>
      <c r="G184" s="554"/>
      <c r="H184" s="555"/>
      <c r="I184" s="464"/>
      <c r="J184" s="509"/>
      <c r="K184" s="506">
        <v>1600</v>
      </c>
      <c r="L184" s="506">
        <f>K184*(1+L$3)</f>
        <v>1600</v>
      </c>
      <c r="M184" s="505">
        <f>((4*2)*2+0.9*6+(2+0.4)*2+0.9*3)/6</f>
        <v>4.8166666666666664</v>
      </c>
    </row>
    <row r="185" spans="1:15" s="432" customFormat="1" ht="12" customHeight="1" x14ac:dyDescent="0.3">
      <c r="A185" s="708"/>
      <c r="B185" s="204"/>
      <c r="C185" s="448" t="s">
        <v>682</v>
      </c>
      <c r="D185" s="448"/>
      <c r="E185" s="465"/>
      <c r="F185" s="485"/>
      <c r="G185" s="554"/>
      <c r="H185" s="555"/>
      <c r="I185" s="464"/>
      <c r="J185" s="509"/>
      <c r="K185" s="506">
        <v>120</v>
      </c>
      <c r="L185" s="506">
        <f>K185*(1+L$3)</f>
        <v>120</v>
      </c>
    </row>
    <row r="186" spans="1:15" s="432" customFormat="1" ht="12" customHeight="1" x14ac:dyDescent="0.3">
      <c r="A186" s="708"/>
      <c r="B186" s="204"/>
      <c r="C186" s="448" t="s">
        <v>684</v>
      </c>
      <c r="D186" s="448"/>
      <c r="E186" s="465"/>
      <c r="F186" s="485"/>
      <c r="G186" s="554"/>
      <c r="H186" s="555"/>
      <c r="I186" s="464"/>
      <c r="J186" s="509"/>
      <c r="K186" s="506">
        <v>90</v>
      </c>
      <c r="L186" s="506">
        <f>K186*(1+L$3)</f>
        <v>90</v>
      </c>
    </row>
    <row r="187" spans="1:15" s="432" customFormat="1" ht="12" customHeight="1" x14ac:dyDescent="0.3">
      <c r="A187" s="530"/>
      <c r="B187" s="204" t="s">
        <v>25</v>
      </c>
      <c r="C187" s="460"/>
      <c r="D187" s="460"/>
      <c r="E187" s="465"/>
      <c r="F187" s="485"/>
      <c r="G187" s="554"/>
      <c r="H187" s="555"/>
      <c r="I187" s="464"/>
      <c r="J187" s="509"/>
    </row>
    <row r="188" spans="1:15" s="432" customFormat="1" ht="12" customHeight="1" x14ac:dyDescent="0.3">
      <c r="A188" s="530"/>
      <c r="B188" s="502" t="s">
        <v>79</v>
      </c>
      <c r="C188" s="518" t="s">
        <v>685</v>
      </c>
      <c r="D188" s="518"/>
      <c r="E188" s="465"/>
      <c r="F188" s="485"/>
      <c r="G188" s="554"/>
      <c r="H188" s="555"/>
      <c r="I188" s="464"/>
      <c r="J188" s="509"/>
    </row>
    <row r="189" spans="1:15" s="432" customFormat="1" ht="12" customHeight="1" x14ac:dyDescent="0.3">
      <c r="A189" s="530"/>
      <c r="B189" s="502"/>
      <c r="C189" s="518" t="s">
        <v>577</v>
      </c>
      <c r="D189" s="518"/>
      <c r="E189" s="465"/>
      <c r="F189" s="485"/>
      <c r="G189" s="554"/>
      <c r="H189" s="555"/>
      <c r="I189" s="464"/>
      <c r="J189" s="509"/>
    </row>
    <row r="190" spans="1:15" s="432" customFormat="1" ht="12" customHeight="1" x14ac:dyDescent="0.3">
      <c r="A190" s="530"/>
      <c r="B190" s="502"/>
      <c r="C190" s="518" t="s">
        <v>445</v>
      </c>
      <c r="D190" s="518"/>
      <c r="E190" s="465"/>
      <c r="F190" s="485"/>
      <c r="G190" s="554"/>
      <c r="H190" s="555"/>
      <c r="I190" s="464"/>
      <c r="J190" s="509"/>
    </row>
    <row r="191" spans="1:15" s="432" customFormat="1" ht="12" customHeight="1" x14ac:dyDescent="0.3">
      <c r="A191" s="530"/>
      <c r="B191" s="204"/>
      <c r="C191" s="448" t="s">
        <v>688</v>
      </c>
      <c r="D191" s="448"/>
      <c r="E191" s="465"/>
      <c r="F191" s="463">
        <v>510</v>
      </c>
      <c r="G191" s="554" t="s">
        <v>1</v>
      </c>
      <c r="H191" s="555">
        <v>20</v>
      </c>
      <c r="I191" s="464">
        <f t="shared" ref="I191:I200" si="17">H191*F191</f>
        <v>10200</v>
      </c>
      <c r="J191" s="509"/>
    </row>
    <row r="192" spans="1:15" s="432" customFormat="1" ht="12" customHeight="1" x14ac:dyDescent="0.3">
      <c r="A192" s="530"/>
      <c r="B192" s="204"/>
      <c r="C192" s="448" t="s">
        <v>687</v>
      </c>
      <c r="D192" s="448"/>
      <c r="E192" s="465"/>
      <c r="F192" s="463">
        <v>856</v>
      </c>
      <c r="G192" s="554" t="s">
        <v>1</v>
      </c>
      <c r="H192" s="555">
        <v>25</v>
      </c>
      <c r="I192" s="464">
        <f t="shared" si="17"/>
        <v>21400</v>
      </c>
      <c r="J192" s="509"/>
    </row>
    <row r="193" spans="1:15" s="432" customFormat="1" ht="12" customHeight="1" x14ac:dyDescent="0.3">
      <c r="A193" s="530"/>
      <c r="B193" s="204"/>
      <c r="C193" s="448" t="s">
        <v>686</v>
      </c>
      <c r="D193" s="448"/>
      <c r="E193" s="465"/>
      <c r="F193" s="463">
        <v>60</v>
      </c>
      <c r="G193" s="554" t="s">
        <v>1</v>
      </c>
      <c r="H193" s="458">
        <v>20</v>
      </c>
      <c r="I193" s="464">
        <f t="shared" si="17"/>
        <v>1200</v>
      </c>
      <c r="J193" s="509"/>
    </row>
    <row r="194" spans="1:15" s="432" customFormat="1" ht="12" customHeight="1" x14ac:dyDescent="0.3">
      <c r="A194" s="530"/>
      <c r="B194" s="204"/>
      <c r="C194" s="448" t="s">
        <v>690</v>
      </c>
      <c r="D194" s="448"/>
      <c r="E194" s="465"/>
      <c r="F194" s="463">
        <v>772</v>
      </c>
      <c r="G194" s="554" t="s">
        <v>1</v>
      </c>
      <c r="H194" s="458">
        <v>180</v>
      </c>
      <c r="I194" s="464">
        <f>H194*F194</f>
        <v>138960</v>
      </c>
      <c r="J194" s="509"/>
      <c r="K194" s="506">
        <v>440</v>
      </c>
      <c r="L194" s="506">
        <f>K194*(1+L$3)</f>
        <v>440</v>
      </c>
      <c r="N194" s="432" t="e">
        <f>#REF!*(0.064*4)*6+F143*(0.05+0.1+0.05+0.05+0.1+0.05)*6+F145*(0.035*4)*6+F146*(0.025*2)*6+F144*(0.075)*6+F148*(0.3)*6</f>
        <v>#REF!</v>
      </c>
      <c r="O194" s="432" t="e">
        <f>N194/25</f>
        <v>#REF!</v>
      </c>
    </row>
    <row r="195" spans="1:15" s="432" customFormat="1" ht="12" customHeight="1" x14ac:dyDescent="0.3">
      <c r="A195" s="530"/>
      <c r="B195" s="204"/>
      <c r="C195" s="448" t="s">
        <v>689</v>
      </c>
      <c r="D195" s="448"/>
      <c r="E195" s="465"/>
      <c r="F195" s="463">
        <v>3</v>
      </c>
      <c r="G195" s="554" t="s">
        <v>1</v>
      </c>
      <c r="H195" s="458">
        <v>200</v>
      </c>
      <c r="I195" s="464">
        <f>H195*F195</f>
        <v>600</v>
      </c>
      <c r="J195" s="509"/>
      <c r="K195" s="506">
        <v>160</v>
      </c>
      <c r="L195" s="506">
        <f>K195*(1+L$3)</f>
        <v>160</v>
      </c>
    </row>
    <row r="196" spans="1:15" s="432" customFormat="1" ht="12" customHeight="1" x14ac:dyDescent="0.3">
      <c r="A196" s="530"/>
      <c r="B196" s="204"/>
      <c r="C196" s="448" t="s">
        <v>3</v>
      </c>
      <c r="D196" s="448"/>
      <c r="E196" s="465"/>
      <c r="F196" s="463">
        <v>25</v>
      </c>
      <c r="G196" s="554" t="s">
        <v>2</v>
      </c>
      <c r="H196" s="458">
        <f>CEILING(L246,0.5)</f>
        <v>255</v>
      </c>
      <c r="I196" s="464">
        <f t="shared" si="17"/>
        <v>6375</v>
      </c>
      <c r="J196" s="509"/>
      <c r="K196" s="506">
        <v>30</v>
      </c>
      <c r="L196" s="506">
        <f>K196*(1+L$3)</f>
        <v>30</v>
      </c>
    </row>
    <row r="197" spans="1:15" s="432" customFormat="1" ht="12" customHeight="1" x14ac:dyDescent="0.3">
      <c r="A197" s="530"/>
      <c r="B197" s="204"/>
      <c r="C197" s="448" t="s">
        <v>65</v>
      </c>
      <c r="D197" s="448"/>
      <c r="E197" s="465"/>
      <c r="F197" s="463">
        <v>1</v>
      </c>
      <c r="G197" s="554" t="s">
        <v>4</v>
      </c>
      <c r="H197" s="458">
        <f>CEILING(L247,0.5)</f>
        <v>1200</v>
      </c>
      <c r="I197" s="464">
        <f t="shared" si="17"/>
        <v>1200</v>
      </c>
      <c r="J197" s="509"/>
    </row>
    <row r="198" spans="1:15" s="432" customFormat="1" ht="12" customHeight="1" x14ac:dyDescent="0.3">
      <c r="A198" s="530"/>
      <c r="B198" s="204"/>
      <c r="C198" s="448" t="s">
        <v>158</v>
      </c>
      <c r="D198" s="448"/>
      <c r="E198" s="465"/>
      <c r="F198" s="463">
        <v>10</v>
      </c>
      <c r="G198" s="554" t="s">
        <v>5</v>
      </c>
      <c r="H198" s="458">
        <f>CEILING(L248,0.5)</f>
        <v>50</v>
      </c>
      <c r="I198" s="464">
        <f t="shared" si="17"/>
        <v>500</v>
      </c>
      <c r="J198" s="509"/>
      <c r="K198" s="506">
        <v>2450</v>
      </c>
      <c r="L198" s="506">
        <f>K198*(1+L$3)</f>
        <v>2450</v>
      </c>
    </row>
    <row r="199" spans="1:15" s="432" customFormat="1" ht="12" customHeight="1" x14ac:dyDescent="0.3">
      <c r="A199" s="530"/>
      <c r="B199" s="204"/>
      <c r="C199" s="448" t="s">
        <v>159</v>
      </c>
      <c r="D199" s="448"/>
      <c r="E199" s="465"/>
      <c r="F199" s="463">
        <v>9</v>
      </c>
      <c r="G199" s="554" t="s">
        <v>219</v>
      </c>
      <c r="H199" s="458">
        <f>CEILING(L249,0.5)</f>
        <v>460</v>
      </c>
      <c r="I199" s="464">
        <f t="shared" si="17"/>
        <v>4140</v>
      </c>
      <c r="J199" s="509"/>
      <c r="K199" s="506">
        <v>144</v>
      </c>
      <c r="L199" s="506">
        <f>K199*(1+L$3)</f>
        <v>144</v>
      </c>
    </row>
    <row r="200" spans="1:15" s="432" customFormat="1" ht="12" customHeight="1" x14ac:dyDescent="0.3">
      <c r="A200" s="530"/>
      <c r="B200" s="204"/>
      <c r="C200" s="448" t="s">
        <v>240</v>
      </c>
      <c r="D200" s="448"/>
      <c r="E200" s="465"/>
      <c r="F200" s="463">
        <v>20</v>
      </c>
      <c r="G200" s="554" t="s">
        <v>226</v>
      </c>
      <c r="H200" s="458">
        <f>CEILING(L250,0.5)</f>
        <v>45</v>
      </c>
      <c r="I200" s="464">
        <f t="shared" si="17"/>
        <v>900</v>
      </c>
      <c r="J200" s="509"/>
      <c r="K200" s="506">
        <v>120</v>
      </c>
      <c r="L200" s="506">
        <f>K200*(1+L$3)</f>
        <v>120</v>
      </c>
    </row>
    <row r="201" spans="1:15" s="432" customFormat="1" ht="12" customHeight="1" x14ac:dyDescent="0.3">
      <c r="A201" s="530"/>
      <c r="B201" s="204"/>
      <c r="C201" s="448"/>
      <c r="D201" s="448"/>
      <c r="E201" s="465"/>
      <c r="F201" s="450"/>
      <c r="G201" s="554"/>
      <c r="H201" s="555"/>
      <c r="I201" s="464"/>
      <c r="J201" s="509"/>
    </row>
    <row r="202" spans="1:15" s="432" customFormat="1" ht="12" customHeight="1" x14ac:dyDescent="0.3">
      <c r="A202" s="530"/>
      <c r="B202" s="204"/>
      <c r="C202" s="460"/>
      <c r="D202" s="460"/>
      <c r="E202" s="465"/>
      <c r="F202" s="466"/>
      <c r="G202" s="467"/>
      <c r="H202" s="468" t="s">
        <v>26</v>
      </c>
      <c r="I202" s="464">
        <f>SUM(I191:I201)</f>
        <v>185475</v>
      </c>
      <c r="J202" s="509"/>
    </row>
    <row r="203" spans="1:15" s="432" customFormat="1" ht="12" customHeight="1" x14ac:dyDescent="0.3">
      <c r="A203" s="530"/>
      <c r="B203" s="568"/>
      <c r="C203" s="460"/>
      <c r="D203" s="460"/>
      <c r="E203" s="465"/>
      <c r="F203" s="466"/>
      <c r="G203" s="467"/>
      <c r="H203" s="468" t="str">
        <f>"Labor Cost "&amp;TEXT(L$5,"#%")&amp;" of MC"</f>
        <v>Labor Cost 30% of MC</v>
      </c>
      <c r="I203" s="464">
        <f>L$5*I202</f>
        <v>55642.5</v>
      </c>
      <c r="J203" s="509"/>
    </row>
    <row r="204" spans="1:15" s="432" customFormat="1" ht="12" customHeight="1" x14ac:dyDescent="0.3">
      <c r="A204" s="569"/>
      <c r="B204" s="570"/>
      <c r="C204" s="571"/>
      <c r="D204" s="571"/>
      <c r="E204" s="572"/>
      <c r="F204" s="473"/>
      <c r="G204" s="474"/>
      <c r="H204" s="475" t="s">
        <v>23</v>
      </c>
      <c r="I204" s="476">
        <f>I202+I203</f>
        <v>241117.5</v>
      </c>
      <c r="J204" s="509"/>
    </row>
    <row r="205" spans="1:15" s="432" customFormat="1" ht="12" customHeight="1" x14ac:dyDescent="0.3">
      <c r="A205" s="700" t="s">
        <v>95</v>
      </c>
      <c r="B205" s="701" t="s">
        <v>589</v>
      </c>
      <c r="C205" s="702"/>
      <c r="D205" s="702"/>
      <c r="E205" s="703"/>
      <c r="F205" s="712">
        <v>27</v>
      </c>
      <c r="G205" s="711" t="s">
        <v>4</v>
      </c>
      <c r="H205" s="713"/>
      <c r="I205" s="714"/>
      <c r="J205" s="509"/>
    </row>
    <row r="206" spans="1:15" s="432" customFormat="1" ht="12" customHeight="1" x14ac:dyDescent="0.3">
      <c r="A206" s="447"/>
      <c r="B206" s="254" t="s">
        <v>22</v>
      </c>
      <c r="C206" s="499"/>
      <c r="D206" s="499"/>
      <c r="E206" s="576"/>
      <c r="F206" s="577"/>
      <c r="G206" s="451"/>
      <c r="H206" s="578"/>
      <c r="I206" s="579"/>
      <c r="J206" s="509"/>
    </row>
    <row r="207" spans="1:15" s="432" customFormat="1" ht="12" customHeight="1" x14ac:dyDescent="0.3">
      <c r="A207" s="447"/>
      <c r="B207" s="218" t="s">
        <v>692</v>
      </c>
      <c r="C207" s="448"/>
      <c r="D207" s="448"/>
      <c r="E207" s="449"/>
      <c r="F207" s="577"/>
      <c r="G207" s="451"/>
      <c r="H207" s="578"/>
      <c r="I207" s="579"/>
      <c r="J207" s="509"/>
    </row>
    <row r="208" spans="1:15" s="432" customFormat="1" ht="12" customHeight="1" x14ac:dyDescent="0.3">
      <c r="A208" s="447"/>
      <c r="B208" s="218" t="s">
        <v>142</v>
      </c>
      <c r="C208" s="448"/>
      <c r="D208" s="448"/>
      <c r="E208" s="449"/>
      <c r="F208" s="577"/>
      <c r="G208" s="451"/>
      <c r="H208" s="578"/>
      <c r="I208" s="579"/>
      <c r="J208" s="509"/>
    </row>
    <row r="209" spans="1:15" s="432" customFormat="1" ht="12" customHeight="1" x14ac:dyDescent="0.3">
      <c r="A209" s="447"/>
      <c r="B209" s="218" t="s">
        <v>143</v>
      </c>
      <c r="C209" s="448"/>
      <c r="D209" s="448"/>
      <c r="E209" s="449"/>
      <c r="F209" s="577"/>
      <c r="G209" s="451"/>
      <c r="H209" s="578"/>
      <c r="I209" s="579"/>
      <c r="J209" s="509"/>
    </row>
    <row r="210" spans="1:15" s="432" customFormat="1" ht="12" customHeight="1" x14ac:dyDescent="0.3">
      <c r="A210" s="259"/>
      <c r="B210" s="502" t="s">
        <v>79</v>
      </c>
      <c r="C210" s="561" t="s">
        <v>426</v>
      </c>
      <c r="D210" s="448"/>
      <c r="E210" s="449"/>
      <c r="F210" s="577"/>
      <c r="G210" s="260"/>
      <c r="H210" s="260"/>
      <c r="I210" s="261"/>
      <c r="J210" s="509"/>
    </row>
    <row r="211" spans="1:15" s="432" customFormat="1" ht="12" customHeight="1" x14ac:dyDescent="0.3">
      <c r="A211" s="447"/>
      <c r="B211" s="204"/>
      <c r="C211" s="561" t="s">
        <v>427</v>
      </c>
      <c r="D211" s="448"/>
      <c r="E211" s="449"/>
      <c r="F211" s="577"/>
      <c r="G211" s="260"/>
      <c r="H211" s="260"/>
      <c r="I211" s="261"/>
      <c r="J211" s="509"/>
    </row>
    <row r="212" spans="1:15" s="432" customFormat="1" ht="12" customHeight="1" x14ac:dyDescent="0.3">
      <c r="A212" s="447"/>
      <c r="B212" s="204"/>
      <c r="C212" s="561" t="s">
        <v>583</v>
      </c>
      <c r="D212" s="448"/>
      <c r="E212" s="449"/>
      <c r="F212" s="577"/>
      <c r="G212" s="260"/>
      <c r="H212" s="260"/>
      <c r="I212" s="261"/>
      <c r="J212" s="509"/>
      <c r="L212" s="556">
        <v>-0.2</v>
      </c>
      <c r="M212" s="432">
        <f>5.4/1.05</f>
        <v>5.1428571428571432</v>
      </c>
      <c r="N212" s="557">
        <f>5*9.3</f>
        <v>46.5</v>
      </c>
      <c r="O212" s="558"/>
    </row>
    <row r="213" spans="1:15" s="432" customFormat="1" ht="12" customHeight="1" x14ac:dyDescent="0.3">
      <c r="A213" s="447"/>
      <c r="B213" s="204"/>
      <c r="C213" s="561" t="s">
        <v>429</v>
      </c>
      <c r="D213" s="448"/>
      <c r="E213" s="449"/>
      <c r="F213" s="577"/>
      <c r="G213" s="260"/>
      <c r="H213" s="260"/>
      <c r="I213" s="261"/>
      <c r="J213" s="509"/>
      <c r="K213" s="506">
        <v>520</v>
      </c>
      <c r="L213" s="506">
        <f>K213*(1+L$212)+62.4</f>
        <v>478.4</v>
      </c>
      <c r="M213" s="432">
        <f>5.85/1.05</f>
        <v>5.5714285714285712</v>
      </c>
      <c r="N213" s="557">
        <f>5.5*9.3</f>
        <v>51.150000000000006</v>
      </c>
      <c r="O213" s="558">
        <f>N212+N213</f>
        <v>97.65</v>
      </c>
    </row>
    <row r="214" spans="1:15" s="432" customFormat="1" ht="12" customHeight="1" x14ac:dyDescent="0.3">
      <c r="A214" s="447"/>
      <c r="B214" s="204"/>
      <c r="C214" s="561"/>
      <c r="D214" s="448"/>
      <c r="E214" s="449"/>
      <c r="F214" s="577"/>
      <c r="G214" s="260"/>
      <c r="H214" s="260"/>
      <c r="I214" s="261"/>
      <c r="J214" s="509"/>
      <c r="K214" s="506">
        <v>635</v>
      </c>
      <c r="L214" s="506">
        <f>K214*(1+L$212)+76.2</f>
        <v>584.20000000000005</v>
      </c>
      <c r="M214" s="432">
        <f>6.8*3.28</f>
        <v>22.303999999999998</v>
      </c>
      <c r="N214" s="557">
        <f>M214/8</f>
        <v>2.7879999999999998</v>
      </c>
      <c r="O214" s="558"/>
    </row>
    <row r="215" spans="1:15" s="432" customFormat="1" ht="12" customHeight="1" x14ac:dyDescent="0.3">
      <c r="A215" s="447"/>
      <c r="B215" s="254" t="s">
        <v>25</v>
      </c>
      <c r="C215" s="448"/>
      <c r="D215" s="448"/>
      <c r="E215" s="449"/>
      <c r="F215" s="577"/>
      <c r="G215" s="451"/>
      <c r="H215" s="578"/>
      <c r="I215" s="579"/>
      <c r="J215" s="509"/>
      <c r="K215" s="506">
        <v>635</v>
      </c>
      <c r="L215" s="506">
        <f>K215*(1+L$212)+76.2</f>
        <v>584.20000000000005</v>
      </c>
      <c r="M215" s="432">
        <f>5.4*2+9.3*2+5.85*2+9.3*2</f>
        <v>59.7</v>
      </c>
      <c r="N215" s="432">
        <f>M215*3.28</f>
        <v>195.816</v>
      </c>
      <c r="O215" s="432">
        <f>N215/8</f>
        <v>24.477</v>
      </c>
    </row>
    <row r="216" spans="1:15" s="432" customFormat="1" ht="12" customHeight="1" x14ac:dyDescent="0.3">
      <c r="A216" s="447"/>
      <c r="B216" s="218"/>
      <c r="C216" s="460" t="s">
        <v>3</v>
      </c>
      <c r="D216" s="460"/>
      <c r="E216" s="500"/>
      <c r="F216" s="463">
        <v>45</v>
      </c>
      <c r="G216" s="451" t="s">
        <v>2</v>
      </c>
      <c r="H216" s="458">
        <f>L267</f>
        <v>265</v>
      </c>
      <c r="I216" s="579">
        <f t="shared" ref="I216:I224" si="18">H216*F216</f>
        <v>11925</v>
      </c>
      <c r="J216" s="509"/>
      <c r="K216" s="506">
        <v>2.25</v>
      </c>
      <c r="L216" s="506">
        <f>K216*(1+L$3)+0.38</f>
        <v>2.63</v>
      </c>
    </row>
    <row r="217" spans="1:15" s="432" customFormat="1" ht="12" customHeight="1" x14ac:dyDescent="0.3">
      <c r="A217" s="447"/>
      <c r="B217" s="218"/>
      <c r="C217" s="448" t="s">
        <v>73</v>
      </c>
      <c r="D217" s="448"/>
      <c r="E217" s="500"/>
      <c r="F217" s="463">
        <v>2.5</v>
      </c>
      <c r="G217" s="451" t="s">
        <v>4</v>
      </c>
      <c r="H217" s="458">
        <f t="shared" ref="H217:H222" si="19">CEILING(L268,0.5)</f>
        <v>900</v>
      </c>
      <c r="I217" s="579">
        <f t="shared" si="18"/>
        <v>2250</v>
      </c>
      <c r="J217" s="509"/>
      <c r="K217" s="506">
        <v>1</v>
      </c>
      <c r="L217" s="506">
        <f>K217*(1+L$3)+0.15</f>
        <v>1.1499999999999999</v>
      </c>
    </row>
    <row r="218" spans="1:15" s="432" customFormat="1" ht="12" customHeight="1" x14ac:dyDescent="0.3">
      <c r="A218" s="447"/>
      <c r="B218" s="218"/>
      <c r="C218" s="448" t="s">
        <v>67</v>
      </c>
      <c r="D218" s="448"/>
      <c r="E218" s="500"/>
      <c r="F218" s="463">
        <v>2</v>
      </c>
      <c r="G218" s="451" t="s">
        <v>4</v>
      </c>
      <c r="H218" s="458">
        <f t="shared" si="19"/>
        <v>900</v>
      </c>
      <c r="I218" s="579">
        <f t="shared" si="18"/>
        <v>1800</v>
      </c>
      <c r="J218" s="509"/>
      <c r="K218" s="506">
        <v>355</v>
      </c>
      <c r="L218" s="506">
        <f>K218*(1+L$3)+53.25</f>
        <v>408.25</v>
      </c>
    </row>
    <row r="219" spans="1:15" s="432" customFormat="1" ht="12" customHeight="1" x14ac:dyDescent="0.3">
      <c r="A219" s="447"/>
      <c r="B219" s="218"/>
      <c r="C219" s="448" t="s">
        <v>70</v>
      </c>
      <c r="D219" s="448"/>
      <c r="E219" s="500"/>
      <c r="F219" s="463">
        <v>4</v>
      </c>
      <c r="G219" s="451" t="s">
        <v>0</v>
      </c>
      <c r="H219" s="458">
        <f t="shared" si="19"/>
        <v>58</v>
      </c>
      <c r="I219" s="579">
        <f t="shared" si="18"/>
        <v>232</v>
      </c>
      <c r="J219" s="509"/>
      <c r="K219" s="506">
        <v>280</v>
      </c>
      <c r="L219" s="506">
        <f>K219*(1+L$3)+42</f>
        <v>322</v>
      </c>
    </row>
    <row r="220" spans="1:15" s="432" customFormat="1" ht="12" customHeight="1" x14ac:dyDescent="0.3">
      <c r="A220" s="447"/>
      <c r="B220" s="218"/>
      <c r="C220" s="448" t="s">
        <v>189</v>
      </c>
      <c r="D220" s="448"/>
      <c r="E220" s="500"/>
      <c r="F220" s="463">
        <v>32</v>
      </c>
      <c r="G220" s="451" t="s">
        <v>1</v>
      </c>
      <c r="H220" s="458">
        <f t="shared" si="19"/>
        <v>134</v>
      </c>
      <c r="I220" s="579">
        <f t="shared" si="18"/>
        <v>4288</v>
      </c>
      <c r="J220" s="559"/>
      <c r="K220" s="519"/>
      <c r="L220" s="519"/>
    </row>
    <row r="221" spans="1:15" s="432" customFormat="1" ht="12" customHeight="1" x14ac:dyDescent="0.3">
      <c r="A221" s="510"/>
      <c r="B221" s="511"/>
      <c r="C221" s="586" t="s">
        <v>704</v>
      </c>
      <c r="D221" s="586"/>
      <c r="E221" s="587"/>
      <c r="F221" s="538">
        <v>15</v>
      </c>
      <c r="G221" s="515" t="s">
        <v>1</v>
      </c>
      <c r="H221" s="516">
        <f t="shared" si="19"/>
        <v>194</v>
      </c>
      <c r="I221" s="588">
        <f t="shared" si="18"/>
        <v>2910</v>
      </c>
      <c r="J221" s="560"/>
    </row>
    <row r="222" spans="1:15" s="432" customFormat="1" ht="12" customHeight="1" x14ac:dyDescent="0.3">
      <c r="A222" s="447"/>
      <c r="B222" s="218"/>
      <c r="C222" s="448" t="s">
        <v>74</v>
      </c>
      <c r="D222" s="448"/>
      <c r="E222" s="500"/>
      <c r="F222" s="463">
        <v>1</v>
      </c>
      <c r="G222" s="451" t="s">
        <v>68</v>
      </c>
      <c r="H222" s="458">
        <f t="shared" si="19"/>
        <v>55</v>
      </c>
      <c r="I222" s="579">
        <f t="shared" si="18"/>
        <v>55</v>
      </c>
    </row>
    <row r="223" spans="1:15" s="432" customFormat="1" ht="12" customHeight="1" x14ac:dyDescent="0.3">
      <c r="A223" s="447"/>
      <c r="B223" s="218"/>
      <c r="C223" s="448" t="s">
        <v>148</v>
      </c>
      <c r="D223" s="448"/>
      <c r="E223" s="500"/>
      <c r="F223" s="463">
        <v>542</v>
      </c>
      <c r="G223" s="451" t="s">
        <v>1</v>
      </c>
      <c r="H223" s="458">
        <v>10</v>
      </c>
      <c r="I223" s="579">
        <f t="shared" si="18"/>
        <v>5420</v>
      </c>
    </row>
    <row r="224" spans="1:15" s="432" customFormat="1" ht="12" customHeight="1" x14ac:dyDescent="0.3">
      <c r="A224" s="447"/>
      <c r="B224" s="218"/>
      <c r="C224" s="448" t="s">
        <v>139</v>
      </c>
      <c r="D224" s="448"/>
      <c r="E224" s="500"/>
      <c r="F224" s="463">
        <v>10</v>
      </c>
      <c r="G224" s="451" t="s">
        <v>140</v>
      </c>
      <c r="H224" s="458">
        <f>CEILING(L275,0.5)</f>
        <v>30</v>
      </c>
      <c r="I224" s="579">
        <f t="shared" si="18"/>
        <v>300</v>
      </c>
    </row>
    <row r="225" spans="1:18" s="432" customFormat="1" ht="12" customHeight="1" x14ac:dyDescent="0.3">
      <c r="A225" s="447"/>
      <c r="B225" s="218"/>
      <c r="C225" s="448"/>
      <c r="D225" s="448"/>
      <c r="E225" s="500"/>
      <c r="F225" s="589"/>
      <c r="G225" s="451"/>
      <c r="H225" s="458"/>
      <c r="I225" s="579"/>
    </row>
    <row r="226" spans="1:18" s="432" customFormat="1" ht="12" customHeight="1" x14ac:dyDescent="0.3">
      <c r="A226" s="447"/>
      <c r="B226" s="218"/>
      <c r="C226" s="448"/>
      <c r="D226" s="448"/>
      <c r="E226" s="449"/>
      <c r="F226" s="466"/>
      <c r="G226" s="467"/>
      <c r="H226" s="468" t="s">
        <v>26</v>
      </c>
      <c r="I226" s="579">
        <f>SUM(I216:I225)</f>
        <v>29180</v>
      </c>
    </row>
    <row r="227" spans="1:18" s="432" customFormat="1" ht="12" customHeight="1" x14ac:dyDescent="0.3">
      <c r="A227" s="447"/>
      <c r="B227" s="218"/>
      <c r="C227" s="448"/>
      <c r="D227" s="448"/>
      <c r="E227" s="449"/>
      <c r="F227" s="466"/>
      <c r="G227" s="467"/>
      <c r="H227" s="468" t="str">
        <f>"Labor Cost "&amp;TEXT(L$5,"#%")&amp;" of MC"</f>
        <v>Labor Cost 30% of MC</v>
      </c>
      <c r="I227" s="464">
        <f>L$5*I226</f>
        <v>8754</v>
      </c>
    </row>
    <row r="228" spans="1:18" s="432" customFormat="1" ht="12" customHeight="1" x14ac:dyDescent="0.3">
      <c r="A228" s="447"/>
      <c r="B228" s="470"/>
      <c r="C228" s="471"/>
      <c r="D228" s="471"/>
      <c r="E228" s="472"/>
      <c r="F228" s="473"/>
      <c r="G228" s="474"/>
      <c r="H228" s="475" t="s">
        <v>23</v>
      </c>
      <c r="I228" s="476">
        <f>I226+I227</f>
        <v>37934</v>
      </c>
    </row>
    <row r="229" spans="1:18" s="432" customFormat="1" ht="12" customHeight="1" x14ac:dyDescent="0.3">
      <c r="A229" s="700" t="s">
        <v>96</v>
      </c>
      <c r="B229" s="701" t="s">
        <v>78</v>
      </c>
      <c r="C229" s="702"/>
      <c r="D229" s="702"/>
      <c r="E229" s="703"/>
      <c r="F229" s="704">
        <v>1</v>
      </c>
      <c r="G229" s="705" t="s">
        <v>21</v>
      </c>
      <c r="H229" s="706"/>
      <c r="I229" s="714"/>
    </row>
    <row r="230" spans="1:18" s="432" customFormat="1" ht="12" customHeight="1" x14ac:dyDescent="0.3">
      <c r="A230" s="590"/>
      <c r="B230" s="204" t="s">
        <v>22</v>
      </c>
      <c r="C230" s="460"/>
      <c r="D230" s="460"/>
      <c r="E230" s="465"/>
      <c r="F230" s="485"/>
      <c r="G230" s="591"/>
      <c r="H230" s="555"/>
      <c r="I230" s="464"/>
    </row>
    <row r="231" spans="1:18" s="432" customFormat="1" ht="12" customHeight="1" x14ac:dyDescent="0.3">
      <c r="A231" s="590"/>
      <c r="B231" s="568"/>
      <c r="C231" s="460" t="s">
        <v>430</v>
      </c>
      <c r="D231" s="460"/>
      <c r="E231" s="465"/>
      <c r="F231" s="485"/>
      <c r="G231" s="591"/>
      <c r="H231" s="555"/>
      <c r="I231" s="464"/>
    </row>
    <row r="232" spans="1:18" s="432" customFormat="1" ht="12" customHeight="1" x14ac:dyDescent="0.3">
      <c r="A232" s="590"/>
      <c r="B232" s="568"/>
      <c r="C232" s="460" t="s">
        <v>114</v>
      </c>
      <c r="D232" s="460"/>
      <c r="E232" s="465"/>
      <c r="F232" s="485"/>
      <c r="G232" s="591"/>
      <c r="H232" s="555"/>
      <c r="I232" s="464"/>
      <c r="M232" s="562"/>
      <c r="N232" s="562"/>
      <c r="O232" s="563"/>
      <c r="P232" s="564" t="s">
        <v>461</v>
      </c>
      <c r="R232" s="562" t="s">
        <v>213</v>
      </c>
    </row>
    <row r="233" spans="1:18" s="432" customFormat="1" ht="12" customHeight="1" x14ac:dyDescent="0.3">
      <c r="A233" s="590"/>
      <c r="B233" s="568"/>
      <c r="C233" s="460" t="s">
        <v>115</v>
      </c>
      <c r="D233" s="460"/>
      <c r="E233" s="465"/>
      <c r="F233" s="485"/>
      <c r="G233" s="591"/>
      <c r="H233" s="555"/>
      <c r="I233" s="464"/>
      <c r="M233" s="562"/>
      <c r="N233" s="562">
        <f>2.3/0.2</f>
        <v>11.499999999999998</v>
      </c>
      <c r="O233" s="563">
        <f>N233*2</f>
        <v>22.999999999999996</v>
      </c>
      <c r="P233" s="564">
        <v>6</v>
      </c>
      <c r="R233" s="562">
        <f>2.3*1.5/(0.2*0.2)</f>
        <v>86.249999999999972</v>
      </c>
    </row>
    <row r="234" spans="1:18" s="432" customFormat="1" ht="12" customHeight="1" x14ac:dyDescent="0.3">
      <c r="A234" s="590"/>
      <c r="B234" s="568"/>
      <c r="C234" s="460"/>
      <c r="D234" s="460"/>
      <c r="E234" s="465"/>
      <c r="F234" s="485"/>
      <c r="G234" s="591"/>
      <c r="H234" s="555"/>
      <c r="I234" s="464"/>
      <c r="M234" s="562"/>
      <c r="N234" s="562">
        <f>1.5/0.2</f>
        <v>7.5</v>
      </c>
      <c r="O234" s="563">
        <v>7.5</v>
      </c>
      <c r="P234" s="564"/>
      <c r="Q234" s="565"/>
    </row>
    <row r="235" spans="1:18" s="432" customFormat="1" ht="12" customHeight="1" x14ac:dyDescent="0.3">
      <c r="A235" s="590"/>
      <c r="B235" s="204" t="s">
        <v>25</v>
      </c>
      <c r="C235" s="460"/>
      <c r="D235" s="460"/>
      <c r="E235" s="465"/>
      <c r="F235" s="485"/>
      <c r="G235" s="591"/>
      <c r="H235" s="555"/>
      <c r="I235" s="464"/>
      <c r="M235" s="562"/>
      <c r="N235" s="562">
        <f>0.7/0.2</f>
        <v>3.4999999999999996</v>
      </c>
      <c r="O235" s="563">
        <v>3.5</v>
      </c>
      <c r="P235" s="564"/>
      <c r="Q235" s="565"/>
      <c r="R235" s="557"/>
    </row>
    <row r="236" spans="1:18" s="432" customFormat="1" ht="12" customHeight="1" x14ac:dyDescent="0.3">
      <c r="A236" s="590"/>
      <c r="B236" s="592" t="s">
        <v>646</v>
      </c>
      <c r="C236" s="593"/>
      <c r="D236" s="460"/>
      <c r="E236" s="465"/>
      <c r="F236" s="485"/>
      <c r="G236" s="594"/>
      <c r="H236" s="555"/>
      <c r="I236" s="464"/>
      <c r="M236" s="562"/>
      <c r="N236" s="562"/>
      <c r="O236" s="563">
        <f>SUM(O233:O235)</f>
        <v>34</v>
      </c>
      <c r="P236" s="564">
        <f>P233*O236</f>
        <v>204</v>
      </c>
      <c r="Q236" s="565">
        <f>204*0.2*0.3</f>
        <v>12.24</v>
      </c>
    </row>
    <row r="237" spans="1:18" s="432" customFormat="1" ht="12" customHeight="1" x14ac:dyDescent="0.3">
      <c r="A237" s="590"/>
      <c r="B237" s="595"/>
      <c r="C237" s="271" t="s">
        <v>647</v>
      </c>
      <c r="D237" s="460"/>
      <c r="E237" s="465"/>
      <c r="F237" s="596">
        <v>40</v>
      </c>
      <c r="G237" s="594" t="s">
        <v>652</v>
      </c>
      <c r="H237" s="458">
        <v>196</v>
      </c>
      <c r="I237" s="597">
        <f t="shared" ref="I237:I241" si="20">F237*H237</f>
        <v>7840</v>
      </c>
      <c r="M237" s="562"/>
      <c r="N237" s="562"/>
      <c r="O237" s="563"/>
      <c r="P237" s="564"/>
      <c r="Q237" s="565"/>
    </row>
    <row r="238" spans="1:18" s="432" customFormat="1" ht="12" customHeight="1" x14ac:dyDescent="0.3">
      <c r="A238" s="590"/>
      <c r="B238" s="595"/>
      <c r="C238" s="271" t="s">
        <v>648</v>
      </c>
      <c r="D238" s="460"/>
      <c r="E238" s="465"/>
      <c r="F238" s="596">
        <v>20</v>
      </c>
      <c r="G238" s="594" t="s">
        <v>652</v>
      </c>
      <c r="H238" s="458">
        <v>58</v>
      </c>
      <c r="I238" s="597">
        <f t="shared" si="20"/>
        <v>1160</v>
      </c>
      <c r="M238" s="562"/>
      <c r="N238" s="562"/>
      <c r="O238" s="563"/>
      <c r="P238" s="564"/>
      <c r="Q238" s="565"/>
    </row>
    <row r="239" spans="1:18" s="432" customFormat="1" ht="12" customHeight="1" x14ac:dyDescent="0.3">
      <c r="A239" s="590"/>
      <c r="B239" s="595"/>
      <c r="C239" s="271" t="s">
        <v>649</v>
      </c>
      <c r="D239" s="460"/>
      <c r="E239" s="465"/>
      <c r="F239" s="596">
        <v>2</v>
      </c>
      <c r="G239" s="594" t="s">
        <v>653</v>
      </c>
      <c r="H239" s="458">
        <v>3875</v>
      </c>
      <c r="I239" s="597">
        <f t="shared" si="20"/>
        <v>7750</v>
      </c>
      <c r="M239" s="562"/>
      <c r="N239" s="562"/>
      <c r="O239" s="563"/>
      <c r="P239" s="564"/>
      <c r="Q239" s="565"/>
    </row>
    <row r="240" spans="1:18" s="432" customFormat="1" ht="12" customHeight="1" x14ac:dyDescent="0.3">
      <c r="A240" s="590"/>
      <c r="B240" s="595"/>
      <c r="C240" s="271" t="s">
        <v>650</v>
      </c>
      <c r="D240" s="460"/>
      <c r="E240" s="465"/>
      <c r="F240" s="596">
        <v>2</v>
      </c>
      <c r="G240" s="594" t="s">
        <v>653</v>
      </c>
      <c r="H240" s="458">
        <v>2670</v>
      </c>
      <c r="I240" s="597">
        <f t="shared" si="20"/>
        <v>5340</v>
      </c>
      <c r="M240" s="562"/>
      <c r="Q240" s="557">
        <f>(2.3+1.5+0.7+2.3)*1.8</f>
        <v>12.24</v>
      </c>
    </row>
    <row r="241" spans="1:19" s="432" customFormat="1" ht="12" customHeight="1" x14ac:dyDescent="0.3">
      <c r="A241" s="590"/>
      <c r="B241" s="595"/>
      <c r="C241" s="271" t="s">
        <v>651</v>
      </c>
      <c r="D241" s="460"/>
      <c r="E241" s="465"/>
      <c r="F241" s="596">
        <v>2</v>
      </c>
      <c r="G241" s="594" t="s">
        <v>653</v>
      </c>
      <c r="H241" s="458">
        <v>2670</v>
      </c>
      <c r="I241" s="597">
        <f t="shared" si="20"/>
        <v>5340</v>
      </c>
      <c r="N241" s="562"/>
      <c r="O241" s="563"/>
      <c r="P241" s="564"/>
    </row>
    <row r="242" spans="1:19" s="432" customFormat="1" ht="12" customHeight="1" x14ac:dyDescent="0.3">
      <c r="A242" s="590"/>
      <c r="B242" s="598" t="s">
        <v>117</v>
      </c>
      <c r="C242" s="271"/>
      <c r="D242" s="271"/>
      <c r="E242" s="599"/>
      <c r="F242" s="463"/>
      <c r="G242" s="591"/>
      <c r="H242" s="458"/>
      <c r="I242" s="600"/>
      <c r="K242" s="506">
        <v>200</v>
      </c>
      <c r="L242" s="506">
        <f t="shared" ref="L242:L250" si="21">K242*(1+L$3)</f>
        <v>200</v>
      </c>
      <c r="M242" s="562" t="s">
        <v>214</v>
      </c>
      <c r="N242" s="562"/>
      <c r="O242" s="563" t="s">
        <v>217</v>
      </c>
      <c r="P242" s="564" t="s">
        <v>218</v>
      </c>
      <c r="Q242" s="432" t="s">
        <v>221</v>
      </c>
    </row>
    <row r="243" spans="1:19" s="432" customFormat="1" ht="12" customHeight="1" x14ac:dyDescent="0.3">
      <c r="A243" s="590"/>
      <c r="B243" s="598"/>
      <c r="C243" s="271" t="s">
        <v>198</v>
      </c>
      <c r="D243" s="271"/>
      <c r="E243" s="601"/>
      <c r="F243" s="463"/>
      <c r="G243" s="591"/>
      <c r="H243" s="602"/>
      <c r="I243" s="600"/>
      <c r="K243" s="506"/>
      <c r="L243" s="506"/>
      <c r="M243" s="562"/>
      <c r="N243" s="562"/>
      <c r="O243" s="563"/>
      <c r="P243" s="564"/>
    </row>
    <row r="244" spans="1:19" s="432" customFormat="1" ht="12" customHeight="1" x14ac:dyDescent="0.3">
      <c r="A244" s="590"/>
      <c r="B244" s="273"/>
      <c r="C244" s="271" t="s">
        <v>642</v>
      </c>
      <c r="D244" s="271"/>
      <c r="E244" s="601"/>
      <c r="F244" s="463">
        <v>1</v>
      </c>
      <c r="G244" s="591" t="s">
        <v>89</v>
      </c>
      <c r="H244" s="603">
        <v>8620</v>
      </c>
      <c r="I244" s="600">
        <f>H244*F244</f>
        <v>8620</v>
      </c>
      <c r="K244" s="506"/>
      <c r="L244" s="506"/>
      <c r="M244" s="562"/>
      <c r="N244" s="562"/>
      <c r="O244" s="563"/>
      <c r="P244" s="564"/>
    </row>
    <row r="245" spans="1:19" s="432" customFormat="1" ht="12" customHeight="1" x14ac:dyDescent="0.3">
      <c r="A245" s="590"/>
      <c r="B245" s="273"/>
      <c r="C245" s="271" t="s">
        <v>262</v>
      </c>
      <c r="D245" s="271"/>
      <c r="E245" s="601"/>
      <c r="F245" s="463"/>
      <c r="G245" s="591"/>
      <c r="H245" s="602"/>
      <c r="I245" s="600"/>
      <c r="K245" s="506"/>
      <c r="L245" s="506"/>
      <c r="M245" s="562"/>
      <c r="N245" s="562"/>
      <c r="O245" s="563"/>
      <c r="P245" s="564"/>
    </row>
    <row r="246" spans="1:19" s="432" customFormat="1" ht="12" customHeight="1" x14ac:dyDescent="0.3">
      <c r="A246" s="590"/>
      <c r="B246" s="273"/>
      <c r="C246" s="271" t="s">
        <v>766</v>
      </c>
      <c r="D246" s="271"/>
      <c r="E246" s="601"/>
      <c r="F246" s="463"/>
      <c r="G246" s="591"/>
      <c r="H246" s="602"/>
      <c r="I246" s="600"/>
      <c r="K246" s="506">
        <v>255</v>
      </c>
      <c r="L246" s="506">
        <f t="shared" si="21"/>
        <v>255</v>
      </c>
      <c r="M246" s="580" t="s">
        <v>215</v>
      </c>
      <c r="N246" s="562"/>
      <c r="O246" s="563">
        <v>2.5</v>
      </c>
      <c r="P246" s="564">
        <v>2</v>
      </c>
      <c r="Q246" s="432">
        <f>(1.5+0.6+1.5)*2+(1.75+1.75)</f>
        <v>10.7</v>
      </c>
      <c r="R246" s="432" t="s">
        <v>222</v>
      </c>
      <c r="S246" s="432">
        <f>Q246*3.28/8</f>
        <v>4.3869999999999996</v>
      </c>
    </row>
    <row r="247" spans="1:19" s="432" customFormat="1" ht="12" customHeight="1" x14ac:dyDescent="0.3">
      <c r="A247" s="590"/>
      <c r="B247" s="595" t="s">
        <v>153</v>
      </c>
      <c r="C247" s="604"/>
      <c r="D247" s="604"/>
      <c r="E247" s="601"/>
      <c r="F247" s="463"/>
      <c r="G247" s="605"/>
      <c r="H247" s="606"/>
      <c r="I247" s="600"/>
      <c r="K247" s="506">
        <v>1200</v>
      </c>
      <c r="L247" s="506">
        <f t="shared" si="21"/>
        <v>1200</v>
      </c>
      <c r="M247" s="580" t="s">
        <v>215</v>
      </c>
      <c r="N247" s="562"/>
      <c r="O247" s="563">
        <v>2.5</v>
      </c>
      <c r="P247" s="564">
        <v>2</v>
      </c>
      <c r="Q247" s="432">
        <f>2.3+1.5+2.3+0.7</f>
        <v>6.8</v>
      </c>
      <c r="R247" s="432" t="s">
        <v>223</v>
      </c>
      <c r="S247" s="432">
        <f>Q247*3.28/8</f>
        <v>2.7879999999999998</v>
      </c>
    </row>
    <row r="248" spans="1:19" s="432" customFormat="1" ht="12" customHeight="1" x14ac:dyDescent="0.3">
      <c r="A248" s="590"/>
      <c r="B248" s="595"/>
      <c r="C248" s="271" t="s">
        <v>644</v>
      </c>
      <c r="D248" s="271"/>
      <c r="E248" s="271"/>
      <c r="F248" s="463">
        <v>46</v>
      </c>
      <c r="G248" s="594" t="s">
        <v>1</v>
      </c>
      <c r="H248" s="603">
        <v>395</v>
      </c>
      <c r="I248" s="600">
        <f t="shared" ref="I248:I252" si="22">F248*H248</f>
        <v>18170</v>
      </c>
      <c r="K248" s="506">
        <v>50</v>
      </c>
      <c r="L248" s="506">
        <f t="shared" si="21"/>
        <v>50</v>
      </c>
      <c r="M248" s="580" t="s">
        <v>216</v>
      </c>
      <c r="O248" s="581">
        <v>3</v>
      </c>
      <c r="P248" s="564">
        <v>2</v>
      </c>
    </row>
    <row r="249" spans="1:19" s="432" customFormat="1" ht="12" customHeight="1" x14ac:dyDescent="0.3">
      <c r="A249" s="590"/>
      <c r="B249" s="607"/>
      <c r="C249" s="271" t="s">
        <v>645</v>
      </c>
      <c r="D249" s="271"/>
      <c r="E249" s="271"/>
      <c r="F249" s="463">
        <v>46</v>
      </c>
      <c r="G249" s="594" t="s">
        <v>1</v>
      </c>
      <c r="H249" s="603">
        <v>280</v>
      </c>
      <c r="I249" s="600">
        <f>F249*H249</f>
        <v>12880</v>
      </c>
      <c r="K249" s="506">
        <v>460</v>
      </c>
      <c r="L249" s="506">
        <f t="shared" si="21"/>
        <v>460</v>
      </c>
    </row>
    <row r="250" spans="1:19" s="432" customFormat="1" ht="12" customHeight="1" x14ac:dyDescent="0.3">
      <c r="A250" s="590"/>
      <c r="B250" s="608"/>
      <c r="C250" s="271" t="s">
        <v>654</v>
      </c>
      <c r="D250" s="271"/>
      <c r="E250" s="271"/>
      <c r="F250" s="463">
        <v>10</v>
      </c>
      <c r="G250" s="594" t="s">
        <v>1</v>
      </c>
      <c r="H250" s="603">
        <v>95</v>
      </c>
      <c r="I250" s="600">
        <f t="shared" ref="I250:I251" si="23">F250*H250</f>
        <v>950</v>
      </c>
      <c r="K250" s="506">
        <v>45</v>
      </c>
      <c r="L250" s="506">
        <f t="shared" si="21"/>
        <v>45</v>
      </c>
      <c r="O250" s="557" t="s">
        <v>222</v>
      </c>
    </row>
    <row r="251" spans="1:19" s="432" customFormat="1" ht="12" customHeight="1" x14ac:dyDescent="0.3">
      <c r="A251" s="590"/>
      <c r="B251" s="595"/>
      <c r="C251" s="271" t="s">
        <v>655</v>
      </c>
      <c r="D251" s="271"/>
      <c r="E251" s="271"/>
      <c r="F251" s="463">
        <v>2</v>
      </c>
      <c r="G251" s="594" t="s">
        <v>1</v>
      </c>
      <c r="H251" s="603">
        <v>118</v>
      </c>
      <c r="I251" s="600">
        <f t="shared" si="23"/>
        <v>236</v>
      </c>
      <c r="O251" s="565"/>
      <c r="P251" s="557"/>
      <c r="Q251" s="557"/>
    </row>
    <row r="252" spans="1:19" s="432" customFormat="1" ht="12" customHeight="1" x14ac:dyDescent="0.3">
      <c r="A252" s="590"/>
      <c r="B252" s="595"/>
      <c r="C252" s="271" t="s">
        <v>656</v>
      </c>
      <c r="D252" s="271"/>
      <c r="E252" s="271"/>
      <c r="F252" s="463">
        <v>10</v>
      </c>
      <c r="G252" s="594" t="s">
        <v>1</v>
      </c>
      <c r="H252" s="603">
        <v>157</v>
      </c>
      <c r="I252" s="600">
        <f t="shared" si="22"/>
        <v>1570</v>
      </c>
      <c r="K252" s="582" t="s">
        <v>224</v>
      </c>
      <c r="L252" s="583"/>
      <c r="M252" s="584">
        <v>30</v>
      </c>
      <c r="N252" s="585" t="s">
        <v>0</v>
      </c>
      <c r="O252" s="565"/>
      <c r="P252" s="557"/>
    </row>
    <row r="253" spans="1:19" s="432" customFormat="1" ht="12" customHeight="1" x14ac:dyDescent="0.3">
      <c r="A253" s="590"/>
      <c r="B253" s="609" t="s">
        <v>462</v>
      </c>
      <c r="C253" s="271"/>
      <c r="D253" s="271"/>
      <c r="E253" s="601"/>
      <c r="F253" s="463"/>
      <c r="G253" s="591"/>
      <c r="H253" s="602"/>
      <c r="I253" s="600"/>
      <c r="K253" s="582" t="s">
        <v>3</v>
      </c>
      <c r="L253" s="583"/>
      <c r="M253" s="584">
        <v>2</v>
      </c>
      <c r="N253" s="585" t="s">
        <v>2</v>
      </c>
      <c r="O253" s="565"/>
      <c r="P253" s="557"/>
    </row>
    <row r="254" spans="1:19" s="432" customFormat="1" ht="12" customHeight="1" x14ac:dyDescent="0.3">
      <c r="A254" s="590"/>
      <c r="B254" s="273"/>
      <c r="C254" s="271" t="s">
        <v>658</v>
      </c>
      <c r="D254" s="271"/>
      <c r="E254" s="271"/>
      <c r="F254" s="463">
        <v>8</v>
      </c>
      <c r="G254" s="594" t="s">
        <v>661</v>
      </c>
      <c r="H254" s="603">
        <v>125</v>
      </c>
      <c r="I254" s="600">
        <f t="shared" ref="I254:I256" si="24">F254*H254</f>
        <v>1000</v>
      </c>
      <c r="O254" s="565"/>
      <c r="P254" s="557"/>
    </row>
    <row r="255" spans="1:19" s="432" customFormat="1" ht="12" customHeight="1" x14ac:dyDescent="0.3">
      <c r="A255" s="590"/>
      <c r="B255" s="273"/>
      <c r="C255" s="271" t="s">
        <v>659</v>
      </c>
      <c r="D255" s="271"/>
      <c r="E255" s="271"/>
      <c r="F255" s="463">
        <v>28</v>
      </c>
      <c r="G255" s="594" t="s">
        <v>661</v>
      </c>
      <c r="H255" s="603">
        <v>105</v>
      </c>
      <c r="I255" s="600">
        <f t="shared" si="24"/>
        <v>2940</v>
      </c>
    </row>
    <row r="256" spans="1:19" s="432" customFormat="1" ht="12" customHeight="1" x14ac:dyDescent="0.3">
      <c r="A256" s="590"/>
      <c r="B256" s="273"/>
      <c r="C256" s="271" t="s">
        <v>660</v>
      </c>
      <c r="D256" s="271"/>
      <c r="E256" s="271"/>
      <c r="F256" s="463">
        <v>35</v>
      </c>
      <c r="G256" s="594" t="s">
        <v>661</v>
      </c>
      <c r="H256" s="603">
        <v>88</v>
      </c>
      <c r="I256" s="600">
        <f t="shared" si="24"/>
        <v>3080</v>
      </c>
      <c r="J256" s="509"/>
    </row>
    <row r="257" spans="1:13" s="432" customFormat="1" ht="12" customHeight="1" x14ac:dyDescent="0.3">
      <c r="A257" s="590"/>
      <c r="B257" s="609" t="s">
        <v>665</v>
      </c>
      <c r="C257" s="271"/>
      <c r="D257" s="271"/>
      <c r="E257" s="271"/>
      <c r="F257" s="463"/>
      <c r="G257" s="594"/>
      <c r="H257" s="603"/>
      <c r="I257" s="600"/>
      <c r="J257" s="509"/>
    </row>
    <row r="258" spans="1:13" s="432" customFormat="1" ht="12" customHeight="1" x14ac:dyDescent="0.3">
      <c r="A258" s="590"/>
      <c r="B258" s="273"/>
      <c r="C258" s="271" t="s">
        <v>662</v>
      </c>
      <c r="D258" s="271"/>
      <c r="E258" s="271"/>
      <c r="F258" s="463">
        <v>25</v>
      </c>
      <c r="G258" s="594" t="s">
        <v>664</v>
      </c>
      <c r="H258" s="603">
        <v>30</v>
      </c>
      <c r="I258" s="600">
        <f>F258*H258</f>
        <v>750</v>
      </c>
      <c r="J258" s="509"/>
      <c r="K258" s="432">
        <f>1.8*2+3*2+1.8</f>
        <v>11.4</v>
      </c>
      <c r="L258" s="432">
        <f>K258*1.8</f>
        <v>20.52</v>
      </c>
    </row>
    <row r="259" spans="1:13" s="432" customFormat="1" ht="12" customHeight="1" x14ac:dyDescent="0.3">
      <c r="A259" s="590"/>
      <c r="B259" s="273"/>
      <c r="C259" s="271" t="s">
        <v>663</v>
      </c>
      <c r="D259" s="271"/>
      <c r="E259" s="271"/>
      <c r="F259" s="463">
        <v>30</v>
      </c>
      <c r="G259" s="594" t="s">
        <v>1</v>
      </c>
      <c r="H259" s="603">
        <v>45</v>
      </c>
      <c r="I259" s="600">
        <f>F259*H259</f>
        <v>1350</v>
      </c>
      <c r="J259" s="509"/>
      <c r="K259" s="432">
        <f>1.2*4</f>
        <v>4.8</v>
      </c>
      <c r="L259" s="432">
        <f>K259*1.5</f>
        <v>7.1999999999999993</v>
      </c>
    </row>
    <row r="260" spans="1:13" s="432" customFormat="1" ht="12" customHeight="1" x14ac:dyDescent="0.3">
      <c r="A260" s="590"/>
      <c r="B260" s="598" t="s">
        <v>202</v>
      </c>
      <c r="C260" s="604"/>
      <c r="D260" s="604"/>
      <c r="E260" s="601"/>
      <c r="F260" s="463"/>
      <c r="G260" s="591"/>
      <c r="H260" s="610"/>
      <c r="I260" s="600"/>
      <c r="J260" s="509"/>
      <c r="L260" s="432">
        <f>L258+L259</f>
        <v>27.72</v>
      </c>
      <c r="M260" s="432" t="s">
        <v>155</v>
      </c>
    </row>
    <row r="261" spans="1:13" s="432" customFormat="1" ht="12" customHeight="1" x14ac:dyDescent="0.3">
      <c r="A261" s="590"/>
      <c r="B261" s="273"/>
      <c r="C261" s="604" t="s">
        <v>203</v>
      </c>
      <c r="D261" s="604"/>
      <c r="E261" s="601"/>
      <c r="F261" s="463">
        <v>200</v>
      </c>
      <c r="G261" s="591" t="s">
        <v>86</v>
      </c>
      <c r="H261" s="610">
        <v>3</v>
      </c>
      <c r="I261" s="600">
        <f>H261*F261</f>
        <v>600</v>
      </c>
      <c r="J261" s="509"/>
    </row>
    <row r="262" spans="1:13" s="432" customFormat="1" ht="12" customHeight="1" x14ac:dyDescent="0.3">
      <c r="A262" s="590"/>
      <c r="B262" s="273"/>
      <c r="C262" s="604" t="s">
        <v>204</v>
      </c>
      <c r="D262" s="604"/>
      <c r="E262" s="601"/>
      <c r="F262" s="463">
        <v>30</v>
      </c>
      <c r="G262" s="591" t="s">
        <v>86</v>
      </c>
      <c r="H262" s="610">
        <v>4</v>
      </c>
      <c r="I262" s="600">
        <f t="shared" ref="I262:I272" si="25">H262*F262</f>
        <v>120</v>
      </c>
      <c r="J262" s="509"/>
    </row>
    <row r="263" spans="1:13" s="432" customFormat="1" ht="12" customHeight="1" x14ac:dyDescent="0.3">
      <c r="A263" s="590"/>
      <c r="B263" s="273"/>
      <c r="C263" s="604" t="s">
        <v>205</v>
      </c>
      <c r="D263" s="604"/>
      <c r="E263" s="601"/>
      <c r="F263" s="463">
        <v>3</v>
      </c>
      <c r="G263" s="591" t="s">
        <v>81</v>
      </c>
      <c r="H263" s="610">
        <v>55</v>
      </c>
      <c r="I263" s="600">
        <f t="shared" si="25"/>
        <v>165</v>
      </c>
      <c r="J263" s="509"/>
    </row>
    <row r="264" spans="1:13" s="432" customFormat="1" ht="12" customHeight="1" x14ac:dyDescent="0.3">
      <c r="A264" s="590"/>
      <c r="B264" s="273"/>
      <c r="C264" s="604" t="s">
        <v>90</v>
      </c>
      <c r="D264" s="604"/>
      <c r="E264" s="601"/>
      <c r="F264" s="463">
        <v>1</v>
      </c>
      <c r="G264" s="591" t="s">
        <v>146</v>
      </c>
      <c r="H264" s="610">
        <v>120</v>
      </c>
      <c r="I264" s="600">
        <f t="shared" si="25"/>
        <v>120</v>
      </c>
      <c r="J264" s="509"/>
    </row>
    <row r="265" spans="1:13" s="432" customFormat="1" ht="12" customHeight="1" x14ac:dyDescent="0.3">
      <c r="A265" s="590"/>
      <c r="B265" s="273"/>
      <c r="C265" s="604" t="s">
        <v>91</v>
      </c>
      <c r="D265" s="604"/>
      <c r="E265" s="601"/>
      <c r="F265" s="463">
        <v>1</v>
      </c>
      <c r="G265" s="591" t="s">
        <v>146</v>
      </c>
      <c r="H265" s="610">
        <v>85</v>
      </c>
      <c r="I265" s="600">
        <f t="shared" si="25"/>
        <v>85</v>
      </c>
      <c r="J265" s="509"/>
    </row>
    <row r="266" spans="1:13" s="432" customFormat="1" ht="12" customHeight="1" x14ac:dyDescent="0.3">
      <c r="A266" s="590"/>
      <c r="B266" s="273"/>
      <c r="C266" s="604" t="s">
        <v>92</v>
      </c>
      <c r="D266" s="604"/>
      <c r="E266" s="601"/>
      <c r="F266" s="463">
        <v>1</v>
      </c>
      <c r="G266" s="591" t="s">
        <v>93</v>
      </c>
      <c r="H266" s="610">
        <v>145</v>
      </c>
      <c r="I266" s="600">
        <f t="shared" si="25"/>
        <v>145</v>
      </c>
      <c r="J266" s="509"/>
    </row>
    <row r="267" spans="1:13" s="432" customFormat="1" ht="12" customHeight="1" x14ac:dyDescent="0.3">
      <c r="A267" s="590"/>
      <c r="B267" s="273"/>
      <c r="C267" s="604" t="s">
        <v>94</v>
      </c>
      <c r="D267" s="604"/>
      <c r="E267" s="601"/>
      <c r="F267" s="463">
        <v>1</v>
      </c>
      <c r="G267" s="591" t="s">
        <v>93</v>
      </c>
      <c r="H267" s="610">
        <v>110</v>
      </c>
      <c r="I267" s="600">
        <f t="shared" si="25"/>
        <v>110</v>
      </c>
      <c r="J267" s="509"/>
      <c r="K267" s="506">
        <v>255</v>
      </c>
      <c r="L267" s="506">
        <f>K267*(1+L$3)+10</f>
        <v>265</v>
      </c>
    </row>
    <row r="268" spans="1:13" s="432" customFormat="1" ht="12" customHeight="1" x14ac:dyDescent="0.3">
      <c r="A268" s="590"/>
      <c r="B268" s="273"/>
      <c r="C268" s="604" t="s">
        <v>239</v>
      </c>
      <c r="D268" s="604"/>
      <c r="E268" s="601"/>
      <c r="F268" s="463">
        <v>2</v>
      </c>
      <c r="G268" s="591" t="s">
        <v>233</v>
      </c>
      <c r="H268" s="610">
        <v>120</v>
      </c>
      <c r="I268" s="600">
        <f t="shared" si="25"/>
        <v>240</v>
      </c>
      <c r="J268" s="509"/>
      <c r="K268" s="506">
        <v>900</v>
      </c>
      <c r="L268" s="506">
        <f t="shared" ref="L268:L275" si="26">K268*(1+L$3)</f>
        <v>900</v>
      </c>
    </row>
    <row r="269" spans="1:13" s="432" customFormat="1" ht="12" customHeight="1" x14ac:dyDescent="0.3">
      <c r="A269" s="590"/>
      <c r="B269" s="273"/>
      <c r="C269" s="604" t="s">
        <v>206</v>
      </c>
      <c r="D269" s="604"/>
      <c r="E269" s="601"/>
      <c r="F269" s="463">
        <v>2</v>
      </c>
      <c r="G269" s="591" t="s">
        <v>152</v>
      </c>
      <c r="H269" s="610">
        <v>75</v>
      </c>
      <c r="I269" s="600">
        <f t="shared" si="25"/>
        <v>150</v>
      </c>
      <c r="J269" s="509"/>
      <c r="K269" s="506">
        <v>900</v>
      </c>
      <c r="L269" s="506">
        <f t="shared" si="26"/>
        <v>900</v>
      </c>
    </row>
    <row r="270" spans="1:13" s="432" customFormat="1" ht="12" customHeight="1" x14ac:dyDescent="0.3">
      <c r="A270" s="590"/>
      <c r="B270" s="273"/>
      <c r="C270" s="604" t="s">
        <v>207</v>
      </c>
      <c r="D270" s="604"/>
      <c r="E270" s="601"/>
      <c r="F270" s="463">
        <v>6</v>
      </c>
      <c r="G270" s="591" t="s">
        <v>80</v>
      </c>
      <c r="H270" s="610">
        <v>24</v>
      </c>
      <c r="I270" s="600">
        <f t="shared" si="25"/>
        <v>144</v>
      </c>
      <c r="J270" s="509"/>
      <c r="K270" s="506">
        <v>58</v>
      </c>
      <c r="L270" s="506">
        <f t="shared" si="26"/>
        <v>58</v>
      </c>
    </row>
    <row r="271" spans="1:13" s="432" customFormat="1" ht="12" customHeight="1" x14ac:dyDescent="0.3">
      <c r="A271" s="590"/>
      <c r="B271" s="273"/>
      <c r="C271" s="604" t="s">
        <v>208</v>
      </c>
      <c r="D271" s="604"/>
      <c r="E271" s="601"/>
      <c r="F271" s="463">
        <v>15</v>
      </c>
      <c r="G271" s="591" t="s">
        <v>80</v>
      </c>
      <c r="H271" s="610">
        <v>16</v>
      </c>
      <c r="I271" s="600">
        <f t="shared" si="25"/>
        <v>240</v>
      </c>
      <c r="J271" s="509"/>
      <c r="K271" s="506">
        <v>134</v>
      </c>
      <c r="L271" s="506">
        <f t="shared" si="26"/>
        <v>134</v>
      </c>
    </row>
    <row r="272" spans="1:13" s="432" customFormat="1" ht="12" customHeight="1" x14ac:dyDescent="0.3">
      <c r="A272" s="590"/>
      <c r="B272" s="273"/>
      <c r="C272" s="604" t="s">
        <v>209</v>
      </c>
      <c r="D272" s="604"/>
      <c r="E272" s="601"/>
      <c r="F272" s="463">
        <v>1</v>
      </c>
      <c r="G272" s="591" t="s">
        <v>66</v>
      </c>
      <c r="H272" s="610">
        <v>90</v>
      </c>
      <c r="I272" s="600">
        <f t="shared" si="25"/>
        <v>90</v>
      </c>
      <c r="J272" s="509"/>
      <c r="K272" s="506">
        <v>194</v>
      </c>
      <c r="L272" s="506">
        <f t="shared" si="26"/>
        <v>194</v>
      </c>
    </row>
    <row r="273" spans="1:12" s="432" customFormat="1" ht="12" customHeight="1" x14ac:dyDescent="0.3">
      <c r="A273" s="590"/>
      <c r="B273" s="273"/>
      <c r="C273" s="604"/>
      <c r="D273" s="604"/>
      <c r="E273" s="601"/>
      <c r="F273" s="611"/>
      <c r="G273" s="591"/>
      <c r="H273" s="610"/>
      <c r="I273" s="600"/>
      <c r="J273" s="509"/>
      <c r="K273" s="506">
        <v>55</v>
      </c>
      <c r="L273" s="506">
        <f t="shared" si="26"/>
        <v>55</v>
      </c>
    </row>
    <row r="274" spans="1:12" s="432" customFormat="1" ht="12" customHeight="1" x14ac:dyDescent="0.3">
      <c r="A274" s="590"/>
      <c r="B274" s="568"/>
      <c r="C274" s="460"/>
      <c r="D274" s="460"/>
      <c r="E274" s="465"/>
      <c r="F274" s="466"/>
      <c r="G274" s="467"/>
      <c r="H274" s="468" t="s">
        <v>26</v>
      </c>
      <c r="I274" s="464">
        <f>SUM(I237:I273)</f>
        <v>81185</v>
      </c>
      <c r="J274" s="509"/>
      <c r="K274" s="506">
        <v>14</v>
      </c>
      <c r="L274" s="506">
        <f t="shared" si="26"/>
        <v>14</v>
      </c>
    </row>
    <row r="275" spans="1:12" s="432" customFormat="1" ht="12" customHeight="1" x14ac:dyDescent="0.3">
      <c r="A275" s="590"/>
      <c r="B275" s="568"/>
      <c r="C275" s="460"/>
      <c r="D275" s="460"/>
      <c r="E275" s="465"/>
      <c r="F275" s="466"/>
      <c r="G275" s="467"/>
      <c r="H275" s="468" t="str">
        <f>"Labor Cost "&amp;TEXT(L$5,"#%")&amp;" of MC"</f>
        <v>Labor Cost 30% of MC</v>
      </c>
      <c r="I275" s="464">
        <f>L$5*I274</f>
        <v>24355.5</v>
      </c>
      <c r="J275" s="509"/>
      <c r="K275" s="506">
        <v>30</v>
      </c>
      <c r="L275" s="506">
        <f t="shared" si="26"/>
        <v>30</v>
      </c>
    </row>
    <row r="276" spans="1:12" s="432" customFormat="1" ht="12" customHeight="1" x14ac:dyDescent="0.3">
      <c r="A276" s="469"/>
      <c r="B276" s="470"/>
      <c r="C276" s="471"/>
      <c r="D276" s="471"/>
      <c r="E276" s="472"/>
      <c r="F276" s="473"/>
      <c r="G276" s="474"/>
      <c r="H276" s="475" t="s">
        <v>23</v>
      </c>
      <c r="I276" s="476">
        <f>I274+I275</f>
        <v>105540.5</v>
      </c>
      <c r="J276" s="509"/>
      <c r="K276" s="519"/>
      <c r="L276" s="519"/>
    </row>
    <row r="277" spans="1:12" s="432" customFormat="1" ht="12" customHeight="1" x14ac:dyDescent="0.3">
      <c r="A277" s="700" t="s">
        <v>157</v>
      </c>
      <c r="B277" s="701" t="s">
        <v>54</v>
      </c>
      <c r="C277" s="702"/>
      <c r="D277" s="702"/>
      <c r="E277" s="703"/>
      <c r="F277" s="704">
        <v>1</v>
      </c>
      <c r="G277" s="705" t="s">
        <v>21</v>
      </c>
      <c r="H277" s="706"/>
      <c r="I277" s="707"/>
      <c r="J277" s="509"/>
    </row>
    <row r="278" spans="1:12" s="432" customFormat="1" ht="12" customHeight="1" x14ac:dyDescent="0.3">
      <c r="A278" s="590"/>
      <c r="B278" s="204" t="s">
        <v>22</v>
      </c>
      <c r="C278" s="460"/>
      <c r="D278" s="460"/>
      <c r="E278" s="465"/>
      <c r="F278" s="485"/>
      <c r="G278" s="591"/>
      <c r="H278" s="555"/>
      <c r="I278" s="464"/>
      <c r="J278" s="509"/>
    </row>
    <row r="279" spans="1:12" s="432" customFormat="1" ht="12" customHeight="1" x14ac:dyDescent="0.3">
      <c r="A279" s="590"/>
      <c r="B279" s="204"/>
      <c r="C279" s="460" t="s">
        <v>438</v>
      </c>
      <c r="D279" s="460"/>
      <c r="E279" s="465"/>
      <c r="F279" s="485"/>
      <c r="G279" s="591"/>
      <c r="H279" s="555"/>
      <c r="I279" s="464"/>
      <c r="J279" s="509"/>
    </row>
    <row r="280" spans="1:12" s="432" customFormat="1" ht="12" customHeight="1" x14ac:dyDescent="0.3">
      <c r="A280" s="590"/>
      <c r="B280" s="204"/>
      <c r="C280" s="460" t="s">
        <v>720</v>
      </c>
      <c r="D280" s="460"/>
      <c r="E280" s="500"/>
      <c r="F280" s="485"/>
      <c r="G280" s="591"/>
      <c r="H280" s="555"/>
      <c r="I280" s="464"/>
      <c r="J280" s="509"/>
    </row>
    <row r="281" spans="1:12" s="432" customFormat="1" ht="12" customHeight="1" x14ac:dyDescent="0.3">
      <c r="A281" s="590"/>
      <c r="B281" s="204"/>
      <c r="C281" s="460" t="s">
        <v>127</v>
      </c>
      <c r="D281" s="460"/>
      <c r="E281" s="465"/>
      <c r="F281" s="485"/>
      <c r="G281" s="591"/>
      <c r="H281" s="555"/>
      <c r="I281" s="464"/>
    </row>
    <row r="282" spans="1:12" s="432" customFormat="1" ht="12" customHeight="1" x14ac:dyDescent="0.3">
      <c r="A282" s="590"/>
      <c r="B282" s="204"/>
      <c r="C282" s="454" t="s">
        <v>719</v>
      </c>
      <c r="D282" s="601"/>
      <c r="E282" s="601"/>
      <c r="F282" s="485"/>
      <c r="G282" s="591"/>
      <c r="H282" s="555"/>
      <c r="I282" s="464"/>
    </row>
    <row r="283" spans="1:12" s="432" customFormat="1" ht="12" customHeight="1" x14ac:dyDescent="0.3">
      <c r="A283" s="590"/>
      <c r="B283" s="204"/>
      <c r="C283" s="455"/>
      <c r="D283" s="455"/>
      <c r="E283" s="465"/>
      <c r="F283" s="485"/>
      <c r="G283" s="591"/>
      <c r="H283" s="555"/>
      <c r="I283" s="464"/>
    </row>
    <row r="284" spans="1:12" s="432" customFormat="1" ht="12" customHeight="1" x14ac:dyDescent="0.3">
      <c r="A284" s="590"/>
      <c r="B284" s="204" t="s">
        <v>25</v>
      </c>
      <c r="C284" s="460"/>
      <c r="D284" s="460"/>
      <c r="E284" s="465"/>
      <c r="F284" s="485"/>
      <c r="G284" s="591"/>
      <c r="H284" s="555"/>
      <c r="I284" s="464"/>
    </row>
    <row r="285" spans="1:12" s="432" customFormat="1" ht="12" customHeight="1" x14ac:dyDescent="0.3">
      <c r="A285" s="590"/>
      <c r="B285" s="613" t="s">
        <v>119</v>
      </c>
      <c r="C285" s="460"/>
      <c r="D285" s="460"/>
      <c r="E285" s="465"/>
      <c r="F285" s="485"/>
      <c r="G285" s="591"/>
      <c r="H285" s="555"/>
      <c r="I285" s="464"/>
    </row>
    <row r="286" spans="1:12" s="432" customFormat="1" ht="12" customHeight="1" x14ac:dyDescent="0.3">
      <c r="A286" s="590"/>
      <c r="B286" s="204"/>
      <c r="C286" s="448" t="s">
        <v>298</v>
      </c>
      <c r="D286" s="448"/>
      <c r="E286" s="465"/>
      <c r="F286" s="463">
        <v>8</v>
      </c>
      <c r="G286" s="591" t="s">
        <v>10</v>
      </c>
      <c r="H286" s="555">
        <v>2800</v>
      </c>
      <c r="I286" s="464">
        <f>H286*F286</f>
        <v>22400</v>
      </c>
    </row>
    <row r="287" spans="1:12" s="432" customFormat="1" ht="12" customHeight="1" x14ac:dyDescent="0.3">
      <c r="A287" s="590"/>
      <c r="B287" s="204"/>
      <c r="C287" s="448" t="s">
        <v>299</v>
      </c>
      <c r="D287" s="448"/>
      <c r="E287" s="465"/>
      <c r="F287" s="463"/>
      <c r="G287" s="591"/>
      <c r="H287" s="555"/>
      <c r="I287" s="464"/>
    </row>
    <row r="288" spans="1:12" s="432" customFormat="1" ht="12" customHeight="1" x14ac:dyDescent="0.3">
      <c r="A288" s="590"/>
      <c r="B288" s="204"/>
      <c r="C288" s="501" t="s">
        <v>321</v>
      </c>
      <c r="D288" s="460"/>
      <c r="E288" s="449"/>
      <c r="F288" s="463">
        <v>7</v>
      </c>
      <c r="G288" s="591" t="s">
        <v>6</v>
      </c>
      <c r="H288" s="555">
        <v>2500</v>
      </c>
      <c r="I288" s="464">
        <f>H288*F288</f>
        <v>17500</v>
      </c>
      <c r="K288" s="558"/>
      <c r="L288" s="558"/>
    </row>
    <row r="289" spans="1:12" s="432" customFormat="1" ht="12" customHeight="1" x14ac:dyDescent="0.3">
      <c r="A289" s="590"/>
      <c r="B289" s="204"/>
      <c r="C289" s="454" t="s">
        <v>544</v>
      </c>
      <c r="D289" s="460"/>
      <c r="E289" s="449"/>
      <c r="F289" s="463">
        <v>8</v>
      </c>
      <c r="G289" s="591" t="s">
        <v>1</v>
      </c>
      <c r="H289" s="555">
        <v>220</v>
      </c>
      <c r="I289" s="464">
        <f>H289*F289</f>
        <v>1760</v>
      </c>
      <c r="K289" s="558"/>
      <c r="L289" s="558"/>
    </row>
    <row r="290" spans="1:12" s="432" customFormat="1" ht="12" customHeight="1" x14ac:dyDescent="0.3">
      <c r="A290" s="590"/>
      <c r="B290" s="204"/>
      <c r="C290" s="520" t="s">
        <v>318</v>
      </c>
      <c r="D290" s="460"/>
      <c r="E290" s="465"/>
      <c r="F290" s="463">
        <v>8</v>
      </c>
      <c r="G290" s="591" t="s">
        <v>68</v>
      </c>
      <c r="H290" s="555">
        <v>280</v>
      </c>
      <c r="I290" s="464">
        <f>H290*F290</f>
        <v>2240</v>
      </c>
    </row>
    <row r="291" spans="1:12" s="432" customFormat="1" ht="12" customHeight="1" x14ac:dyDescent="0.3">
      <c r="A291" s="590"/>
      <c r="B291" s="204"/>
      <c r="C291" s="448" t="s">
        <v>120</v>
      </c>
      <c r="D291" s="460"/>
      <c r="E291" s="465"/>
      <c r="F291" s="463">
        <v>8</v>
      </c>
      <c r="G291" s="591" t="s">
        <v>10</v>
      </c>
      <c r="H291" s="555">
        <v>480</v>
      </c>
      <c r="I291" s="464">
        <f>H291*F291</f>
        <v>3840</v>
      </c>
    </row>
    <row r="292" spans="1:12" s="432" customFormat="1" ht="12" customHeight="1" x14ac:dyDescent="0.3">
      <c r="A292" s="590"/>
      <c r="B292" s="613" t="s">
        <v>128</v>
      </c>
      <c r="C292" s="460"/>
      <c r="D292" s="460"/>
      <c r="E292" s="465"/>
      <c r="F292" s="463"/>
      <c r="G292" s="591"/>
      <c r="H292" s="555"/>
      <c r="I292" s="464"/>
    </row>
    <row r="293" spans="1:12" s="432" customFormat="1" ht="12" customHeight="1" x14ac:dyDescent="0.3">
      <c r="A293" s="590"/>
      <c r="B293" s="568"/>
      <c r="C293" s="448" t="s">
        <v>253</v>
      </c>
      <c r="D293" s="448"/>
      <c r="E293" s="619"/>
      <c r="F293" s="463">
        <v>60</v>
      </c>
      <c r="G293" s="451" t="s">
        <v>80</v>
      </c>
      <c r="H293" s="452">
        <v>18</v>
      </c>
      <c r="I293" s="464">
        <f t="shared" ref="I293:I296" si="27">H293*F293</f>
        <v>1080</v>
      </c>
    </row>
    <row r="294" spans="1:12" s="432" customFormat="1" ht="12" customHeight="1" x14ac:dyDescent="0.3">
      <c r="A294" s="590"/>
      <c r="B294" s="568"/>
      <c r="C294" s="448" t="s">
        <v>252</v>
      </c>
      <c r="D294" s="448"/>
      <c r="E294" s="619"/>
      <c r="F294" s="463">
        <v>9</v>
      </c>
      <c r="G294" s="451" t="s">
        <v>1</v>
      </c>
      <c r="H294" s="452">
        <v>85</v>
      </c>
      <c r="I294" s="464">
        <f t="shared" si="27"/>
        <v>765</v>
      </c>
    </row>
    <row r="295" spans="1:12" s="432" customFormat="1" ht="12" customHeight="1" x14ac:dyDescent="0.3">
      <c r="A295" s="590"/>
      <c r="B295" s="568"/>
      <c r="C295" s="448" t="s">
        <v>251</v>
      </c>
      <c r="D295" s="448"/>
      <c r="E295" s="619"/>
      <c r="F295" s="463">
        <v>9</v>
      </c>
      <c r="G295" s="451" t="s">
        <v>1</v>
      </c>
      <c r="H295" s="452">
        <v>75</v>
      </c>
      <c r="I295" s="464">
        <f t="shared" si="27"/>
        <v>675</v>
      </c>
    </row>
    <row r="296" spans="1:12" s="432" customFormat="1" ht="12" customHeight="1" x14ac:dyDescent="0.3">
      <c r="A296" s="590"/>
      <c r="B296" s="568"/>
      <c r="C296" s="448" t="s">
        <v>249</v>
      </c>
      <c r="D296" s="448"/>
      <c r="E296" s="619"/>
      <c r="F296" s="463">
        <v>10</v>
      </c>
      <c r="G296" s="451" t="s">
        <v>1</v>
      </c>
      <c r="H296" s="452">
        <v>75</v>
      </c>
      <c r="I296" s="464">
        <f t="shared" si="27"/>
        <v>750</v>
      </c>
    </row>
    <row r="297" spans="1:12" s="432" customFormat="1" ht="12" customHeight="1" x14ac:dyDescent="0.3">
      <c r="A297" s="590"/>
      <c r="B297" s="568"/>
      <c r="C297" s="460" t="s">
        <v>134</v>
      </c>
      <c r="D297" s="460"/>
      <c r="E297" s="465"/>
      <c r="F297" s="463">
        <v>3</v>
      </c>
      <c r="G297" s="451" t="s">
        <v>1</v>
      </c>
      <c r="H297" s="555">
        <v>30</v>
      </c>
      <c r="I297" s="464">
        <f>H297*F297</f>
        <v>90</v>
      </c>
    </row>
    <row r="298" spans="1:12" s="432" customFormat="1" ht="12" customHeight="1" x14ac:dyDescent="0.3">
      <c r="A298" s="590"/>
      <c r="B298" s="568"/>
      <c r="C298" s="460" t="s">
        <v>436</v>
      </c>
      <c r="D298" s="460"/>
      <c r="E298" s="465"/>
      <c r="F298" s="463">
        <v>1</v>
      </c>
      <c r="G298" s="451" t="s">
        <v>68</v>
      </c>
      <c r="H298" s="555">
        <v>450</v>
      </c>
      <c r="I298" s="464">
        <f>H298*F298</f>
        <v>450</v>
      </c>
    </row>
    <row r="299" spans="1:12" s="432" customFormat="1" ht="12" customHeight="1" x14ac:dyDescent="0.3">
      <c r="A299" s="590"/>
      <c r="B299" s="613" t="s">
        <v>437</v>
      </c>
      <c r="C299" s="460"/>
      <c r="D299" s="460"/>
      <c r="E299" s="465"/>
      <c r="F299" s="463"/>
      <c r="G299" s="591"/>
      <c r="H299" s="555"/>
      <c r="I299" s="464"/>
    </row>
    <row r="300" spans="1:12" s="432" customFormat="1" ht="12" customHeight="1" x14ac:dyDescent="0.3">
      <c r="A300" s="590"/>
      <c r="B300" s="568"/>
      <c r="C300" s="460" t="s">
        <v>132</v>
      </c>
      <c r="D300" s="460"/>
      <c r="E300" s="465"/>
      <c r="F300" s="463">
        <v>14</v>
      </c>
      <c r="G300" s="591" t="s">
        <v>1</v>
      </c>
      <c r="H300" s="555">
        <v>750</v>
      </c>
      <c r="I300" s="464">
        <f t="shared" ref="I300:I309" si="28">H300*F300</f>
        <v>10500</v>
      </c>
    </row>
    <row r="301" spans="1:12" s="432" customFormat="1" ht="12" customHeight="1" x14ac:dyDescent="0.3">
      <c r="A301" s="590"/>
      <c r="B301" s="568"/>
      <c r="C301" s="460" t="s">
        <v>584</v>
      </c>
      <c r="D301" s="460"/>
      <c r="E301" s="465"/>
      <c r="F301" s="463">
        <v>12</v>
      </c>
      <c r="G301" s="591" t="s">
        <v>1</v>
      </c>
      <c r="H301" s="555">
        <v>650</v>
      </c>
      <c r="I301" s="464">
        <f t="shared" si="28"/>
        <v>7800</v>
      </c>
    </row>
    <row r="302" spans="1:12" s="432" customFormat="1" ht="12" customHeight="1" x14ac:dyDescent="0.3">
      <c r="A302" s="590"/>
      <c r="B302" s="568"/>
      <c r="C302" s="460" t="s">
        <v>121</v>
      </c>
      <c r="D302" s="460"/>
      <c r="E302" s="465"/>
      <c r="F302" s="463">
        <v>9</v>
      </c>
      <c r="G302" s="591" t="s">
        <v>1</v>
      </c>
      <c r="H302" s="555">
        <v>95</v>
      </c>
      <c r="I302" s="464">
        <f t="shared" si="28"/>
        <v>855</v>
      </c>
    </row>
    <row r="303" spans="1:12" s="432" customFormat="1" ht="12" customHeight="1" x14ac:dyDescent="0.3">
      <c r="A303" s="590"/>
      <c r="B303" s="568"/>
      <c r="C303" s="460" t="s">
        <v>585</v>
      </c>
      <c r="D303" s="460"/>
      <c r="E303" s="465"/>
      <c r="F303" s="463">
        <v>15</v>
      </c>
      <c r="G303" s="591" t="s">
        <v>68</v>
      </c>
      <c r="H303" s="555">
        <v>85</v>
      </c>
      <c r="I303" s="464">
        <f t="shared" si="28"/>
        <v>1275</v>
      </c>
    </row>
    <row r="304" spans="1:12" s="432" customFormat="1" ht="12" customHeight="1" x14ac:dyDescent="0.3">
      <c r="A304" s="590"/>
      <c r="B304" s="568"/>
      <c r="C304" s="460" t="s">
        <v>586</v>
      </c>
      <c r="D304" s="460"/>
      <c r="E304" s="465"/>
      <c r="F304" s="463">
        <v>11</v>
      </c>
      <c r="G304" s="591" t="s">
        <v>68</v>
      </c>
      <c r="H304" s="555">
        <v>85</v>
      </c>
      <c r="I304" s="464">
        <f t="shared" si="28"/>
        <v>935</v>
      </c>
    </row>
    <row r="305" spans="1:9" s="432" customFormat="1" ht="12" customHeight="1" x14ac:dyDescent="0.3">
      <c r="A305" s="590"/>
      <c r="B305" s="568"/>
      <c r="C305" s="460" t="s">
        <v>129</v>
      </c>
      <c r="D305" s="460"/>
      <c r="E305" s="465"/>
      <c r="F305" s="463">
        <v>4</v>
      </c>
      <c r="G305" s="591" t="s">
        <v>1</v>
      </c>
      <c r="H305" s="555">
        <v>84</v>
      </c>
      <c r="I305" s="464">
        <f t="shared" si="28"/>
        <v>336</v>
      </c>
    </row>
    <row r="306" spans="1:9" s="432" customFormat="1" ht="12" customHeight="1" x14ac:dyDescent="0.3">
      <c r="A306" s="590"/>
      <c r="B306" s="568"/>
      <c r="C306" s="460" t="s">
        <v>587</v>
      </c>
      <c r="D306" s="460"/>
      <c r="E306" s="465"/>
      <c r="F306" s="463">
        <v>15</v>
      </c>
      <c r="G306" s="591" t="s">
        <v>1</v>
      </c>
      <c r="H306" s="555">
        <v>62</v>
      </c>
      <c r="I306" s="464">
        <f t="shared" si="28"/>
        <v>930</v>
      </c>
    </row>
    <row r="307" spans="1:9" s="432" customFormat="1" ht="12" customHeight="1" x14ac:dyDescent="0.3">
      <c r="A307" s="590"/>
      <c r="B307" s="568"/>
      <c r="C307" s="460" t="s">
        <v>154</v>
      </c>
      <c r="D307" s="460"/>
      <c r="E307" s="465"/>
      <c r="F307" s="463">
        <v>8</v>
      </c>
      <c r="G307" s="591" t="s">
        <v>1</v>
      </c>
      <c r="H307" s="555">
        <v>95</v>
      </c>
      <c r="I307" s="464">
        <f t="shared" si="28"/>
        <v>760</v>
      </c>
    </row>
    <row r="308" spans="1:9" s="432" customFormat="1" ht="12" customHeight="1" x14ac:dyDescent="0.3">
      <c r="A308" s="590"/>
      <c r="B308" s="568"/>
      <c r="C308" s="460" t="s">
        <v>588</v>
      </c>
      <c r="D308" s="460"/>
      <c r="E308" s="465"/>
      <c r="F308" s="463">
        <v>8</v>
      </c>
      <c r="G308" s="591" t="s">
        <v>1</v>
      </c>
      <c r="H308" s="555">
        <v>95</v>
      </c>
      <c r="I308" s="464">
        <f t="shared" si="28"/>
        <v>760</v>
      </c>
    </row>
    <row r="309" spans="1:9" s="432" customFormat="1" ht="12" customHeight="1" x14ac:dyDescent="0.3">
      <c r="A309" s="590"/>
      <c r="B309" s="568"/>
      <c r="C309" s="460" t="s">
        <v>126</v>
      </c>
      <c r="D309" s="460"/>
      <c r="E309" s="465"/>
      <c r="F309" s="463">
        <v>5</v>
      </c>
      <c r="G309" s="591" t="s">
        <v>1</v>
      </c>
      <c r="H309" s="555">
        <v>72</v>
      </c>
      <c r="I309" s="464">
        <f t="shared" si="28"/>
        <v>360</v>
      </c>
    </row>
    <row r="310" spans="1:9" s="432" customFormat="1" ht="12" customHeight="1" x14ac:dyDescent="0.3">
      <c r="A310" s="590"/>
      <c r="B310" s="613" t="s">
        <v>589</v>
      </c>
      <c r="C310" s="460"/>
      <c r="D310" s="460"/>
      <c r="E310" s="465"/>
      <c r="F310" s="450"/>
      <c r="G310" s="591"/>
      <c r="H310" s="555"/>
      <c r="I310" s="464"/>
    </row>
    <row r="311" spans="1:9" s="432" customFormat="1" ht="12" customHeight="1" x14ac:dyDescent="0.3">
      <c r="A311" s="590"/>
      <c r="B311" s="568"/>
      <c r="C311" s="460" t="s">
        <v>132</v>
      </c>
      <c r="D311" s="460"/>
      <c r="E311" s="465"/>
      <c r="F311" s="463">
        <v>2</v>
      </c>
      <c r="G311" s="591" t="s">
        <v>118</v>
      </c>
      <c r="H311" s="555">
        <v>750</v>
      </c>
      <c r="I311" s="464">
        <f t="shared" ref="I311:I313" si="29">H311*F311</f>
        <v>1500</v>
      </c>
    </row>
    <row r="312" spans="1:9" s="432" customFormat="1" ht="12" customHeight="1" x14ac:dyDescent="0.3">
      <c r="A312" s="590"/>
      <c r="B312" s="568"/>
      <c r="C312" s="460" t="s">
        <v>122</v>
      </c>
      <c r="D312" s="460"/>
      <c r="E312" s="465"/>
      <c r="F312" s="463">
        <v>6</v>
      </c>
      <c r="G312" s="591" t="s">
        <v>1</v>
      </c>
      <c r="H312" s="555">
        <v>95</v>
      </c>
      <c r="I312" s="464">
        <f t="shared" si="29"/>
        <v>570</v>
      </c>
    </row>
    <row r="313" spans="1:9" s="432" customFormat="1" ht="12" customHeight="1" x14ac:dyDescent="0.3">
      <c r="A313" s="590"/>
      <c r="B313" s="568"/>
      <c r="C313" s="460" t="s">
        <v>126</v>
      </c>
      <c r="D313" s="460"/>
      <c r="E313" s="465"/>
      <c r="F313" s="463">
        <v>1</v>
      </c>
      <c r="G313" s="591" t="s">
        <v>1</v>
      </c>
      <c r="H313" s="555">
        <v>72</v>
      </c>
      <c r="I313" s="464">
        <f t="shared" si="29"/>
        <v>72</v>
      </c>
    </row>
    <row r="314" spans="1:9" s="432" customFormat="1" ht="12" customHeight="1" x14ac:dyDescent="0.3">
      <c r="A314" s="590"/>
      <c r="B314" s="568"/>
      <c r="C314" s="460"/>
      <c r="D314" s="460"/>
      <c r="E314" s="465"/>
      <c r="F314" s="450"/>
      <c r="G314" s="591"/>
      <c r="H314" s="555"/>
      <c r="I314" s="464"/>
    </row>
    <row r="315" spans="1:9" s="432" customFormat="1" ht="12" customHeight="1" x14ac:dyDescent="0.3">
      <c r="A315" s="590"/>
      <c r="B315" s="568"/>
      <c r="C315" s="460"/>
      <c r="D315" s="460"/>
      <c r="E315" s="465"/>
      <c r="F315" s="466"/>
      <c r="G315" s="467"/>
      <c r="H315" s="468" t="s">
        <v>26</v>
      </c>
      <c r="I315" s="464">
        <f>SUM(I286:I314)</f>
        <v>78203</v>
      </c>
    </row>
    <row r="316" spans="1:9" s="432" customFormat="1" ht="12" customHeight="1" x14ac:dyDescent="0.3">
      <c r="A316" s="590"/>
      <c r="B316" s="568"/>
      <c r="C316" s="460"/>
      <c r="D316" s="460"/>
      <c r="E316" s="465"/>
      <c r="F316" s="466"/>
      <c r="G316" s="467"/>
      <c r="H316" s="468" t="str">
        <f>"Labor Cost "&amp;TEXT(L$5,"#%")&amp;" of MC"</f>
        <v>Labor Cost 30% of MC</v>
      </c>
      <c r="I316" s="464">
        <f>L$5*I315</f>
        <v>23460.899999999998</v>
      </c>
    </row>
    <row r="317" spans="1:9" s="432" customFormat="1" ht="12" customHeight="1" x14ac:dyDescent="0.3">
      <c r="A317" s="469"/>
      <c r="B317" s="470"/>
      <c r="C317" s="471"/>
      <c r="D317" s="471"/>
      <c r="E317" s="472"/>
      <c r="F317" s="473"/>
      <c r="G317" s="474"/>
      <c r="H317" s="475" t="s">
        <v>23</v>
      </c>
      <c r="I317" s="476">
        <f>I315+I316</f>
        <v>101663.9</v>
      </c>
    </row>
    <row r="318" spans="1:9" s="432" customFormat="1" ht="12" customHeight="1" x14ac:dyDescent="0.3">
      <c r="A318" s="700" t="s">
        <v>369</v>
      </c>
      <c r="B318" s="701" t="s">
        <v>55</v>
      </c>
      <c r="C318" s="702"/>
      <c r="D318" s="702"/>
      <c r="E318" s="703"/>
      <c r="F318" s="704"/>
      <c r="G318" s="705" t="s">
        <v>76</v>
      </c>
      <c r="H318" s="706"/>
      <c r="I318" s="707"/>
    </row>
    <row r="319" spans="1:9" s="432" customFormat="1" ht="12" customHeight="1" x14ac:dyDescent="0.3">
      <c r="A319" s="530"/>
      <c r="B319" s="204" t="s">
        <v>22</v>
      </c>
      <c r="C319" s="460"/>
      <c r="D319" s="460"/>
      <c r="E319" s="465"/>
      <c r="F319" s="485"/>
      <c r="G319" s="554"/>
      <c r="H319" s="555"/>
      <c r="I319" s="464"/>
    </row>
    <row r="320" spans="1:9" s="432" customFormat="1" ht="12" customHeight="1" x14ac:dyDescent="0.3">
      <c r="A320" s="530"/>
      <c r="B320" s="204"/>
      <c r="C320" s="448" t="s">
        <v>579</v>
      </c>
      <c r="D320" s="448"/>
      <c r="E320" s="465"/>
      <c r="F320" s="485"/>
      <c r="G320" s="554"/>
      <c r="H320" s="555"/>
      <c r="I320" s="464"/>
    </row>
    <row r="321" spans="1:9" s="432" customFormat="1" ht="12" customHeight="1" x14ac:dyDescent="0.3">
      <c r="A321" s="530"/>
      <c r="B321" s="204"/>
      <c r="C321" s="448" t="s">
        <v>761</v>
      </c>
      <c r="D321" s="448"/>
      <c r="E321" s="465"/>
      <c r="F321" s="485"/>
      <c r="G321" s="554"/>
      <c r="H321" s="555"/>
      <c r="I321" s="464"/>
    </row>
    <row r="322" spans="1:9" s="432" customFormat="1" ht="12" customHeight="1" x14ac:dyDescent="0.3">
      <c r="A322" s="530"/>
      <c r="B322" s="502" t="s">
        <v>79</v>
      </c>
      <c r="C322" s="561" t="s">
        <v>440</v>
      </c>
      <c r="D322" s="448"/>
      <c r="E322" s="465"/>
      <c r="F322" s="485"/>
      <c r="G322" s="554"/>
      <c r="H322" s="555"/>
      <c r="I322" s="464"/>
    </row>
    <row r="323" spans="1:9" s="432" customFormat="1" ht="12" customHeight="1" x14ac:dyDescent="0.3">
      <c r="A323" s="530"/>
      <c r="B323" s="204" t="s">
        <v>25</v>
      </c>
      <c r="C323" s="460"/>
      <c r="D323" s="460"/>
      <c r="E323" s="465"/>
      <c r="F323" s="485"/>
      <c r="G323" s="554"/>
      <c r="H323" s="555"/>
      <c r="I323" s="464"/>
    </row>
    <row r="324" spans="1:9" s="432" customFormat="1" ht="12" customHeight="1" x14ac:dyDescent="0.3">
      <c r="A324" s="530"/>
      <c r="B324" s="502" t="s">
        <v>760</v>
      </c>
      <c r="C324" s="623"/>
      <c r="D324" s="624"/>
      <c r="E324" s="465"/>
      <c r="F324" s="485"/>
      <c r="G324" s="554"/>
      <c r="H324" s="555"/>
      <c r="I324" s="464"/>
    </row>
    <row r="325" spans="1:9" s="432" customFormat="1" ht="12" customHeight="1" x14ac:dyDescent="0.3">
      <c r="A325" s="530"/>
      <c r="B325" s="204"/>
      <c r="C325" s="448" t="s">
        <v>97</v>
      </c>
      <c r="D325" s="448"/>
      <c r="E325" s="465"/>
      <c r="F325" s="463">
        <v>5</v>
      </c>
      <c r="G325" s="554" t="s">
        <v>156</v>
      </c>
      <c r="H325" s="555">
        <v>405</v>
      </c>
      <c r="I325" s="464">
        <f t="shared" ref="I325:I335" si="30">H325*F325</f>
        <v>2025</v>
      </c>
    </row>
    <row r="326" spans="1:9" s="432" customFormat="1" ht="12" customHeight="1" x14ac:dyDescent="0.3">
      <c r="A326" s="530"/>
      <c r="B326" s="204"/>
      <c r="C326" s="448" t="s">
        <v>338</v>
      </c>
      <c r="D326" s="448"/>
      <c r="E326" s="465"/>
      <c r="F326" s="463">
        <v>16</v>
      </c>
      <c r="G326" s="554" t="s">
        <v>7</v>
      </c>
      <c r="H326" s="555">
        <v>476</v>
      </c>
      <c r="I326" s="464">
        <f t="shared" si="30"/>
        <v>7616</v>
      </c>
    </row>
    <row r="327" spans="1:9" s="432" customFormat="1" ht="12" customHeight="1" x14ac:dyDescent="0.3">
      <c r="A327" s="530"/>
      <c r="B327" s="204"/>
      <c r="C327" s="448" t="s">
        <v>339</v>
      </c>
      <c r="D327" s="448"/>
      <c r="E327" s="465"/>
      <c r="F327" s="463">
        <v>32</v>
      </c>
      <c r="G327" s="554" t="s">
        <v>7</v>
      </c>
      <c r="H327" s="555">
        <v>558</v>
      </c>
      <c r="I327" s="464">
        <f t="shared" si="30"/>
        <v>17856</v>
      </c>
    </row>
    <row r="328" spans="1:9" s="432" customFormat="1" ht="12" customHeight="1" x14ac:dyDescent="0.3">
      <c r="A328" s="530"/>
      <c r="B328" s="204"/>
      <c r="C328" s="448" t="s">
        <v>434</v>
      </c>
      <c r="D328" s="448"/>
      <c r="E328" s="465"/>
      <c r="F328" s="463">
        <v>8</v>
      </c>
      <c r="G328" s="554" t="s">
        <v>7</v>
      </c>
      <c r="H328" s="555">
        <v>453</v>
      </c>
      <c r="I328" s="464">
        <f t="shared" si="30"/>
        <v>3624</v>
      </c>
    </row>
    <row r="329" spans="1:9" s="432" customFormat="1" ht="12" customHeight="1" x14ac:dyDescent="0.3">
      <c r="A329" s="530"/>
      <c r="B329" s="547" t="s">
        <v>227</v>
      </c>
      <c r="C329" s="448"/>
      <c r="D329" s="448"/>
      <c r="E329" s="465"/>
      <c r="F329" s="463"/>
      <c r="G329" s="554"/>
      <c r="H329" s="555"/>
      <c r="I329" s="464"/>
    </row>
    <row r="330" spans="1:9" s="432" customFormat="1" ht="12" customHeight="1" x14ac:dyDescent="0.3">
      <c r="A330" s="530"/>
      <c r="B330" s="204"/>
      <c r="C330" s="448" t="s">
        <v>99</v>
      </c>
      <c r="D330" s="448"/>
      <c r="E330" s="465"/>
      <c r="F330" s="463">
        <v>2</v>
      </c>
      <c r="G330" s="554" t="s">
        <v>7</v>
      </c>
      <c r="H330" s="555">
        <v>460</v>
      </c>
      <c r="I330" s="464">
        <f t="shared" si="30"/>
        <v>920</v>
      </c>
    </row>
    <row r="331" spans="1:9" s="432" customFormat="1" ht="12" customHeight="1" x14ac:dyDescent="0.3">
      <c r="A331" s="530"/>
      <c r="B331" s="568"/>
      <c r="C331" s="448" t="s">
        <v>100</v>
      </c>
      <c r="D331" s="448"/>
      <c r="E331" s="465"/>
      <c r="F331" s="463">
        <v>4</v>
      </c>
      <c r="G331" s="554" t="s">
        <v>101</v>
      </c>
      <c r="H331" s="555">
        <v>85</v>
      </c>
      <c r="I331" s="464">
        <f t="shared" si="30"/>
        <v>340</v>
      </c>
    </row>
    <row r="332" spans="1:9" s="432" customFormat="1" ht="12" customHeight="1" x14ac:dyDescent="0.3">
      <c r="A332" s="530"/>
      <c r="B332" s="568"/>
      <c r="C332" s="448" t="s">
        <v>102</v>
      </c>
      <c r="D332" s="448"/>
      <c r="E332" s="465"/>
      <c r="F332" s="463">
        <v>4</v>
      </c>
      <c r="G332" s="554" t="s">
        <v>101</v>
      </c>
      <c r="H332" s="555">
        <v>95</v>
      </c>
      <c r="I332" s="464">
        <f t="shared" si="30"/>
        <v>380</v>
      </c>
    </row>
    <row r="333" spans="1:9" s="432" customFormat="1" ht="12" customHeight="1" x14ac:dyDescent="0.3">
      <c r="A333" s="530"/>
      <c r="B333" s="568"/>
      <c r="C333" s="448" t="s">
        <v>103</v>
      </c>
      <c r="D333" s="448"/>
      <c r="E333" s="465"/>
      <c r="F333" s="463">
        <v>18</v>
      </c>
      <c r="G333" s="554" t="s">
        <v>1</v>
      </c>
      <c r="H333" s="555">
        <v>15</v>
      </c>
      <c r="I333" s="464">
        <f t="shared" si="30"/>
        <v>270</v>
      </c>
    </row>
    <row r="334" spans="1:9" s="432" customFormat="1" ht="12" customHeight="1" x14ac:dyDescent="0.3">
      <c r="A334" s="530"/>
      <c r="B334" s="568"/>
      <c r="C334" s="448" t="s">
        <v>104</v>
      </c>
      <c r="D334" s="448"/>
      <c r="E334" s="465"/>
      <c r="F334" s="463">
        <v>3</v>
      </c>
      <c r="G334" s="554" t="s">
        <v>6</v>
      </c>
      <c r="H334" s="555">
        <v>150</v>
      </c>
      <c r="I334" s="464">
        <f t="shared" si="30"/>
        <v>450</v>
      </c>
    </row>
    <row r="335" spans="1:9" s="432" customFormat="1" ht="12" customHeight="1" x14ac:dyDescent="0.3">
      <c r="A335" s="530"/>
      <c r="B335" s="568"/>
      <c r="C335" s="448" t="s">
        <v>105</v>
      </c>
      <c r="D335" s="448"/>
      <c r="E335" s="465"/>
      <c r="F335" s="463">
        <v>3</v>
      </c>
      <c r="G335" s="554" t="s">
        <v>1</v>
      </c>
      <c r="H335" s="555">
        <v>30</v>
      </c>
      <c r="I335" s="464">
        <f t="shared" si="30"/>
        <v>90</v>
      </c>
    </row>
    <row r="336" spans="1:9" s="432" customFormat="1" ht="12" customHeight="1" x14ac:dyDescent="0.3">
      <c r="A336" s="530"/>
      <c r="B336" s="568"/>
      <c r="C336" s="448"/>
      <c r="D336" s="448"/>
      <c r="E336" s="465"/>
      <c r="F336" s="450"/>
      <c r="G336" s="554"/>
      <c r="H336" s="555"/>
      <c r="I336" s="464"/>
    </row>
    <row r="337" spans="1:9" s="432" customFormat="1" ht="12" customHeight="1" x14ac:dyDescent="0.3">
      <c r="A337" s="530"/>
      <c r="B337" s="568"/>
      <c r="C337" s="460"/>
      <c r="D337" s="460"/>
      <c r="E337" s="465"/>
      <c r="F337" s="466"/>
      <c r="G337" s="467"/>
      <c r="H337" s="468" t="s">
        <v>26</v>
      </c>
      <c r="I337" s="464">
        <f>SUM(I325:I336)</f>
        <v>33571</v>
      </c>
    </row>
    <row r="338" spans="1:9" s="432" customFormat="1" ht="12" customHeight="1" x14ac:dyDescent="0.3">
      <c r="A338" s="530"/>
      <c r="B338" s="568"/>
      <c r="C338" s="460"/>
      <c r="D338" s="460"/>
      <c r="E338" s="465"/>
      <c r="F338" s="466"/>
      <c r="G338" s="467"/>
      <c r="H338" s="468" t="str">
        <f>"Labor Cost "&amp;TEXT(L$5,"#%")&amp;" of MC"</f>
        <v>Labor Cost 30% of MC</v>
      </c>
      <c r="I338" s="464">
        <f>L$5*I337</f>
        <v>10071.299999999999</v>
      </c>
    </row>
    <row r="339" spans="1:9" s="432" customFormat="1" ht="12" customHeight="1" thickBot="1" x14ac:dyDescent="0.35">
      <c r="A339" s="569"/>
      <c r="B339" s="570"/>
      <c r="C339" s="571"/>
      <c r="D339" s="571"/>
      <c r="E339" s="572"/>
      <c r="F339" s="473"/>
      <c r="G339" s="474"/>
      <c r="H339" s="475" t="s">
        <v>23</v>
      </c>
      <c r="I339" s="476">
        <f>I337+I338</f>
        <v>43642.3</v>
      </c>
    </row>
    <row r="340" spans="1:9" s="432" customFormat="1" ht="12" customHeight="1" x14ac:dyDescent="0.3">
      <c r="A340" s="764" t="s">
        <v>33</v>
      </c>
      <c r="B340" s="765"/>
      <c r="C340" s="765"/>
      <c r="D340" s="765"/>
      <c r="E340" s="765"/>
      <c r="F340" s="765"/>
      <c r="G340" s="765"/>
      <c r="H340" s="765"/>
      <c r="I340" s="766"/>
    </row>
    <row r="341" spans="1:9" s="432" customFormat="1" ht="12" customHeight="1" thickBot="1" x14ac:dyDescent="0.35">
      <c r="A341" s="767"/>
      <c r="B341" s="768"/>
      <c r="C341" s="768"/>
      <c r="D341" s="768"/>
      <c r="E341" s="768"/>
      <c r="F341" s="768"/>
      <c r="G341" s="768"/>
      <c r="H341" s="768"/>
      <c r="I341" s="769"/>
    </row>
    <row r="342" spans="1:9" s="432" customFormat="1" ht="12" customHeight="1" x14ac:dyDescent="0.3">
      <c r="A342" s="869" t="str">
        <f>C1</f>
        <v>PROPOSED CONSTRUCTION OF TWO STOREY RESIDENTIAL/APARTMENT BUILDING.</v>
      </c>
      <c r="B342" s="870"/>
      <c r="C342" s="870"/>
      <c r="D342" s="870"/>
      <c r="E342" s="870"/>
      <c r="F342" s="870"/>
      <c r="G342" s="870"/>
      <c r="H342" s="870"/>
      <c r="I342" s="871"/>
    </row>
    <row r="343" spans="1:9" s="432" customFormat="1" ht="12" customHeight="1" x14ac:dyDescent="0.3">
      <c r="A343" s="733" t="s">
        <v>767</v>
      </c>
      <c r="B343" s="881" t="s">
        <v>768</v>
      </c>
      <c r="C343" s="881"/>
      <c r="D343" s="645"/>
      <c r="E343" s="882" t="s">
        <v>379</v>
      </c>
      <c r="F343" s="883"/>
      <c r="G343" s="884" t="s">
        <v>378</v>
      </c>
      <c r="H343" s="885"/>
      <c r="I343" s="732" t="s">
        <v>51</v>
      </c>
    </row>
    <row r="344" spans="1:9" s="432" customFormat="1" ht="12" customHeight="1" x14ac:dyDescent="0.3">
      <c r="A344" s="741" t="s">
        <v>160</v>
      </c>
      <c r="B344" s="734" t="str">
        <f>B7</f>
        <v xml:space="preserve">LAYOUT AND EXCAVATION       </v>
      </c>
      <c r="C344" s="735"/>
      <c r="D344" s="736"/>
      <c r="E344" s="875">
        <f>I20</f>
        <v>3890.0000000000005</v>
      </c>
      <c r="F344" s="876"/>
      <c r="G344" s="875">
        <f>I21</f>
        <v>11736</v>
      </c>
      <c r="H344" s="876">
        <v>11736</v>
      </c>
      <c r="I344" s="730">
        <f>G344+E344</f>
        <v>15626</v>
      </c>
    </row>
    <row r="345" spans="1:9" s="432" customFormat="1" ht="12" customHeight="1" x14ac:dyDescent="0.3">
      <c r="A345" s="741" t="s">
        <v>161</v>
      </c>
      <c r="B345" s="737" t="str">
        <f>B23</f>
        <v>EMBANKMENT WORKS</v>
      </c>
      <c r="C345" s="653"/>
      <c r="D345" s="738"/>
      <c r="E345" s="873">
        <f>I31</f>
        <v>3500</v>
      </c>
      <c r="F345" s="874"/>
      <c r="G345" s="873">
        <f>I32</f>
        <v>1050</v>
      </c>
      <c r="H345" s="874">
        <v>1050</v>
      </c>
      <c r="I345" s="730">
        <f t="shared" ref="I345:I355" si="31">G345+E345</f>
        <v>4550</v>
      </c>
    </row>
    <row r="346" spans="1:9" s="432" customFormat="1" ht="12" customHeight="1" x14ac:dyDescent="0.3">
      <c r="A346" s="741" t="s">
        <v>162</v>
      </c>
      <c r="B346" s="737" t="str">
        <f>B34</f>
        <v>REINFORCED CONCRETE WORKS</v>
      </c>
      <c r="C346" s="653"/>
      <c r="D346" s="738"/>
      <c r="E346" s="873">
        <f>I58</f>
        <v>321082</v>
      </c>
      <c r="F346" s="874"/>
      <c r="G346" s="873">
        <f>I59</f>
        <v>96324.599999999991</v>
      </c>
      <c r="H346" s="874">
        <v>97713.9</v>
      </c>
      <c r="I346" s="730">
        <f t="shared" si="31"/>
        <v>417406.6</v>
      </c>
    </row>
    <row r="347" spans="1:9" s="432" customFormat="1" ht="12" customHeight="1" x14ac:dyDescent="0.3">
      <c r="A347" s="741" t="s">
        <v>135</v>
      </c>
      <c r="B347" s="737" t="s">
        <v>368</v>
      </c>
      <c r="C347" s="653"/>
      <c r="D347" s="738"/>
      <c r="E347" s="873">
        <f>I80</f>
        <v>254178</v>
      </c>
      <c r="F347" s="874"/>
      <c r="G347" s="873">
        <f>I81</f>
        <v>76253.399999999994</v>
      </c>
      <c r="H347" s="874">
        <v>82279.8</v>
      </c>
      <c r="I347" s="730">
        <f t="shared" si="31"/>
        <v>330431.40000000002</v>
      </c>
    </row>
    <row r="348" spans="1:9" s="432" customFormat="1" ht="12" customHeight="1" x14ac:dyDescent="0.3">
      <c r="A348" s="741" t="s">
        <v>163</v>
      </c>
      <c r="B348" s="737" t="str">
        <f>B83</f>
        <v>CARPENTRY WORKS</v>
      </c>
      <c r="C348" s="653"/>
      <c r="D348" s="738"/>
      <c r="E348" s="873">
        <f>I113</f>
        <v>75298</v>
      </c>
      <c r="F348" s="874"/>
      <c r="G348" s="873">
        <f>I114</f>
        <v>22589.399999999998</v>
      </c>
      <c r="H348" s="874">
        <v>22395.599999999999</v>
      </c>
      <c r="I348" s="730">
        <f t="shared" si="31"/>
        <v>97887.4</v>
      </c>
    </row>
    <row r="349" spans="1:9" s="432" customFormat="1" ht="12" customHeight="1" x14ac:dyDescent="0.3">
      <c r="A349" s="741" t="s">
        <v>31</v>
      </c>
      <c r="B349" s="737" t="str">
        <f>B116</f>
        <v>DOORS AND WINDOWS</v>
      </c>
      <c r="C349" s="653"/>
      <c r="D349" s="738"/>
      <c r="E349" s="873">
        <f>I130</f>
        <v>67900</v>
      </c>
      <c r="F349" s="874"/>
      <c r="G349" s="873">
        <f>I131</f>
        <v>0</v>
      </c>
      <c r="H349" s="874">
        <v>0</v>
      </c>
      <c r="I349" s="730">
        <f t="shared" si="31"/>
        <v>67900</v>
      </c>
    </row>
    <row r="350" spans="1:9" s="432" customFormat="1" ht="12" customHeight="1" x14ac:dyDescent="0.3">
      <c r="A350" s="741" t="s">
        <v>32</v>
      </c>
      <c r="B350" s="737" t="str">
        <f>B133</f>
        <v>STEEL WORKS</v>
      </c>
      <c r="C350" s="653"/>
      <c r="D350" s="738"/>
      <c r="E350" s="873">
        <f>I161</f>
        <v>63011.5</v>
      </c>
      <c r="F350" s="874"/>
      <c r="G350" s="873">
        <f>I162</f>
        <v>18903.45</v>
      </c>
      <c r="H350" s="874">
        <v>24943.05</v>
      </c>
      <c r="I350" s="730">
        <f t="shared" si="31"/>
        <v>81914.95</v>
      </c>
    </row>
    <row r="351" spans="1:9" s="432" customFormat="1" ht="22.8" customHeight="1" x14ac:dyDescent="0.3">
      <c r="A351" s="741" t="s">
        <v>166</v>
      </c>
      <c r="B351" s="737" t="str">
        <f>B164</f>
        <v>ROOFING WORKS</v>
      </c>
      <c r="C351" s="653"/>
      <c r="D351" s="738"/>
      <c r="E351" s="873">
        <f>I179</f>
        <v>80261.5</v>
      </c>
      <c r="F351" s="874"/>
      <c r="G351" s="873">
        <f>I180</f>
        <v>24078.45</v>
      </c>
      <c r="H351" s="874">
        <v>23415.45</v>
      </c>
      <c r="I351" s="730">
        <f t="shared" si="31"/>
        <v>104339.95</v>
      </c>
    </row>
    <row r="352" spans="1:9" s="432" customFormat="1" ht="12" customHeight="1" x14ac:dyDescent="0.3">
      <c r="A352" s="741" t="s">
        <v>167</v>
      </c>
      <c r="B352" s="737" t="s">
        <v>30</v>
      </c>
      <c r="C352" s="653"/>
      <c r="D352" s="738"/>
      <c r="E352" s="873">
        <f>I202</f>
        <v>185475</v>
      </c>
      <c r="F352" s="874"/>
      <c r="G352" s="873">
        <f>I203</f>
        <v>55642.5</v>
      </c>
      <c r="H352" s="874">
        <v>55642.5</v>
      </c>
      <c r="I352" s="730">
        <f t="shared" si="31"/>
        <v>241117.5</v>
      </c>
    </row>
    <row r="353" spans="1:13" s="432" customFormat="1" ht="12" customHeight="1" x14ac:dyDescent="0.3">
      <c r="A353" s="741" t="s">
        <v>168</v>
      </c>
      <c r="B353" s="737" t="str">
        <f>B205</f>
        <v xml:space="preserve">SEPTIC TANK </v>
      </c>
      <c r="C353" s="653"/>
      <c r="D353" s="738"/>
      <c r="E353" s="873">
        <f>I226</f>
        <v>29180</v>
      </c>
      <c r="F353" s="874"/>
      <c r="G353" s="873">
        <f>I227</f>
        <v>8754</v>
      </c>
      <c r="H353" s="874">
        <v>9404.4</v>
      </c>
      <c r="I353" s="730">
        <f t="shared" si="31"/>
        <v>37934</v>
      </c>
    </row>
    <row r="354" spans="1:13" s="432" customFormat="1" ht="12" customHeight="1" x14ac:dyDescent="0.3">
      <c r="A354" s="741" t="s">
        <v>169</v>
      </c>
      <c r="B354" s="737" t="str">
        <f>B229</f>
        <v>ELECTRICAL WORKS</v>
      </c>
      <c r="C354" s="653"/>
      <c r="D354" s="738"/>
      <c r="E354" s="873">
        <f>I274</f>
        <v>81185</v>
      </c>
      <c r="F354" s="874"/>
      <c r="G354" s="873">
        <f>I275</f>
        <v>24355.5</v>
      </c>
      <c r="H354" s="874">
        <v>22000.5</v>
      </c>
      <c r="I354" s="730">
        <f t="shared" si="31"/>
        <v>105540.5</v>
      </c>
    </row>
    <row r="355" spans="1:13" s="432" customFormat="1" ht="12" customHeight="1" x14ac:dyDescent="0.3">
      <c r="A355" s="741" t="s">
        <v>170</v>
      </c>
      <c r="B355" s="737" t="str">
        <f>B277</f>
        <v>PLUMBING WORKS</v>
      </c>
      <c r="C355" s="653"/>
      <c r="D355" s="738"/>
      <c r="E355" s="873">
        <f>I315</f>
        <v>78203</v>
      </c>
      <c r="F355" s="874"/>
      <c r="G355" s="873">
        <f>I316</f>
        <v>23460.899999999998</v>
      </c>
      <c r="H355" s="874">
        <v>24754.5</v>
      </c>
      <c r="I355" s="730">
        <f t="shared" si="31"/>
        <v>101663.9</v>
      </c>
    </row>
    <row r="356" spans="1:13" s="432" customFormat="1" ht="12" customHeight="1" x14ac:dyDescent="0.3">
      <c r="A356" s="741" t="s">
        <v>376</v>
      </c>
      <c r="B356" s="737" t="str">
        <f>B318</f>
        <v>PAINTING WORKS</v>
      </c>
      <c r="C356" s="653"/>
      <c r="D356" s="738"/>
      <c r="E356" s="877">
        <f>I337</f>
        <v>33571</v>
      </c>
      <c r="F356" s="878"/>
      <c r="G356" s="877">
        <f>I338</f>
        <v>10071.299999999999</v>
      </c>
      <c r="H356" s="878">
        <v>10071.299999999999</v>
      </c>
      <c r="I356" s="730">
        <f>G356+E356</f>
        <v>43642.3</v>
      </c>
    </row>
    <row r="357" spans="1:13" s="432" customFormat="1" ht="12" customHeight="1" x14ac:dyDescent="0.3">
      <c r="A357" s="742"/>
      <c r="B357" s="739" t="s">
        <v>381</v>
      </c>
      <c r="C357" s="662"/>
      <c r="D357" s="740"/>
      <c r="E357" s="879">
        <f>SUM(E344:E356)</f>
        <v>1276735</v>
      </c>
      <c r="F357" s="880"/>
      <c r="G357" s="879">
        <f>G344+G345+G346+G347+G348+G349+G350+G351+G352+G353+G354+G355+G356</f>
        <v>373219.50000000006</v>
      </c>
      <c r="H357" s="880"/>
      <c r="I357" s="731"/>
    </row>
    <row r="358" spans="1:13" s="432" customFormat="1" ht="12" customHeight="1" thickBot="1" x14ac:dyDescent="0.35">
      <c r="A358" s="664" t="s">
        <v>377</v>
      </c>
      <c r="B358" s="665"/>
      <c r="C358" s="666"/>
      <c r="D358" s="666"/>
      <c r="E358" s="667"/>
      <c r="F358" s="668"/>
      <c r="G358" s="669"/>
      <c r="H358" s="670"/>
      <c r="I358" s="671">
        <f>SUM(I344:I357)</f>
        <v>1649954.5</v>
      </c>
    </row>
    <row r="359" spans="1:13" s="432" customFormat="1" ht="12" customHeight="1" x14ac:dyDescent="0.3">
      <c r="A359" s="745"/>
      <c r="B359" s="746"/>
      <c r="C359" s="745"/>
      <c r="D359" s="745"/>
      <c r="E359" s="747"/>
      <c r="F359" s="674"/>
      <c r="G359" s="748"/>
      <c r="H359" s="749"/>
      <c r="I359" s="744"/>
    </row>
    <row r="360" spans="1:13" s="432" customFormat="1" ht="12" customHeight="1" x14ac:dyDescent="0.3">
      <c r="A360" s="745"/>
      <c r="B360" s="746"/>
      <c r="C360" s="745"/>
      <c r="D360" s="745"/>
      <c r="E360" s="747"/>
      <c r="F360" s="674"/>
      <c r="G360" s="748"/>
      <c r="H360" s="749"/>
      <c r="I360" s="744"/>
    </row>
    <row r="361" spans="1:13" s="432" customFormat="1" ht="12" customHeight="1" x14ac:dyDescent="0.3">
      <c r="A361" s="745"/>
      <c r="B361" s="746"/>
      <c r="C361" s="745"/>
      <c r="D361" s="745"/>
      <c r="E361" s="747"/>
      <c r="F361" s="674"/>
      <c r="G361" s="748"/>
      <c r="H361" s="749"/>
      <c r="I361" s="744"/>
    </row>
    <row r="362" spans="1:13" s="432" customFormat="1" ht="12" customHeight="1" x14ac:dyDescent="0.3">
      <c r="A362" s="672"/>
      <c r="B362" s="624"/>
      <c r="C362" s="521"/>
      <c r="D362" s="521"/>
      <c r="E362" s="673"/>
      <c r="F362" s="674"/>
      <c r="G362" s="675"/>
      <c r="H362" s="676"/>
      <c r="I362" s="677"/>
    </row>
    <row r="363" spans="1:13" s="432" customFormat="1" ht="12" customHeight="1" x14ac:dyDescent="0.3">
      <c r="A363" s="679"/>
      <c r="B363" s="779" t="s">
        <v>149</v>
      </c>
      <c r="C363" s="779"/>
      <c r="D363" s="679"/>
      <c r="E363" s="680" t="s">
        <v>764</v>
      </c>
      <c r="F363" s="680"/>
      <c r="G363" s="680"/>
      <c r="H363" s="680"/>
      <c r="I363" s="680"/>
    </row>
    <row r="364" spans="1:13" s="432" customFormat="1" ht="12" customHeight="1" x14ac:dyDescent="0.3">
      <c r="A364" s="681"/>
      <c r="B364" s="682"/>
      <c r="C364" s="682"/>
      <c r="D364" s="682"/>
      <c r="E364" s="872"/>
      <c r="F364" s="872"/>
      <c r="G364" s="872"/>
      <c r="H364" s="872"/>
      <c r="I364" s="872"/>
    </row>
    <row r="365" spans="1:13" s="432" customFormat="1" ht="12" customHeight="1" x14ac:dyDescent="0.3">
      <c r="A365" s="681"/>
      <c r="B365" s="682"/>
      <c r="C365" s="682"/>
      <c r="D365" s="682"/>
      <c r="E365" s="872"/>
      <c r="F365" s="872"/>
      <c r="G365" s="872"/>
      <c r="H365" s="872"/>
      <c r="I365" s="872"/>
    </row>
    <row r="366" spans="1:13" s="432" customFormat="1" ht="12" customHeight="1" x14ac:dyDescent="0.3">
      <c r="A366" s="681"/>
      <c r="B366" s="682"/>
      <c r="C366" s="682"/>
      <c r="D366" s="682"/>
      <c r="E366" s="872"/>
      <c r="F366" s="872"/>
      <c r="G366" s="872"/>
      <c r="H366" s="872"/>
      <c r="I366" s="872"/>
    </row>
    <row r="367" spans="1:13" s="432" customFormat="1" ht="12" customHeight="1" x14ac:dyDescent="0.3">
      <c r="A367" s="521"/>
      <c r="B367" s="787"/>
      <c r="C367" s="787"/>
      <c r="D367" s="521"/>
      <c r="E367" s="787" t="s">
        <v>765</v>
      </c>
      <c r="F367" s="787"/>
      <c r="G367" s="787"/>
      <c r="H367" s="787"/>
      <c r="I367" s="787"/>
    </row>
    <row r="368" spans="1:13" s="432" customFormat="1" ht="12" customHeight="1" x14ac:dyDescent="0.3">
      <c r="A368" s="521"/>
      <c r="B368" s="521"/>
      <c r="C368" s="521"/>
      <c r="D368" s="683"/>
      <c r="E368" s="521" t="s">
        <v>34</v>
      </c>
      <c r="F368" s="521"/>
      <c r="G368" s="521"/>
      <c r="H368" s="521"/>
      <c r="I368" s="521"/>
      <c r="K368" s="620"/>
      <c r="L368" s="620"/>
      <c r="M368" s="621"/>
    </row>
    <row r="369" spans="1:13" s="432" customFormat="1" ht="12" customHeight="1" x14ac:dyDescent="0.3">
      <c r="A369" s="685"/>
      <c r="B369" s="685"/>
      <c r="C369" s="685"/>
      <c r="D369" s="685"/>
      <c r="E369" s="686"/>
      <c r="F369" s="687"/>
      <c r="G369" s="687"/>
      <c r="H369" s="687"/>
      <c r="I369" s="687"/>
      <c r="K369" s="622"/>
      <c r="L369" s="622"/>
      <c r="M369" s="621"/>
    </row>
    <row r="370" spans="1:13" s="432" customFormat="1" ht="12" customHeight="1" x14ac:dyDescent="0.3">
      <c r="A370" s="686"/>
      <c r="B370" s="686"/>
      <c r="C370" s="686"/>
      <c r="D370" s="686"/>
      <c r="E370" s="688"/>
      <c r="F370" s="688"/>
      <c r="G370" s="688"/>
      <c r="H370" s="688"/>
      <c r="I370" s="688"/>
      <c r="K370" s="622"/>
      <c r="L370" s="622"/>
      <c r="M370" s="621"/>
    </row>
    <row r="371" spans="1:13" s="432" customFormat="1" ht="12" customHeight="1" x14ac:dyDescent="0.3">
      <c r="A371" s="689"/>
      <c r="B371" s="689"/>
      <c r="C371" s="689"/>
      <c r="D371" s="689"/>
      <c r="E371" s="689"/>
      <c r="F371" s="689"/>
      <c r="G371" s="689"/>
      <c r="H371" s="689"/>
      <c r="I371" s="689"/>
      <c r="K371" s="622"/>
      <c r="L371" s="622"/>
      <c r="M371" s="621"/>
    </row>
    <row r="372" spans="1:13" s="432" customFormat="1" ht="12" customHeight="1" x14ac:dyDescent="0.3">
      <c r="A372" s="689"/>
      <c r="B372" s="689"/>
      <c r="C372" s="689"/>
      <c r="D372" s="689"/>
      <c r="E372" s="689"/>
      <c r="F372" s="689"/>
      <c r="G372" s="689"/>
      <c r="H372" s="689"/>
      <c r="I372" s="689"/>
      <c r="K372" s="622"/>
      <c r="L372" s="622"/>
      <c r="M372" s="621"/>
    </row>
    <row r="373" spans="1:13" s="432" customFormat="1" ht="12" customHeight="1" x14ac:dyDescent="0.3">
      <c r="A373" s="689"/>
      <c r="B373" s="689"/>
      <c r="C373" s="689"/>
      <c r="D373" s="689"/>
      <c r="E373" s="689"/>
      <c r="F373" s="689"/>
      <c r="G373" s="689"/>
      <c r="H373" s="689"/>
      <c r="I373" s="689"/>
      <c r="K373" s="622"/>
      <c r="L373" s="622"/>
      <c r="M373" s="621"/>
    </row>
    <row r="374" spans="1:13" s="432" customFormat="1" ht="12" customHeight="1" x14ac:dyDescent="0.3">
      <c r="A374" s="686"/>
      <c r="B374" s="686"/>
      <c r="C374" s="686"/>
      <c r="D374" s="686"/>
      <c r="E374" s="686"/>
      <c r="F374" s="686"/>
      <c r="G374" s="686"/>
      <c r="H374" s="686"/>
      <c r="I374" s="686"/>
    </row>
    <row r="375" spans="1:13" s="432" customFormat="1" ht="12" customHeight="1" x14ac:dyDescent="0.3">
      <c r="A375" s="431"/>
      <c r="B375" s="431"/>
      <c r="C375" s="431"/>
      <c r="D375" s="431"/>
      <c r="E375" s="431"/>
      <c r="F375" s="690"/>
      <c r="G375" s="431"/>
      <c r="H375" s="691"/>
      <c r="I375" s="691"/>
    </row>
    <row r="376" spans="1:13" s="432" customFormat="1" ht="12" customHeight="1" x14ac:dyDescent="0.3">
      <c r="A376" s="431"/>
      <c r="B376" s="431"/>
      <c r="C376" s="431"/>
      <c r="D376" s="431"/>
      <c r="E376" s="431"/>
      <c r="F376" s="690"/>
      <c r="G376" s="431"/>
      <c r="H376" s="691"/>
      <c r="I376" s="691"/>
    </row>
    <row r="377" spans="1:13" s="432" customFormat="1" ht="12" customHeight="1" x14ac:dyDescent="0.3">
      <c r="A377" s="431"/>
      <c r="B377" s="431"/>
      <c r="C377" s="431"/>
      <c r="D377" s="431"/>
      <c r="E377" s="431"/>
      <c r="F377" s="690"/>
      <c r="G377" s="431"/>
      <c r="H377" s="691"/>
      <c r="I377" s="691"/>
    </row>
    <row r="378" spans="1:13" s="432" customFormat="1" ht="12" customHeight="1" x14ac:dyDescent="0.3">
      <c r="A378" s="431"/>
      <c r="B378" s="431"/>
      <c r="C378" s="431"/>
      <c r="D378" s="431"/>
      <c r="E378" s="431"/>
      <c r="F378" s="690"/>
      <c r="G378" s="431"/>
      <c r="H378" s="691"/>
      <c r="I378" s="691"/>
    </row>
    <row r="379" spans="1:13" s="432" customFormat="1" ht="12" customHeight="1" x14ac:dyDescent="0.3">
      <c r="A379" s="431"/>
      <c r="B379" s="431"/>
      <c r="C379" s="431"/>
      <c r="D379" s="431"/>
      <c r="E379" s="431"/>
      <c r="F379" s="690"/>
      <c r="G379" s="431"/>
      <c r="H379" s="691"/>
      <c r="I379" s="691"/>
    </row>
    <row r="380" spans="1:13" s="432" customFormat="1" ht="12" customHeight="1" x14ac:dyDescent="0.3">
      <c r="A380" s="431"/>
      <c r="B380" s="431"/>
      <c r="C380" s="431"/>
      <c r="D380" s="431"/>
      <c r="E380" s="431"/>
      <c r="F380" s="690"/>
      <c r="G380" s="431"/>
      <c r="H380" s="691"/>
      <c r="I380" s="691"/>
    </row>
    <row r="381" spans="1:13" s="432" customFormat="1" ht="12" customHeight="1" x14ac:dyDescent="0.3">
      <c r="A381" s="431"/>
      <c r="B381" s="431"/>
      <c r="C381" s="431"/>
      <c r="D381" s="431"/>
      <c r="E381" s="431"/>
      <c r="F381" s="690"/>
      <c r="G381" s="431"/>
      <c r="H381" s="691"/>
      <c r="I381" s="691"/>
    </row>
    <row r="382" spans="1:13" s="432" customFormat="1" ht="12" customHeight="1" x14ac:dyDescent="0.3">
      <c r="A382" s="431"/>
      <c r="B382" s="431"/>
      <c r="C382" s="431"/>
      <c r="D382" s="431"/>
      <c r="E382" s="431"/>
      <c r="F382" s="690"/>
      <c r="G382" s="431"/>
      <c r="H382" s="691"/>
      <c r="I382" s="691"/>
    </row>
    <row r="383" spans="1:13" s="432" customFormat="1" ht="12" customHeight="1" x14ac:dyDescent="0.3">
      <c r="A383" s="431"/>
      <c r="B383" s="431"/>
      <c r="C383" s="431"/>
      <c r="D383" s="431"/>
      <c r="E383" s="431"/>
      <c r="F383" s="690"/>
      <c r="G383" s="431"/>
      <c r="H383" s="691"/>
      <c r="I383" s="691"/>
    </row>
    <row r="384" spans="1:13" s="432" customFormat="1" ht="12" customHeight="1" x14ac:dyDescent="0.3">
      <c r="A384" s="431"/>
      <c r="B384" s="431"/>
      <c r="C384" s="431"/>
      <c r="D384" s="431"/>
      <c r="E384" s="431"/>
      <c r="F384" s="431"/>
      <c r="G384" s="431"/>
      <c r="H384" s="431"/>
      <c r="I384" s="431"/>
    </row>
    <row r="385" spans="1:16" s="432" customFormat="1" ht="12" customHeight="1" x14ac:dyDescent="0.3">
      <c r="A385" s="431"/>
      <c r="B385" s="431"/>
      <c r="C385" s="431"/>
      <c r="D385" s="431"/>
      <c r="E385" s="431"/>
      <c r="F385" s="431"/>
      <c r="G385" s="431"/>
      <c r="H385" s="431"/>
      <c r="I385" s="431"/>
    </row>
    <row r="386" spans="1:16" s="432" customFormat="1" ht="12" customHeight="1" x14ac:dyDescent="0.3">
      <c r="A386" s="431"/>
      <c r="B386" s="431"/>
      <c r="C386" s="431"/>
      <c r="D386" s="431"/>
      <c r="E386" s="431"/>
      <c r="F386" s="431"/>
      <c r="G386" s="431"/>
      <c r="H386" s="431"/>
      <c r="I386" s="431"/>
    </row>
    <row r="387" spans="1:16" s="432" customFormat="1" ht="12" customHeight="1" x14ac:dyDescent="0.3">
      <c r="A387" s="431"/>
      <c r="B387" s="431"/>
      <c r="C387" s="431"/>
      <c r="D387" s="431"/>
      <c r="E387" s="431"/>
      <c r="F387" s="431"/>
      <c r="G387" s="431"/>
      <c r="H387" s="431"/>
      <c r="I387" s="431"/>
      <c r="L387" s="432" t="s">
        <v>242</v>
      </c>
      <c r="M387" s="432" t="s">
        <v>243</v>
      </c>
    </row>
    <row r="388" spans="1:16" s="432" customFormat="1" ht="12" customHeight="1" x14ac:dyDescent="0.3">
      <c r="A388" s="431"/>
      <c r="B388" s="431"/>
      <c r="C388" s="431"/>
      <c r="D388" s="431"/>
      <c r="E388" s="431"/>
      <c r="F388" s="431"/>
      <c r="G388" s="431"/>
      <c r="H388" s="431"/>
      <c r="I388" s="431"/>
      <c r="K388" s="432">
        <f>(6.8*2+8*2+3.7+2.9+2.6+1.65+1.9+3.7+3.2)*3</f>
        <v>147.75000000000003</v>
      </c>
      <c r="L388" s="432">
        <f>K388-(7*(1.4*1.2)+(0.7*1.2)+2*(0.7*0.7)+(1.6*2.1)+2*(1.5*2.1)+2*(0.8*2.1))</f>
        <v>121.15000000000003</v>
      </c>
      <c r="M388" s="432">
        <f>10.2*9.3</f>
        <v>94.86</v>
      </c>
      <c r="O388" s="432">
        <f>L388*2+M388</f>
        <v>337.16000000000008</v>
      </c>
      <c r="P388" s="432">
        <f>O388/25</f>
        <v>13.486400000000003</v>
      </c>
    </row>
    <row r="389" spans="1:16" s="432" customFormat="1" ht="12" customHeight="1" x14ac:dyDescent="0.3">
      <c r="A389" s="431"/>
      <c r="B389" s="431"/>
      <c r="C389" s="431"/>
      <c r="D389" s="431"/>
      <c r="E389" s="431"/>
      <c r="F389" s="431"/>
      <c r="G389" s="431"/>
      <c r="H389" s="431"/>
      <c r="I389" s="431"/>
    </row>
    <row r="390" spans="1:16" s="432" customFormat="1" ht="12" customHeight="1" x14ac:dyDescent="0.3">
      <c r="A390" s="431"/>
      <c r="B390" s="431"/>
      <c r="C390" s="431"/>
      <c r="D390" s="431"/>
      <c r="E390" s="431"/>
      <c r="F390" s="431"/>
      <c r="G390" s="431"/>
      <c r="H390" s="431"/>
      <c r="I390" s="431"/>
    </row>
    <row r="391" spans="1:16" s="432" customFormat="1" ht="12" customHeight="1" x14ac:dyDescent="0.3">
      <c r="A391" s="431"/>
      <c r="B391" s="431"/>
      <c r="C391" s="431"/>
      <c r="D391" s="431"/>
      <c r="E391" s="431"/>
      <c r="F391" s="431"/>
      <c r="G391" s="431"/>
      <c r="H391" s="431"/>
      <c r="I391" s="431"/>
      <c r="M391" s="432" t="s">
        <v>211</v>
      </c>
    </row>
    <row r="392" spans="1:16" s="432" customFormat="1" ht="12" customHeight="1" x14ac:dyDescent="0.3">
      <c r="A392" s="431"/>
      <c r="B392" s="431"/>
      <c r="C392" s="431"/>
      <c r="D392" s="431"/>
      <c r="E392" s="431"/>
      <c r="F392" s="431"/>
      <c r="G392" s="431"/>
      <c r="H392" s="431"/>
      <c r="I392" s="431"/>
      <c r="M392" s="432">
        <f>((1.6*2.1)+(1.5*2.1)*2+(0.8*2.1))*2+((2.1*0.25)*2+(1.6*1.5*2+0.8)*0.25)*4</f>
        <v>32.480000000000004</v>
      </c>
      <c r="N392" s="432">
        <f>M392/25</f>
        <v>1.2992000000000001</v>
      </c>
    </row>
    <row r="393" spans="1:16" s="432" customFormat="1" ht="12" customHeight="1" x14ac:dyDescent="0.3">
      <c r="A393" s="431"/>
      <c r="B393" s="431"/>
      <c r="C393" s="431"/>
      <c r="D393" s="431"/>
      <c r="E393" s="431"/>
      <c r="F393" s="431"/>
      <c r="G393" s="431"/>
      <c r="H393" s="431"/>
      <c r="I393" s="431"/>
    </row>
    <row r="394" spans="1:16" s="432" customFormat="1" ht="12" customHeight="1" x14ac:dyDescent="0.3">
      <c r="A394" s="431"/>
      <c r="B394" s="431"/>
      <c r="C394" s="431"/>
      <c r="D394" s="431"/>
      <c r="E394" s="431"/>
      <c r="F394" s="431"/>
      <c r="G394" s="431"/>
      <c r="H394" s="431"/>
      <c r="I394" s="431"/>
    </row>
    <row r="395" spans="1:16" s="432" customFormat="1" ht="12" customHeight="1" x14ac:dyDescent="0.3">
      <c r="A395" s="431"/>
      <c r="B395" s="431"/>
      <c r="C395" s="431"/>
      <c r="D395" s="431"/>
      <c r="E395" s="431"/>
      <c r="F395" s="431"/>
      <c r="G395" s="431"/>
      <c r="H395" s="431"/>
      <c r="I395" s="431"/>
      <c r="M395" s="432" t="s">
        <v>244</v>
      </c>
      <c r="N395" s="432" t="s">
        <v>259</v>
      </c>
    </row>
    <row r="396" spans="1:16" s="432" customFormat="1" ht="12" customHeight="1" x14ac:dyDescent="0.3">
      <c r="A396" s="431"/>
      <c r="B396" s="431"/>
      <c r="C396" s="431"/>
      <c r="D396" s="431"/>
      <c r="E396" s="431"/>
      <c r="F396" s="431"/>
      <c r="G396" s="431"/>
      <c r="H396" s="431"/>
      <c r="I396" s="431"/>
      <c r="K396" s="506">
        <v>440</v>
      </c>
      <c r="L396" s="506">
        <f>K396*(1+L$3)</f>
        <v>440</v>
      </c>
      <c r="M396" s="432">
        <f>F148*(2*3.1416*0.0254)*6</f>
        <v>6.7029177600000001</v>
      </c>
      <c r="N396" s="634" t="e">
        <f>#REF!*(0.01*4)*6</f>
        <v>#REF!</v>
      </c>
      <c r="O396" s="432" t="e">
        <f>M392+M396+N396</f>
        <v>#REF!</v>
      </c>
      <c r="P396" s="432" t="e">
        <f>O396/25</f>
        <v>#REF!</v>
      </c>
    </row>
    <row r="397" spans="1:16" s="432" customFormat="1" ht="12" customHeight="1" x14ac:dyDescent="0.3">
      <c r="A397" s="431"/>
      <c r="B397" s="431"/>
      <c r="C397" s="431"/>
      <c r="D397" s="431"/>
      <c r="E397" s="431"/>
      <c r="F397" s="431"/>
      <c r="G397" s="431"/>
      <c r="H397" s="431"/>
      <c r="I397" s="431"/>
      <c r="K397" s="519"/>
      <c r="L397" s="519"/>
    </row>
    <row r="398" spans="1:16" s="432" customFormat="1" ht="12" customHeight="1" x14ac:dyDescent="0.3">
      <c r="A398" s="431"/>
      <c r="B398" s="431"/>
      <c r="C398" s="431"/>
      <c r="D398" s="431"/>
      <c r="E398" s="431"/>
      <c r="F398" s="431"/>
      <c r="G398" s="431"/>
      <c r="H398" s="431"/>
      <c r="I398" s="431"/>
    </row>
    <row r="399" spans="1:16" s="432" customFormat="1" ht="12" customHeight="1" x14ac:dyDescent="0.3">
      <c r="A399" s="431"/>
      <c r="B399" s="431"/>
      <c r="C399" s="431"/>
      <c r="D399" s="431"/>
      <c r="E399" s="431"/>
      <c r="F399" s="431"/>
      <c r="G399" s="431"/>
      <c r="H399" s="431"/>
      <c r="I399" s="431"/>
    </row>
    <row r="400" spans="1:16" s="432" customFormat="1" ht="12" customHeight="1" x14ac:dyDescent="0.3">
      <c r="A400" s="431"/>
      <c r="B400" s="431"/>
      <c r="C400" s="431"/>
      <c r="D400" s="431"/>
      <c r="E400" s="431"/>
      <c r="F400" s="431"/>
      <c r="G400" s="431"/>
      <c r="H400" s="431"/>
      <c r="I400" s="431"/>
      <c r="O400" s="432">
        <f>337.2+50.2</f>
        <v>387.4</v>
      </c>
    </row>
    <row r="401" spans="1:9" s="432" customFormat="1" ht="12" customHeight="1" x14ac:dyDescent="0.3">
      <c r="A401" s="431"/>
      <c r="B401" s="431"/>
      <c r="C401" s="431"/>
      <c r="D401" s="431"/>
      <c r="E401" s="431"/>
      <c r="F401" s="431"/>
      <c r="G401" s="431"/>
      <c r="H401" s="431"/>
      <c r="I401" s="431"/>
    </row>
    <row r="402" spans="1:9" s="432" customFormat="1" ht="12" customHeight="1" x14ac:dyDescent="0.3">
      <c r="A402" s="431"/>
      <c r="B402" s="431"/>
      <c r="C402" s="431"/>
      <c r="D402" s="431"/>
      <c r="E402" s="431"/>
      <c r="F402" s="431"/>
      <c r="G402" s="431"/>
      <c r="H402" s="431"/>
      <c r="I402" s="431"/>
    </row>
    <row r="403" spans="1:9" s="432" customFormat="1" ht="12" customHeight="1" x14ac:dyDescent="0.3">
      <c r="A403" s="431"/>
      <c r="B403" s="431"/>
      <c r="C403" s="431"/>
      <c r="D403" s="431"/>
      <c r="E403" s="431"/>
      <c r="F403" s="431"/>
      <c r="G403" s="431"/>
      <c r="H403" s="431"/>
      <c r="I403" s="431"/>
    </row>
    <row r="404" spans="1:9" s="432" customFormat="1" ht="12" customHeight="1" x14ac:dyDescent="0.3">
      <c r="A404" s="431"/>
      <c r="B404" s="431"/>
      <c r="C404" s="431"/>
      <c r="D404" s="431"/>
      <c r="E404" s="431"/>
      <c r="F404" s="431"/>
      <c r="G404" s="431"/>
      <c r="H404" s="431"/>
      <c r="I404" s="431"/>
    </row>
    <row r="405" spans="1:9" s="432" customFormat="1" ht="12" customHeight="1" x14ac:dyDescent="0.3">
      <c r="A405" s="431"/>
      <c r="B405" s="431"/>
      <c r="C405" s="431"/>
      <c r="D405" s="431"/>
      <c r="E405" s="431"/>
      <c r="F405" s="431"/>
      <c r="G405" s="431"/>
      <c r="H405" s="431"/>
      <c r="I405" s="431"/>
    </row>
    <row r="406" spans="1:9" s="432" customFormat="1" ht="12" customHeight="1" x14ac:dyDescent="0.3">
      <c r="A406" s="431"/>
      <c r="B406" s="431"/>
      <c r="C406" s="431"/>
      <c r="D406" s="431"/>
      <c r="E406" s="431"/>
      <c r="F406" s="431"/>
      <c r="G406" s="431"/>
      <c r="H406" s="431"/>
      <c r="I406" s="431"/>
    </row>
    <row r="407" spans="1:9" s="432" customFormat="1" ht="12" customHeight="1" x14ac:dyDescent="0.3">
      <c r="A407" s="431"/>
      <c r="B407" s="431"/>
      <c r="C407" s="431"/>
      <c r="D407" s="431"/>
      <c r="E407" s="431"/>
      <c r="F407" s="431"/>
      <c r="G407" s="431"/>
      <c r="H407" s="431"/>
      <c r="I407" s="431"/>
    </row>
    <row r="408" spans="1:9" s="432" customFormat="1" ht="15" customHeight="1" x14ac:dyDescent="0.3">
      <c r="A408" s="431"/>
      <c r="B408" s="431"/>
      <c r="C408" s="431"/>
      <c r="D408" s="431"/>
      <c r="E408" s="431"/>
      <c r="F408" s="431"/>
      <c r="G408" s="431"/>
      <c r="H408" s="431"/>
      <c r="I408" s="431"/>
    </row>
    <row r="409" spans="1:9" s="432" customFormat="1" ht="15" customHeight="1" x14ac:dyDescent="0.3">
      <c r="A409" s="431"/>
      <c r="B409" s="431"/>
      <c r="C409" s="431"/>
      <c r="D409" s="431"/>
      <c r="E409" s="431"/>
      <c r="F409" s="431"/>
      <c r="G409" s="431"/>
      <c r="H409" s="431"/>
      <c r="I409" s="431"/>
    </row>
    <row r="410" spans="1:9" s="432" customFormat="1" ht="24" customHeight="1" x14ac:dyDescent="0.3">
      <c r="A410" s="431"/>
      <c r="B410" s="431"/>
      <c r="C410" s="431"/>
      <c r="D410" s="431"/>
      <c r="E410" s="431"/>
      <c r="F410" s="431"/>
      <c r="G410" s="431"/>
      <c r="H410" s="431"/>
      <c r="I410" s="431"/>
    </row>
    <row r="411" spans="1:9" s="432" customFormat="1" ht="15" customHeight="1" x14ac:dyDescent="0.3">
      <c r="A411" s="431"/>
      <c r="B411" s="431"/>
      <c r="C411" s="431"/>
      <c r="D411" s="431"/>
      <c r="E411" s="431"/>
      <c r="F411" s="431"/>
      <c r="G411" s="431"/>
      <c r="H411" s="431"/>
      <c r="I411" s="431"/>
    </row>
    <row r="412" spans="1:9" s="432" customFormat="1" ht="15" customHeight="1" x14ac:dyDescent="0.3">
      <c r="A412" s="431"/>
      <c r="B412" s="431"/>
      <c r="C412" s="431"/>
      <c r="D412" s="431"/>
      <c r="E412" s="431"/>
      <c r="F412" s="431"/>
      <c r="G412" s="431"/>
      <c r="H412" s="431"/>
      <c r="I412" s="431"/>
    </row>
    <row r="413" spans="1:9" s="432" customFormat="1" ht="12" customHeight="1" x14ac:dyDescent="0.3">
      <c r="A413" s="431"/>
      <c r="B413" s="431"/>
      <c r="C413" s="431"/>
      <c r="D413" s="431"/>
      <c r="E413" s="431"/>
      <c r="F413" s="431"/>
      <c r="G413" s="431"/>
      <c r="H413" s="431"/>
      <c r="I413" s="431"/>
    </row>
    <row r="414" spans="1:9" s="432" customFormat="1" ht="12" customHeight="1" x14ac:dyDescent="0.3">
      <c r="A414" s="431"/>
      <c r="B414" s="431"/>
      <c r="C414" s="431"/>
      <c r="D414" s="431"/>
      <c r="E414" s="431"/>
      <c r="F414" s="431"/>
      <c r="G414" s="431"/>
      <c r="H414" s="431"/>
      <c r="I414" s="431"/>
    </row>
    <row r="415" spans="1:9" s="432" customFormat="1" ht="12" customHeight="1" x14ac:dyDescent="0.3">
      <c r="A415" s="431"/>
      <c r="B415" s="431"/>
      <c r="C415" s="431"/>
      <c r="D415" s="431"/>
      <c r="E415" s="431"/>
      <c r="F415" s="431"/>
      <c r="G415" s="431"/>
      <c r="H415" s="431"/>
      <c r="I415" s="431"/>
    </row>
    <row r="416" spans="1:9" s="432" customFormat="1" ht="12" customHeight="1" x14ac:dyDescent="0.3">
      <c r="A416" s="431"/>
      <c r="B416" s="431"/>
      <c r="C416" s="431"/>
      <c r="D416" s="431"/>
      <c r="E416" s="431"/>
      <c r="F416" s="431"/>
      <c r="G416" s="431"/>
      <c r="H416" s="431"/>
      <c r="I416" s="431"/>
    </row>
    <row r="417" spans="1:15" s="432" customFormat="1" ht="15" customHeight="1" x14ac:dyDescent="0.3">
      <c r="A417" s="431"/>
      <c r="B417" s="431"/>
      <c r="C417" s="431"/>
      <c r="D417" s="431"/>
      <c r="E417" s="431"/>
      <c r="F417" s="431"/>
      <c r="G417" s="431"/>
      <c r="H417" s="431"/>
      <c r="I417" s="431"/>
    </row>
    <row r="418" spans="1:15" s="432" customFormat="1" ht="15" customHeight="1" x14ac:dyDescent="0.3">
      <c r="A418" s="431"/>
      <c r="B418" s="431"/>
      <c r="C418" s="431"/>
      <c r="D418" s="431"/>
      <c r="E418" s="431"/>
      <c r="F418" s="431"/>
      <c r="G418" s="431"/>
      <c r="H418" s="431"/>
      <c r="I418" s="431"/>
      <c r="J418" s="432" t="s">
        <v>705</v>
      </c>
      <c r="L418" s="432" t="s">
        <v>641</v>
      </c>
    </row>
    <row r="419" spans="1:15" s="432" customFormat="1" ht="15" customHeight="1" x14ac:dyDescent="0.3">
      <c r="A419" s="431"/>
      <c r="B419" s="431"/>
      <c r="C419" s="431"/>
      <c r="D419" s="431"/>
      <c r="E419" s="431"/>
      <c r="F419" s="431"/>
      <c r="G419" s="431"/>
      <c r="H419" s="431"/>
      <c r="I419" s="431"/>
      <c r="J419" s="432" t="s">
        <v>705</v>
      </c>
    </row>
    <row r="420" spans="1:15" s="432" customFormat="1" ht="15" customHeight="1" x14ac:dyDescent="0.3">
      <c r="A420" s="431"/>
      <c r="B420" s="431"/>
      <c r="C420" s="431"/>
      <c r="D420" s="431"/>
      <c r="E420" s="431"/>
      <c r="F420" s="431"/>
      <c r="G420" s="431"/>
      <c r="H420" s="431"/>
      <c r="I420" s="431"/>
      <c r="K420" s="558"/>
    </row>
    <row r="421" spans="1:15" s="432" customFormat="1" ht="15" customHeight="1" x14ac:dyDescent="0.3">
      <c r="A421" s="431"/>
      <c r="B421" s="431"/>
      <c r="C421" s="431"/>
      <c r="D421" s="431"/>
      <c r="E421" s="431"/>
      <c r="F421" s="431"/>
      <c r="G421" s="431"/>
      <c r="H421" s="431"/>
      <c r="I421" s="431"/>
    </row>
    <row r="422" spans="1:15" s="432" customFormat="1" ht="15" customHeight="1" x14ac:dyDescent="0.3">
      <c r="A422" s="431"/>
      <c r="B422" s="431"/>
      <c r="C422" s="431"/>
      <c r="D422" s="431"/>
      <c r="E422" s="431"/>
      <c r="F422" s="431"/>
      <c r="G422" s="431"/>
      <c r="H422" s="431"/>
      <c r="I422" s="431"/>
    </row>
    <row r="423" spans="1:15" s="432" customFormat="1" ht="15" customHeight="1" x14ac:dyDescent="0.3">
      <c r="A423" s="431"/>
      <c r="B423" s="431"/>
      <c r="C423" s="431"/>
      <c r="D423" s="431"/>
      <c r="E423" s="431"/>
      <c r="F423" s="431"/>
      <c r="G423" s="431"/>
      <c r="H423" s="431"/>
      <c r="I423" s="431"/>
      <c r="J423" s="432" t="s">
        <v>705</v>
      </c>
    </row>
    <row r="424" spans="1:15" s="432" customFormat="1" ht="15" customHeight="1" x14ac:dyDescent="0.3">
      <c r="A424" s="431"/>
      <c r="B424" s="431"/>
      <c r="C424" s="431"/>
      <c r="D424" s="431"/>
      <c r="E424" s="431"/>
      <c r="F424" s="431"/>
      <c r="G424" s="431"/>
      <c r="H424" s="431"/>
      <c r="I424" s="431"/>
    </row>
    <row r="425" spans="1:15" s="432" customFormat="1" ht="12" customHeight="1" x14ac:dyDescent="0.3">
      <c r="A425" s="431"/>
      <c r="B425" s="431"/>
      <c r="C425" s="431"/>
      <c r="D425" s="431"/>
      <c r="E425" s="431"/>
      <c r="F425" s="431"/>
      <c r="G425" s="431"/>
      <c r="H425" s="431"/>
      <c r="I425" s="431"/>
      <c r="J425" s="432" t="s">
        <v>705</v>
      </c>
      <c r="K425" s="506">
        <v>255</v>
      </c>
      <c r="L425" s="506">
        <f>K425*(1+L$3)+10</f>
        <v>265</v>
      </c>
      <c r="N425" s="432" t="s">
        <v>3</v>
      </c>
      <c r="O425" s="432">
        <v>244</v>
      </c>
    </row>
    <row r="426" spans="1:15" s="432" customFormat="1" ht="12" customHeight="1" x14ac:dyDescent="0.3">
      <c r="A426" s="431"/>
      <c r="B426" s="431"/>
      <c r="C426" s="431"/>
      <c r="D426" s="431"/>
      <c r="E426" s="431"/>
      <c r="F426" s="431"/>
      <c r="G426" s="431"/>
      <c r="H426" s="431"/>
      <c r="I426" s="431"/>
      <c r="J426" s="432" t="s">
        <v>705</v>
      </c>
      <c r="K426" s="506">
        <v>900</v>
      </c>
      <c r="L426" s="506">
        <f t="shared" ref="L426:L431" si="32">K426*(1+L$3)</f>
        <v>900</v>
      </c>
      <c r="N426" s="432" t="s">
        <v>73</v>
      </c>
      <c r="O426" s="432">
        <v>18</v>
      </c>
    </row>
    <row r="427" spans="1:15" s="432" customFormat="1" ht="12" customHeight="1" x14ac:dyDescent="0.3">
      <c r="A427" s="431"/>
      <c r="B427" s="431"/>
      <c r="C427" s="431"/>
      <c r="D427" s="431"/>
      <c r="E427" s="431"/>
      <c r="F427" s="431"/>
      <c r="G427" s="431"/>
      <c r="H427" s="431"/>
      <c r="I427" s="431"/>
      <c r="J427" s="432" t="s">
        <v>705</v>
      </c>
      <c r="K427" s="506">
        <v>900</v>
      </c>
      <c r="L427" s="506">
        <f t="shared" si="32"/>
        <v>900</v>
      </c>
      <c r="N427" s="432" t="s">
        <v>67</v>
      </c>
      <c r="O427" s="432">
        <v>3</v>
      </c>
    </row>
    <row r="428" spans="1:15" s="432" customFormat="1" ht="12" customHeight="1" x14ac:dyDescent="0.3">
      <c r="A428" s="431"/>
      <c r="B428" s="431"/>
      <c r="C428" s="431"/>
      <c r="D428" s="431"/>
      <c r="E428" s="431"/>
      <c r="F428" s="431"/>
      <c r="G428" s="431"/>
      <c r="H428" s="431"/>
      <c r="I428" s="431"/>
      <c r="K428" s="506">
        <v>58</v>
      </c>
      <c r="L428" s="506">
        <f t="shared" si="32"/>
        <v>58</v>
      </c>
      <c r="N428" s="432" t="s">
        <v>70</v>
      </c>
      <c r="O428" s="432">
        <v>6.5</v>
      </c>
    </row>
    <row r="429" spans="1:15" s="432" customFormat="1" ht="12" customHeight="1" x14ac:dyDescent="0.3">
      <c r="A429" s="431"/>
      <c r="B429" s="431"/>
      <c r="C429" s="431"/>
      <c r="D429" s="431"/>
      <c r="E429" s="431"/>
      <c r="F429" s="431"/>
      <c r="G429" s="431"/>
      <c r="H429" s="431"/>
      <c r="I429" s="431"/>
      <c r="K429" s="506">
        <v>134</v>
      </c>
      <c r="L429" s="506">
        <f>K429*(1+L$3)+20.1</f>
        <v>154.1</v>
      </c>
      <c r="N429" s="432" t="s">
        <v>332</v>
      </c>
      <c r="O429" s="432">
        <v>125</v>
      </c>
    </row>
    <row r="430" spans="1:15" s="432" customFormat="1" ht="12" customHeight="1" x14ac:dyDescent="0.3">
      <c r="A430" s="431"/>
      <c r="B430" s="431"/>
      <c r="C430" s="431"/>
      <c r="D430" s="431"/>
      <c r="E430" s="431"/>
      <c r="F430" s="431"/>
      <c r="G430" s="431"/>
      <c r="H430" s="431"/>
      <c r="I430" s="431"/>
      <c r="K430" s="506">
        <v>194</v>
      </c>
      <c r="L430" s="506">
        <f>K430*(1+L$3)+29.1</f>
        <v>223.1</v>
      </c>
      <c r="N430" s="432" t="s">
        <v>333</v>
      </c>
      <c r="O430" s="432">
        <v>17</v>
      </c>
    </row>
    <row r="431" spans="1:15" s="432" customFormat="1" ht="12" customHeight="1" x14ac:dyDescent="0.3">
      <c r="A431" s="431"/>
      <c r="B431" s="431"/>
      <c r="C431" s="431"/>
      <c r="D431" s="431"/>
      <c r="E431" s="431"/>
      <c r="F431" s="431"/>
      <c r="G431" s="431"/>
      <c r="H431" s="431"/>
      <c r="I431" s="431"/>
      <c r="J431" s="509"/>
      <c r="K431" s="506">
        <v>55</v>
      </c>
      <c r="L431" s="506">
        <f t="shared" si="32"/>
        <v>55</v>
      </c>
      <c r="N431" s="432" t="s">
        <v>74</v>
      </c>
      <c r="O431" s="432">
        <v>1</v>
      </c>
    </row>
    <row r="432" spans="1:15" s="432" customFormat="1" ht="15" customHeight="1" x14ac:dyDescent="0.3">
      <c r="A432" s="431"/>
      <c r="B432" s="431"/>
      <c r="C432" s="431"/>
      <c r="D432" s="431"/>
      <c r="E432" s="431"/>
      <c r="F432" s="431"/>
      <c r="G432" s="431"/>
      <c r="H432" s="431"/>
      <c r="I432" s="431"/>
    </row>
    <row r="433" spans="1:9" s="432" customFormat="1" ht="20.100000000000001" customHeight="1" x14ac:dyDescent="0.3">
      <c r="A433" s="431"/>
      <c r="B433" s="431"/>
      <c r="C433" s="431"/>
      <c r="D433" s="431"/>
      <c r="E433" s="431"/>
      <c r="F433" s="431"/>
      <c r="G433" s="431"/>
      <c r="H433" s="431"/>
      <c r="I433" s="431"/>
    </row>
    <row r="434" spans="1:9" s="432" customFormat="1" ht="20.100000000000001" customHeight="1" x14ac:dyDescent="0.3">
      <c r="A434" s="431"/>
      <c r="B434" s="431"/>
      <c r="C434" s="431"/>
      <c r="D434" s="431"/>
      <c r="E434" s="431"/>
      <c r="F434" s="431"/>
      <c r="G434" s="431"/>
      <c r="H434" s="431"/>
      <c r="I434" s="431"/>
    </row>
    <row r="435" spans="1:9" s="432" customFormat="1" ht="12" customHeight="1" x14ac:dyDescent="0.3">
      <c r="A435" s="431"/>
      <c r="B435" s="431"/>
      <c r="C435" s="431"/>
      <c r="D435" s="431"/>
      <c r="E435" s="431"/>
      <c r="F435" s="431"/>
      <c r="G435" s="431"/>
      <c r="H435" s="431"/>
      <c r="I435" s="431"/>
    </row>
    <row r="436" spans="1:9" s="432" customFormat="1" ht="12" customHeight="1" x14ac:dyDescent="0.3">
      <c r="A436" s="431"/>
      <c r="B436" s="431"/>
      <c r="C436" s="431"/>
      <c r="D436" s="431"/>
      <c r="E436" s="431"/>
      <c r="F436" s="431"/>
      <c r="G436" s="431"/>
      <c r="H436" s="431"/>
      <c r="I436" s="431"/>
    </row>
    <row r="437" spans="1:9" s="432" customFormat="1" ht="12" customHeight="1" x14ac:dyDescent="0.3">
      <c r="A437" s="431"/>
      <c r="B437" s="431"/>
      <c r="C437" s="431"/>
      <c r="D437" s="431"/>
      <c r="E437" s="431"/>
      <c r="F437" s="431"/>
      <c r="G437" s="431"/>
      <c r="H437" s="431"/>
      <c r="I437" s="431"/>
    </row>
    <row r="438" spans="1:9" s="432" customFormat="1" ht="12" customHeight="1" x14ac:dyDescent="0.3">
      <c r="A438" s="431"/>
      <c r="B438" s="431"/>
      <c r="C438" s="431"/>
      <c r="D438" s="431"/>
      <c r="E438" s="431"/>
      <c r="F438" s="431"/>
      <c r="G438" s="431"/>
      <c r="H438" s="431"/>
      <c r="I438" s="431"/>
    </row>
    <row r="439" spans="1:9" s="432" customFormat="1" ht="12" customHeight="1" x14ac:dyDescent="0.3">
      <c r="A439" s="431"/>
      <c r="B439" s="431"/>
      <c r="C439" s="431"/>
      <c r="D439" s="431"/>
      <c r="E439" s="431"/>
      <c r="F439" s="431"/>
      <c r="G439" s="431"/>
      <c r="H439" s="431"/>
      <c r="I439" s="431"/>
    </row>
    <row r="440" spans="1:9" s="432" customFormat="1" ht="12" customHeight="1" x14ac:dyDescent="0.3">
      <c r="A440" s="431"/>
      <c r="B440" s="431"/>
      <c r="C440" s="431"/>
      <c r="D440" s="431"/>
      <c r="E440" s="431"/>
      <c r="F440" s="431"/>
      <c r="G440" s="431"/>
      <c r="H440" s="431"/>
      <c r="I440" s="431"/>
    </row>
    <row r="441" spans="1:9" s="432" customFormat="1" ht="12" customHeight="1" x14ac:dyDescent="0.3">
      <c r="A441" s="431"/>
      <c r="B441" s="431"/>
      <c r="C441" s="431"/>
      <c r="D441" s="431"/>
      <c r="E441" s="431"/>
      <c r="F441" s="431"/>
      <c r="G441" s="431"/>
      <c r="H441" s="431"/>
      <c r="I441" s="431"/>
    </row>
    <row r="442" spans="1:9" s="432" customFormat="1" ht="12" customHeight="1" x14ac:dyDescent="0.3">
      <c r="A442" s="431"/>
      <c r="B442" s="431"/>
      <c r="C442" s="431"/>
      <c r="D442" s="431"/>
      <c r="E442" s="431"/>
      <c r="F442" s="431"/>
      <c r="G442" s="431"/>
      <c r="H442" s="431"/>
      <c r="I442" s="431"/>
    </row>
    <row r="443" spans="1:9" s="432" customFormat="1" ht="12" customHeight="1" x14ac:dyDescent="0.3">
      <c r="A443" s="431"/>
      <c r="B443" s="431"/>
      <c r="C443" s="431"/>
      <c r="D443" s="431"/>
      <c r="E443" s="431"/>
      <c r="F443" s="431"/>
      <c r="G443" s="431"/>
      <c r="H443" s="431"/>
      <c r="I443" s="431"/>
    </row>
    <row r="444" spans="1:9" s="432" customFormat="1" ht="12" customHeight="1" x14ac:dyDescent="0.3">
      <c r="A444" s="431"/>
      <c r="B444" s="431"/>
      <c r="C444" s="431"/>
      <c r="D444" s="431"/>
      <c r="E444" s="431"/>
      <c r="F444" s="431"/>
      <c r="G444" s="431"/>
      <c r="H444" s="431"/>
      <c r="I444" s="431"/>
    </row>
    <row r="445" spans="1:9" s="432" customFormat="1" ht="12" customHeight="1" x14ac:dyDescent="0.3">
      <c r="A445" s="431"/>
      <c r="B445" s="431"/>
      <c r="C445" s="431"/>
      <c r="D445" s="431"/>
      <c r="E445" s="431"/>
      <c r="F445" s="431"/>
      <c r="G445" s="431"/>
      <c r="H445" s="431"/>
      <c r="I445" s="431"/>
    </row>
    <row r="446" spans="1:9" ht="12" customHeight="1" x14ac:dyDescent="0.25">
      <c r="F446" s="431"/>
      <c r="H446" s="431"/>
      <c r="I446" s="431"/>
    </row>
    <row r="447" spans="1:9" ht="12.9" customHeight="1" x14ac:dyDescent="0.25">
      <c r="F447" s="431"/>
      <c r="H447" s="431"/>
      <c r="I447" s="431"/>
    </row>
    <row r="448" spans="1:9" ht="12.9" customHeight="1" x14ac:dyDescent="0.25">
      <c r="F448" s="431"/>
      <c r="H448" s="431"/>
      <c r="I448" s="431"/>
    </row>
    <row r="449" spans="6:9" ht="12.9" customHeight="1" x14ac:dyDescent="0.25">
      <c r="F449" s="431"/>
      <c r="H449" s="431"/>
      <c r="I449" s="431"/>
    </row>
    <row r="450" spans="6:9" ht="12.9" customHeight="1" x14ac:dyDescent="0.25">
      <c r="F450" s="431"/>
      <c r="H450" s="431"/>
      <c r="I450" s="431"/>
    </row>
    <row r="451" spans="6:9" ht="12.9" customHeight="1" x14ac:dyDescent="0.25">
      <c r="F451" s="431"/>
      <c r="H451" s="431"/>
      <c r="I451" s="431"/>
    </row>
    <row r="452" spans="6:9" ht="12.9" customHeight="1" x14ac:dyDescent="0.25">
      <c r="F452" s="431"/>
      <c r="H452" s="431"/>
      <c r="I452" s="431"/>
    </row>
    <row r="453" spans="6:9" x14ac:dyDescent="0.25">
      <c r="F453" s="431"/>
      <c r="H453" s="431"/>
      <c r="I453" s="431"/>
    </row>
    <row r="454" spans="6:9" x14ac:dyDescent="0.25">
      <c r="F454" s="431"/>
      <c r="H454" s="431"/>
      <c r="I454" s="431"/>
    </row>
    <row r="455" spans="6:9" x14ac:dyDescent="0.25">
      <c r="F455" s="431"/>
      <c r="H455" s="431"/>
      <c r="I455" s="431"/>
    </row>
    <row r="456" spans="6:9" x14ac:dyDescent="0.25">
      <c r="F456" s="431"/>
      <c r="H456" s="431"/>
      <c r="I456" s="431"/>
    </row>
    <row r="457" spans="6:9" x14ac:dyDescent="0.25">
      <c r="F457" s="431"/>
      <c r="H457" s="431"/>
      <c r="I457" s="431"/>
    </row>
    <row r="458" spans="6:9" x14ac:dyDescent="0.25">
      <c r="F458" s="431"/>
      <c r="H458" s="431"/>
      <c r="I458" s="431"/>
    </row>
    <row r="459" spans="6:9" x14ac:dyDescent="0.25">
      <c r="F459" s="431"/>
      <c r="H459" s="431"/>
      <c r="I459" s="431"/>
    </row>
    <row r="460" spans="6:9" x14ac:dyDescent="0.25">
      <c r="F460" s="431"/>
      <c r="H460" s="431"/>
      <c r="I460" s="431"/>
    </row>
    <row r="461" spans="6:9" x14ac:dyDescent="0.25">
      <c r="F461" s="431"/>
      <c r="H461" s="431"/>
      <c r="I461" s="431"/>
    </row>
    <row r="462" spans="6:9" x14ac:dyDescent="0.25">
      <c r="F462" s="431"/>
      <c r="H462" s="431"/>
      <c r="I462" s="431"/>
    </row>
    <row r="463" spans="6:9" x14ac:dyDescent="0.25">
      <c r="F463" s="431"/>
      <c r="H463" s="431"/>
      <c r="I463" s="431"/>
    </row>
    <row r="464" spans="6:9" x14ac:dyDescent="0.25">
      <c r="F464" s="431"/>
      <c r="H464" s="431"/>
      <c r="I464" s="431"/>
    </row>
    <row r="465" spans="6:9" x14ac:dyDescent="0.25">
      <c r="F465" s="431"/>
      <c r="H465" s="431"/>
      <c r="I465" s="431"/>
    </row>
    <row r="466" spans="6:9" x14ac:dyDescent="0.25">
      <c r="F466" s="431"/>
      <c r="H466" s="431"/>
      <c r="I466" s="431"/>
    </row>
    <row r="467" spans="6:9" x14ac:dyDescent="0.25">
      <c r="F467" s="431"/>
      <c r="H467" s="431"/>
      <c r="I467" s="431"/>
    </row>
    <row r="468" spans="6:9" x14ac:dyDescent="0.25">
      <c r="F468" s="431"/>
      <c r="H468" s="431"/>
      <c r="I468" s="431"/>
    </row>
    <row r="469" spans="6:9" x14ac:dyDescent="0.25">
      <c r="F469" s="431"/>
      <c r="H469" s="431"/>
      <c r="I469" s="431"/>
    </row>
    <row r="470" spans="6:9" x14ac:dyDescent="0.25">
      <c r="F470" s="431"/>
      <c r="H470" s="431"/>
      <c r="I470" s="431"/>
    </row>
    <row r="471" spans="6:9" x14ac:dyDescent="0.25">
      <c r="F471" s="431"/>
      <c r="H471" s="431"/>
      <c r="I471" s="431"/>
    </row>
    <row r="472" spans="6:9" x14ac:dyDescent="0.25">
      <c r="F472" s="431"/>
      <c r="H472" s="431"/>
      <c r="I472" s="431"/>
    </row>
    <row r="473" spans="6:9" x14ac:dyDescent="0.25">
      <c r="F473" s="431"/>
      <c r="H473" s="431"/>
      <c r="I473" s="431"/>
    </row>
    <row r="474" spans="6:9" x14ac:dyDescent="0.25">
      <c r="F474" s="431"/>
      <c r="H474" s="431"/>
      <c r="I474" s="431"/>
    </row>
    <row r="475" spans="6:9" x14ac:dyDescent="0.25">
      <c r="F475" s="431"/>
      <c r="H475" s="431"/>
      <c r="I475" s="431"/>
    </row>
    <row r="476" spans="6:9" x14ac:dyDescent="0.25">
      <c r="F476" s="431"/>
      <c r="H476" s="431"/>
      <c r="I476" s="431"/>
    </row>
    <row r="477" spans="6:9" x14ac:dyDescent="0.25">
      <c r="F477" s="431"/>
      <c r="H477" s="431"/>
      <c r="I477" s="431"/>
    </row>
    <row r="478" spans="6:9" x14ac:dyDescent="0.25">
      <c r="F478" s="431"/>
      <c r="H478" s="431"/>
      <c r="I478" s="431"/>
    </row>
    <row r="479" spans="6:9" x14ac:dyDescent="0.25">
      <c r="F479" s="431"/>
      <c r="H479" s="431"/>
      <c r="I479" s="431"/>
    </row>
    <row r="480" spans="6:9" x14ac:dyDescent="0.25">
      <c r="F480" s="431"/>
      <c r="H480" s="431"/>
      <c r="I480" s="431"/>
    </row>
    <row r="481" spans="6:9" x14ac:dyDescent="0.25">
      <c r="F481" s="431"/>
      <c r="H481" s="431"/>
      <c r="I481" s="431"/>
    </row>
    <row r="482" spans="6:9" x14ac:dyDescent="0.25">
      <c r="F482" s="431"/>
      <c r="H482" s="431"/>
      <c r="I482" s="431"/>
    </row>
    <row r="483" spans="6:9" x14ac:dyDescent="0.25">
      <c r="F483" s="431"/>
      <c r="H483" s="431"/>
      <c r="I483" s="431"/>
    </row>
    <row r="484" spans="6:9" x14ac:dyDescent="0.25">
      <c r="F484" s="431"/>
      <c r="H484" s="431"/>
      <c r="I484" s="431"/>
    </row>
    <row r="485" spans="6:9" x14ac:dyDescent="0.25">
      <c r="F485" s="431"/>
      <c r="H485" s="431"/>
      <c r="I485" s="431"/>
    </row>
    <row r="486" spans="6:9" x14ac:dyDescent="0.25">
      <c r="F486" s="431"/>
      <c r="H486" s="431"/>
      <c r="I486" s="431"/>
    </row>
    <row r="487" spans="6:9" x14ac:dyDescent="0.25">
      <c r="F487" s="431"/>
      <c r="H487" s="431"/>
      <c r="I487" s="431"/>
    </row>
    <row r="488" spans="6:9" x14ac:dyDescent="0.25">
      <c r="F488" s="431"/>
      <c r="H488" s="431"/>
      <c r="I488" s="431"/>
    </row>
    <row r="489" spans="6:9" x14ac:dyDescent="0.25">
      <c r="F489" s="431"/>
      <c r="H489" s="431"/>
      <c r="I489" s="431"/>
    </row>
    <row r="490" spans="6:9" x14ac:dyDescent="0.25">
      <c r="F490" s="431"/>
      <c r="H490" s="431"/>
      <c r="I490" s="431"/>
    </row>
    <row r="491" spans="6:9" x14ac:dyDescent="0.25">
      <c r="F491" s="431"/>
      <c r="H491" s="431"/>
      <c r="I491" s="431"/>
    </row>
    <row r="492" spans="6:9" x14ac:dyDescent="0.25">
      <c r="F492" s="431"/>
      <c r="H492" s="431"/>
      <c r="I492" s="431"/>
    </row>
    <row r="493" spans="6:9" x14ac:dyDescent="0.25">
      <c r="F493" s="431"/>
      <c r="H493" s="431"/>
      <c r="I493" s="431"/>
    </row>
    <row r="494" spans="6:9" x14ac:dyDescent="0.25">
      <c r="F494" s="431"/>
      <c r="H494" s="431"/>
      <c r="I494" s="431"/>
    </row>
    <row r="495" spans="6:9" x14ac:dyDescent="0.25">
      <c r="F495" s="431"/>
      <c r="H495" s="431"/>
      <c r="I495" s="431"/>
    </row>
    <row r="496" spans="6:9" x14ac:dyDescent="0.25">
      <c r="F496" s="431"/>
      <c r="H496" s="431"/>
      <c r="I496" s="431"/>
    </row>
    <row r="497" spans="6:9" x14ac:dyDescent="0.25">
      <c r="F497" s="431"/>
      <c r="H497" s="431"/>
      <c r="I497" s="431"/>
    </row>
    <row r="498" spans="6:9" x14ac:dyDescent="0.25">
      <c r="F498" s="431"/>
      <c r="H498" s="431"/>
      <c r="I498" s="431"/>
    </row>
    <row r="499" spans="6:9" x14ac:dyDescent="0.25">
      <c r="F499" s="431"/>
      <c r="H499" s="431"/>
      <c r="I499" s="431"/>
    </row>
    <row r="500" spans="6:9" x14ac:dyDescent="0.25">
      <c r="F500" s="431"/>
      <c r="H500" s="431"/>
      <c r="I500" s="431"/>
    </row>
    <row r="501" spans="6:9" x14ac:dyDescent="0.25">
      <c r="F501" s="431"/>
      <c r="H501" s="431"/>
      <c r="I501" s="431"/>
    </row>
    <row r="502" spans="6:9" x14ac:dyDescent="0.25">
      <c r="F502" s="431"/>
      <c r="H502" s="431"/>
      <c r="I502" s="431"/>
    </row>
    <row r="503" spans="6:9" x14ac:dyDescent="0.25">
      <c r="F503" s="431"/>
      <c r="H503" s="431"/>
      <c r="I503" s="431"/>
    </row>
    <row r="504" spans="6:9" x14ac:dyDescent="0.25">
      <c r="F504" s="431"/>
      <c r="H504" s="431"/>
      <c r="I504" s="431"/>
    </row>
    <row r="505" spans="6:9" x14ac:dyDescent="0.25">
      <c r="F505" s="431"/>
      <c r="H505" s="431"/>
      <c r="I505" s="431"/>
    </row>
    <row r="506" spans="6:9" x14ac:dyDescent="0.25">
      <c r="F506" s="431"/>
      <c r="H506" s="431"/>
      <c r="I506" s="431"/>
    </row>
    <row r="507" spans="6:9" x14ac:dyDescent="0.25">
      <c r="F507" s="431"/>
      <c r="H507" s="431"/>
      <c r="I507" s="431"/>
    </row>
    <row r="508" spans="6:9" x14ac:dyDescent="0.25">
      <c r="F508" s="431"/>
      <c r="H508" s="431"/>
      <c r="I508" s="431"/>
    </row>
    <row r="509" spans="6:9" x14ac:dyDescent="0.25">
      <c r="F509" s="431"/>
      <c r="H509" s="431"/>
      <c r="I509" s="431"/>
    </row>
    <row r="510" spans="6:9" x14ac:dyDescent="0.25">
      <c r="F510" s="431"/>
      <c r="H510" s="431"/>
      <c r="I510" s="431"/>
    </row>
    <row r="511" spans="6:9" x14ac:dyDescent="0.25">
      <c r="F511" s="431"/>
      <c r="H511" s="431"/>
      <c r="I511" s="431"/>
    </row>
    <row r="512" spans="6:9" x14ac:dyDescent="0.25">
      <c r="F512" s="431"/>
      <c r="H512" s="431"/>
      <c r="I512" s="431"/>
    </row>
    <row r="513" spans="6:9" x14ac:dyDescent="0.25">
      <c r="F513" s="431"/>
      <c r="H513" s="431"/>
      <c r="I513" s="431"/>
    </row>
    <row r="514" spans="6:9" x14ac:dyDescent="0.25">
      <c r="F514" s="431"/>
      <c r="H514" s="431"/>
      <c r="I514" s="431"/>
    </row>
    <row r="515" spans="6:9" x14ac:dyDescent="0.25">
      <c r="F515" s="431"/>
      <c r="H515" s="431"/>
      <c r="I515" s="431"/>
    </row>
    <row r="516" spans="6:9" x14ac:dyDescent="0.25">
      <c r="F516" s="431"/>
      <c r="H516" s="431"/>
      <c r="I516" s="431"/>
    </row>
    <row r="517" spans="6:9" x14ac:dyDescent="0.25">
      <c r="F517" s="431"/>
      <c r="H517" s="431"/>
      <c r="I517" s="431"/>
    </row>
    <row r="518" spans="6:9" x14ac:dyDescent="0.25">
      <c r="F518" s="431"/>
      <c r="H518" s="431"/>
      <c r="I518" s="431"/>
    </row>
    <row r="519" spans="6:9" x14ac:dyDescent="0.25">
      <c r="F519" s="431"/>
      <c r="H519" s="431"/>
      <c r="I519" s="431"/>
    </row>
    <row r="520" spans="6:9" x14ac:dyDescent="0.25">
      <c r="F520" s="431"/>
      <c r="H520" s="431"/>
      <c r="I520" s="431"/>
    </row>
    <row r="521" spans="6:9" x14ac:dyDescent="0.25">
      <c r="F521" s="431"/>
      <c r="H521" s="431"/>
      <c r="I521" s="431"/>
    </row>
    <row r="522" spans="6:9" x14ac:dyDescent="0.25">
      <c r="F522" s="431"/>
      <c r="H522" s="431"/>
      <c r="I522" s="431"/>
    </row>
    <row r="523" spans="6:9" x14ac:dyDescent="0.25">
      <c r="F523" s="431"/>
      <c r="H523" s="431"/>
      <c r="I523" s="431"/>
    </row>
    <row r="524" spans="6:9" x14ac:dyDescent="0.25">
      <c r="F524" s="431"/>
      <c r="H524" s="431"/>
      <c r="I524" s="431"/>
    </row>
    <row r="525" spans="6:9" x14ac:dyDescent="0.25">
      <c r="F525" s="431"/>
      <c r="H525" s="431"/>
      <c r="I525" s="431"/>
    </row>
    <row r="526" spans="6:9" x14ac:dyDescent="0.25">
      <c r="F526" s="431"/>
      <c r="H526" s="431"/>
      <c r="I526" s="431"/>
    </row>
    <row r="527" spans="6:9" x14ac:dyDescent="0.25">
      <c r="F527" s="431"/>
      <c r="H527" s="431"/>
      <c r="I527" s="431"/>
    </row>
    <row r="528" spans="6:9" x14ac:dyDescent="0.25">
      <c r="F528" s="431"/>
      <c r="H528" s="431"/>
      <c r="I528" s="431"/>
    </row>
    <row r="529" spans="6:9" x14ac:dyDescent="0.25">
      <c r="F529" s="431"/>
      <c r="H529" s="431"/>
      <c r="I529" s="431"/>
    </row>
    <row r="530" spans="6:9" x14ac:dyDescent="0.25">
      <c r="F530" s="431"/>
      <c r="H530" s="431"/>
      <c r="I530" s="431"/>
    </row>
    <row r="531" spans="6:9" x14ac:dyDescent="0.25">
      <c r="F531" s="431"/>
      <c r="H531" s="431"/>
      <c r="I531" s="431"/>
    </row>
    <row r="532" spans="6:9" x14ac:dyDescent="0.25">
      <c r="F532" s="431"/>
      <c r="H532" s="431"/>
      <c r="I532" s="431"/>
    </row>
    <row r="533" spans="6:9" x14ac:dyDescent="0.25">
      <c r="F533" s="431"/>
      <c r="H533" s="431"/>
      <c r="I533" s="431"/>
    </row>
    <row r="534" spans="6:9" x14ac:dyDescent="0.25">
      <c r="F534" s="431"/>
      <c r="H534" s="431"/>
      <c r="I534" s="431"/>
    </row>
    <row r="535" spans="6:9" x14ac:dyDescent="0.25">
      <c r="F535" s="431"/>
      <c r="H535" s="431"/>
      <c r="I535" s="431"/>
    </row>
    <row r="536" spans="6:9" x14ac:dyDescent="0.25">
      <c r="F536" s="431"/>
      <c r="H536" s="431"/>
      <c r="I536" s="431"/>
    </row>
    <row r="537" spans="6:9" x14ac:dyDescent="0.25">
      <c r="F537" s="431"/>
      <c r="H537" s="431"/>
      <c r="I537" s="431"/>
    </row>
    <row r="538" spans="6:9" x14ac:dyDescent="0.25">
      <c r="F538" s="431"/>
      <c r="H538" s="431"/>
      <c r="I538" s="431"/>
    </row>
    <row r="539" spans="6:9" x14ac:dyDescent="0.25">
      <c r="F539" s="431"/>
      <c r="H539" s="431"/>
      <c r="I539" s="431"/>
    </row>
    <row r="540" spans="6:9" x14ac:dyDescent="0.25">
      <c r="F540" s="431"/>
      <c r="H540" s="431"/>
      <c r="I540" s="431"/>
    </row>
    <row r="541" spans="6:9" x14ac:dyDescent="0.25">
      <c r="F541" s="431"/>
      <c r="H541" s="431"/>
      <c r="I541" s="431"/>
    </row>
    <row r="542" spans="6:9" x14ac:dyDescent="0.25">
      <c r="F542" s="431"/>
      <c r="H542" s="431"/>
      <c r="I542" s="431"/>
    </row>
    <row r="543" spans="6:9" x14ac:dyDescent="0.25">
      <c r="F543" s="431"/>
      <c r="H543" s="431"/>
      <c r="I543" s="431"/>
    </row>
    <row r="544" spans="6:9" x14ac:dyDescent="0.25">
      <c r="F544" s="431"/>
      <c r="H544" s="431"/>
      <c r="I544" s="431"/>
    </row>
    <row r="545" spans="6:9" x14ac:dyDescent="0.25">
      <c r="F545" s="431"/>
      <c r="H545" s="431"/>
      <c r="I545" s="431"/>
    </row>
    <row r="546" spans="6:9" x14ac:dyDescent="0.25">
      <c r="F546" s="431"/>
      <c r="H546" s="431"/>
      <c r="I546" s="431"/>
    </row>
    <row r="547" spans="6:9" x14ac:dyDescent="0.25">
      <c r="F547" s="431"/>
      <c r="H547" s="431"/>
      <c r="I547" s="431"/>
    </row>
    <row r="548" spans="6:9" x14ac:dyDescent="0.25">
      <c r="F548" s="431"/>
      <c r="H548" s="431"/>
      <c r="I548" s="431"/>
    </row>
    <row r="549" spans="6:9" x14ac:dyDescent="0.25">
      <c r="F549" s="431"/>
      <c r="H549" s="431"/>
      <c r="I549" s="431"/>
    </row>
    <row r="550" spans="6:9" x14ac:dyDescent="0.25">
      <c r="F550" s="431"/>
      <c r="H550" s="431"/>
      <c r="I550" s="431"/>
    </row>
    <row r="551" spans="6:9" x14ac:dyDescent="0.25">
      <c r="F551" s="431"/>
      <c r="H551" s="431"/>
      <c r="I551" s="431"/>
    </row>
    <row r="552" spans="6:9" x14ac:dyDescent="0.25">
      <c r="F552" s="431"/>
      <c r="H552" s="431"/>
      <c r="I552" s="431"/>
    </row>
    <row r="553" spans="6:9" x14ac:dyDescent="0.25">
      <c r="F553" s="431"/>
      <c r="H553" s="431"/>
      <c r="I553" s="431"/>
    </row>
    <row r="554" spans="6:9" x14ac:dyDescent="0.25">
      <c r="F554" s="431"/>
      <c r="H554" s="431"/>
      <c r="I554" s="431"/>
    </row>
    <row r="555" spans="6:9" x14ac:dyDescent="0.25">
      <c r="F555" s="431"/>
      <c r="H555" s="431"/>
      <c r="I555" s="431"/>
    </row>
    <row r="556" spans="6:9" x14ac:dyDescent="0.25">
      <c r="F556" s="431"/>
      <c r="H556" s="431"/>
      <c r="I556" s="431"/>
    </row>
    <row r="557" spans="6:9" x14ac:dyDescent="0.25">
      <c r="F557" s="431"/>
      <c r="H557" s="431"/>
      <c r="I557" s="431"/>
    </row>
    <row r="558" spans="6:9" x14ac:dyDescent="0.25">
      <c r="F558" s="431"/>
      <c r="H558" s="431"/>
      <c r="I558" s="431"/>
    </row>
    <row r="559" spans="6:9" x14ac:dyDescent="0.25">
      <c r="F559" s="431"/>
      <c r="H559" s="431"/>
      <c r="I559" s="431"/>
    </row>
    <row r="560" spans="6:9" x14ac:dyDescent="0.25">
      <c r="F560" s="431"/>
      <c r="H560" s="431"/>
      <c r="I560" s="431"/>
    </row>
    <row r="561" spans="6:9" x14ac:dyDescent="0.25">
      <c r="F561" s="431"/>
      <c r="H561" s="431"/>
      <c r="I561" s="431"/>
    </row>
    <row r="562" spans="6:9" x14ac:dyDescent="0.25">
      <c r="F562" s="431"/>
      <c r="H562" s="431"/>
      <c r="I562" s="431"/>
    </row>
    <row r="563" spans="6:9" x14ac:dyDescent="0.25">
      <c r="F563" s="431"/>
      <c r="H563" s="431"/>
      <c r="I563" s="431"/>
    </row>
    <row r="564" spans="6:9" x14ac:dyDescent="0.25">
      <c r="F564" s="431"/>
      <c r="H564" s="431"/>
      <c r="I564" s="431"/>
    </row>
    <row r="565" spans="6:9" x14ac:dyDescent="0.25">
      <c r="F565" s="431"/>
      <c r="H565" s="431"/>
      <c r="I565" s="431"/>
    </row>
    <row r="566" spans="6:9" x14ac:dyDescent="0.25">
      <c r="F566" s="431"/>
      <c r="H566" s="431"/>
      <c r="I566" s="431"/>
    </row>
    <row r="567" spans="6:9" x14ac:dyDescent="0.25">
      <c r="F567" s="431"/>
      <c r="H567" s="431"/>
      <c r="I567" s="431"/>
    </row>
    <row r="568" spans="6:9" x14ac:dyDescent="0.25">
      <c r="F568" s="431"/>
      <c r="H568" s="431"/>
      <c r="I568" s="431"/>
    </row>
    <row r="569" spans="6:9" x14ac:dyDescent="0.25">
      <c r="F569" s="431"/>
      <c r="H569" s="431"/>
      <c r="I569" s="431"/>
    </row>
    <row r="570" spans="6:9" x14ac:dyDescent="0.25">
      <c r="F570" s="431"/>
      <c r="H570" s="431"/>
      <c r="I570" s="431"/>
    </row>
    <row r="571" spans="6:9" x14ac:dyDescent="0.25">
      <c r="F571" s="431"/>
      <c r="H571" s="431"/>
      <c r="I571" s="431"/>
    </row>
    <row r="572" spans="6:9" x14ac:dyDescent="0.25">
      <c r="F572" s="431"/>
      <c r="H572" s="431"/>
      <c r="I572" s="431"/>
    </row>
    <row r="573" spans="6:9" x14ac:dyDescent="0.25">
      <c r="F573" s="431"/>
      <c r="H573" s="431"/>
      <c r="I573" s="431"/>
    </row>
    <row r="574" spans="6:9" x14ac:dyDescent="0.25">
      <c r="F574" s="431"/>
      <c r="H574" s="431"/>
      <c r="I574" s="431"/>
    </row>
    <row r="575" spans="6:9" x14ac:dyDescent="0.25">
      <c r="F575" s="431"/>
      <c r="H575" s="431"/>
      <c r="I575" s="431"/>
    </row>
    <row r="576" spans="6:9" x14ac:dyDescent="0.25">
      <c r="F576" s="431"/>
      <c r="H576" s="431"/>
      <c r="I576" s="431"/>
    </row>
    <row r="577" spans="6:9" x14ac:dyDescent="0.25">
      <c r="F577" s="431"/>
      <c r="H577" s="431"/>
      <c r="I577" s="431"/>
    </row>
    <row r="578" spans="6:9" x14ac:dyDescent="0.25">
      <c r="F578" s="431"/>
      <c r="H578" s="431"/>
      <c r="I578" s="431"/>
    </row>
    <row r="579" spans="6:9" x14ac:dyDescent="0.25">
      <c r="F579" s="431"/>
      <c r="H579" s="431"/>
      <c r="I579" s="431"/>
    </row>
    <row r="580" spans="6:9" x14ac:dyDescent="0.25">
      <c r="F580" s="431"/>
      <c r="H580" s="431"/>
      <c r="I580" s="431"/>
    </row>
    <row r="581" spans="6:9" x14ac:dyDescent="0.25">
      <c r="F581" s="431"/>
      <c r="H581" s="431"/>
      <c r="I581" s="431"/>
    </row>
    <row r="582" spans="6:9" x14ac:dyDescent="0.25">
      <c r="F582" s="431"/>
      <c r="H582" s="431"/>
      <c r="I582" s="431"/>
    </row>
    <row r="583" spans="6:9" x14ac:dyDescent="0.25">
      <c r="F583" s="431"/>
      <c r="H583" s="431"/>
      <c r="I583" s="431"/>
    </row>
    <row r="584" spans="6:9" x14ac:dyDescent="0.25">
      <c r="F584" s="431"/>
      <c r="H584" s="431"/>
      <c r="I584" s="431"/>
    </row>
    <row r="585" spans="6:9" x14ac:dyDescent="0.25">
      <c r="F585" s="431"/>
      <c r="H585" s="431"/>
      <c r="I585" s="431"/>
    </row>
    <row r="586" spans="6:9" x14ac:dyDescent="0.25">
      <c r="F586" s="431"/>
      <c r="H586" s="431"/>
      <c r="I586" s="431"/>
    </row>
    <row r="587" spans="6:9" x14ac:dyDescent="0.25">
      <c r="F587" s="431"/>
      <c r="H587" s="431"/>
      <c r="I587" s="431"/>
    </row>
    <row r="588" spans="6:9" x14ac:dyDescent="0.25">
      <c r="F588" s="431"/>
      <c r="H588" s="431"/>
      <c r="I588" s="431"/>
    </row>
    <row r="589" spans="6:9" x14ac:dyDescent="0.25">
      <c r="F589" s="431"/>
      <c r="H589" s="431"/>
      <c r="I589" s="431"/>
    </row>
    <row r="590" spans="6:9" x14ac:dyDescent="0.25">
      <c r="F590" s="431"/>
      <c r="H590" s="431"/>
      <c r="I590" s="431"/>
    </row>
    <row r="591" spans="6:9" x14ac:dyDescent="0.25">
      <c r="F591" s="431"/>
      <c r="H591" s="431"/>
      <c r="I591" s="431"/>
    </row>
    <row r="592" spans="6:9" x14ac:dyDescent="0.25">
      <c r="F592" s="431"/>
      <c r="H592" s="431"/>
      <c r="I592" s="431"/>
    </row>
    <row r="593" spans="6:9" x14ac:dyDescent="0.25">
      <c r="F593" s="431"/>
      <c r="H593" s="431"/>
      <c r="I593" s="431"/>
    </row>
    <row r="594" spans="6:9" x14ac:dyDescent="0.25">
      <c r="F594" s="431"/>
      <c r="H594" s="431"/>
      <c r="I594" s="431"/>
    </row>
    <row r="595" spans="6:9" x14ac:dyDescent="0.25">
      <c r="F595" s="431"/>
      <c r="H595" s="431"/>
      <c r="I595" s="431"/>
    </row>
    <row r="596" spans="6:9" x14ac:dyDescent="0.25">
      <c r="F596" s="431"/>
      <c r="H596" s="431"/>
      <c r="I596" s="431"/>
    </row>
    <row r="597" spans="6:9" x14ac:dyDescent="0.25">
      <c r="F597" s="431"/>
      <c r="H597" s="431"/>
      <c r="I597" s="431"/>
    </row>
    <row r="598" spans="6:9" x14ac:dyDescent="0.25">
      <c r="F598" s="431"/>
      <c r="H598" s="431"/>
      <c r="I598" s="431"/>
    </row>
    <row r="599" spans="6:9" x14ac:dyDescent="0.25">
      <c r="F599" s="431"/>
      <c r="H599" s="431"/>
      <c r="I599" s="431"/>
    </row>
    <row r="600" spans="6:9" x14ac:dyDescent="0.25">
      <c r="F600" s="431"/>
      <c r="H600" s="431"/>
      <c r="I600" s="431"/>
    </row>
    <row r="601" spans="6:9" x14ac:dyDescent="0.25">
      <c r="F601" s="431"/>
      <c r="H601" s="431"/>
      <c r="I601" s="431"/>
    </row>
    <row r="602" spans="6:9" x14ac:dyDescent="0.25">
      <c r="F602" s="431"/>
      <c r="H602" s="431"/>
      <c r="I602" s="431"/>
    </row>
    <row r="603" spans="6:9" x14ac:dyDescent="0.25">
      <c r="F603" s="431"/>
      <c r="H603" s="431"/>
      <c r="I603" s="431"/>
    </row>
    <row r="604" spans="6:9" x14ac:dyDescent="0.25">
      <c r="F604" s="431"/>
      <c r="H604" s="431"/>
      <c r="I604" s="431"/>
    </row>
    <row r="605" spans="6:9" x14ac:dyDescent="0.25">
      <c r="F605" s="431"/>
      <c r="H605" s="431"/>
      <c r="I605" s="431"/>
    </row>
    <row r="606" spans="6:9" x14ac:dyDescent="0.25">
      <c r="F606" s="431"/>
      <c r="H606" s="431"/>
      <c r="I606" s="431"/>
    </row>
    <row r="607" spans="6:9" x14ac:dyDescent="0.25">
      <c r="F607" s="431"/>
      <c r="H607" s="431"/>
      <c r="I607" s="431"/>
    </row>
    <row r="608" spans="6:9" x14ac:dyDescent="0.25">
      <c r="F608" s="431"/>
      <c r="H608" s="431"/>
      <c r="I608" s="431"/>
    </row>
    <row r="609" spans="6:9" x14ac:dyDescent="0.25">
      <c r="F609" s="431"/>
      <c r="H609" s="431"/>
      <c r="I609" s="431"/>
    </row>
    <row r="610" spans="6:9" x14ac:dyDescent="0.25">
      <c r="F610" s="431"/>
      <c r="H610" s="431"/>
      <c r="I610" s="431"/>
    </row>
    <row r="611" spans="6:9" x14ac:dyDescent="0.25">
      <c r="F611" s="431"/>
      <c r="H611" s="431"/>
      <c r="I611" s="431"/>
    </row>
    <row r="612" spans="6:9" x14ac:dyDescent="0.25">
      <c r="F612" s="431"/>
      <c r="H612" s="431"/>
      <c r="I612" s="431"/>
    </row>
    <row r="613" spans="6:9" x14ac:dyDescent="0.25">
      <c r="F613" s="431"/>
      <c r="H613" s="431"/>
      <c r="I613" s="431"/>
    </row>
    <row r="614" spans="6:9" x14ac:dyDescent="0.25">
      <c r="F614" s="431"/>
      <c r="H614" s="431"/>
      <c r="I614" s="431"/>
    </row>
    <row r="615" spans="6:9" x14ac:dyDescent="0.25">
      <c r="F615" s="431"/>
      <c r="H615" s="431"/>
      <c r="I615" s="431"/>
    </row>
    <row r="616" spans="6:9" x14ac:dyDescent="0.25">
      <c r="F616" s="431"/>
      <c r="H616" s="431"/>
      <c r="I616" s="431"/>
    </row>
    <row r="617" spans="6:9" x14ac:dyDescent="0.25">
      <c r="F617" s="431"/>
      <c r="H617" s="431"/>
      <c r="I617" s="431"/>
    </row>
    <row r="618" spans="6:9" x14ac:dyDescent="0.25">
      <c r="F618" s="431"/>
      <c r="H618" s="431"/>
      <c r="I618" s="431"/>
    </row>
    <row r="619" spans="6:9" x14ac:dyDescent="0.25">
      <c r="F619" s="431"/>
      <c r="H619" s="431"/>
      <c r="I619" s="431"/>
    </row>
    <row r="620" spans="6:9" x14ac:dyDescent="0.25">
      <c r="F620" s="431"/>
      <c r="H620" s="431"/>
      <c r="I620" s="431"/>
    </row>
    <row r="621" spans="6:9" x14ac:dyDescent="0.25">
      <c r="F621" s="431"/>
      <c r="H621" s="431"/>
      <c r="I621" s="431"/>
    </row>
    <row r="622" spans="6:9" x14ac:dyDescent="0.25">
      <c r="F622" s="431"/>
      <c r="H622" s="431"/>
      <c r="I622" s="431"/>
    </row>
    <row r="623" spans="6:9" x14ac:dyDescent="0.25">
      <c r="F623" s="431"/>
      <c r="H623" s="431"/>
      <c r="I623" s="431"/>
    </row>
    <row r="624" spans="6:9" x14ac:dyDescent="0.25">
      <c r="F624" s="431"/>
      <c r="H624" s="431"/>
      <c r="I624" s="431"/>
    </row>
    <row r="625" spans="6:9" x14ac:dyDescent="0.25">
      <c r="F625" s="431"/>
      <c r="H625" s="431"/>
      <c r="I625" s="431"/>
    </row>
    <row r="626" spans="6:9" x14ac:dyDescent="0.25">
      <c r="F626" s="431"/>
      <c r="H626" s="431"/>
      <c r="I626" s="431"/>
    </row>
    <row r="627" spans="6:9" x14ac:dyDescent="0.25">
      <c r="F627" s="431"/>
      <c r="H627" s="431"/>
      <c r="I627" s="431"/>
    </row>
    <row r="628" spans="6:9" x14ac:dyDescent="0.25">
      <c r="F628" s="431"/>
      <c r="H628" s="431"/>
      <c r="I628" s="431"/>
    </row>
    <row r="629" spans="6:9" x14ac:dyDescent="0.25">
      <c r="F629" s="431"/>
      <c r="H629" s="431"/>
      <c r="I629" s="431"/>
    </row>
    <row r="630" spans="6:9" x14ac:dyDescent="0.25">
      <c r="F630" s="431"/>
      <c r="H630" s="431"/>
      <c r="I630" s="431"/>
    </row>
    <row r="631" spans="6:9" x14ac:dyDescent="0.25">
      <c r="F631" s="431"/>
      <c r="H631" s="431"/>
      <c r="I631" s="431"/>
    </row>
    <row r="632" spans="6:9" x14ac:dyDescent="0.25">
      <c r="F632" s="431"/>
      <c r="H632" s="431"/>
      <c r="I632" s="431"/>
    </row>
    <row r="633" spans="6:9" x14ac:dyDescent="0.25">
      <c r="F633" s="431"/>
      <c r="H633" s="431"/>
      <c r="I633" s="431"/>
    </row>
    <row r="634" spans="6:9" x14ac:dyDescent="0.25">
      <c r="F634" s="431"/>
      <c r="H634" s="431"/>
      <c r="I634" s="431"/>
    </row>
    <row r="635" spans="6:9" x14ac:dyDescent="0.25">
      <c r="F635" s="431"/>
      <c r="H635" s="431"/>
      <c r="I635" s="431"/>
    </row>
    <row r="636" spans="6:9" x14ac:dyDescent="0.25">
      <c r="F636" s="431"/>
      <c r="H636" s="431"/>
      <c r="I636" s="431"/>
    </row>
    <row r="637" spans="6:9" x14ac:dyDescent="0.25">
      <c r="F637" s="431"/>
      <c r="H637" s="431"/>
      <c r="I637" s="431"/>
    </row>
    <row r="638" spans="6:9" x14ac:dyDescent="0.25">
      <c r="F638" s="431"/>
      <c r="H638" s="431"/>
      <c r="I638" s="431"/>
    </row>
    <row r="639" spans="6:9" x14ac:dyDescent="0.25">
      <c r="F639" s="431"/>
      <c r="H639" s="431"/>
      <c r="I639" s="431"/>
    </row>
    <row r="640" spans="6:9" x14ac:dyDescent="0.25">
      <c r="F640" s="431"/>
      <c r="H640" s="431"/>
      <c r="I640" s="431"/>
    </row>
    <row r="641" spans="6:9" x14ac:dyDescent="0.25">
      <c r="F641" s="431"/>
      <c r="H641" s="431"/>
      <c r="I641" s="431"/>
    </row>
    <row r="642" spans="6:9" x14ac:dyDescent="0.25">
      <c r="F642" s="431"/>
      <c r="H642" s="431"/>
      <c r="I642" s="431"/>
    </row>
    <row r="643" spans="6:9" x14ac:dyDescent="0.25">
      <c r="F643" s="431"/>
      <c r="H643" s="431"/>
      <c r="I643" s="431"/>
    </row>
    <row r="644" spans="6:9" x14ac:dyDescent="0.25">
      <c r="F644" s="431"/>
      <c r="H644" s="431"/>
      <c r="I644" s="431"/>
    </row>
    <row r="645" spans="6:9" x14ac:dyDescent="0.25">
      <c r="F645" s="431"/>
      <c r="H645" s="431"/>
      <c r="I645" s="431"/>
    </row>
    <row r="646" spans="6:9" x14ac:dyDescent="0.25">
      <c r="F646" s="431"/>
      <c r="H646" s="431"/>
      <c r="I646" s="431"/>
    </row>
    <row r="647" spans="6:9" x14ac:dyDescent="0.25">
      <c r="F647" s="431"/>
      <c r="H647" s="431"/>
      <c r="I647" s="431"/>
    </row>
    <row r="648" spans="6:9" x14ac:dyDescent="0.25">
      <c r="F648" s="431"/>
      <c r="H648" s="431"/>
      <c r="I648" s="431"/>
    </row>
    <row r="649" spans="6:9" x14ac:dyDescent="0.25">
      <c r="F649" s="431"/>
      <c r="H649" s="431"/>
      <c r="I649" s="431"/>
    </row>
    <row r="650" spans="6:9" x14ac:dyDescent="0.25">
      <c r="F650" s="431"/>
      <c r="H650" s="431"/>
      <c r="I650" s="431"/>
    </row>
    <row r="651" spans="6:9" x14ac:dyDescent="0.25">
      <c r="F651" s="431"/>
      <c r="H651" s="431"/>
      <c r="I651" s="431"/>
    </row>
    <row r="652" spans="6:9" x14ac:dyDescent="0.25">
      <c r="F652" s="431"/>
      <c r="H652" s="431"/>
      <c r="I652" s="431"/>
    </row>
    <row r="653" spans="6:9" x14ac:dyDescent="0.25">
      <c r="F653" s="431"/>
      <c r="H653" s="431"/>
      <c r="I653" s="431"/>
    </row>
    <row r="654" spans="6:9" x14ac:dyDescent="0.25">
      <c r="F654" s="431"/>
      <c r="H654" s="431"/>
      <c r="I654" s="431"/>
    </row>
    <row r="655" spans="6:9" x14ac:dyDescent="0.25">
      <c r="F655" s="431"/>
      <c r="H655" s="431"/>
      <c r="I655" s="431"/>
    </row>
    <row r="656" spans="6:9" x14ac:dyDescent="0.25">
      <c r="F656" s="431"/>
      <c r="H656" s="431"/>
      <c r="I656" s="431"/>
    </row>
    <row r="657" spans="6:9" x14ac:dyDescent="0.25">
      <c r="F657" s="431"/>
      <c r="H657" s="431"/>
      <c r="I657" s="431"/>
    </row>
    <row r="658" spans="6:9" x14ac:dyDescent="0.25">
      <c r="F658" s="431"/>
      <c r="H658" s="431"/>
      <c r="I658" s="431"/>
    </row>
    <row r="659" spans="6:9" x14ac:dyDescent="0.25">
      <c r="F659" s="431"/>
      <c r="H659" s="431"/>
      <c r="I659" s="431"/>
    </row>
    <row r="660" spans="6:9" x14ac:dyDescent="0.25">
      <c r="F660" s="431"/>
      <c r="H660" s="431"/>
      <c r="I660" s="431"/>
    </row>
    <row r="661" spans="6:9" x14ac:dyDescent="0.25">
      <c r="F661" s="431"/>
      <c r="H661" s="431"/>
      <c r="I661" s="431"/>
    </row>
    <row r="662" spans="6:9" x14ac:dyDescent="0.25">
      <c r="F662" s="431"/>
      <c r="H662" s="431"/>
      <c r="I662" s="431"/>
    </row>
    <row r="663" spans="6:9" x14ac:dyDescent="0.25">
      <c r="F663" s="431"/>
      <c r="H663" s="431"/>
      <c r="I663" s="431"/>
    </row>
    <row r="664" spans="6:9" x14ac:dyDescent="0.25">
      <c r="F664" s="431"/>
      <c r="H664" s="431"/>
      <c r="I664" s="431"/>
    </row>
    <row r="665" spans="6:9" x14ac:dyDescent="0.25">
      <c r="F665" s="431"/>
      <c r="H665" s="431"/>
      <c r="I665" s="431"/>
    </row>
    <row r="666" spans="6:9" x14ac:dyDescent="0.25">
      <c r="F666" s="431"/>
      <c r="H666" s="431"/>
      <c r="I666" s="431"/>
    </row>
    <row r="667" spans="6:9" x14ac:dyDescent="0.25">
      <c r="F667" s="431"/>
      <c r="H667" s="431"/>
      <c r="I667" s="431"/>
    </row>
    <row r="668" spans="6:9" x14ac:dyDescent="0.25">
      <c r="F668" s="431"/>
      <c r="H668" s="431"/>
      <c r="I668" s="431"/>
    </row>
    <row r="669" spans="6:9" x14ac:dyDescent="0.25">
      <c r="F669" s="431"/>
      <c r="H669" s="431"/>
      <c r="I669" s="431"/>
    </row>
    <row r="670" spans="6:9" x14ac:dyDescent="0.25">
      <c r="F670" s="431"/>
      <c r="H670" s="431"/>
      <c r="I670" s="431"/>
    </row>
    <row r="671" spans="6:9" x14ac:dyDescent="0.25">
      <c r="F671" s="431"/>
      <c r="H671" s="431"/>
      <c r="I671" s="431"/>
    </row>
    <row r="672" spans="6:9" x14ac:dyDescent="0.25">
      <c r="F672" s="431"/>
      <c r="H672" s="431"/>
      <c r="I672" s="431"/>
    </row>
    <row r="673" spans="6:9" x14ac:dyDescent="0.25">
      <c r="F673" s="431"/>
      <c r="H673" s="431"/>
      <c r="I673" s="431"/>
    </row>
    <row r="674" spans="6:9" x14ac:dyDescent="0.25">
      <c r="F674" s="431"/>
      <c r="H674" s="431"/>
      <c r="I674" s="431"/>
    </row>
    <row r="675" spans="6:9" x14ac:dyDescent="0.25">
      <c r="F675" s="431"/>
      <c r="H675" s="431"/>
      <c r="I675" s="431"/>
    </row>
    <row r="676" spans="6:9" x14ac:dyDescent="0.25">
      <c r="F676" s="431"/>
      <c r="H676" s="431"/>
      <c r="I676" s="431"/>
    </row>
    <row r="677" spans="6:9" x14ac:dyDescent="0.25">
      <c r="F677" s="431"/>
      <c r="H677" s="431"/>
      <c r="I677" s="431"/>
    </row>
    <row r="678" spans="6:9" x14ac:dyDescent="0.25">
      <c r="F678" s="431"/>
      <c r="H678" s="431"/>
      <c r="I678" s="431"/>
    </row>
    <row r="679" spans="6:9" x14ac:dyDescent="0.25">
      <c r="F679" s="431"/>
      <c r="H679" s="431"/>
      <c r="I679" s="431"/>
    </row>
    <row r="680" spans="6:9" x14ac:dyDescent="0.25">
      <c r="F680" s="431"/>
      <c r="H680" s="431"/>
      <c r="I680" s="431"/>
    </row>
    <row r="681" spans="6:9" x14ac:dyDescent="0.25">
      <c r="F681" s="431"/>
      <c r="H681" s="431"/>
      <c r="I681" s="431"/>
    </row>
    <row r="682" spans="6:9" x14ac:dyDescent="0.25">
      <c r="F682" s="431"/>
      <c r="H682" s="431"/>
      <c r="I682" s="431"/>
    </row>
    <row r="683" spans="6:9" x14ac:dyDescent="0.25">
      <c r="F683" s="431"/>
      <c r="H683" s="431"/>
      <c r="I683" s="431"/>
    </row>
    <row r="684" spans="6:9" x14ac:dyDescent="0.25">
      <c r="F684" s="431"/>
      <c r="H684" s="431"/>
      <c r="I684" s="431"/>
    </row>
    <row r="685" spans="6:9" x14ac:dyDescent="0.25">
      <c r="F685" s="431"/>
      <c r="H685" s="431"/>
      <c r="I685" s="431"/>
    </row>
    <row r="686" spans="6:9" x14ac:dyDescent="0.25">
      <c r="F686" s="431"/>
      <c r="H686" s="431"/>
      <c r="I686" s="431"/>
    </row>
    <row r="687" spans="6:9" x14ac:dyDescent="0.25">
      <c r="F687" s="431"/>
      <c r="H687" s="431"/>
      <c r="I687" s="431"/>
    </row>
    <row r="688" spans="6:9" x14ac:dyDescent="0.25">
      <c r="F688" s="431"/>
      <c r="H688" s="431"/>
      <c r="I688" s="431"/>
    </row>
    <row r="689" spans="6:9" x14ac:dyDescent="0.25">
      <c r="F689" s="431"/>
      <c r="H689" s="431"/>
      <c r="I689" s="431"/>
    </row>
    <row r="690" spans="6:9" x14ac:dyDescent="0.25">
      <c r="F690" s="431"/>
      <c r="H690" s="431"/>
      <c r="I690" s="431"/>
    </row>
    <row r="691" spans="6:9" x14ac:dyDescent="0.25">
      <c r="F691" s="431"/>
      <c r="H691" s="431"/>
      <c r="I691" s="431"/>
    </row>
    <row r="692" spans="6:9" x14ac:dyDescent="0.25">
      <c r="F692" s="431"/>
      <c r="H692" s="431"/>
      <c r="I692" s="431"/>
    </row>
    <row r="693" spans="6:9" x14ac:dyDescent="0.25">
      <c r="F693" s="431"/>
      <c r="H693" s="431"/>
      <c r="I693" s="431"/>
    </row>
    <row r="694" spans="6:9" x14ac:dyDescent="0.25">
      <c r="F694" s="431"/>
      <c r="H694" s="431"/>
      <c r="I694" s="431"/>
    </row>
    <row r="695" spans="6:9" x14ac:dyDescent="0.25">
      <c r="F695" s="431"/>
      <c r="H695" s="431"/>
      <c r="I695" s="431"/>
    </row>
    <row r="696" spans="6:9" x14ac:dyDescent="0.25">
      <c r="F696" s="431"/>
      <c r="H696" s="431"/>
      <c r="I696" s="431"/>
    </row>
    <row r="697" spans="6:9" x14ac:dyDescent="0.25">
      <c r="F697" s="431"/>
      <c r="H697" s="431"/>
      <c r="I697" s="431"/>
    </row>
    <row r="698" spans="6:9" x14ac:dyDescent="0.25">
      <c r="F698" s="431"/>
      <c r="H698" s="431"/>
      <c r="I698" s="431"/>
    </row>
    <row r="699" spans="6:9" x14ac:dyDescent="0.25">
      <c r="F699" s="431"/>
      <c r="H699" s="431"/>
      <c r="I699" s="431"/>
    </row>
    <row r="700" spans="6:9" x14ac:dyDescent="0.25">
      <c r="F700" s="431"/>
      <c r="H700" s="431"/>
      <c r="I700" s="431"/>
    </row>
    <row r="701" spans="6:9" x14ac:dyDescent="0.25">
      <c r="F701" s="431"/>
      <c r="H701" s="431"/>
      <c r="I701" s="431"/>
    </row>
    <row r="702" spans="6:9" x14ac:dyDescent="0.25">
      <c r="F702" s="431"/>
      <c r="H702" s="431"/>
      <c r="I702" s="431"/>
    </row>
    <row r="703" spans="6:9" x14ac:dyDescent="0.25">
      <c r="F703" s="431"/>
      <c r="H703" s="431"/>
      <c r="I703" s="431"/>
    </row>
    <row r="704" spans="6:9" x14ac:dyDescent="0.25">
      <c r="F704" s="431"/>
      <c r="H704" s="431"/>
      <c r="I704" s="431"/>
    </row>
    <row r="705" spans="6:9" x14ac:dyDescent="0.25">
      <c r="F705" s="431"/>
      <c r="H705" s="431"/>
      <c r="I705" s="431"/>
    </row>
    <row r="706" spans="6:9" x14ac:dyDescent="0.25">
      <c r="F706" s="431"/>
      <c r="H706" s="431"/>
      <c r="I706" s="431"/>
    </row>
    <row r="707" spans="6:9" x14ac:dyDescent="0.25">
      <c r="F707" s="431"/>
      <c r="H707" s="431"/>
      <c r="I707" s="431"/>
    </row>
    <row r="708" spans="6:9" x14ac:dyDescent="0.25">
      <c r="F708" s="431"/>
      <c r="H708" s="431"/>
      <c r="I708" s="431"/>
    </row>
    <row r="709" spans="6:9" x14ac:dyDescent="0.25">
      <c r="F709" s="431"/>
      <c r="H709" s="431"/>
      <c r="I709" s="431"/>
    </row>
    <row r="710" spans="6:9" x14ac:dyDescent="0.25">
      <c r="F710" s="431"/>
      <c r="H710" s="431"/>
      <c r="I710" s="431"/>
    </row>
    <row r="711" spans="6:9" x14ac:dyDescent="0.25">
      <c r="F711" s="431"/>
      <c r="H711" s="431"/>
      <c r="I711" s="431"/>
    </row>
    <row r="712" spans="6:9" x14ac:dyDescent="0.25">
      <c r="F712" s="431"/>
      <c r="H712" s="431"/>
      <c r="I712" s="431"/>
    </row>
    <row r="713" spans="6:9" x14ac:dyDescent="0.25">
      <c r="F713" s="431"/>
      <c r="H713" s="431"/>
      <c r="I713" s="431"/>
    </row>
    <row r="714" spans="6:9" x14ac:dyDescent="0.25">
      <c r="F714" s="431"/>
      <c r="H714" s="431"/>
      <c r="I714" s="431"/>
    </row>
    <row r="715" spans="6:9" x14ac:dyDescent="0.25">
      <c r="F715" s="431"/>
      <c r="H715" s="431"/>
      <c r="I715" s="431"/>
    </row>
    <row r="716" spans="6:9" x14ac:dyDescent="0.25">
      <c r="F716" s="431"/>
      <c r="H716" s="431"/>
      <c r="I716" s="431"/>
    </row>
    <row r="717" spans="6:9" x14ac:dyDescent="0.25">
      <c r="F717" s="431"/>
      <c r="H717" s="431"/>
      <c r="I717" s="431"/>
    </row>
    <row r="718" spans="6:9" x14ac:dyDescent="0.25">
      <c r="F718" s="431"/>
      <c r="H718" s="431"/>
      <c r="I718" s="431"/>
    </row>
    <row r="719" spans="6:9" x14ac:dyDescent="0.25">
      <c r="F719" s="431"/>
      <c r="H719" s="431"/>
      <c r="I719" s="431"/>
    </row>
    <row r="720" spans="6:9" x14ac:dyDescent="0.25">
      <c r="F720" s="431"/>
      <c r="H720" s="431"/>
      <c r="I720" s="431"/>
    </row>
    <row r="721" spans="6:9" x14ac:dyDescent="0.25">
      <c r="F721" s="431"/>
      <c r="H721" s="431"/>
      <c r="I721" s="431"/>
    </row>
    <row r="722" spans="6:9" x14ac:dyDescent="0.25">
      <c r="F722" s="431"/>
      <c r="H722" s="431"/>
      <c r="I722" s="431"/>
    </row>
    <row r="723" spans="6:9" x14ac:dyDescent="0.25">
      <c r="F723" s="431"/>
      <c r="H723" s="431"/>
      <c r="I723" s="431"/>
    </row>
    <row r="724" spans="6:9" x14ac:dyDescent="0.25">
      <c r="F724" s="431"/>
      <c r="H724" s="431"/>
      <c r="I724" s="431"/>
    </row>
    <row r="725" spans="6:9" x14ac:dyDescent="0.25">
      <c r="F725" s="431"/>
      <c r="H725" s="431"/>
      <c r="I725" s="431"/>
    </row>
    <row r="726" spans="6:9" x14ac:dyDescent="0.25">
      <c r="F726" s="431"/>
      <c r="H726" s="431"/>
      <c r="I726" s="431"/>
    </row>
    <row r="727" spans="6:9" x14ac:dyDescent="0.25">
      <c r="F727" s="431"/>
      <c r="H727" s="431"/>
      <c r="I727" s="431"/>
    </row>
    <row r="728" spans="6:9" x14ac:dyDescent="0.25">
      <c r="F728" s="431"/>
      <c r="H728" s="431"/>
      <c r="I728" s="431"/>
    </row>
    <row r="729" spans="6:9" x14ac:dyDescent="0.25">
      <c r="F729" s="431"/>
      <c r="H729" s="431"/>
      <c r="I729" s="431"/>
    </row>
    <row r="730" spans="6:9" x14ac:dyDescent="0.25">
      <c r="F730" s="431"/>
      <c r="H730" s="431"/>
      <c r="I730" s="431"/>
    </row>
    <row r="731" spans="6:9" x14ac:dyDescent="0.25">
      <c r="F731" s="431"/>
      <c r="H731" s="431"/>
      <c r="I731" s="431"/>
    </row>
    <row r="732" spans="6:9" x14ac:dyDescent="0.25">
      <c r="F732" s="431"/>
      <c r="H732" s="431"/>
      <c r="I732" s="431"/>
    </row>
    <row r="733" spans="6:9" x14ac:dyDescent="0.25">
      <c r="F733" s="431"/>
      <c r="H733" s="431"/>
      <c r="I733" s="431"/>
    </row>
    <row r="734" spans="6:9" x14ac:dyDescent="0.25">
      <c r="F734" s="431"/>
      <c r="H734" s="431"/>
      <c r="I734" s="431"/>
    </row>
    <row r="735" spans="6:9" x14ac:dyDescent="0.25">
      <c r="F735" s="431"/>
      <c r="H735" s="431"/>
      <c r="I735" s="431"/>
    </row>
    <row r="736" spans="6:9" x14ac:dyDescent="0.25">
      <c r="F736" s="431"/>
      <c r="H736" s="431"/>
      <c r="I736" s="431"/>
    </row>
    <row r="737" spans="6:9" x14ac:dyDescent="0.25">
      <c r="F737" s="431"/>
      <c r="H737" s="431"/>
      <c r="I737" s="431"/>
    </row>
    <row r="738" spans="6:9" x14ac:dyDescent="0.25">
      <c r="F738" s="431"/>
      <c r="H738" s="431"/>
      <c r="I738" s="431"/>
    </row>
    <row r="739" spans="6:9" x14ac:dyDescent="0.25">
      <c r="F739" s="431"/>
      <c r="H739" s="431"/>
      <c r="I739" s="431"/>
    </row>
    <row r="740" spans="6:9" x14ac:dyDescent="0.25">
      <c r="F740" s="431"/>
      <c r="H740" s="431"/>
      <c r="I740" s="431"/>
    </row>
    <row r="741" spans="6:9" x14ac:dyDescent="0.25">
      <c r="F741" s="431"/>
      <c r="H741" s="431"/>
      <c r="I741" s="431"/>
    </row>
    <row r="742" spans="6:9" x14ac:dyDescent="0.25">
      <c r="F742" s="431"/>
      <c r="H742" s="431"/>
      <c r="I742" s="431"/>
    </row>
    <row r="743" spans="6:9" x14ac:dyDescent="0.25">
      <c r="F743" s="431"/>
      <c r="H743" s="431"/>
      <c r="I743" s="431"/>
    </row>
    <row r="744" spans="6:9" x14ac:dyDescent="0.25">
      <c r="F744" s="431"/>
      <c r="H744" s="431"/>
      <c r="I744" s="431"/>
    </row>
    <row r="745" spans="6:9" x14ac:dyDescent="0.25">
      <c r="F745" s="431"/>
      <c r="H745" s="431"/>
      <c r="I745" s="431"/>
    </row>
    <row r="746" spans="6:9" x14ac:dyDescent="0.25">
      <c r="F746" s="431"/>
      <c r="H746" s="431"/>
      <c r="I746" s="431"/>
    </row>
    <row r="747" spans="6:9" x14ac:dyDescent="0.25">
      <c r="F747" s="431"/>
      <c r="H747" s="431"/>
      <c r="I747" s="431"/>
    </row>
    <row r="748" spans="6:9" x14ac:dyDescent="0.25">
      <c r="F748" s="431"/>
      <c r="H748" s="431"/>
      <c r="I748" s="431"/>
    </row>
    <row r="749" spans="6:9" x14ac:dyDescent="0.25">
      <c r="F749" s="431"/>
      <c r="H749" s="431"/>
      <c r="I749" s="431"/>
    </row>
    <row r="750" spans="6:9" x14ac:dyDescent="0.25">
      <c r="F750" s="431"/>
      <c r="H750" s="431"/>
      <c r="I750" s="431"/>
    </row>
    <row r="751" spans="6:9" x14ac:dyDescent="0.25">
      <c r="F751" s="431"/>
      <c r="H751" s="431"/>
      <c r="I751" s="431"/>
    </row>
    <row r="752" spans="6:9" x14ac:dyDescent="0.25">
      <c r="F752" s="431"/>
      <c r="H752" s="431"/>
      <c r="I752" s="431"/>
    </row>
    <row r="753" spans="6:9" x14ac:dyDescent="0.25">
      <c r="F753" s="431"/>
      <c r="H753" s="431"/>
      <c r="I753" s="431"/>
    </row>
    <row r="754" spans="6:9" x14ac:dyDescent="0.25">
      <c r="F754" s="431"/>
      <c r="H754" s="431"/>
      <c r="I754" s="431"/>
    </row>
    <row r="755" spans="6:9" x14ac:dyDescent="0.25">
      <c r="F755" s="431"/>
      <c r="H755" s="431"/>
      <c r="I755" s="431"/>
    </row>
    <row r="756" spans="6:9" x14ac:dyDescent="0.25">
      <c r="F756" s="431"/>
      <c r="H756" s="431"/>
      <c r="I756" s="431"/>
    </row>
    <row r="757" spans="6:9" x14ac:dyDescent="0.25">
      <c r="F757" s="431"/>
      <c r="H757" s="431"/>
      <c r="I757" s="431"/>
    </row>
    <row r="758" spans="6:9" x14ac:dyDescent="0.25">
      <c r="F758" s="431"/>
      <c r="H758" s="431"/>
      <c r="I758" s="431"/>
    </row>
    <row r="759" spans="6:9" x14ac:dyDescent="0.25">
      <c r="F759" s="431"/>
      <c r="H759" s="431"/>
      <c r="I759" s="431"/>
    </row>
    <row r="760" spans="6:9" x14ac:dyDescent="0.25">
      <c r="F760" s="431"/>
      <c r="H760" s="431"/>
      <c r="I760" s="431"/>
    </row>
    <row r="761" spans="6:9" x14ac:dyDescent="0.25">
      <c r="F761" s="431"/>
      <c r="H761" s="431"/>
      <c r="I761" s="431"/>
    </row>
    <row r="762" spans="6:9" x14ac:dyDescent="0.25">
      <c r="F762" s="431"/>
      <c r="H762" s="431"/>
      <c r="I762" s="431"/>
    </row>
    <row r="763" spans="6:9" x14ac:dyDescent="0.25">
      <c r="F763" s="431"/>
      <c r="H763" s="431"/>
      <c r="I763" s="431"/>
    </row>
    <row r="764" spans="6:9" x14ac:dyDescent="0.25">
      <c r="F764" s="431"/>
      <c r="H764" s="431"/>
      <c r="I764" s="431"/>
    </row>
    <row r="765" spans="6:9" x14ac:dyDescent="0.25">
      <c r="F765" s="431"/>
      <c r="H765" s="431"/>
      <c r="I765" s="431"/>
    </row>
    <row r="766" spans="6:9" x14ac:dyDescent="0.25">
      <c r="F766" s="431"/>
      <c r="H766" s="431"/>
      <c r="I766" s="431"/>
    </row>
    <row r="767" spans="6:9" x14ac:dyDescent="0.25">
      <c r="F767" s="431"/>
      <c r="H767" s="431"/>
      <c r="I767" s="431"/>
    </row>
    <row r="768" spans="6:9" x14ac:dyDescent="0.25">
      <c r="F768" s="431"/>
      <c r="H768" s="431"/>
      <c r="I768" s="431"/>
    </row>
    <row r="769" spans="6:9" x14ac:dyDescent="0.25">
      <c r="F769" s="431"/>
      <c r="H769" s="431"/>
      <c r="I769" s="431"/>
    </row>
    <row r="770" spans="6:9" x14ac:dyDescent="0.25">
      <c r="F770" s="431"/>
      <c r="H770" s="431"/>
      <c r="I770" s="431"/>
    </row>
    <row r="771" spans="6:9" x14ac:dyDescent="0.25">
      <c r="F771" s="431"/>
      <c r="H771" s="431"/>
      <c r="I771" s="431"/>
    </row>
    <row r="772" spans="6:9" x14ac:dyDescent="0.25">
      <c r="F772" s="431"/>
      <c r="H772" s="431"/>
      <c r="I772" s="431"/>
    </row>
    <row r="773" spans="6:9" x14ac:dyDescent="0.25">
      <c r="F773" s="431"/>
      <c r="H773" s="431"/>
      <c r="I773" s="431"/>
    </row>
    <row r="774" spans="6:9" x14ac:dyDescent="0.25">
      <c r="F774" s="431"/>
      <c r="H774" s="431"/>
      <c r="I774" s="431"/>
    </row>
    <row r="775" spans="6:9" x14ac:dyDescent="0.25">
      <c r="F775" s="431"/>
      <c r="H775" s="431"/>
      <c r="I775" s="431"/>
    </row>
    <row r="776" spans="6:9" x14ac:dyDescent="0.25">
      <c r="F776" s="431"/>
      <c r="H776" s="431"/>
      <c r="I776" s="431"/>
    </row>
    <row r="777" spans="6:9" x14ac:dyDescent="0.25">
      <c r="F777" s="431"/>
      <c r="H777" s="431"/>
      <c r="I777" s="431"/>
    </row>
    <row r="778" spans="6:9" x14ac:dyDescent="0.25">
      <c r="F778" s="431"/>
      <c r="H778" s="431"/>
      <c r="I778" s="431"/>
    </row>
    <row r="779" spans="6:9" x14ac:dyDescent="0.25">
      <c r="F779" s="431"/>
      <c r="H779" s="431"/>
      <c r="I779" s="431"/>
    </row>
    <row r="780" spans="6:9" x14ac:dyDescent="0.25">
      <c r="F780" s="431"/>
      <c r="H780" s="431"/>
      <c r="I780" s="431"/>
    </row>
    <row r="781" spans="6:9" x14ac:dyDescent="0.25">
      <c r="F781" s="431"/>
      <c r="H781" s="431"/>
      <c r="I781" s="431"/>
    </row>
    <row r="782" spans="6:9" x14ac:dyDescent="0.25">
      <c r="F782" s="431"/>
      <c r="H782" s="431"/>
      <c r="I782" s="431"/>
    </row>
    <row r="783" spans="6:9" x14ac:dyDescent="0.25">
      <c r="F783" s="431"/>
      <c r="H783" s="431"/>
      <c r="I783" s="431"/>
    </row>
    <row r="784" spans="6:9" x14ac:dyDescent="0.25">
      <c r="F784" s="431"/>
      <c r="H784" s="431"/>
      <c r="I784" s="431"/>
    </row>
    <row r="785" spans="6:9" x14ac:dyDescent="0.25">
      <c r="F785" s="431"/>
      <c r="H785" s="431"/>
      <c r="I785" s="431"/>
    </row>
    <row r="786" spans="6:9" x14ac:dyDescent="0.25">
      <c r="F786" s="431"/>
      <c r="H786" s="431"/>
      <c r="I786" s="431"/>
    </row>
    <row r="787" spans="6:9" x14ac:dyDescent="0.25">
      <c r="F787" s="431"/>
      <c r="H787" s="431"/>
      <c r="I787" s="431"/>
    </row>
    <row r="788" spans="6:9" x14ac:dyDescent="0.25">
      <c r="F788" s="431"/>
      <c r="H788" s="431"/>
      <c r="I788" s="431"/>
    </row>
    <row r="789" spans="6:9" x14ac:dyDescent="0.25">
      <c r="F789" s="431"/>
      <c r="H789" s="431"/>
      <c r="I789" s="431"/>
    </row>
    <row r="790" spans="6:9" x14ac:dyDescent="0.25">
      <c r="F790" s="431"/>
      <c r="H790" s="431"/>
      <c r="I790" s="431"/>
    </row>
    <row r="791" spans="6:9" x14ac:dyDescent="0.25">
      <c r="F791" s="431"/>
      <c r="H791" s="431"/>
      <c r="I791" s="431"/>
    </row>
    <row r="792" spans="6:9" x14ac:dyDescent="0.25">
      <c r="F792" s="431"/>
      <c r="H792" s="431"/>
      <c r="I792" s="431"/>
    </row>
    <row r="793" spans="6:9" x14ac:dyDescent="0.25">
      <c r="F793" s="431"/>
      <c r="H793" s="431"/>
      <c r="I793" s="431"/>
    </row>
    <row r="794" spans="6:9" x14ac:dyDescent="0.25">
      <c r="F794" s="431"/>
      <c r="H794" s="431"/>
      <c r="I794" s="431"/>
    </row>
    <row r="795" spans="6:9" x14ac:dyDescent="0.25">
      <c r="F795" s="431"/>
      <c r="H795" s="431"/>
      <c r="I795" s="431"/>
    </row>
    <row r="796" spans="6:9" x14ac:dyDescent="0.25">
      <c r="F796" s="431"/>
      <c r="H796" s="431"/>
      <c r="I796" s="431"/>
    </row>
    <row r="797" spans="6:9" x14ac:dyDescent="0.25">
      <c r="F797" s="431"/>
      <c r="H797" s="431"/>
      <c r="I797" s="431"/>
    </row>
    <row r="798" spans="6:9" x14ac:dyDescent="0.25">
      <c r="F798" s="431"/>
      <c r="H798" s="431"/>
      <c r="I798" s="431"/>
    </row>
    <row r="799" spans="6:9" x14ac:dyDescent="0.25">
      <c r="F799" s="431"/>
      <c r="H799" s="431"/>
      <c r="I799" s="431"/>
    </row>
    <row r="800" spans="6:9" x14ac:dyDescent="0.25">
      <c r="F800" s="431"/>
      <c r="H800" s="431"/>
      <c r="I800" s="431"/>
    </row>
    <row r="801" spans="6:9" x14ac:dyDescent="0.25">
      <c r="F801" s="431"/>
      <c r="H801" s="431"/>
      <c r="I801" s="431"/>
    </row>
    <row r="802" spans="6:9" x14ac:dyDescent="0.25">
      <c r="F802" s="431"/>
      <c r="H802" s="431"/>
      <c r="I802" s="431"/>
    </row>
    <row r="803" spans="6:9" x14ac:dyDescent="0.25">
      <c r="F803" s="431"/>
      <c r="H803" s="431"/>
      <c r="I803" s="431"/>
    </row>
    <row r="804" spans="6:9" x14ac:dyDescent="0.25">
      <c r="F804" s="431"/>
      <c r="H804" s="431"/>
      <c r="I804" s="431"/>
    </row>
    <row r="805" spans="6:9" x14ac:dyDescent="0.25">
      <c r="F805" s="431"/>
      <c r="H805" s="431"/>
      <c r="I805" s="431"/>
    </row>
    <row r="806" spans="6:9" x14ac:dyDescent="0.25">
      <c r="F806" s="431"/>
      <c r="H806" s="431"/>
      <c r="I806" s="431"/>
    </row>
    <row r="807" spans="6:9" x14ac:dyDescent="0.25">
      <c r="F807" s="431"/>
      <c r="H807" s="431"/>
      <c r="I807" s="431"/>
    </row>
    <row r="808" spans="6:9" x14ac:dyDescent="0.25">
      <c r="F808" s="431"/>
      <c r="H808" s="431"/>
      <c r="I808" s="431"/>
    </row>
    <row r="809" spans="6:9" x14ac:dyDescent="0.25">
      <c r="F809" s="431"/>
      <c r="H809" s="431"/>
      <c r="I809" s="431"/>
    </row>
    <row r="810" spans="6:9" x14ac:dyDescent="0.25">
      <c r="F810" s="431"/>
      <c r="H810" s="431"/>
      <c r="I810" s="431"/>
    </row>
    <row r="811" spans="6:9" x14ac:dyDescent="0.25">
      <c r="F811" s="431"/>
      <c r="H811" s="431"/>
      <c r="I811" s="431"/>
    </row>
    <row r="812" spans="6:9" x14ac:dyDescent="0.25">
      <c r="F812" s="431"/>
      <c r="H812" s="431"/>
      <c r="I812" s="431"/>
    </row>
    <row r="813" spans="6:9" x14ac:dyDescent="0.25">
      <c r="F813" s="431"/>
      <c r="H813" s="431"/>
      <c r="I813" s="431"/>
    </row>
    <row r="814" spans="6:9" x14ac:dyDescent="0.25">
      <c r="F814" s="431"/>
      <c r="H814" s="431"/>
      <c r="I814" s="431"/>
    </row>
    <row r="815" spans="6:9" x14ac:dyDescent="0.25">
      <c r="F815" s="431"/>
      <c r="H815" s="431"/>
      <c r="I815" s="431"/>
    </row>
    <row r="816" spans="6:9" x14ac:dyDescent="0.25">
      <c r="F816" s="431"/>
      <c r="H816" s="431"/>
      <c r="I816" s="431"/>
    </row>
    <row r="817" spans="6:9" x14ac:dyDescent="0.25">
      <c r="F817" s="431"/>
      <c r="H817" s="431"/>
      <c r="I817" s="431"/>
    </row>
    <row r="818" spans="6:9" x14ac:dyDescent="0.25">
      <c r="F818" s="431"/>
      <c r="H818" s="431"/>
      <c r="I818" s="431"/>
    </row>
    <row r="819" spans="6:9" x14ac:dyDescent="0.25">
      <c r="F819" s="431"/>
      <c r="H819" s="431"/>
      <c r="I819" s="431"/>
    </row>
    <row r="820" spans="6:9" x14ac:dyDescent="0.25">
      <c r="F820" s="431"/>
      <c r="H820" s="431"/>
      <c r="I820" s="431"/>
    </row>
    <row r="821" spans="6:9" x14ac:dyDescent="0.25">
      <c r="F821" s="431"/>
      <c r="H821" s="431"/>
      <c r="I821" s="431"/>
    </row>
    <row r="822" spans="6:9" x14ac:dyDescent="0.25">
      <c r="F822" s="431"/>
      <c r="H822" s="431"/>
      <c r="I822" s="431"/>
    </row>
    <row r="823" spans="6:9" x14ac:dyDescent="0.25">
      <c r="F823" s="431"/>
      <c r="H823" s="431"/>
      <c r="I823" s="431"/>
    </row>
    <row r="824" spans="6:9" x14ac:dyDescent="0.25">
      <c r="F824" s="431"/>
      <c r="H824" s="431"/>
      <c r="I824" s="431"/>
    </row>
    <row r="825" spans="6:9" x14ac:dyDescent="0.25">
      <c r="F825" s="431"/>
      <c r="H825" s="431"/>
      <c r="I825" s="431"/>
    </row>
    <row r="826" spans="6:9" x14ac:dyDescent="0.25">
      <c r="F826" s="431"/>
      <c r="H826" s="431"/>
      <c r="I826" s="431"/>
    </row>
    <row r="827" spans="6:9" x14ac:dyDescent="0.25">
      <c r="F827" s="431"/>
      <c r="H827" s="431"/>
      <c r="I827" s="431"/>
    </row>
    <row r="828" spans="6:9" x14ac:dyDescent="0.25">
      <c r="F828" s="431"/>
      <c r="H828" s="431"/>
      <c r="I828" s="431"/>
    </row>
    <row r="829" spans="6:9" x14ac:dyDescent="0.25">
      <c r="F829" s="431"/>
      <c r="H829" s="431"/>
      <c r="I829" s="431"/>
    </row>
    <row r="830" spans="6:9" x14ac:dyDescent="0.25">
      <c r="F830" s="431"/>
      <c r="H830" s="431"/>
      <c r="I830" s="431"/>
    </row>
    <row r="831" spans="6:9" x14ac:dyDescent="0.25">
      <c r="F831" s="431"/>
      <c r="H831" s="431"/>
      <c r="I831" s="431"/>
    </row>
    <row r="832" spans="6:9" x14ac:dyDescent="0.25">
      <c r="F832" s="431"/>
      <c r="H832" s="431"/>
      <c r="I832" s="431"/>
    </row>
    <row r="833" spans="6:9" x14ac:dyDescent="0.25">
      <c r="F833" s="431"/>
      <c r="H833" s="431"/>
      <c r="I833" s="431"/>
    </row>
    <row r="834" spans="6:9" x14ac:dyDescent="0.25">
      <c r="F834" s="431"/>
      <c r="H834" s="431"/>
      <c r="I834" s="431"/>
    </row>
    <row r="835" spans="6:9" x14ac:dyDescent="0.25">
      <c r="F835" s="431"/>
      <c r="H835" s="431"/>
      <c r="I835" s="431"/>
    </row>
    <row r="836" spans="6:9" x14ac:dyDescent="0.25">
      <c r="F836" s="431"/>
      <c r="H836" s="431"/>
      <c r="I836" s="431"/>
    </row>
    <row r="837" spans="6:9" x14ac:dyDescent="0.25">
      <c r="F837" s="431"/>
      <c r="H837" s="431"/>
      <c r="I837" s="431"/>
    </row>
    <row r="838" spans="6:9" x14ac:dyDescent="0.25">
      <c r="F838" s="431"/>
      <c r="H838" s="431"/>
      <c r="I838" s="431"/>
    </row>
    <row r="839" spans="6:9" x14ac:dyDescent="0.25">
      <c r="F839" s="431"/>
      <c r="H839" s="431"/>
      <c r="I839" s="431"/>
    </row>
    <row r="840" spans="6:9" x14ac:dyDescent="0.25">
      <c r="F840" s="431"/>
      <c r="H840" s="431"/>
      <c r="I840" s="431"/>
    </row>
    <row r="841" spans="6:9" x14ac:dyDescent="0.25">
      <c r="F841" s="431"/>
      <c r="H841" s="431"/>
      <c r="I841" s="431"/>
    </row>
    <row r="842" spans="6:9" x14ac:dyDescent="0.25">
      <c r="F842" s="431"/>
      <c r="H842" s="431"/>
      <c r="I842" s="431"/>
    </row>
    <row r="843" spans="6:9" x14ac:dyDescent="0.25">
      <c r="F843" s="431"/>
      <c r="H843" s="431"/>
      <c r="I843" s="431"/>
    </row>
    <row r="844" spans="6:9" x14ac:dyDescent="0.25">
      <c r="F844" s="431"/>
      <c r="H844" s="431"/>
      <c r="I844" s="431"/>
    </row>
    <row r="845" spans="6:9" x14ac:dyDescent="0.25">
      <c r="F845" s="431"/>
      <c r="H845" s="431"/>
      <c r="I845" s="431"/>
    </row>
    <row r="846" spans="6:9" x14ac:dyDescent="0.25">
      <c r="F846" s="431"/>
      <c r="H846" s="431"/>
      <c r="I846" s="431"/>
    </row>
    <row r="847" spans="6:9" x14ac:dyDescent="0.25">
      <c r="F847" s="431"/>
      <c r="H847" s="431"/>
      <c r="I847" s="431"/>
    </row>
    <row r="848" spans="6:9" x14ac:dyDescent="0.25">
      <c r="F848" s="431"/>
      <c r="H848" s="431"/>
      <c r="I848" s="431"/>
    </row>
    <row r="849" spans="6:9" x14ac:dyDescent="0.25">
      <c r="F849" s="431"/>
      <c r="H849" s="431"/>
      <c r="I849" s="431"/>
    </row>
    <row r="850" spans="6:9" x14ac:dyDescent="0.25">
      <c r="F850" s="431"/>
      <c r="H850" s="431"/>
      <c r="I850" s="431"/>
    </row>
    <row r="851" spans="6:9" x14ac:dyDescent="0.25">
      <c r="F851" s="431"/>
      <c r="H851" s="431"/>
      <c r="I851" s="431"/>
    </row>
    <row r="852" spans="6:9" x14ac:dyDescent="0.25">
      <c r="F852" s="431"/>
      <c r="H852" s="431"/>
      <c r="I852" s="431"/>
    </row>
    <row r="853" spans="6:9" x14ac:dyDescent="0.25">
      <c r="F853" s="431"/>
      <c r="H853" s="431"/>
      <c r="I853" s="431"/>
    </row>
    <row r="854" spans="6:9" x14ac:dyDescent="0.25">
      <c r="F854" s="431"/>
      <c r="H854" s="431"/>
      <c r="I854" s="431"/>
    </row>
    <row r="855" spans="6:9" x14ac:dyDescent="0.25">
      <c r="F855" s="431"/>
      <c r="H855" s="431"/>
      <c r="I855" s="431"/>
    </row>
    <row r="856" spans="6:9" x14ac:dyDescent="0.25">
      <c r="F856" s="431"/>
      <c r="H856" s="431"/>
      <c r="I856" s="431"/>
    </row>
    <row r="857" spans="6:9" x14ac:dyDescent="0.25">
      <c r="F857" s="431"/>
      <c r="H857" s="431"/>
      <c r="I857" s="431"/>
    </row>
    <row r="858" spans="6:9" x14ac:dyDescent="0.25">
      <c r="F858" s="431"/>
      <c r="H858" s="431"/>
      <c r="I858" s="431"/>
    </row>
    <row r="859" spans="6:9" x14ac:dyDescent="0.25">
      <c r="F859" s="431"/>
      <c r="H859" s="431"/>
      <c r="I859" s="431"/>
    </row>
    <row r="860" spans="6:9" x14ac:dyDescent="0.25">
      <c r="F860" s="431"/>
      <c r="H860" s="431"/>
      <c r="I860" s="431"/>
    </row>
    <row r="861" spans="6:9" x14ac:dyDescent="0.25">
      <c r="F861" s="431"/>
      <c r="H861" s="431"/>
      <c r="I861" s="431"/>
    </row>
    <row r="862" spans="6:9" x14ac:dyDescent="0.25">
      <c r="F862" s="431"/>
      <c r="H862" s="431"/>
      <c r="I862" s="431"/>
    </row>
    <row r="863" spans="6:9" x14ac:dyDescent="0.25">
      <c r="F863" s="431"/>
      <c r="H863" s="431"/>
      <c r="I863" s="431"/>
    </row>
    <row r="864" spans="6:9" x14ac:dyDescent="0.25">
      <c r="F864" s="431"/>
      <c r="H864" s="431"/>
      <c r="I864" s="431"/>
    </row>
    <row r="865" spans="6:9" x14ac:dyDescent="0.25">
      <c r="F865" s="431"/>
      <c r="H865" s="431"/>
      <c r="I865" s="431"/>
    </row>
    <row r="866" spans="6:9" x14ac:dyDescent="0.25">
      <c r="F866" s="431"/>
      <c r="H866" s="431"/>
      <c r="I866" s="431"/>
    </row>
    <row r="867" spans="6:9" x14ac:dyDescent="0.25">
      <c r="F867" s="431"/>
      <c r="H867" s="431"/>
      <c r="I867" s="431"/>
    </row>
    <row r="868" spans="6:9" x14ac:dyDescent="0.25">
      <c r="F868" s="431"/>
      <c r="H868" s="431"/>
      <c r="I868" s="431"/>
    </row>
    <row r="869" spans="6:9" x14ac:dyDescent="0.25">
      <c r="F869" s="431"/>
      <c r="H869" s="431"/>
      <c r="I869" s="431"/>
    </row>
    <row r="870" spans="6:9" x14ac:dyDescent="0.25">
      <c r="F870" s="431"/>
      <c r="H870" s="431"/>
      <c r="I870" s="431"/>
    </row>
    <row r="871" spans="6:9" x14ac:dyDescent="0.25">
      <c r="F871" s="431"/>
      <c r="H871" s="431"/>
      <c r="I871" s="431"/>
    </row>
    <row r="872" spans="6:9" x14ac:dyDescent="0.25">
      <c r="F872" s="431"/>
      <c r="H872" s="431"/>
      <c r="I872" s="431"/>
    </row>
    <row r="873" spans="6:9" x14ac:dyDescent="0.25">
      <c r="F873" s="431"/>
      <c r="H873" s="431"/>
      <c r="I873" s="431"/>
    </row>
    <row r="874" spans="6:9" x14ac:dyDescent="0.25">
      <c r="F874" s="431"/>
      <c r="H874" s="431"/>
      <c r="I874" s="431"/>
    </row>
    <row r="875" spans="6:9" x14ac:dyDescent="0.25">
      <c r="F875" s="431"/>
      <c r="H875" s="431"/>
      <c r="I875" s="431"/>
    </row>
    <row r="876" spans="6:9" x14ac:dyDescent="0.25">
      <c r="F876" s="431"/>
      <c r="H876" s="431"/>
      <c r="I876" s="431"/>
    </row>
    <row r="877" spans="6:9" x14ac:dyDescent="0.25">
      <c r="F877" s="431"/>
      <c r="H877" s="431"/>
      <c r="I877" s="431"/>
    </row>
    <row r="878" spans="6:9" x14ac:dyDescent="0.25">
      <c r="F878" s="431"/>
      <c r="H878" s="431"/>
      <c r="I878" s="431"/>
    </row>
    <row r="879" spans="6:9" x14ac:dyDescent="0.25">
      <c r="F879" s="431"/>
      <c r="H879" s="431"/>
      <c r="I879" s="431"/>
    </row>
    <row r="880" spans="6:9" x14ac:dyDescent="0.25">
      <c r="F880" s="431"/>
      <c r="H880" s="431"/>
      <c r="I880" s="431"/>
    </row>
    <row r="881" spans="6:9" x14ac:dyDescent="0.25">
      <c r="F881" s="431"/>
      <c r="H881" s="431"/>
      <c r="I881" s="431"/>
    </row>
    <row r="882" spans="6:9" x14ac:dyDescent="0.25">
      <c r="F882" s="431"/>
      <c r="H882" s="431"/>
      <c r="I882" s="431"/>
    </row>
    <row r="883" spans="6:9" x14ac:dyDescent="0.25">
      <c r="F883" s="431"/>
      <c r="H883" s="431"/>
      <c r="I883" s="431"/>
    </row>
    <row r="884" spans="6:9" x14ac:dyDescent="0.25">
      <c r="F884" s="431"/>
      <c r="H884" s="431"/>
      <c r="I884" s="431"/>
    </row>
    <row r="885" spans="6:9" x14ac:dyDescent="0.25">
      <c r="F885" s="431"/>
      <c r="H885" s="431"/>
      <c r="I885" s="431"/>
    </row>
    <row r="886" spans="6:9" x14ac:dyDescent="0.25">
      <c r="F886" s="431"/>
      <c r="H886" s="431"/>
      <c r="I886" s="431"/>
    </row>
    <row r="887" spans="6:9" x14ac:dyDescent="0.25">
      <c r="F887" s="431"/>
      <c r="H887" s="431"/>
      <c r="I887" s="431"/>
    </row>
    <row r="888" spans="6:9" x14ac:dyDescent="0.25">
      <c r="F888" s="431"/>
      <c r="H888" s="431"/>
      <c r="I888" s="431"/>
    </row>
    <row r="889" spans="6:9" x14ac:dyDescent="0.25">
      <c r="F889" s="431"/>
      <c r="H889" s="431"/>
      <c r="I889" s="431"/>
    </row>
    <row r="890" spans="6:9" x14ac:dyDescent="0.25">
      <c r="F890" s="431"/>
      <c r="H890" s="431"/>
      <c r="I890" s="431"/>
    </row>
    <row r="891" spans="6:9" x14ac:dyDescent="0.25">
      <c r="F891" s="431"/>
      <c r="H891" s="431"/>
      <c r="I891" s="431"/>
    </row>
    <row r="892" spans="6:9" x14ac:dyDescent="0.25">
      <c r="F892" s="431"/>
      <c r="H892" s="431"/>
      <c r="I892" s="431"/>
    </row>
    <row r="893" spans="6:9" x14ac:dyDescent="0.25">
      <c r="F893" s="431"/>
      <c r="H893" s="431"/>
      <c r="I893" s="431"/>
    </row>
    <row r="894" spans="6:9" x14ac:dyDescent="0.25">
      <c r="F894" s="431"/>
      <c r="H894" s="431"/>
      <c r="I894" s="431"/>
    </row>
    <row r="895" spans="6:9" x14ac:dyDescent="0.25">
      <c r="F895" s="431"/>
      <c r="H895" s="431"/>
      <c r="I895" s="431"/>
    </row>
    <row r="896" spans="6:9" x14ac:dyDescent="0.25">
      <c r="F896" s="431"/>
      <c r="H896" s="431"/>
      <c r="I896" s="431"/>
    </row>
    <row r="897" spans="6:9" x14ac:dyDescent="0.25">
      <c r="F897" s="431"/>
      <c r="H897" s="431"/>
      <c r="I897" s="431"/>
    </row>
    <row r="898" spans="6:9" x14ac:dyDescent="0.25">
      <c r="F898" s="431"/>
      <c r="H898" s="431"/>
      <c r="I898" s="431"/>
    </row>
    <row r="899" spans="6:9" x14ac:dyDescent="0.25">
      <c r="F899" s="431"/>
      <c r="H899" s="431"/>
      <c r="I899" s="431"/>
    </row>
    <row r="900" spans="6:9" x14ac:dyDescent="0.25">
      <c r="F900" s="431"/>
      <c r="H900" s="431"/>
      <c r="I900" s="431"/>
    </row>
    <row r="901" spans="6:9" x14ac:dyDescent="0.25">
      <c r="F901" s="431"/>
      <c r="H901" s="431"/>
      <c r="I901" s="431"/>
    </row>
    <row r="902" spans="6:9" x14ac:dyDescent="0.25">
      <c r="F902" s="431"/>
      <c r="H902" s="431"/>
      <c r="I902" s="431"/>
    </row>
    <row r="903" spans="6:9" x14ac:dyDescent="0.25">
      <c r="F903" s="431"/>
      <c r="H903" s="431"/>
      <c r="I903" s="431"/>
    </row>
    <row r="904" spans="6:9" x14ac:dyDescent="0.25">
      <c r="F904" s="431"/>
      <c r="H904" s="431"/>
      <c r="I904" s="431"/>
    </row>
    <row r="905" spans="6:9" x14ac:dyDescent="0.25">
      <c r="F905" s="431"/>
      <c r="H905" s="431"/>
      <c r="I905" s="431"/>
    </row>
    <row r="906" spans="6:9" x14ac:dyDescent="0.25">
      <c r="F906" s="431"/>
      <c r="H906" s="431"/>
      <c r="I906" s="431"/>
    </row>
    <row r="907" spans="6:9" x14ac:dyDescent="0.25">
      <c r="F907" s="431"/>
      <c r="H907" s="431"/>
      <c r="I907" s="431"/>
    </row>
    <row r="908" spans="6:9" x14ac:dyDescent="0.25">
      <c r="F908" s="431"/>
      <c r="H908" s="431"/>
      <c r="I908" s="431"/>
    </row>
    <row r="909" spans="6:9" x14ac:dyDescent="0.25">
      <c r="F909" s="431"/>
      <c r="H909" s="431"/>
      <c r="I909" s="431"/>
    </row>
    <row r="910" spans="6:9" x14ac:dyDescent="0.25">
      <c r="F910" s="431"/>
      <c r="H910" s="431"/>
      <c r="I910" s="431"/>
    </row>
    <row r="911" spans="6:9" x14ac:dyDescent="0.25">
      <c r="F911" s="431"/>
      <c r="H911" s="431"/>
      <c r="I911" s="431"/>
    </row>
    <row r="912" spans="6:9" x14ac:dyDescent="0.25">
      <c r="F912" s="431"/>
      <c r="H912" s="431"/>
      <c r="I912" s="431"/>
    </row>
    <row r="913" spans="6:9" x14ac:dyDescent="0.25">
      <c r="F913" s="431"/>
      <c r="H913" s="431"/>
      <c r="I913" s="431"/>
    </row>
    <row r="914" spans="6:9" x14ac:dyDescent="0.25">
      <c r="F914" s="431"/>
      <c r="H914" s="431"/>
      <c r="I914" s="431"/>
    </row>
    <row r="915" spans="6:9" x14ac:dyDescent="0.25">
      <c r="F915" s="431"/>
      <c r="H915" s="431"/>
      <c r="I915" s="431"/>
    </row>
    <row r="916" spans="6:9" x14ac:dyDescent="0.25">
      <c r="F916" s="431"/>
      <c r="H916" s="431"/>
      <c r="I916" s="431"/>
    </row>
  </sheetData>
  <mergeCells count="47">
    <mergeCell ref="E357:F357"/>
    <mergeCell ref="B343:C343"/>
    <mergeCell ref="G356:H356"/>
    <mergeCell ref="G357:H357"/>
    <mergeCell ref="E343:F343"/>
    <mergeCell ref="G343:H343"/>
    <mergeCell ref="E344:F344"/>
    <mergeCell ref="E345:F345"/>
    <mergeCell ref="E346:F346"/>
    <mergeCell ref="E347:F347"/>
    <mergeCell ref="E348:F348"/>
    <mergeCell ref="E349:F349"/>
    <mergeCell ref="E350:F350"/>
    <mergeCell ref="E351:F351"/>
    <mergeCell ref="E352:F352"/>
    <mergeCell ref="G345:H345"/>
    <mergeCell ref="G346:H346"/>
    <mergeCell ref="G347:H347"/>
    <mergeCell ref="G348:H348"/>
    <mergeCell ref="E356:F356"/>
    <mergeCell ref="A342:I342"/>
    <mergeCell ref="B363:C363"/>
    <mergeCell ref="E364:I366"/>
    <mergeCell ref="B367:C367"/>
    <mergeCell ref="E367:I367"/>
    <mergeCell ref="G349:H349"/>
    <mergeCell ref="G350:H350"/>
    <mergeCell ref="G351:H351"/>
    <mergeCell ref="G352:H352"/>
    <mergeCell ref="G353:H353"/>
    <mergeCell ref="G354:H354"/>
    <mergeCell ref="G355:H355"/>
    <mergeCell ref="E353:F353"/>
    <mergeCell ref="E354:F354"/>
    <mergeCell ref="E355:F355"/>
    <mergeCell ref="G344:H344"/>
    <mergeCell ref="A340:I341"/>
    <mergeCell ref="A1:B1"/>
    <mergeCell ref="A2:B2"/>
    <mergeCell ref="A3:B3"/>
    <mergeCell ref="A4:I4"/>
    <mergeCell ref="A5:A6"/>
    <mergeCell ref="B5:E6"/>
    <mergeCell ref="F5:F6"/>
    <mergeCell ref="G5:G6"/>
    <mergeCell ref="H5:H6"/>
    <mergeCell ref="I5:I6"/>
  </mergeCells>
  <conditionalFormatting sqref="L10">
    <cfRule type="cellIs" dxfId="0" priority="1" operator="greaterThan">
      <formula>$L$2</formula>
    </cfRule>
  </conditionalFormatting>
  <pageMargins left="0.7" right="0.7" top="0.75" bottom="0.75" header="0.3" footer="0.3"/>
  <pageSetup scale="78" fitToHeight="0" orientation="portrait" r:id="rId1"/>
  <rowBreaks count="5" manualBreakCount="5">
    <brk id="60" max="8" man="1"/>
    <brk id="132" max="8" man="1"/>
    <brk id="204" max="8" man="1"/>
    <brk id="276" max="8" man="1"/>
    <brk id="339" max="8" man="1"/>
  </rowBreaks>
  <colBreaks count="1" manualBreakCount="1">
    <brk id="9" max="1048575" man="1"/>
  </colBreaks>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M45"/>
  <sheetViews>
    <sheetView view="pageBreakPreview" topLeftCell="A43" zoomScale="115" zoomScaleNormal="85" zoomScaleSheetLayoutView="115" workbookViewId="0">
      <selection activeCell="F21" sqref="F21"/>
    </sheetView>
  </sheetViews>
  <sheetFormatPr defaultRowHeight="13.2" x14ac:dyDescent="0.25"/>
  <cols>
    <col min="1" max="16384" width="8.88671875" style="2"/>
  </cols>
  <sheetData>
    <row r="1" spans="1:4" x14ac:dyDescent="0.25">
      <c r="A1" s="887" t="s">
        <v>754</v>
      </c>
      <c r="B1" s="887"/>
      <c r="C1" s="729">
        <v>539.91</v>
      </c>
      <c r="D1" s="2" t="s">
        <v>76</v>
      </c>
    </row>
    <row r="3" spans="1:4" x14ac:dyDescent="0.25">
      <c r="A3" s="2" t="s">
        <v>753</v>
      </c>
    </row>
    <row r="4" spans="1:4" x14ac:dyDescent="0.25">
      <c r="A4" s="2" t="s">
        <v>751</v>
      </c>
      <c r="B4" s="727"/>
      <c r="C4" s="2" t="s">
        <v>76</v>
      </c>
    </row>
    <row r="6" spans="1:4" x14ac:dyDescent="0.25">
      <c r="A6" s="2" t="s">
        <v>752</v>
      </c>
    </row>
    <row r="7" spans="1:4" x14ac:dyDescent="0.25">
      <c r="A7" s="2" t="s">
        <v>751</v>
      </c>
      <c r="B7" s="727"/>
      <c r="C7" s="2" t="s">
        <v>76</v>
      </c>
    </row>
    <row r="9" spans="1:4" x14ac:dyDescent="0.25">
      <c r="A9" s="2" t="s">
        <v>750</v>
      </c>
    </row>
    <row r="10" spans="1:4" x14ac:dyDescent="0.25">
      <c r="A10" s="2" t="s">
        <v>748</v>
      </c>
      <c r="B10" s="727"/>
      <c r="C10" s="2" t="s">
        <v>76</v>
      </c>
    </row>
    <row r="12" spans="1:4" x14ac:dyDescent="0.25">
      <c r="A12" s="2" t="s">
        <v>749</v>
      </c>
    </row>
    <row r="13" spans="1:4" x14ac:dyDescent="0.25">
      <c r="A13" s="2" t="s">
        <v>748</v>
      </c>
      <c r="B13" s="727"/>
      <c r="C13" s="2" t="s">
        <v>76</v>
      </c>
    </row>
    <row r="15" spans="1:4" x14ac:dyDescent="0.25">
      <c r="A15" s="2" t="s">
        <v>747</v>
      </c>
    </row>
    <row r="16" spans="1:4" x14ac:dyDescent="0.25">
      <c r="A16" s="2" t="s">
        <v>741</v>
      </c>
      <c r="B16" s="727"/>
      <c r="C16" s="2" t="s">
        <v>76</v>
      </c>
    </row>
    <row r="19" spans="1:13" x14ac:dyDescent="0.25">
      <c r="A19" s="893" t="s">
        <v>746</v>
      </c>
      <c r="B19" s="893"/>
      <c r="C19" s="893"/>
      <c r="D19" s="893"/>
    </row>
    <row r="20" spans="1:13" x14ac:dyDescent="0.25">
      <c r="A20" s="2" t="s">
        <v>745</v>
      </c>
    </row>
    <row r="21" spans="1:13" x14ac:dyDescent="0.25">
      <c r="A21" s="2" t="s">
        <v>743</v>
      </c>
      <c r="B21" s="2">
        <v>1</v>
      </c>
    </row>
    <row r="22" spans="1:13" x14ac:dyDescent="0.25">
      <c r="A22" s="2" t="s">
        <v>742</v>
      </c>
      <c r="B22" s="2">
        <v>2.1</v>
      </c>
    </row>
    <row r="23" spans="1:13" x14ac:dyDescent="0.25">
      <c r="A23" s="2" t="s">
        <v>741</v>
      </c>
      <c r="B23" s="728">
        <f>B22*B21</f>
        <v>2.1</v>
      </c>
      <c r="C23" s="2" t="s">
        <v>76</v>
      </c>
    </row>
    <row r="26" spans="1:13" x14ac:dyDescent="0.25">
      <c r="A26" s="2" t="s">
        <v>744</v>
      </c>
    </row>
    <row r="27" spans="1:13" x14ac:dyDescent="0.25">
      <c r="A27" s="2" t="s">
        <v>743</v>
      </c>
      <c r="B27" s="2">
        <v>1.9</v>
      </c>
      <c r="K27" s="2">
        <v>28</v>
      </c>
      <c r="L27" s="2">
        <v>3</v>
      </c>
      <c r="M27" s="2">
        <f>K27*L27</f>
        <v>84</v>
      </c>
    </row>
    <row r="28" spans="1:13" x14ac:dyDescent="0.25">
      <c r="A28" s="2" t="s">
        <v>742</v>
      </c>
      <c r="B28" s="2">
        <v>1.2</v>
      </c>
    </row>
    <row r="29" spans="1:13" x14ac:dyDescent="0.25">
      <c r="A29" s="2" t="s">
        <v>741</v>
      </c>
      <c r="B29" s="728">
        <f>B28*B27</f>
        <v>2.2799999999999998</v>
      </c>
      <c r="C29" s="2" t="s">
        <v>76</v>
      </c>
    </row>
    <row r="31" spans="1:13" x14ac:dyDescent="0.25">
      <c r="A31" s="888" t="s">
        <v>740</v>
      </c>
      <c r="B31" s="889"/>
      <c r="C31" s="889"/>
      <c r="D31" s="727">
        <f>C1*12.5</f>
        <v>6748.875</v>
      </c>
      <c r="E31" s="163" t="s">
        <v>1</v>
      </c>
      <c r="J31" s="2">
        <f>D31*0.128</f>
        <v>863.85599999999999</v>
      </c>
      <c r="K31" s="2">
        <f>J31/6</f>
        <v>143.976</v>
      </c>
      <c r="L31" s="2">
        <f>K31+K32</f>
        <v>337.44375000000002</v>
      </c>
    </row>
    <row r="32" spans="1:13" x14ac:dyDescent="0.25">
      <c r="D32" s="726" t="s">
        <v>739</v>
      </c>
      <c r="E32" s="726" t="s">
        <v>738</v>
      </c>
      <c r="F32" s="726" t="s">
        <v>737</v>
      </c>
      <c r="J32" s="2">
        <f>D31*0.172</f>
        <v>1160.8064999999999</v>
      </c>
      <c r="K32" s="2">
        <f>J32/6</f>
        <v>193.46775</v>
      </c>
    </row>
    <row r="33" spans="1:7" ht="14.4" x14ac:dyDescent="0.3">
      <c r="A33" s="890" t="s">
        <v>736</v>
      </c>
      <c r="B33" s="890"/>
      <c r="C33" s="890"/>
      <c r="D33" s="725">
        <f>(D31/100)*4.176</f>
        <v>281.83301999999998</v>
      </c>
      <c r="E33" s="725">
        <f>C1*0.192</f>
        <v>103.66271999999999</v>
      </c>
      <c r="F33" s="721">
        <f>ROUNDUP(D33+E33,0)</f>
        <v>386</v>
      </c>
      <c r="G33" s="163" t="s">
        <v>2</v>
      </c>
    </row>
    <row r="34" spans="1:7" ht="14.4" x14ac:dyDescent="0.3">
      <c r="A34" s="891" t="s">
        <v>735</v>
      </c>
      <c r="B34" s="891"/>
      <c r="C34" s="891"/>
      <c r="D34" s="725">
        <f>(D31/100)*0.348</f>
        <v>23.486084999999996</v>
      </c>
      <c r="E34" s="725">
        <f>C1*0.016</f>
        <v>8.63856</v>
      </c>
      <c r="F34" s="721">
        <f>ROUNDUP(D34+E34,0)</f>
        <v>33</v>
      </c>
      <c r="G34" s="163" t="s">
        <v>4</v>
      </c>
    </row>
    <row r="35" spans="1:7" x14ac:dyDescent="0.25">
      <c r="F35" s="723"/>
      <c r="G35" s="724"/>
    </row>
    <row r="36" spans="1:7" x14ac:dyDescent="0.25">
      <c r="D36" s="163" t="s">
        <v>734</v>
      </c>
      <c r="E36" s="163" t="s">
        <v>733</v>
      </c>
      <c r="F36" s="723"/>
    </row>
    <row r="37" spans="1:7" ht="14.4" x14ac:dyDescent="0.3">
      <c r="A37" s="891" t="s">
        <v>732</v>
      </c>
      <c r="B37" s="891"/>
      <c r="C37" s="891"/>
      <c r="D37" s="722">
        <f>ROUNDUP(((D31*0.128)/6),0)</f>
        <v>144</v>
      </c>
      <c r="E37" s="722">
        <f>ROUNDUP(((D31*0.172)/6),0)</f>
        <v>194</v>
      </c>
      <c r="F37" s="721">
        <f>D37+E37</f>
        <v>338</v>
      </c>
      <c r="G37" s="163" t="s">
        <v>1</v>
      </c>
    </row>
    <row r="38" spans="1:7" x14ac:dyDescent="0.25">
      <c r="A38" s="887"/>
      <c r="B38" s="887"/>
      <c r="C38" s="887"/>
    </row>
    <row r="41" spans="1:7" x14ac:dyDescent="0.25">
      <c r="A41" s="892" t="s">
        <v>731</v>
      </c>
      <c r="B41" s="892"/>
      <c r="C41" s="892"/>
      <c r="D41" s="892"/>
      <c r="E41" s="892"/>
      <c r="F41" s="892"/>
    </row>
    <row r="42" spans="1:7" x14ac:dyDescent="0.25">
      <c r="A42" s="716">
        <v>1</v>
      </c>
      <c r="B42" s="886" t="s">
        <v>730</v>
      </c>
      <c r="C42" s="886"/>
      <c r="D42" s="886"/>
      <c r="E42" s="720">
        <f>D31</f>
        <v>6748.875</v>
      </c>
      <c r="F42" s="716" t="s">
        <v>724</v>
      </c>
    </row>
    <row r="43" spans="1:7" x14ac:dyDescent="0.25">
      <c r="A43" s="718">
        <v>2</v>
      </c>
      <c r="B43" s="894" t="s">
        <v>729</v>
      </c>
      <c r="C43" s="894"/>
      <c r="D43" s="894"/>
      <c r="E43" s="719">
        <f>F33</f>
        <v>386</v>
      </c>
      <c r="F43" s="718" t="s">
        <v>728</v>
      </c>
    </row>
    <row r="44" spans="1:7" x14ac:dyDescent="0.25">
      <c r="A44" s="718">
        <v>3</v>
      </c>
      <c r="B44" s="894" t="s">
        <v>727</v>
      </c>
      <c r="C44" s="894"/>
      <c r="D44" s="894"/>
      <c r="E44" s="719">
        <f>F34</f>
        <v>33</v>
      </c>
      <c r="F44" s="718" t="s">
        <v>726</v>
      </c>
    </row>
    <row r="45" spans="1:7" x14ac:dyDescent="0.25">
      <c r="A45" s="716">
        <v>4</v>
      </c>
      <c r="B45" s="886" t="s">
        <v>725</v>
      </c>
      <c r="C45" s="886"/>
      <c r="D45" s="886"/>
      <c r="E45" s="717">
        <f>F37</f>
        <v>338</v>
      </c>
      <c r="F45" s="716" t="s">
        <v>724</v>
      </c>
    </row>
  </sheetData>
  <mergeCells count="12">
    <mergeCell ref="B45:D45"/>
    <mergeCell ref="A1:B1"/>
    <mergeCell ref="A31:C31"/>
    <mergeCell ref="A33:C33"/>
    <mergeCell ref="A34:C34"/>
    <mergeCell ref="A37:C37"/>
    <mergeCell ref="A38:C38"/>
    <mergeCell ref="A41:F41"/>
    <mergeCell ref="A19:D19"/>
    <mergeCell ref="B42:D42"/>
    <mergeCell ref="B43:D43"/>
    <mergeCell ref="B44:D44"/>
  </mergeCells>
  <pageMargins left="0.7" right="0.7" top="0.75" bottom="0.75" header="0.3" footer="0.3"/>
  <pageSetup orientation="portrait" r:id="rId1"/>
  <colBreaks count="1" manualBreakCount="1">
    <brk id="7"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Estimate</vt:lpstr>
      <vt:lpstr>Sheet2</vt:lpstr>
      <vt:lpstr>ABC</vt:lpstr>
      <vt:lpstr>BOQ</vt:lpstr>
      <vt:lpstr>BOQ w quantity</vt:lpstr>
      <vt:lpstr>Sheet1</vt:lpstr>
      <vt:lpstr>ARDYL</vt:lpstr>
      <vt:lpstr>Masonry Works.</vt:lpstr>
      <vt:lpstr>ABC!Print_Area</vt:lpstr>
      <vt:lpstr>ARDYL!Print_Area</vt:lpstr>
      <vt:lpstr>BOQ!Print_Area</vt:lpstr>
      <vt:lpstr>'BOQ w quantity'!Print_Area</vt:lpstr>
      <vt:lpstr>BOQ!Print_Titles</vt:lpstr>
      <vt:lpstr>'BOQ w quantity'!Print_Titles</vt:lpstr>
      <vt:lpstr>Estimate!Print_Titles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DOH</dc:creator>
  <cp:lastModifiedBy>ACER</cp:lastModifiedBy>
  <cp:lastPrinted>2021-06-21T06:36:18Z</cp:lastPrinted>
  <dcterms:created xsi:type="dcterms:W3CDTF">2012-08-02T05:47:41Z</dcterms:created>
  <dcterms:modified xsi:type="dcterms:W3CDTF">2021-12-01T08:20:50Z</dcterms:modified>
</cp:coreProperties>
</file>