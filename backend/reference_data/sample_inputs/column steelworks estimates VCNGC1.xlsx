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Louis\Downloads\"/>
    </mc:Choice>
  </mc:AlternateContent>
  <xr:revisionPtr revIDLastSave="0" documentId="8_{C4FECA7A-65C6-452F-8803-E106D84707ED}" xr6:coauthVersionLast="47" xr6:coauthVersionMax="47" xr10:uidLastSave="{00000000-0000-0000-0000-000000000000}"/>
  <bookViews>
    <workbookView xWindow="5400" yWindow="1140" windowWidth="17280" windowHeight="8964" xr2:uid="{EB11E739-357F-4C6E-A31B-6FAE9FA0992C}"/>
  </bookViews>
  <sheets>
    <sheet name="comp" sheetId="3" r:id="rId1"/>
    <sheet name="backup" sheetId="2" r:id="rId2"/>
    <sheet name="solver" sheetId="1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6" i="3" l="1"/>
  <c r="L327" i="3"/>
  <c r="K327" i="3" s="1"/>
  <c r="M327" i="3" s="1"/>
  <c r="J327" i="3"/>
  <c r="H327" i="3" s="1"/>
  <c r="L326" i="3"/>
  <c r="K326" i="3"/>
  <c r="M326" i="3" s="1"/>
  <c r="J326" i="3"/>
  <c r="H326" i="3"/>
  <c r="L325" i="3"/>
  <c r="K325" i="3"/>
  <c r="M325" i="3" s="1"/>
  <c r="J325" i="3"/>
  <c r="H325" i="3"/>
  <c r="M324" i="3"/>
  <c r="L324" i="3"/>
  <c r="K324" i="3"/>
  <c r="J324" i="3"/>
  <c r="H324" i="3"/>
  <c r="L323" i="3"/>
  <c r="K323" i="3" s="1"/>
  <c r="M323" i="3" s="1"/>
  <c r="J323" i="3"/>
  <c r="H323" i="3" s="1"/>
  <c r="M322" i="3"/>
  <c r="L322" i="3"/>
  <c r="K322" i="3"/>
  <c r="J322" i="3"/>
  <c r="H322" i="3"/>
  <c r="M321" i="3"/>
  <c r="L321" i="3"/>
  <c r="K321" i="3" s="1"/>
  <c r="J321" i="3"/>
  <c r="H321" i="3" s="1"/>
  <c r="L320" i="3"/>
  <c r="K320" i="3"/>
  <c r="M320" i="3" s="1"/>
  <c r="J320" i="3"/>
  <c r="H320" i="3" s="1"/>
  <c r="L319" i="3"/>
  <c r="K319" i="3" s="1"/>
  <c r="M319" i="3" s="1"/>
  <c r="J319" i="3"/>
  <c r="H319" i="3" s="1"/>
  <c r="L318" i="3"/>
  <c r="K318" i="3" s="1"/>
  <c r="M318" i="3" s="1"/>
  <c r="J318" i="3"/>
  <c r="H318" i="3"/>
  <c r="L317" i="3"/>
  <c r="K317" i="3" s="1"/>
  <c r="M317" i="3" s="1"/>
  <c r="J317" i="3"/>
  <c r="H317" i="3" s="1"/>
  <c r="M316" i="3"/>
  <c r="L316" i="3"/>
  <c r="K316" i="3"/>
  <c r="J316" i="3"/>
  <c r="H316" i="3"/>
  <c r="L315" i="3"/>
  <c r="K315" i="3"/>
  <c r="M315" i="3" s="1"/>
  <c r="J315" i="3"/>
  <c r="H315" i="3" s="1"/>
  <c r="L314" i="3"/>
  <c r="K314" i="3"/>
  <c r="M314" i="3" s="1"/>
  <c r="J314" i="3"/>
  <c r="H314" i="3"/>
  <c r="M313" i="3"/>
  <c r="L313" i="3"/>
  <c r="K313" i="3" s="1"/>
  <c r="J313" i="3"/>
  <c r="H313" i="3" s="1"/>
  <c r="L312" i="3"/>
  <c r="K312" i="3"/>
  <c r="M312" i="3" s="1"/>
  <c r="J312" i="3"/>
  <c r="H312" i="3" s="1"/>
  <c r="L311" i="3"/>
  <c r="K311" i="3" s="1"/>
  <c r="M311" i="3" s="1"/>
  <c r="J311" i="3"/>
  <c r="H311" i="3" s="1"/>
  <c r="L310" i="3"/>
  <c r="K310" i="3" s="1"/>
  <c r="M310" i="3" s="1"/>
  <c r="J310" i="3"/>
  <c r="H310" i="3"/>
  <c r="L309" i="3"/>
  <c r="K309" i="3" s="1"/>
  <c r="M309" i="3" s="1"/>
  <c r="J309" i="3"/>
  <c r="H309" i="3"/>
  <c r="M308" i="3"/>
  <c r="L308" i="3"/>
  <c r="K308" i="3"/>
  <c r="J308" i="3"/>
  <c r="H308" i="3"/>
  <c r="L307" i="3"/>
  <c r="K307" i="3"/>
  <c r="M307" i="3" s="1"/>
  <c r="J307" i="3"/>
  <c r="H307" i="3" s="1"/>
  <c r="L306" i="3"/>
  <c r="K306" i="3"/>
  <c r="M306" i="3" s="1"/>
  <c r="J306" i="3"/>
  <c r="H306" i="3"/>
  <c r="M305" i="3"/>
  <c r="L305" i="3"/>
  <c r="K305" i="3" s="1"/>
  <c r="J305" i="3"/>
  <c r="H305" i="3" s="1"/>
  <c r="L304" i="3"/>
  <c r="K304" i="3"/>
  <c r="M304" i="3" s="1"/>
  <c r="J304" i="3"/>
  <c r="H304" i="3" s="1"/>
  <c r="L303" i="3"/>
  <c r="K303" i="3" s="1"/>
  <c r="M303" i="3" s="1"/>
  <c r="J303" i="3"/>
  <c r="H303" i="3" s="1"/>
  <c r="L302" i="3"/>
  <c r="K302" i="3"/>
  <c r="M302" i="3" s="1"/>
  <c r="J302" i="3"/>
  <c r="H302" i="3"/>
  <c r="L301" i="3"/>
  <c r="K301" i="3" s="1"/>
  <c r="M301" i="3" s="1"/>
  <c r="J301" i="3"/>
  <c r="H301" i="3"/>
  <c r="M300" i="3"/>
  <c r="L300" i="3"/>
  <c r="K300" i="3"/>
  <c r="J300" i="3"/>
  <c r="H300" i="3"/>
  <c r="L299" i="3"/>
  <c r="K299" i="3" s="1"/>
  <c r="M299" i="3" s="1"/>
  <c r="J299" i="3"/>
  <c r="H299" i="3" s="1"/>
  <c r="L298" i="3"/>
  <c r="K298" i="3"/>
  <c r="M298" i="3" s="1"/>
  <c r="J298" i="3"/>
  <c r="H298" i="3"/>
  <c r="M297" i="3"/>
  <c r="L297" i="3"/>
  <c r="K297" i="3" s="1"/>
  <c r="J297" i="3"/>
  <c r="H297" i="3" s="1"/>
  <c r="L296" i="3"/>
  <c r="K296" i="3"/>
  <c r="M296" i="3" s="1"/>
  <c r="J296" i="3"/>
  <c r="H296" i="3"/>
  <c r="L295" i="3"/>
  <c r="K295" i="3" s="1"/>
  <c r="M295" i="3" s="1"/>
  <c r="J295" i="3"/>
  <c r="H295" i="3" s="1"/>
  <c r="L294" i="3"/>
  <c r="K294" i="3"/>
  <c r="M294" i="3" s="1"/>
  <c r="J294" i="3"/>
  <c r="H294" i="3"/>
  <c r="L293" i="3"/>
  <c r="K293" i="3" s="1"/>
  <c r="M293" i="3" s="1"/>
  <c r="J293" i="3"/>
  <c r="H293" i="3"/>
  <c r="M292" i="3"/>
  <c r="L292" i="3"/>
  <c r="K292" i="3"/>
  <c r="J292" i="3"/>
  <c r="H292" i="3"/>
  <c r="L291" i="3"/>
  <c r="K291" i="3" s="1"/>
  <c r="M291" i="3" s="1"/>
  <c r="J291" i="3"/>
  <c r="H291" i="3" s="1"/>
  <c r="L290" i="3"/>
  <c r="K290" i="3"/>
  <c r="M290" i="3" s="1"/>
  <c r="J290" i="3"/>
  <c r="H290" i="3"/>
  <c r="L289" i="3"/>
  <c r="K289" i="3" s="1"/>
  <c r="M289" i="3" s="1"/>
  <c r="J289" i="3"/>
  <c r="H289" i="3" s="1"/>
  <c r="L288" i="3"/>
  <c r="K288" i="3"/>
  <c r="M288" i="3" s="1"/>
  <c r="J288" i="3"/>
  <c r="H288" i="3"/>
  <c r="L287" i="3"/>
  <c r="K287" i="3" s="1"/>
  <c r="M287" i="3" s="1"/>
  <c r="J287" i="3"/>
  <c r="H287" i="3" s="1"/>
  <c r="M286" i="3"/>
  <c r="L286" i="3"/>
  <c r="K286" i="3"/>
  <c r="J286" i="3"/>
  <c r="H286" i="3"/>
  <c r="L285" i="3"/>
  <c r="K285" i="3" s="1"/>
  <c r="M285" i="3" s="1"/>
  <c r="J285" i="3"/>
  <c r="H285" i="3"/>
  <c r="M284" i="3"/>
  <c r="L284" i="3"/>
  <c r="K284" i="3"/>
  <c r="J284" i="3"/>
  <c r="H284" i="3"/>
  <c r="L283" i="3"/>
  <c r="K283" i="3" s="1"/>
  <c r="M283" i="3" s="1"/>
  <c r="J283" i="3"/>
  <c r="H283" i="3" s="1"/>
  <c r="M282" i="3"/>
  <c r="L282" i="3"/>
  <c r="K282" i="3"/>
  <c r="J282" i="3"/>
  <c r="H282" i="3"/>
  <c r="M281" i="3"/>
  <c r="L281" i="3"/>
  <c r="K281" i="3" s="1"/>
  <c r="J281" i="3"/>
  <c r="H281" i="3" s="1"/>
  <c r="L280" i="3"/>
  <c r="K280" i="3"/>
  <c r="M280" i="3" s="1"/>
  <c r="J280" i="3"/>
  <c r="H280" i="3" s="1"/>
  <c r="L279" i="3"/>
  <c r="K279" i="3" s="1"/>
  <c r="M279" i="3" s="1"/>
  <c r="J279" i="3"/>
  <c r="H279" i="3" s="1"/>
  <c r="L278" i="3"/>
  <c r="K278" i="3"/>
  <c r="M278" i="3" s="1"/>
  <c r="J278" i="3"/>
  <c r="H278" i="3"/>
  <c r="L277" i="3"/>
  <c r="K277" i="3" s="1"/>
  <c r="M277" i="3" s="1"/>
  <c r="J277" i="3"/>
  <c r="H277" i="3"/>
  <c r="M276" i="3"/>
  <c r="D2" i="3" s="1"/>
  <c r="L276" i="3"/>
  <c r="J276" i="3"/>
  <c r="H276" i="3"/>
  <c r="L275" i="3"/>
  <c r="K275" i="3" s="1"/>
  <c r="M275" i="3" s="1"/>
  <c r="J275" i="3"/>
  <c r="H275" i="3" s="1"/>
  <c r="M274" i="3"/>
  <c r="L274" i="3"/>
  <c r="K274" i="3"/>
  <c r="J274" i="3"/>
  <c r="H274" i="3"/>
  <c r="M273" i="3"/>
  <c r="L273" i="3"/>
  <c r="K273" i="3" s="1"/>
  <c r="J273" i="3"/>
  <c r="H273" i="3" s="1"/>
  <c r="L272" i="3"/>
  <c r="K272" i="3"/>
  <c r="M272" i="3" s="1"/>
  <c r="J272" i="3"/>
  <c r="H272" i="3" s="1"/>
  <c r="L271" i="3"/>
  <c r="K271" i="3" s="1"/>
  <c r="M271" i="3" s="1"/>
  <c r="J271" i="3"/>
  <c r="H271" i="3" s="1"/>
  <c r="L270" i="3"/>
  <c r="K270" i="3" s="1"/>
  <c r="M270" i="3" s="1"/>
  <c r="J270" i="3"/>
  <c r="H270" i="3"/>
  <c r="L269" i="3"/>
  <c r="K269" i="3" s="1"/>
  <c r="M269" i="3" s="1"/>
  <c r="J269" i="3"/>
  <c r="H269" i="3" s="1"/>
  <c r="M268" i="3"/>
  <c r="L268" i="3"/>
  <c r="K268" i="3"/>
  <c r="J268" i="3"/>
  <c r="H268" i="3"/>
  <c r="L267" i="3"/>
  <c r="K267" i="3"/>
  <c r="M267" i="3" s="1"/>
  <c r="J267" i="3"/>
  <c r="H267" i="3" s="1"/>
  <c r="M266" i="3"/>
  <c r="L266" i="3"/>
  <c r="K266" i="3"/>
  <c r="J266" i="3"/>
  <c r="H266" i="3"/>
  <c r="L265" i="3"/>
  <c r="K265" i="3" s="1"/>
  <c r="M265" i="3" s="1"/>
  <c r="J265" i="3"/>
  <c r="H265" i="3" s="1"/>
  <c r="L264" i="3"/>
  <c r="K264" i="3"/>
  <c r="M264" i="3" s="1"/>
  <c r="J264" i="3"/>
  <c r="H264" i="3"/>
  <c r="L263" i="3"/>
  <c r="K263" i="3" s="1"/>
  <c r="M263" i="3" s="1"/>
  <c r="J263" i="3"/>
  <c r="H263" i="3" s="1"/>
  <c r="L262" i="3"/>
  <c r="K262" i="3" s="1"/>
  <c r="M262" i="3" s="1"/>
  <c r="J262" i="3"/>
  <c r="H262" i="3"/>
  <c r="L261" i="3"/>
  <c r="K261" i="3" s="1"/>
  <c r="M261" i="3" s="1"/>
  <c r="J261" i="3"/>
  <c r="H261" i="3" s="1"/>
  <c r="M260" i="3"/>
  <c r="L260" i="3"/>
  <c r="K260" i="3"/>
  <c r="J260" i="3"/>
  <c r="H260" i="3"/>
  <c r="L259" i="3"/>
  <c r="K259" i="3"/>
  <c r="M259" i="3" s="1"/>
  <c r="J259" i="3"/>
  <c r="H259" i="3" s="1"/>
  <c r="M258" i="3"/>
  <c r="L258" i="3"/>
  <c r="K258" i="3"/>
  <c r="J258" i="3"/>
  <c r="H258" i="3"/>
  <c r="L257" i="3"/>
  <c r="K257" i="3" s="1"/>
  <c r="M257" i="3" s="1"/>
  <c r="J257" i="3"/>
  <c r="H257" i="3" s="1"/>
  <c r="L256" i="3"/>
  <c r="K256" i="3"/>
  <c r="M256" i="3" s="1"/>
  <c r="J256" i="3"/>
  <c r="H256" i="3"/>
  <c r="L255" i="3"/>
  <c r="K255" i="3" s="1"/>
  <c r="M255" i="3" s="1"/>
  <c r="J255" i="3"/>
  <c r="H255" i="3" s="1"/>
  <c r="M254" i="3"/>
  <c r="L254" i="3"/>
  <c r="K254" i="3"/>
  <c r="J254" i="3"/>
  <c r="H254" i="3"/>
  <c r="L253" i="3"/>
  <c r="K253" i="3" s="1"/>
  <c r="M253" i="3" s="1"/>
  <c r="J253" i="3"/>
  <c r="H253" i="3"/>
  <c r="M252" i="3"/>
  <c r="L252" i="3"/>
  <c r="K252" i="3"/>
  <c r="J252" i="3"/>
  <c r="H252" i="3"/>
  <c r="L251" i="3"/>
  <c r="K251" i="3" s="1"/>
  <c r="M251" i="3" s="1"/>
  <c r="J251" i="3"/>
  <c r="H251" i="3" s="1"/>
  <c r="M250" i="3"/>
  <c r="L250" i="3"/>
  <c r="K250" i="3"/>
  <c r="J250" i="3"/>
  <c r="H250" i="3"/>
  <c r="M249" i="3"/>
  <c r="L249" i="3"/>
  <c r="K249" i="3" s="1"/>
  <c r="J249" i="3"/>
  <c r="H249" i="3" s="1"/>
  <c r="L248" i="3"/>
  <c r="K248" i="3"/>
  <c r="M248" i="3" s="1"/>
  <c r="J248" i="3"/>
  <c r="H248" i="3" s="1"/>
  <c r="L247" i="3"/>
  <c r="K247" i="3" s="1"/>
  <c r="M247" i="3" s="1"/>
  <c r="J247" i="3"/>
  <c r="H247" i="3" s="1"/>
  <c r="L246" i="3"/>
  <c r="K246" i="3"/>
  <c r="M246" i="3" s="1"/>
  <c r="J246" i="3"/>
  <c r="H246" i="3"/>
  <c r="L245" i="3"/>
  <c r="K245" i="3" s="1"/>
  <c r="M245" i="3" s="1"/>
  <c r="J245" i="3"/>
  <c r="H245" i="3"/>
  <c r="M244" i="3"/>
  <c r="L244" i="3"/>
  <c r="K244" i="3"/>
  <c r="J244" i="3"/>
  <c r="H244" i="3"/>
  <c r="L243" i="3"/>
  <c r="K243" i="3" s="1"/>
  <c r="M243" i="3" s="1"/>
  <c r="J243" i="3"/>
  <c r="H243" i="3" s="1"/>
  <c r="M242" i="3"/>
  <c r="L242" i="3"/>
  <c r="K242" i="3"/>
  <c r="J242" i="3"/>
  <c r="H242" i="3"/>
  <c r="M241" i="3"/>
  <c r="L241" i="3"/>
  <c r="K241" i="3" s="1"/>
  <c r="J241" i="3"/>
  <c r="H241" i="3" s="1"/>
  <c r="L240" i="3"/>
  <c r="K240" i="3"/>
  <c r="M240" i="3" s="1"/>
  <c r="J240" i="3"/>
  <c r="H240" i="3" s="1"/>
  <c r="L239" i="3"/>
  <c r="K239" i="3" s="1"/>
  <c r="M239" i="3" s="1"/>
  <c r="J239" i="3"/>
  <c r="H239" i="3" s="1"/>
  <c r="L238" i="3"/>
  <c r="K238" i="3" s="1"/>
  <c r="M238" i="3" s="1"/>
  <c r="J238" i="3"/>
  <c r="H238" i="3"/>
  <c r="L237" i="3"/>
  <c r="K237" i="3" s="1"/>
  <c r="M237" i="3" s="1"/>
  <c r="J237" i="3"/>
  <c r="H237" i="3" s="1"/>
  <c r="M236" i="3"/>
  <c r="L236" i="3"/>
  <c r="K236" i="3"/>
  <c r="J236" i="3"/>
  <c r="H236" i="3"/>
  <c r="L235" i="3"/>
  <c r="K235" i="3"/>
  <c r="M235" i="3" s="1"/>
  <c r="J235" i="3"/>
  <c r="H235" i="3" s="1"/>
  <c r="M234" i="3"/>
  <c r="L234" i="3"/>
  <c r="K234" i="3"/>
  <c r="J234" i="3"/>
  <c r="H234" i="3"/>
  <c r="L233" i="3"/>
  <c r="K233" i="3" s="1"/>
  <c r="M233" i="3" s="1"/>
  <c r="J233" i="3"/>
  <c r="H233" i="3" s="1"/>
  <c r="L232" i="3"/>
  <c r="K232" i="3"/>
  <c r="M232" i="3" s="1"/>
  <c r="J232" i="3"/>
  <c r="H232" i="3"/>
  <c r="L231" i="3"/>
  <c r="K231" i="3" s="1"/>
  <c r="M231" i="3" s="1"/>
  <c r="J231" i="3"/>
  <c r="H231" i="3" s="1"/>
  <c r="L230" i="3"/>
  <c r="K230" i="3" s="1"/>
  <c r="M230" i="3" s="1"/>
  <c r="J230" i="3"/>
  <c r="H230" i="3"/>
  <c r="L229" i="3"/>
  <c r="K229" i="3" s="1"/>
  <c r="M229" i="3" s="1"/>
  <c r="J229" i="3"/>
  <c r="H229" i="3" s="1"/>
  <c r="M228" i="3"/>
  <c r="L228" i="3"/>
  <c r="K228" i="3"/>
  <c r="J228" i="3"/>
  <c r="H228" i="3"/>
  <c r="L227" i="3"/>
  <c r="K227" i="3"/>
  <c r="M227" i="3" s="1"/>
  <c r="J227" i="3"/>
  <c r="H227" i="3" s="1"/>
  <c r="M226" i="3"/>
  <c r="L226" i="3"/>
  <c r="K226" i="3"/>
  <c r="J226" i="3"/>
  <c r="H226" i="3"/>
  <c r="L225" i="3"/>
  <c r="K225" i="3" s="1"/>
  <c r="M225" i="3" s="1"/>
  <c r="J225" i="3"/>
  <c r="H225" i="3" s="1"/>
  <c r="L224" i="3"/>
  <c r="K224" i="3"/>
  <c r="M224" i="3" s="1"/>
  <c r="J224" i="3"/>
  <c r="H224" i="3"/>
  <c r="L223" i="3"/>
  <c r="K223" i="3" s="1"/>
  <c r="M223" i="3" s="1"/>
  <c r="J223" i="3"/>
  <c r="H223" i="3" s="1"/>
  <c r="M222" i="3"/>
  <c r="L222" i="3"/>
  <c r="K222" i="3"/>
  <c r="J222" i="3"/>
  <c r="H222" i="3"/>
  <c r="L221" i="3"/>
  <c r="K221" i="3" s="1"/>
  <c r="M221" i="3" s="1"/>
  <c r="J221" i="3"/>
  <c r="H221" i="3"/>
  <c r="M220" i="3"/>
  <c r="L220" i="3"/>
  <c r="K220" i="3"/>
  <c r="J220" i="3"/>
  <c r="H220" i="3"/>
  <c r="L219" i="3"/>
  <c r="K219" i="3" s="1"/>
  <c r="M219" i="3" s="1"/>
  <c r="J219" i="3"/>
  <c r="H219" i="3" s="1"/>
  <c r="M218" i="3"/>
  <c r="L218" i="3"/>
  <c r="K218" i="3"/>
  <c r="J218" i="3"/>
  <c r="H218" i="3"/>
  <c r="M217" i="3"/>
  <c r="L217" i="3"/>
  <c r="K217" i="3" s="1"/>
  <c r="J217" i="3"/>
  <c r="H217" i="3" s="1"/>
  <c r="L216" i="3"/>
  <c r="K216" i="3"/>
  <c r="M216" i="3" s="1"/>
  <c r="J216" i="3"/>
  <c r="H216" i="3" s="1"/>
  <c r="L215" i="3"/>
  <c r="K215" i="3" s="1"/>
  <c r="M215" i="3" s="1"/>
  <c r="J215" i="3"/>
  <c r="H215" i="3" s="1"/>
  <c r="L214" i="3"/>
  <c r="K214" i="3"/>
  <c r="M214" i="3" s="1"/>
  <c r="J214" i="3"/>
  <c r="H214" i="3"/>
  <c r="L213" i="3"/>
  <c r="K213" i="3" s="1"/>
  <c r="M213" i="3" s="1"/>
  <c r="J213" i="3"/>
  <c r="H213" i="3"/>
  <c r="M212" i="3"/>
  <c r="L212" i="3"/>
  <c r="K212" i="3"/>
  <c r="J212" i="3"/>
  <c r="H212" i="3"/>
  <c r="L211" i="3"/>
  <c r="K211" i="3" s="1"/>
  <c r="M211" i="3" s="1"/>
  <c r="J211" i="3"/>
  <c r="H211" i="3" s="1"/>
  <c r="M210" i="3"/>
  <c r="L210" i="3"/>
  <c r="K210" i="3"/>
  <c r="J210" i="3"/>
  <c r="H210" i="3"/>
  <c r="M209" i="3"/>
  <c r="L209" i="3"/>
  <c r="K209" i="3" s="1"/>
  <c r="J209" i="3"/>
  <c r="H209" i="3" s="1"/>
  <c r="L208" i="3"/>
  <c r="K208" i="3"/>
  <c r="M208" i="3" s="1"/>
  <c r="J208" i="3"/>
  <c r="H208" i="3" s="1"/>
  <c r="L207" i="3"/>
  <c r="K207" i="3" s="1"/>
  <c r="M207" i="3" s="1"/>
  <c r="J207" i="3"/>
  <c r="H207" i="3" s="1"/>
  <c r="L206" i="3"/>
  <c r="K206" i="3" s="1"/>
  <c r="M206" i="3" s="1"/>
  <c r="J206" i="3"/>
  <c r="H206" i="3"/>
  <c r="L205" i="3"/>
  <c r="K205" i="3" s="1"/>
  <c r="M205" i="3" s="1"/>
  <c r="J205" i="3"/>
  <c r="H205" i="3" s="1"/>
  <c r="M204" i="3"/>
  <c r="L204" i="3"/>
  <c r="K204" i="3"/>
  <c r="J204" i="3"/>
  <c r="H204" i="3"/>
  <c r="L203" i="3"/>
  <c r="K203" i="3"/>
  <c r="M203" i="3" s="1"/>
  <c r="J203" i="3"/>
  <c r="H203" i="3" s="1"/>
  <c r="M202" i="3"/>
  <c r="L202" i="3"/>
  <c r="K202" i="3"/>
  <c r="J202" i="3"/>
  <c r="H202" i="3"/>
  <c r="L201" i="3"/>
  <c r="K201" i="3" s="1"/>
  <c r="M201" i="3" s="1"/>
  <c r="J201" i="3"/>
  <c r="H201" i="3" s="1"/>
  <c r="L200" i="3"/>
  <c r="K200" i="3"/>
  <c r="M200" i="3" s="1"/>
  <c r="J200" i="3"/>
  <c r="H200" i="3"/>
  <c r="L199" i="3"/>
  <c r="K199" i="3" s="1"/>
  <c r="M199" i="3" s="1"/>
  <c r="J199" i="3"/>
  <c r="H199" i="3" s="1"/>
  <c r="L198" i="3"/>
  <c r="K198" i="3" s="1"/>
  <c r="M198" i="3" s="1"/>
  <c r="J198" i="3"/>
  <c r="H198" i="3"/>
  <c r="L197" i="3"/>
  <c r="K197" i="3" s="1"/>
  <c r="M197" i="3" s="1"/>
  <c r="J197" i="3"/>
  <c r="H197" i="3" s="1"/>
  <c r="M196" i="3"/>
  <c r="L196" i="3"/>
  <c r="K196" i="3"/>
  <c r="J196" i="3"/>
  <c r="H196" i="3"/>
  <c r="L195" i="3"/>
  <c r="K195" i="3"/>
  <c r="M195" i="3" s="1"/>
  <c r="J195" i="3"/>
  <c r="H195" i="3" s="1"/>
  <c r="M194" i="3"/>
  <c r="L194" i="3"/>
  <c r="K194" i="3"/>
  <c r="J194" i="3"/>
  <c r="H194" i="3"/>
  <c r="L193" i="3"/>
  <c r="K193" i="3" s="1"/>
  <c r="M193" i="3" s="1"/>
  <c r="J193" i="3"/>
  <c r="H193" i="3" s="1"/>
  <c r="L192" i="3"/>
  <c r="K192" i="3"/>
  <c r="M192" i="3" s="1"/>
  <c r="J192" i="3"/>
  <c r="H192" i="3"/>
  <c r="L191" i="3"/>
  <c r="K191" i="3" s="1"/>
  <c r="M191" i="3" s="1"/>
  <c r="J191" i="3"/>
  <c r="H191" i="3" s="1"/>
  <c r="M190" i="3"/>
  <c r="L190" i="3"/>
  <c r="K190" i="3"/>
  <c r="J190" i="3"/>
  <c r="H190" i="3"/>
  <c r="L189" i="3"/>
  <c r="K189" i="3" s="1"/>
  <c r="M189" i="3" s="1"/>
  <c r="J189" i="3"/>
  <c r="H189" i="3"/>
  <c r="M188" i="3"/>
  <c r="L188" i="3"/>
  <c r="K188" i="3"/>
  <c r="J188" i="3"/>
  <c r="H188" i="3"/>
  <c r="L187" i="3"/>
  <c r="K187" i="3" s="1"/>
  <c r="M187" i="3" s="1"/>
  <c r="J187" i="3"/>
  <c r="H187" i="3" s="1"/>
  <c r="M186" i="3"/>
  <c r="L186" i="3"/>
  <c r="K186" i="3"/>
  <c r="J186" i="3"/>
  <c r="H186" i="3"/>
  <c r="M185" i="3"/>
  <c r="L185" i="3"/>
  <c r="K185" i="3" s="1"/>
  <c r="J185" i="3"/>
  <c r="H185" i="3" s="1"/>
  <c r="L184" i="3"/>
  <c r="K184" i="3"/>
  <c r="M184" i="3" s="1"/>
  <c r="J184" i="3"/>
  <c r="H184" i="3" s="1"/>
  <c r="L183" i="3"/>
  <c r="K183" i="3" s="1"/>
  <c r="M183" i="3" s="1"/>
  <c r="J183" i="3"/>
  <c r="H183" i="3" s="1"/>
  <c r="L182" i="3"/>
  <c r="K182" i="3"/>
  <c r="M182" i="3" s="1"/>
  <c r="J182" i="3"/>
  <c r="H182" i="3"/>
  <c r="L181" i="3"/>
  <c r="K181" i="3" s="1"/>
  <c r="M181" i="3" s="1"/>
  <c r="J181" i="3"/>
  <c r="H181" i="3"/>
  <c r="M180" i="3"/>
  <c r="L180" i="3"/>
  <c r="K180" i="3"/>
  <c r="J180" i="3"/>
  <c r="H180" i="3"/>
  <c r="L179" i="3"/>
  <c r="K179" i="3" s="1"/>
  <c r="M179" i="3" s="1"/>
  <c r="J179" i="3"/>
  <c r="H179" i="3" s="1"/>
  <c r="M178" i="3"/>
  <c r="L178" i="3"/>
  <c r="K178" i="3"/>
  <c r="J178" i="3"/>
  <c r="H178" i="3"/>
  <c r="M177" i="3"/>
  <c r="L177" i="3"/>
  <c r="K177" i="3" s="1"/>
  <c r="J177" i="3"/>
  <c r="H177" i="3" s="1"/>
  <c r="L176" i="3"/>
  <c r="K176" i="3"/>
  <c r="M176" i="3" s="1"/>
  <c r="J176" i="3"/>
  <c r="H176" i="3" s="1"/>
  <c r="L175" i="3"/>
  <c r="K175" i="3" s="1"/>
  <c r="M175" i="3" s="1"/>
  <c r="J175" i="3"/>
  <c r="H175" i="3" s="1"/>
  <c r="L174" i="3"/>
  <c r="K174" i="3" s="1"/>
  <c r="M174" i="3" s="1"/>
  <c r="J174" i="3"/>
  <c r="H174" i="3"/>
  <c r="L173" i="3"/>
  <c r="K173" i="3" s="1"/>
  <c r="M173" i="3" s="1"/>
  <c r="J173" i="3"/>
  <c r="H173" i="3" s="1"/>
  <c r="M172" i="3"/>
  <c r="L172" i="3"/>
  <c r="K172" i="3"/>
  <c r="J172" i="3"/>
  <c r="H172" i="3"/>
  <c r="L171" i="3"/>
  <c r="K171" i="3"/>
  <c r="M171" i="3" s="1"/>
  <c r="J171" i="3"/>
  <c r="H171" i="3" s="1"/>
  <c r="M170" i="3"/>
  <c r="L170" i="3"/>
  <c r="K170" i="3"/>
  <c r="J170" i="3"/>
  <c r="H170" i="3"/>
  <c r="L169" i="3"/>
  <c r="K169" i="3" s="1"/>
  <c r="M169" i="3" s="1"/>
  <c r="J169" i="3"/>
  <c r="H169" i="3" s="1"/>
  <c r="L168" i="3"/>
  <c r="K168" i="3"/>
  <c r="M168" i="3" s="1"/>
  <c r="J168" i="3"/>
  <c r="H168" i="3"/>
  <c r="L167" i="3"/>
  <c r="K167" i="3" s="1"/>
  <c r="M167" i="3" s="1"/>
  <c r="J167" i="3"/>
  <c r="H167" i="3" s="1"/>
  <c r="L166" i="3"/>
  <c r="K166" i="3" s="1"/>
  <c r="M166" i="3" s="1"/>
  <c r="J166" i="3"/>
  <c r="H166" i="3"/>
  <c r="L165" i="3"/>
  <c r="K165" i="3" s="1"/>
  <c r="M165" i="3" s="1"/>
  <c r="J165" i="3"/>
  <c r="H165" i="3" s="1"/>
  <c r="M164" i="3"/>
  <c r="L164" i="3"/>
  <c r="K164" i="3"/>
  <c r="J164" i="3"/>
  <c r="H164" i="3"/>
  <c r="L163" i="3"/>
  <c r="K163" i="3"/>
  <c r="M163" i="3" s="1"/>
  <c r="J163" i="3"/>
  <c r="H163" i="3" s="1"/>
  <c r="M162" i="3"/>
  <c r="L162" i="3"/>
  <c r="K162" i="3"/>
  <c r="J162" i="3"/>
  <c r="H162" i="3"/>
  <c r="L161" i="3"/>
  <c r="K161" i="3" s="1"/>
  <c r="M161" i="3" s="1"/>
  <c r="J161" i="3"/>
  <c r="H161" i="3" s="1"/>
  <c r="L160" i="3"/>
  <c r="K160" i="3"/>
  <c r="M160" i="3" s="1"/>
  <c r="J160" i="3"/>
  <c r="H160" i="3"/>
  <c r="L159" i="3"/>
  <c r="K159" i="3" s="1"/>
  <c r="M159" i="3" s="1"/>
  <c r="J159" i="3"/>
  <c r="H159" i="3" s="1"/>
  <c r="M158" i="3"/>
  <c r="L158" i="3"/>
  <c r="K158" i="3"/>
  <c r="J158" i="3"/>
  <c r="H158" i="3"/>
  <c r="L157" i="3"/>
  <c r="K157" i="3" s="1"/>
  <c r="M157" i="3" s="1"/>
  <c r="J157" i="3"/>
  <c r="H157" i="3"/>
  <c r="M156" i="3"/>
  <c r="L156" i="3"/>
  <c r="K156" i="3"/>
  <c r="J156" i="3"/>
  <c r="H156" i="3"/>
  <c r="L155" i="3"/>
  <c r="K155" i="3" s="1"/>
  <c r="M155" i="3" s="1"/>
  <c r="J155" i="3"/>
  <c r="H155" i="3" s="1"/>
  <c r="M154" i="3"/>
  <c r="L154" i="3"/>
  <c r="K154" i="3"/>
  <c r="J154" i="3"/>
  <c r="H154" i="3"/>
  <c r="M153" i="3"/>
  <c r="L153" i="3"/>
  <c r="K153" i="3" s="1"/>
  <c r="J153" i="3"/>
  <c r="H153" i="3" s="1"/>
  <c r="L152" i="3"/>
  <c r="K152" i="3"/>
  <c r="M152" i="3" s="1"/>
  <c r="J152" i="3"/>
  <c r="H152" i="3" s="1"/>
  <c r="L151" i="3"/>
  <c r="K151" i="3" s="1"/>
  <c r="M151" i="3" s="1"/>
  <c r="J151" i="3"/>
  <c r="H151" i="3" s="1"/>
  <c r="L150" i="3"/>
  <c r="K150" i="3"/>
  <c r="M150" i="3" s="1"/>
  <c r="J150" i="3"/>
  <c r="H150" i="3"/>
  <c r="L149" i="3"/>
  <c r="K149" i="3" s="1"/>
  <c r="M149" i="3" s="1"/>
  <c r="J149" i="3"/>
  <c r="H149" i="3"/>
  <c r="L148" i="3"/>
  <c r="K148" i="3"/>
  <c r="M148" i="3" s="1"/>
  <c r="J148" i="3"/>
  <c r="H148" i="3"/>
  <c r="L147" i="3"/>
  <c r="K147" i="3" s="1"/>
  <c r="M147" i="3" s="1"/>
  <c r="J147" i="3"/>
  <c r="H147" i="3" s="1"/>
  <c r="M146" i="3"/>
  <c r="L146" i="3"/>
  <c r="K146" i="3"/>
  <c r="J146" i="3"/>
  <c r="H146" i="3"/>
  <c r="M145" i="3"/>
  <c r="L145" i="3"/>
  <c r="K145" i="3" s="1"/>
  <c r="J145" i="3"/>
  <c r="H145" i="3" s="1"/>
  <c r="L144" i="3"/>
  <c r="K144" i="3"/>
  <c r="M144" i="3" s="1"/>
  <c r="J144" i="3"/>
  <c r="H144" i="3" s="1"/>
  <c r="L143" i="3"/>
  <c r="K143" i="3" s="1"/>
  <c r="M143" i="3" s="1"/>
  <c r="J143" i="3"/>
  <c r="H143" i="3" s="1"/>
  <c r="L142" i="3"/>
  <c r="K142" i="3" s="1"/>
  <c r="M142" i="3" s="1"/>
  <c r="J142" i="3"/>
  <c r="H142" i="3"/>
  <c r="L141" i="3"/>
  <c r="K141" i="3" s="1"/>
  <c r="M141" i="3" s="1"/>
  <c r="J141" i="3"/>
  <c r="H141" i="3" s="1"/>
  <c r="L140" i="3"/>
  <c r="K140" i="3"/>
  <c r="M140" i="3" s="1"/>
  <c r="J140" i="3"/>
  <c r="H140" i="3"/>
  <c r="L139" i="3"/>
  <c r="K139" i="3"/>
  <c r="M139" i="3" s="1"/>
  <c r="J139" i="3"/>
  <c r="H139" i="3" s="1"/>
  <c r="M138" i="3"/>
  <c r="L138" i="3"/>
  <c r="K138" i="3"/>
  <c r="J138" i="3"/>
  <c r="H138" i="3"/>
  <c r="L137" i="3"/>
  <c r="K137" i="3" s="1"/>
  <c r="M137" i="3" s="1"/>
  <c r="J137" i="3"/>
  <c r="H137" i="3" s="1"/>
  <c r="L136" i="3"/>
  <c r="K136" i="3"/>
  <c r="M136" i="3" s="1"/>
  <c r="J136" i="3"/>
  <c r="H136" i="3"/>
  <c r="L135" i="3"/>
  <c r="K135" i="3" s="1"/>
  <c r="M135" i="3" s="1"/>
  <c r="J135" i="3"/>
  <c r="H135" i="3" s="1"/>
  <c r="L134" i="3"/>
  <c r="K134" i="3" s="1"/>
  <c r="M134" i="3" s="1"/>
  <c r="J134" i="3"/>
  <c r="H134" i="3"/>
  <c r="L133" i="3"/>
  <c r="K133" i="3" s="1"/>
  <c r="M133" i="3" s="1"/>
  <c r="J133" i="3"/>
  <c r="H133" i="3" s="1"/>
  <c r="M132" i="3"/>
  <c r="L132" i="3"/>
  <c r="K132" i="3"/>
  <c r="J132" i="3"/>
  <c r="H132" i="3"/>
  <c r="L131" i="3"/>
  <c r="K131" i="3"/>
  <c r="M131" i="3" s="1"/>
  <c r="J131" i="3"/>
  <c r="H131" i="3" s="1"/>
  <c r="M130" i="3"/>
  <c r="L130" i="3"/>
  <c r="K130" i="3"/>
  <c r="J130" i="3"/>
  <c r="H130" i="3"/>
  <c r="L129" i="3"/>
  <c r="K129" i="3" s="1"/>
  <c r="M129" i="3" s="1"/>
  <c r="J129" i="3"/>
  <c r="H129" i="3" s="1"/>
  <c r="L128" i="3"/>
  <c r="K128" i="3"/>
  <c r="M128" i="3" s="1"/>
  <c r="J128" i="3"/>
  <c r="H128" i="3"/>
  <c r="L127" i="3"/>
  <c r="K127" i="3" s="1"/>
  <c r="M127" i="3" s="1"/>
  <c r="J127" i="3"/>
  <c r="H127" i="3" s="1"/>
  <c r="M126" i="3"/>
  <c r="L126" i="3"/>
  <c r="K126" i="3"/>
  <c r="J126" i="3"/>
  <c r="H126" i="3"/>
  <c r="L125" i="3"/>
  <c r="K125" i="3" s="1"/>
  <c r="M125" i="3" s="1"/>
  <c r="J125" i="3"/>
  <c r="H125" i="3"/>
  <c r="M124" i="3"/>
  <c r="L124" i="3"/>
  <c r="K124" i="3"/>
  <c r="J124" i="3"/>
  <c r="H124" i="3"/>
  <c r="L123" i="3"/>
  <c r="K123" i="3" s="1"/>
  <c r="M123" i="3" s="1"/>
  <c r="J123" i="3"/>
  <c r="H123" i="3" s="1"/>
  <c r="M122" i="3"/>
  <c r="L122" i="3"/>
  <c r="K122" i="3"/>
  <c r="J122" i="3"/>
  <c r="H122" i="3"/>
  <c r="M121" i="3"/>
  <c r="L121" i="3"/>
  <c r="K121" i="3" s="1"/>
  <c r="J121" i="3"/>
  <c r="H121" i="3" s="1"/>
  <c r="L120" i="3"/>
  <c r="K120" i="3"/>
  <c r="M120" i="3" s="1"/>
  <c r="J120" i="3"/>
  <c r="H120" i="3" s="1"/>
  <c r="L119" i="3"/>
  <c r="K119" i="3" s="1"/>
  <c r="M119" i="3" s="1"/>
  <c r="J119" i="3"/>
  <c r="H119" i="3" s="1"/>
  <c r="L118" i="3"/>
  <c r="K118" i="3"/>
  <c r="M118" i="3" s="1"/>
  <c r="J118" i="3"/>
  <c r="H118" i="3"/>
  <c r="L117" i="3"/>
  <c r="K117" i="3" s="1"/>
  <c r="M117" i="3" s="1"/>
  <c r="J117" i="3"/>
  <c r="H117" i="3"/>
  <c r="L116" i="3"/>
  <c r="K116" i="3"/>
  <c r="M116" i="3" s="1"/>
  <c r="J116" i="3"/>
  <c r="H116" i="3"/>
  <c r="L115" i="3"/>
  <c r="K115" i="3" s="1"/>
  <c r="M115" i="3" s="1"/>
  <c r="J115" i="3"/>
  <c r="H115" i="3" s="1"/>
  <c r="L114" i="3"/>
  <c r="K114" i="3"/>
  <c r="M114" i="3" s="1"/>
  <c r="J114" i="3"/>
  <c r="H114" i="3"/>
  <c r="M113" i="3"/>
  <c r="L113" i="3"/>
  <c r="K113" i="3" s="1"/>
  <c r="J113" i="3"/>
  <c r="H113" i="3" s="1"/>
  <c r="L112" i="3"/>
  <c r="K112" i="3"/>
  <c r="M112" i="3" s="1"/>
  <c r="J112" i="3"/>
  <c r="H112" i="3"/>
  <c r="L111" i="3"/>
  <c r="K111" i="3" s="1"/>
  <c r="M111" i="3" s="1"/>
  <c r="J111" i="3"/>
  <c r="H111" i="3" s="1"/>
  <c r="L110" i="3"/>
  <c r="K110" i="3"/>
  <c r="M110" i="3" s="1"/>
  <c r="J110" i="3"/>
  <c r="H110" i="3"/>
  <c r="L109" i="3"/>
  <c r="K109" i="3" s="1"/>
  <c r="M109" i="3" s="1"/>
  <c r="J109" i="3"/>
  <c r="H109" i="3" s="1"/>
  <c r="L108" i="3"/>
  <c r="K108" i="3"/>
  <c r="M108" i="3" s="1"/>
  <c r="J108" i="3"/>
  <c r="H108" i="3"/>
  <c r="L107" i="3"/>
  <c r="K107" i="3" s="1"/>
  <c r="M107" i="3" s="1"/>
  <c r="J107" i="3"/>
  <c r="H107" i="3" s="1"/>
  <c r="L106" i="3"/>
  <c r="K106" i="3"/>
  <c r="M106" i="3" s="1"/>
  <c r="J106" i="3"/>
  <c r="H106" i="3"/>
  <c r="M105" i="3"/>
  <c r="L105" i="3"/>
  <c r="K105" i="3" s="1"/>
  <c r="J105" i="3"/>
  <c r="H105" i="3" s="1"/>
  <c r="L104" i="3"/>
  <c r="K104" i="3"/>
  <c r="M104" i="3" s="1"/>
  <c r="J104" i="3"/>
  <c r="H104" i="3" s="1"/>
  <c r="L103" i="3"/>
  <c r="K103" i="3" s="1"/>
  <c r="M103" i="3" s="1"/>
  <c r="J103" i="3"/>
  <c r="H103" i="3" s="1"/>
  <c r="L102" i="3"/>
  <c r="K102" i="3" s="1"/>
  <c r="M102" i="3" s="1"/>
  <c r="J102" i="3"/>
  <c r="H102" i="3"/>
  <c r="L101" i="3"/>
  <c r="K101" i="3" s="1"/>
  <c r="M101" i="3" s="1"/>
  <c r="J101" i="3"/>
  <c r="H101" i="3"/>
  <c r="L100" i="3"/>
  <c r="K100" i="3"/>
  <c r="M100" i="3" s="1"/>
  <c r="J100" i="3"/>
  <c r="H100" i="3"/>
  <c r="L99" i="3"/>
  <c r="K99" i="3"/>
  <c r="M99" i="3" s="1"/>
  <c r="J99" i="3"/>
  <c r="H99" i="3"/>
  <c r="M98" i="3"/>
  <c r="L98" i="3"/>
  <c r="K98" i="3"/>
  <c r="J98" i="3"/>
  <c r="H98" i="3" s="1"/>
  <c r="L97" i="3"/>
  <c r="K97" i="3"/>
  <c r="M97" i="3" s="1"/>
  <c r="J97" i="3"/>
  <c r="H97" i="3" s="1"/>
  <c r="L96" i="3"/>
  <c r="K96" i="3" s="1"/>
  <c r="M96" i="3" s="1"/>
  <c r="J96" i="3"/>
  <c r="H96" i="3" s="1"/>
  <c r="L95" i="3"/>
  <c r="K95" i="3" s="1"/>
  <c r="M95" i="3" s="1"/>
  <c r="J95" i="3"/>
  <c r="H95" i="3" s="1"/>
  <c r="L94" i="3"/>
  <c r="K94" i="3" s="1"/>
  <c r="M94" i="3" s="1"/>
  <c r="J94" i="3"/>
  <c r="H94" i="3"/>
  <c r="L93" i="3"/>
  <c r="K93" i="3" s="1"/>
  <c r="M93" i="3" s="1"/>
  <c r="J93" i="3"/>
  <c r="H93" i="3"/>
  <c r="L92" i="3"/>
  <c r="K92" i="3"/>
  <c r="M92" i="3" s="1"/>
  <c r="J92" i="3"/>
  <c r="H92" i="3"/>
  <c r="L91" i="3"/>
  <c r="K91" i="3"/>
  <c r="M91" i="3" s="1"/>
  <c r="J91" i="3"/>
  <c r="H91" i="3"/>
  <c r="M90" i="3"/>
  <c r="L90" i="3"/>
  <c r="K90" i="3"/>
  <c r="J90" i="3"/>
  <c r="H90" i="3" s="1"/>
  <c r="L89" i="3"/>
  <c r="K89" i="3"/>
  <c r="M89" i="3" s="1"/>
  <c r="J89" i="3"/>
  <c r="H89" i="3" s="1"/>
  <c r="L88" i="3"/>
  <c r="K88" i="3" s="1"/>
  <c r="M88" i="3" s="1"/>
  <c r="J88" i="3"/>
  <c r="H88" i="3" s="1"/>
  <c r="L87" i="3"/>
  <c r="K87" i="3" s="1"/>
  <c r="M87" i="3" s="1"/>
  <c r="J87" i="3"/>
  <c r="H87" i="3" s="1"/>
  <c r="L86" i="3"/>
  <c r="K86" i="3" s="1"/>
  <c r="M86" i="3" s="1"/>
  <c r="J86" i="3"/>
  <c r="H86" i="3"/>
  <c r="L85" i="3"/>
  <c r="K85" i="3" s="1"/>
  <c r="M85" i="3" s="1"/>
  <c r="J85" i="3"/>
  <c r="H85" i="3"/>
  <c r="L84" i="3"/>
  <c r="K84" i="3"/>
  <c r="M84" i="3" s="1"/>
  <c r="J84" i="3"/>
  <c r="H84" i="3"/>
  <c r="L83" i="3"/>
  <c r="K83" i="3"/>
  <c r="M83" i="3" s="1"/>
  <c r="J83" i="3"/>
  <c r="H83" i="3"/>
  <c r="M82" i="3"/>
  <c r="L82" i="3"/>
  <c r="K82" i="3"/>
  <c r="J82" i="3"/>
  <c r="H82" i="3" s="1"/>
  <c r="L81" i="3"/>
  <c r="K81" i="3"/>
  <c r="M81" i="3" s="1"/>
  <c r="J81" i="3"/>
  <c r="H81" i="3" s="1"/>
  <c r="L80" i="3"/>
  <c r="K80" i="3" s="1"/>
  <c r="M80" i="3" s="1"/>
  <c r="J80" i="3"/>
  <c r="H80" i="3" s="1"/>
  <c r="L79" i="3"/>
  <c r="K79" i="3" s="1"/>
  <c r="M79" i="3" s="1"/>
  <c r="J79" i="3"/>
  <c r="H79" i="3" s="1"/>
  <c r="L78" i="3"/>
  <c r="K78" i="3" s="1"/>
  <c r="M78" i="3" s="1"/>
  <c r="J78" i="3"/>
  <c r="H78" i="3"/>
  <c r="L77" i="3"/>
  <c r="K77" i="3" s="1"/>
  <c r="M77" i="3" s="1"/>
  <c r="J77" i="3"/>
  <c r="H77" i="3"/>
  <c r="L76" i="3"/>
  <c r="K76" i="3"/>
  <c r="M76" i="3" s="1"/>
  <c r="J76" i="3"/>
  <c r="H76" i="3"/>
  <c r="L75" i="3"/>
  <c r="K75" i="3"/>
  <c r="M75" i="3" s="1"/>
  <c r="J75" i="3"/>
  <c r="H75" i="3"/>
  <c r="M74" i="3"/>
  <c r="L74" i="3"/>
  <c r="K74" i="3"/>
  <c r="J74" i="3"/>
  <c r="H74" i="3" s="1"/>
  <c r="L73" i="3"/>
  <c r="K73" i="3"/>
  <c r="M73" i="3" s="1"/>
  <c r="J73" i="3"/>
  <c r="H73" i="3" s="1"/>
  <c r="L72" i="3"/>
  <c r="K72" i="3" s="1"/>
  <c r="M72" i="3" s="1"/>
  <c r="J72" i="3"/>
  <c r="H72" i="3" s="1"/>
  <c r="L71" i="3"/>
  <c r="K71" i="3" s="1"/>
  <c r="M71" i="3" s="1"/>
  <c r="J71" i="3"/>
  <c r="H71" i="3" s="1"/>
  <c r="L70" i="3"/>
  <c r="K70" i="3" s="1"/>
  <c r="M70" i="3" s="1"/>
  <c r="J70" i="3"/>
  <c r="H70" i="3"/>
  <c r="L69" i="3"/>
  <c r="K69" i="3" s="1"/>
  <c r="M69" i="3" s="1"/>
  <c r="J69" i="3"/>
  <c r="H69" i="3"/>
  <c r="L68" i="3"/>
  <c r="K68" i="3"/>
  <c r="M68" i="3" s="1"/>
  <c r="J68" i="3"/>
  <c r="H68" i="3"/>
  <c r="L67" i="3"/>
  <c r="K67" i="3"/>
  <c r="M67" i="3" s="1"/>
  <c r="J67" i="3"/>
  <c r="H67" i="3"/>
  <c r="M66" i="3"/>
  <c r="L66" i="3"/>
  <c r="K66" i="3"/>
  <c r="J66" i="3"/>
  <c r="H66" i="3" s="1"/>
  <c r="L65" i="3"/>
  <c r="K65" i="3"/>
  <c r="M65" i="3" s="1"/>
  <c r="J65" i="3"/>
  <c r="H65" i="3" s="1"/>
  <c r="L64" i="3"/>
  <c r="K64" i="3" s="1"/>
  <c r="M64" i="3" s="1"/>
  <c r="J64" i="3"/>
  <c r="H64" i="3" s="1"/>
  <c r="L63" i="3"/>
  <c r="K63" i="3" s="1"/>
  <c r="M63" i="3" s="1"/>
  <c r="J63" i="3"/>
  <c r="H63" i="3" s="1"/>
  <c r="L62" i="3"/>
  <c r="K62" i="3" s="1"/>
  <c r="M62" i="3" s="1"/>
  <c r="J62" i="3"/>
  <c r="H62" i="3"/>
  <c r="L61" i="3"/>
  <c r="K61" i="3" s="1"/>
  <c r="M61" i="3" s="1"/>
  <c r="J61" i="3"/>
  <c r="H61" i="3"/>
  <c r="L60" i="3"/>
  <c r="K60" i="3"/>
  <c r="M60" i="3" s="1"/>
  <c r="J60" i="3"/>
  <c r="H60" i="3"/>
  <c r="L59" i="3"/>
  <c r="K59" i="3"/>
  <c r="M59" i="3" s="1"/>
  <c r="J59" i="3"/>
  <c r="H59" i="3"/>
  <c r="M58" i="3"/>
  <c r="L58" i="3"/>
  <c r="K58" i="3"/>
  <c r="J58" i="3"/>
  <c r="H58" i="3" s="1"/>
  <c r="L57" i="3"/>
  <c r="K57" i="3"/>
  <c r="M57" i="3" s="1"/>
  <c r="J57" i="3"/>
  <c r="H57" i="3" s="1"/>
  <c r="L56" i="3"/>
  <c r="K56" i="3" s="1"/>
  <c r="M56" i="3" s="1"/>
  <c r="J56" i="3"/>
  <c r="H56" i="3" s="1"/>
  <c r="L55" i="3"/>
  <c r="K55" i="3" s="1"/>
  <c r="M55" i="3" s="1"/>
  <c r="J55" i="3"/>
  <c r="H55" i="3" s="1"/>
  <c r="L54" i="3"/>
  <c r="K54" i="3" s="1"/>
  <c r="M54" i="3" s="1"/>
  <c r="J54" i="3"/>
  <c r="H54" i="3"/>
  <c r="L53" i="3"/>
  <c r="K53" i="3" s="1"/>
  <c r="M53" i="3" s="1"/>
  <c r="J53" i="3"/>
  <c r="H53" i="3"/>
  <c r="L52" i="3"/>
  <c r="K52" i="3"/>
  <c r="M52" i="3" s="1"/>
  <c r="J52" i="3"/>
  <c r="H52" i="3"/>
  <c r="L51" i="3"/>
  <c r="K51" i="3"/>
  <c r="M51" i="3" s="1"/>
  <c r="J51" i="3"/>
  <c r="H51" i="3"/>
  <c r="M50" i="3"/>
  <c r="L50" i="3"/>
  <c r="K50" i="3"/>
  <c r="J50" i="3"/>
  <c r="H50" i="3" s="1"/>
  <c r="L49" i="3"/>
  <c r="K49" i="3"/>
  <c r="M49" i="3" s="1"/>
  <c r="J49" i="3"/>
  <c r="H49" i="3" s="1"/>
  <c r="L48" i="3"/>
  <c r="K48" i="3" s="1"/>
  <c r="M48" i="3" s="1"/>
  <c r="J48" i="3"/>
  <c r="H48" i="3" s="1"/>
  <c r="L47" i="3"/>
  <c r="K47" i="3" s="1"/>
  <c r="M47" i="3" s="1"/>
  <c r="J47" i="3"/>
  <c r="H47" i="3" s="1"/>
  <c r="L46" i="3"/>
  <c r="K46" i="3" s="1"/>
  <c r="M46" i="3" s="1"/>
  <c r="J46" i="3"/>
  <c r="H46" i="3"/>
  <c r="L45" i="3"/>
  <c r="K45" i="3" s="1"/>
  <c r="M45" i="3" s="1"/>
  <c r="J45" i="3"/>
  <c r="H45" i="3"/>
  <c r="L44" i="3"/>
  <c r="K44" i="3"/>
  <c r="M44" i="3" s="1"/>
  <c r="J44" i="3"/>
  <c r="H44" i="3"/>
  <c r="L43" i="3"/>
  <c r="K43" i="3"/>
  <c r="M43" i="3" s="1"/>
  <c r="J43" i="3"/>
  <c r="H43" i="3"/>
  <c r="M42" i="3"/>
  <c r="L42" i="3"/>
  <c r="K42" i="3"/>
  <c r="J42" i="3"/>
  <c r="H42" i="3" s="1"/>
  <c r="L41" i="3"/>
  <c r="K41" i="3"/>
  <c r="M41" i="3" s="1"/>
  <c r="J41" i="3"/>
  <c r="H41" i="3" s="1"/>
  <c r="L40" i="3"/>
  <c r="K40" i="3" s="1"/>
  <c r="M40" i="3" s="1"/>
  <c r="J40" i="3"/>
  <c r="H40" i="3" s="1"/>
  <c r="L39" i="3"/>
  <c r="K39" i="3" s="1"/>
  <c r="M39" i="3" s="1"/>
  <c r="J39" i="3"/>
  <c r="H39" i="3" s="1"/>
  <c r="L38" i="3"/>
  <c r="K38" i="3" s="1"/>
  <c r="M38" i="3" s="1"/>
  <c r="J38" i="3"/>
  <c r="H38" i="3"/>
  <c r="L37" i="3"/>
  <c r="K37" i="3" s="1"/>
  <c r="M37" i="3" s="1"/>
  <c r="J37" i="3"/>
  <c r="H37" i="3"/>
  <c r="L36" i="3"/>
  <c r="K36" i="3"/>
  <c r="M36" i="3" s="1"/>
  <c r="J36" i="3"/>
  <c r="H36" i="3"/>
  <c r="L35" i="3"/>
  <c r="K35" i="3"/>
  <c r="M35" i="3" s="1"/>
  <c r="J35" i="3"/>
  <c r="H35" i="3"/>
  <c r="M34" i="3"/>
  <c r="L34" i="3"/>
  <c r="K34" i="3"/>
  <c r="J34" i="3"/>
  <c r="H34" i="3" s="1"/>
  <c r="L33" i="3"/>
  <c r="K33" i="3"/>
  <c r="M33" i="3" s="1"/>
  <c r="J33" i="3"/>
  <c r="H33" i="3" s="1"/>
  <c r="L32" i="3"/>
  <c r="K32" i="3" s="1"/>
  <c r="M32" i="3" s="1"/>
  <c r="J32" i="3"/>
  <c r="H32" i="3" s="1"/>
  <c r="L31" i="3"/>
  <c r="K31" i="3" s="1"/>
  <c r="M31" i="3" s="1"/>
  <c r="J31" i="3"/>
  <c r="H31" i="3" s="1"/>
  <c r="L30" i="3"/>
  <c r="K30" i="3" s="1"/>
  <c r="M30" i="3" s="1"/>
  <c r="J30" i="3"/>
  <c r="H30" i="3"/>
  <c r="L29" i="3"/>
  <c r="K29" i="3" s="1"/>
  <c r="M29" i="3" s="1"/>
  <c r="J29" i="3"/>
  <c r="H29" i="3"/>
  <c r="L28" i="3"/>
  <c r="K28" i="3"/>
  <c r="M28" i="3" s="1"/>
  <c r="J28" i="3"/>
  <c r="H28" i="3"/>
  <c r="L27" i="3"/>
  <c r="K27" i="3"/>
  <c r="M27" i="3" s="1"/>
  <c r="J27" i="3"/>
  <c r="H27" i="3"/>
  <c r="M26" i="3"/>
  <c r="L26" i="3"/>
  <c r="K26" i="3"/>
  <c r="J26" i="3"/>
  <c r="H26" i="3" s="1"/>
  <c r="L25" i="3"/>
  <c r="K25" i="3"/>
  <c r="M25" i="3" s="1"/>
  <c r="J25" i="3"/>
  <c r="H25" i="3" s="1"/>
  <c r="L24" i="3"/>
  <c r="K24" i="3" s="1"/>
  <c r="M24" i="3" s="1"/>
  <c r="J24" i="3"/>
  <c r="H24" i="3" s="1"/>
  <c r="L23" i="3"/>
  <c r="K23" i="3" s="1"/>
  <c r="M23" i="3" s="1"/>
  <c r="J23" i="3"/>
  <c r="H23" i="3" s="1"/>
  <c r="L22" i="3"/>
  <c r="K22" i="3" s="1"/>
  <c r="M22" i="3" s="1"/>
  <c r="J22" i="3"/>
  <c r="H22" i="3"/>
  <c r="L21" i="3"/>
  <c r="K21" i="3" s="1"/>
  <c r="M21" i="3" s="1"/>
  <c r="J21" i="3"/>
  <c r="H21" i="3"/>
  <c r="L20" i="3"/>
  <c r="K20" i="3"/>
  <c r="M20" i="3" s="1"/>
  <c r="J20" i="3"/>
  <c r="H20" i="3"/>
  <c r="L19" i="3"/>
  <c r="K19" i="3"/>
  <c r="M19" i="3" s="1"/>
  <c r="J19" i="3"/>
  <c r="H19" i="3"/>
  <c r="M18" i="3"/>
  <c r="L18" i="3"/>
  <c r="K18" i="3"/>
  <c r="J18" i="3"/>
  <c r="H18" i="3" s="1"/>
  <c r="L17" i="3"/>
  <c r="K17" i="3"/>
  <c r="M17" i="3" s="1"/>
  <c r="J17" i="3"/>
  <c r="H17" i="3" s="1"/>
  <c r="L16" i="3"/>
  <c r="K16" i="3" s="1"/>
  <c r="M16" i="3" s="1"/>
  <c r="J16" i="3"/>
  <c r="H16" i="3" s="1"/>
  <c r="L15" i="3"/>
  <c r="K15" i="3" s="1"/>
  <c r="M15" i="3" s="1"/>
  <c r="J15" i="3"/>
  <c r="H15" i="3" s="1"/>
  <c r="L14" i="3"/>
  <c r="K14" i="3" s="1"/>
  <c r="M14" i="3" s="1"/>
  <c r="J14" i="3"/>
  <c r="H14" i="3"/>
  <c r="L13" i="3"/>
  <c r="K13" i="3" s="1"/>
  <c r="M13" i="3" s="1"/>
  <c r="J13" i="3"/>
  <c r="H13" i="3"/>
  <c r="L12" i="3"/>
  <c r="K12" i="3"/>
  <c r="M12" i="3" s="1"/>
  <c r="J12" i="3"/>
  <c r="H12" i="3"/>
  <c r="L11" i="3"/>
  <c r="K11" i="3"/>
  <c r="M11" i="3" s="1"/>
  <c r="J11" i="3"/>
  <c r="H11" i="3"/>
  <c r="M10" i="3"/>
  <c r="L10" i="3"/>
  <c r="K10" i="3"/>
  <c r="J10" i="3"/>
  <c r="H10" i="3" s="1"/>
  <c r="L9" i="3"/>
  <c r="K9" i="3"/>
  <c r="M9" i="3" s="1"/>
  <c r="J9" i="3"/>
  <c r="H9" i="3" s="1"/>
  <c r="L8" i="3"/>
  <c r="K8" i="3" s="1"/>
  <c r="M8" i="3" s="1"/>
  <c r="J8" i="3"/>
  <c r="H8" i="3" s="1"/>
  <c r="L7" i="3"/>
  <c r="K7" i="3" s="1"/>
  <c r="M7" i="3" s="1"/>
  <c r="J7" i="3"/>
  <c r="H7" i="3" s="1"/>
  <c r="L6" i="3"/>
  <c r="K6" i="3" s="1"/>
  <c r="M6" i="3" s="1"/>
  <c r="J6" i="3"/>
  <c r="H6" i="3"/>
  <c r="L5" i="3"/>
  <c r="K5" i="3" s="1"/>
  <c r="M5" i="3" s="1"/>
  <c r="J5" i="3"/>
  <c r="H5" i="3"/>
  <c r="T19" i="1"/>
  <c r="T20" i="1"/>
  <c r="T21" i="1"/>
  <c r="T22" i="1"/>
  <c r="T23" i="1"/>
  <c r="T24" i="1"/>
  <c r="T25" i="1"/>
  <c r="V25" i="1" s="1"/>
  <c r="T26" i="1"/>
  <c r="V26" i="1" s="1"/>
  <c r="T27" i="1"/>
  <c r="T28" i="1"/>
  <c r="T29" i="1"/>
  <c r="T30" i="1"/>
  <c r="T31" i="1"/>
  <c r="T32" i="1"/>
  <c r="T33" i="1"/>
  <c r="V33" i="1" s="1"/>
  <c r="T34" i="1"/>
  <c r="V34" i="1" s="1"/>
  <c r="T35" i="1"/>
  <c r="T36" i="1"/>
  <c r="T37" i="1"/>
  <c r="T38" i="1"/>
  <c r="T39" i="1"/>
  <c r="T40" i="1"/>
  <c r="T41" i="1"/>
  <c r="V41" i="1" s="1"/>
  <c r="T42" i="1"/>
  <c r="V42" i="1" s="1"/>
  <c r="T43" i="1"/>
  <c r="T44" i="1"/>
  <c r="T45" i="1"/>
  <c r="T46" i="1"/>
  <c r="T47" i="1"/>
  <c r="T48" i="1"/>
  <c r="T49" i="1"/>
  <c r="V49" i="1" s="1"/>
  <c r="T50" i="1"/>
  <c r="V50" i="1" s="1"/>
  <c r="T51" i="1"/>
  <c r="T52" i="1"/>
  <c r="T53" i="1"/>
  <c r="T54" i="1"/>
  <c r="T55" i="1"/>
  <c r="T56" i="1"/>
  <c r="T57" i="1"/>
  <c r="V57" i="1" s="1"/>
  <c r="T58" i="1"/>
  <c r="V58" i="1" s="1"/>
  <c r="T59" i="1"/>
  <c r="T60" i="1"/>
  <c r="T61" i="1"/>
  <c r="T62" i="1"/>
  <c r="T63" i="1"/>
  <c r="T64" i="1"/>
  <c r="T65" i="1"/>
  <c r="V65" i="1" s="1"/>
  <c r="T66" i="1"/>
  <c r="V66" i="1" s="1"/>
  <c r="T67" i="1"/>
  <c r="T68" i="1"/>
  <c r="T69" i="1"/>
  <c r="T70" i="1"/>
  <c r="T71" i="1"/>
  <c r="T72" i="1"/>
  <c r="T73" i="1"/>
  <c r="V73" i="1" s="1"/>
  <c r="T74" i="1"/>
  <c r="V74" i="1" s="1"/>
  <c r="T75" i="1"/>
  <c r="T76" i="1"/>
  <c r="T77" i="1"/>
  <c r="T78" i="1"/>
  <c r="T79" i="1"/>
  <c r="T80" i="1"/>
  <c r="T81" i="1"/>
  <c r="V81" i="1" s="1"/>
  <c r="T82" i="1"/>
  <c r="V82" i="1" s="1"/>
  <c r="T83" i="1"/>
  <c r="T84" i="1"/>
  <c r="T85" i="1"/>
  <c r="T86" i="1"/>
  <c r="T87" i="1"/>
  <c r="T88" i="1"/>
  <c r="T89" i="1"/>
  <c r="V89" i="1" s="1"/>
  <c r="T90" i="1"/>
  <c r="V90" i="1" s="1"/>
  <c r="T91" i="1"/>
  <c r="T92" i="1"/>
  <c r="T93" i="1"/>
  <c r="T94" i="1"/>
  <c r="T95" i="1"/>
  <c r="T96" i="1"/>
  <c r="T97" i="1"/>
  <c r="V97" i="1" s="1"/>
  <c r="T98" i="1"/>
  <c r="V98" i="1" s="1"/>
  <c r="T99" i="1"/>
  <c r="T100" i="1"/>
  <c r="T101" i="1"/>
  <c r="T102" i="1"/>
  <c r="T103" i="1"/>
  <c r="T104" i="1"/>
  <c r="T105" i="1"/>
  <c r="V105" i="1" s="1"/>
  <c r="T106" i="1"/>
  <c r="V106" i="1" s="1"/>
  <c r="T107" i="1"/>
  <c r="T108" i="1"/>
  <c r="T109" i="1"/>
  <c r="T110" i="1"/>
  <c r="T111" i="1"/>
  <c r="T112" i="1"/>
  <c r="T113" i="1"/>
  <c r="V113" i="1" s="1"/>
  <c r="T114" i="1"/>
  <c r="V114" i="1" s="1"/>
  <c r="T115" i="1"/>
  <c r="T116" i="1"/>
  <c r="T117" i="1"/>
  <c r="T118" i="1"/>
  <c r="T119" i="1"/>
  <c r="T120" i="1"/>
  <c r="T121" i="1"/>
  <c r="V121" i="1" s="1"/>
  <c r="T122" i="1"/>
  <c r="V122" i="1" s="1"/>
  <c r="T123" i="1"/>
  <c r="T124" i="1"/>
  <c r="T125" i="1"/>
  <c r="T126" i="1"/>
  <c r="T127" i="1"/>
  <c r="T128" i="1"/>
  <c r="T129" i="1"/>
  <c r="V129" i="1" s="1"/>
  <c r="T130" i="1"/>
  <c r="V130" i="1" s="1"/>
  <c r="T131" i="1"/>
  <c r="T132" i="1"/>
  <c r="T133" i="1"/>
  <c r="T134" i="1"/>
  <c r="T135" i="1"/>
  <c r="T136" i="1"/>
  <c r="T137" i="1"/>
  <c r="V137" i="1" s="1"/>
  <c r="T138" i="1"/>
  <c r="V138" i="1" s="1"/>
  <c r="T139" i="1"/>
  <c r="T140" i="1"/>
  <c r="T141" i="1"/>
  <c r="T142" i="1"/>
  <c r="T143" i="1"/>
  <c r="T144" i="1"/>
  <c r="T145" i="1"/>
  <c r="V145" i="1" s="1"/>
  <c r="T146" i="1"/>
  <c r="V146" i="1" s="1"/>
  <c r="T147" i="1"/>
  <c r="T148" i="1"/>
  <c r="T149" i="1"/>
  <c r="T150" i="1"/>
  <c r="T151" i="1"/>
  <c r="T152" i="1"/>
  <c r="T153" i="1"/>
  <c r="V153" i="1" s="1"/>
  <c r="T154" i="1"/>
  <c r="V154" i="1" s="1"/>
  <c r="T155" i="1"/>
  <c r="T156" i="1"/>
  <c r="T157" i="1"/>
  <c r="T158" i="1"/>
  <c r="T159" i="1"/>
  <c r="T160" i="1"/>
  <c r="T161" i="1"/>
  <c r="V161" i="1" s="1"/>
  <c r="T162" i="1"/>
  <c r="V162" i="1" s="1"/>
  <c r="T163" i="1"/>
  <c r="T164" i="1"/>
  <c r="T165" i="1"/>
  <c r="T166" i="1"/>
  <c r="T167" i="1"/>
  <c r="T168" i="1"/>
  <c r="T169" i="1"/>
  <c r="V169" i="1" s="1"/>
  <c r="T170" i="1"/>
  <c r="V170" i="1" s="1"/>
  <c r="T171" i="1"/>
  <c r="T172" i="1"/>
  <c r="T173" i="1"/>
  <c r="T174" i="1"/>
  <c r="T175" i="1"/>
  <c r="T176" i="1"/>
  <c r="T177" i="1"/>
  <c r="V177" i="1" s="1"/>
  <c r="T178" i="1"/>
  <c r="V178" i="1" s="1"/>
  <c r="T179" i="1"/>
  <c r="T180" i="1"/>
  <c r="T181" i="1"/>
  <c r="T182" i="1"/>
  <c r="T183" i="1"/>
  <c r="T184" i="1"/>
  <c r="T185" i="1"/>
  <c r="V185" i="1" s="1"/>
  <c r="T186" i="1"/>
  <c r="V186" i="1" s="1"/>
  <c r="T187" i="1"/>
  <c r="T188" i="1"/>
  <c r="T189" i="1"/>
  <c r="T190" i="1"/>
  <c r="T191" i="1"/>
  <c r="T192" i="1"/>
  <c r="T193" i="1"/>
  <c r="V193" i="1" s="1"/>
  <c r="T194" i="1"/>
  <c r="V194" i="1" s="1"/>
  <c r="T195" i="1"/>
  <c r="T196" i="1"/>
  <c r="T197" i="1"/>
  <c r="T198" i="1"/>
  <c r="V198" i="1" s="1"/>
  <c r="T199" i="1"/>
  <c r="T200" i="1"/>
  <c r="T201" i="1"/>
  <c r="V201" i="1" s="1"/>
  <c r="T202" i="1"/>
  <c r="V202" i="1" s="1"/>
  <c r="T203" i="1"/>
  <c r="T204" i="1"/>
  <c r="T205" i="1"/>
  <c r="T206" i="1"/>
  <c r="T207" i="1"/>
  <c r="T208" i="1"/>
  <c r="T209" i="1"/>
  <c r="V209" i="1" s="1"/>
  <c r="T210" i="1"/>
  <c r="V210" i="1" s="1"/>
  <c r="T211" i="1"/>
  <c r="T212" i="1"/>
  <c r="T213" i="1"/>
  <c r="T214" i="1"/>
  <c r="T215" i="1"/>
  <c r="T216" i="1"/>
  <c r="T217" i="1"/>
  <c r="V217" i="1" s="1"/>
  <c r="T218" i="1"/>
  <c r="V218" i="1" s="1"/>
  <c r="T219" i="1"/>
  <c r="T220" i="1"/>
  <c r="T221" i="1"/>
  <c r="T222" i="1"/>
  <c r="T223" i="1"/>
  <c r="T224" i="1"/>
  <c r="T225" i="1"/>
  <c r="V225" i="1" s="1"/>
  <c r="T226" i="1"/>
  <c r="V226" i="1" s="1"/>
  <c r="T227" i="1"/>
  <c r="T228" i="1"/>
  <c r="T229" i="1"/>
  <c r="T230" i="1"/>
  <c r="T231" i="1"/>
  <c r="T232" i="1"/>
  <c r="T233" i="1"/>
  <c r="V233" i="1" s="1"/>
  <c r="T234" i="1"/>
  <c r="V234" i="1" s="1"/>
  <c r="T235" i="1"/>
  <c r="T236" i="1"/>
  <c r="T237" i="1"/>
  <c r="T238" i="1"/>
  <c r="T239" i="1"/>
  <c r="T240" i="1"/>
  <c r="T241" i="1"/>
  <c r="V241" i="1" s="1"/>
  <c r="T242" i="1"/>
  <c r="V242" i="1" s="1"/>
  <c r="T243" i="1"/>
  <c r="T244" i="1"/>
  <c r="T245" i="1"/>
  <c r="T246" i="1"/>
  <c r="T247" i="1"/>
  <c r="T248" i="1"/>
  <c r="T249" i="1"/>
  <c r="V249" i="1" s="1"/>
  <c r="T250" i="1"/>
  <c r="V250" i="1" s="1"/>
  <c r="T251" i="1"/>
  <c r="T252" i="1"/>
  <c r="T253" i="1"/>
  <c r="T254" i="1"/>
  <c r="T255" i="1"/>
  <c r="T256" i="1"/>
  <c r="T257" i="1"/>
  <c r="V257" i="1" s="1"/>
  <c r="T258" i="1"/>
  <c r="V258" i="1" s="1"/>
  <c r="T259" i="1"/>
  <c r="T260" i="1"/>
  <c r="T261" i="1"/>
  <c r="T262" i="1"/>
  <c r="T263" i="1"/>
  <c r="T264" i="1"/>
  <c r="T265" i="1"/>
  <c r="V265" i="1" s="1"/>
  <c r="T266" i="1"/>
  <c r="V266" i="1" s="1"/>
  <c r="T267" i="1"/>
  <c r="T268" i="1"/>
  <c r="T269" i="1"/>
  <c r="T270" i="1"/>
  <c r="T271" i="1"/>
  <c r="T272" i="1"/>
  <c r="T273" i="1"/>
  <c r="V273" i="1" s="1"/>
  <c r="T274" i="1"/>
  <c r="V274" i="1" s="1"/>
  <c r="T275" i="1"/>
  <c r="T276" i="1"/>
  <c r="T277" i="1"/>
  <c r="T278" i="1"/>
  <c r="T279" i="1"/>
  <c r="T280" i="1"/>
  <c r="T281" i="1"/>
  <c r="V281" i="1" s="1"/>
  <c r="T282" i="1"/>
  <c r="V282" i="1" s="1"/>
  <c r="T283" i="1"/>
  <c r="T284" i="1"/>
  <c r="T285" i="1"/>
  <c r="T286" i="1"/>
  <c r="T287" i="1"/>
  <c r="T288" i="1"/>
  <c r="T289" i="1"/>
  <c r="V289" i="1" s="1"/>
  <c r="T290" i="1"/>
  <c r="V290" i="1" s="1"/>
  <c r="T291" i="1"/>
  <c r="T292" i="1"/>
  <c r="T293" i="1"/>
  <c r="T294" i="1"/>
  <c r="T295" i="1"/>
  <c r="T296" i="1"/>
  <c r="T297" i="1"/>
  <c r="V297" i="1" s="1"/>
  <c r="T298" i="1"/>
  <c r="V298" i="1" s="1"/>
  <c r="T299" i="1"/>
  <c r="T300" i="1"/>
  <c r="T301" i="1"/>
  <c r="T302" i="1"/>
  <c r="T303" i="1"/>
  <c r="T304" i="1"/>
  <c r="T305" i="1"/>
  <c r="V305" i="1" s="1"/>
  <c r="T306" i="1"/>
  <c r="V306" i="1" s="1"/>
  <c r="T307" i="1"/>
  <c r="T308" i="1"/>
  <c r="T309" i="1"/>
  <c r="T310" i="1"/>
  <c r="T311" i="1"/>
  <c r="T312" i="1"/>
  <c r="T313" i="1"/>
  <c r="V313" i="1" s="1"/>
  <c r="T314" i="1"/>
  <c r="V314" i="1" s="1"/>
  <c r="T315" i="1"/>
  <c r="T316" i="1"/>
  <c r="T317" i="1"/>
  <c r="T318" i="1"/>
  <c r="T319" i="1"/>
  <c r="T320" i="1"/>
  <c r="T321" i="1"/>
  <c r="V321" i="1" s="1"/>
  <c r="T322" i="1"/>
  <c r="V322" i="1" s="1"/>
  <c r="T323" i="1"/>
  <c r="T324" i="1"/>
  <c r="T325" i="1"/>
  <c r="T326" i="1"/>
  <c r="T327" i="1"/>
  <c r="T328" i="1"/>
  <c r="T329" i="1"/>
  <c r="V329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7" i="1"/>
  <c r="V28" i="1"/>
  <c r="V29" i="1"/>
  <c r="V30" i="1"/>
  <c r="V31" i="1"/>
  <c r="V32" i="1"/>
  <c r="V35" i="1"/>
  <c r="V36" i="1"/>
  <c r="V37" i="1"/>
  <c r="V38" i="1"/>
  <c r="V39" i="1"/>
  <c r="V40" i="1"/>
  <c r="V43" i="1"/>
  <c r="V44" i="1"/>
  <c r="V45" i="1"/>
  <c r="V46" i="1"/>
  <c r="V47" i="1"/>
  <c r="V48" i="1"/>
  <c r="V51" i="1"/>
  <c r="V52" i="1"/>
  <c r="V53" i="1"/>
  <c r="V54" i="1"/>
  <c r="V55" i="1"/>
  <c r="V56" i="1"/>
  <c r="V59" i="1"/>
  <c r="V60" i="1"/>
  <c r="V61" i="1"/>
  <c r="V62" i="1"/>
  <c r="V63" i="1"/>
  <c r="V64" i="1"/>
  <c r="V67" i="1"/>
  <c r="V68" i="1"/>
  <c r="V69" i="1"/>
  <c r="V70" i="1"/>
  <c r="V71" i="1"/>
  <c r="V72" i="1"/>
  <c r="V75" i="1"/>
  <c r="V76" i="1"/>
  <c r="V77" i="1"/>
  <c r="V78" i="1"/>
  <c r="V79" i="1"/>
  <c r="V80" i="1"/>
  <c r="V83" i="1"/>
  <c r="V84" i="1"/>
  <c r="V85" i="1"/>
  <c r="V86" i="1"/>
  <c r="V87" i="1"/>
  <c r="V88" i="1"/>
  <c r="V91" i="1"/>
  <c r="V92" i="1"/>
  <c r="V93" i="1"/>
  <c r="V94" i="1"/>
  <c r="V95" i="1"/>
  <c r="V96" i="1"/>
  <c r="V99" i="1"/>
  <c r="V100" i="1"/>
  <c r="V101" i="1"/>
  <c r="V102" i="1"/>
  <c r="V103" i="1"/>
  <c r="V104" i="1"/>
  <c r="V107" i="1"/>
  <c r="V108" i="1"/>
  <c r="V109" i="1"/>
  <c r="V110" i="1"/>
  <c r="V111" i="1"/>
  <c r="V112" i="1"/>
  <c r="V115" i="1"/>
  <c r="V116" i="1"/>
  <c r="V117" i="1"/>
  <c r="V118" i="1"/>
  <c r="V119" i="1"/>
  <c r="V120" i="1"/>
  <c r="V123" i="1"/>
  <c r="V124" i="1"/>
  <c r="V125" i="1"/>
  <c r="V126" i="1"/>
  <c r="V127" i="1"/>
  <c r="V128" i="1"/>
  <c r="V131" i="1"/>
  <c r="V132" i="1"/>
  <c r="V133" i="1"/>
  <c r="V134" i="1"/>
  <c r="V135" i="1"/>
  <c r="V136" i="1"/>
  <c r="V139" i="1"/>
  <c r="V140" i="1"/>
  <c r="V141" i="1"/>
  <c r="V142" i="1"/>
  <c r="V143" i="1"/>
  <c r="V144" i="1"/>
  <c r="V147" i="1"/>
  <c r="V148" i="1"/>
  <c r="V149" i="1"/>
  <c r="V150" i="1"/>
  <c r="V151" i="1"/>
  <c r="V152" i="1"/>
  <c r="V155" i="1"/>
  <c r="V156" i="1"/>
  <c r="V157" i="1"/>
  <c r="V158" i="1"/>
  <c r="V159" i="1"/>
  <c r="V160" i="1"/>
  <c r="V163" i="1"/>
  <c r="V164" i="1"/>
  <c r="V165" i="1"/>
  <c r="V166" i="1"/>
  <c r="V167" i="1"/>
  <c r="V168" i="1"/>
  <c r="V171" i="1"/>
  <c r="V172" i="1"/>
  <c r="V173" i="1"/>
  <c r="V174" i="1"/>
  <c r="V175" i="1"/>
  <c r="V176" i="1"/>
  <c r="V179" i="1"/>
  <c r="V180" i="1"/>
  <c r="V181" i="1"/>
  <c r="V182" i="1"/>
  <c r="V183" i="1"/>
  <c r="V184" i="1"/>
  <c r="V187" i="1"/>
  <c r="V188" i="1"/>
  <c r="V189" i="1"/>
  <c r="V190" i="1"/>
  <c r="V191" i="1"/>
  <c r="V192" i="1"/>
  <c r="V195" i="1"/>
  <c r="V196" i="1"/>
  <c r="V197" i="1"/>
  <c r="V199" i="1"/>
  <c r="V200" i="1"/>
  <c r="V203" i="1"/>
  <c r="V204" i="1"/>
  <c r="V205" i="1"/>
  <c r="V206" i="1"/>
  <c r="V207" i="1"/>
  <c r="V208" i="1"/>
  <c r="V211" i="1"/>
  <c r="V212" i="1"/>
  <c r="V213" i="1"/>
  <c r="V214" i="1"/>
  <c r="V215" i="1"/>
  <c r="V216" i="1"/>
  <c r="V219" i="1"/>
  <c r="V220" i="1"/>
  <c r="V221" i="1"/>
  <c r="V222" i="1"/>
  <c r="V223" i="1"/>
  <c r="V224" i="1"/>
  <c r="V227" i="1"/>
  <c r="V228" i="1"/>
  <c r="V229" i="1"/>
  <c r="V230" i="1"/>
  <c r="V231" i="1"/>
  <c r="V232" i="1"/>
  <c r="V235" i="1"/>
  <c r="V236" i="1"/>
  <c r="V237" i="1"/>
  <c r="V238" i="1"/>
  <c r="V239" i="1"/>
  <c r="V240" i="1"/>
  <c r="V243" i="1"/>
  <c r="V244" i="1"/>
  <c r="V245" i="1"/>
  <c r="V246" i="1"/>
  <c r="V247" i="1"/>
  <c r="V248" i="1"/>
  <c r="V251" i="1"/>
  <c r="V252" i="1"/>
  <c r="V253" i="1"/>
  <c r="V254" i="1"/>
  <c r="V255" i="1"/>
  <c r="V256" i="1"/>
  <c r="V259" i="1"/>
  <c r="V260" i="1"/>
  <c r="V261" i="1"/>
  <c r="V262" i="1"/>
  <c r="V263" i="1"/>
  <c r="V264" i="1"/>
  <c r="V267" i="1"/>
  <c r="V268" i="1"/>
  <c r="V269" i="1"/>
  <c r="V270" i="1"/>
  <c r="V271" i="1"/>
  <c r="V272" i="1"/>
  <c r="V275" i="1"/>
  <c r="V276" i="1"/>
  <c r="V277" i="1"/>
  <c r="V278" i="1"/>
  <c r="V279" i="1"/>
  <c r="V280" i="1"/>
  <c r="V283" i="1"/>
  <c r="V284" i="1"/>
  <c r="V285" i="1"/>
  <c r="V286" i="1"/>
  <c r="V287" i="1"/>
  <c r="V288" i="1"/>
  <c r="V291" i="1"/>
  <c r="V292" i="1"/>
  <c r="V293" i="1"/>
  <c r="V294" i="1"/>
  <c r="V295" i="1"/>
  <c r="V296" i="1"/>
  <c r="V299" i="1"/>
  <c r="V300" i="1"/>
  <c r="V301" i="1"/>
  <c r="V302" i="1"/>
  <c r="V303" i="1"/>
  <c r="V304" i="1"/>
  <c r="V307" i="1"/>
  <c r="V308" i="1"/>
  <c r="V309" i="1"/>
  <c r="V310" i="1"/>
  <c r="V311" i="1"/>
  <c r="V312" i="1"/>
  <c r="V315" i="1"/>
  <c r="V316" i="1"/>
  <c r="V317" i="1"/>
  <c r="V318" i="1"/>
  <c r="V319" i="1"/>
  <c r="V320" i="1"/>
  <c r="V323" i="1"/>
  <c r="V324" i="1"/>
  <c r="V325" i="1"/>
  <c r="V326" i="1"/>
  <c r="V327" i="1"/>
  <c r="V328" i="1"/>
  <c r="V7" i="1"/>
  <c r="T11" i="1"/>
  <c r="T14" i="1"/>
  <c r="T15" i="1"/>
  <c r="T7" i="1"/>
  <c r="L342" i="2"/>
  <c r="K342" i="2" s="1"/>
  <c r="J342" i="2"/>
  <c r="H342" i="2"/>
  <c r="L341" i="2"/>
  <c r="K341" i="2"/>
  <c r="J341" i="2"/>
  <c r="H341" i="2"/>
  <c r="L340" i="2"/>
  <c r="K340" i="2" s="1"/>
  <c r="J340" i="2"/>
  <c r="H340" i="2"/>
  <c r="L339" i="2"/>
  <c r="K339" i="2"/>
  <c r="J339" i="2"/>
  <c r="H339" i="2"/>
  <c r="L338" i="2"/>
  <c r="K338" i="2" s="1"/>
  <c r="J338" i="2"/>
  <c r="H338" i="2"/>
  <c r="L337" i="2"/>
  <c r="K337" i="2"/>
  <c r="J337" i="2"/>
  <c r="H337" i="2"/>
  <c r="L336" i="2"/>
  <c r="K336" i="2" s="1"/>
  <c r="J336" i="2"/>
  <c r="H336" i="2"/>
  <c r="L335" i="2"/>
  <c r="K335" i="2" s="1"/>
  <c r="J335" i="2"/>
  <c r="H335" i="2"/>
  <c r="L334" i="2"/>
  <c r="K334" i="2" s="1"/>
  <c r="J334" i="2"/>
  <c r="H334" i="2"/>
  <c r="L333" i="2"/>
  <c r="K333" i="2" s="1"/>
  <c r="J333" i="2"/>
  <c r="H333" i="2"/>
  <c r="L332" i="2"/>
  <c r="K332" i="2" s="1"/>
  <c r="J332" i="2"/>
  <c r="H332" i="2"/>
  <c r="L331" i="2"/>
  <c r="K331" i="2"/>
  <c r="J331" i="2"/>
  <c r="H331" i="2"/>
  <c r="L330" i="2"/>
  <c r="K330" i="2" s="1"/>
  <c r="J330" i="2"/>
  <c r="H330" i="2"/>
  <c r="L329" i="2"/>
  <c r="K329" i="2"/>
  <c r="J329" i="2"/>
  <c r="H329" i="2" s="1"/>
  <c r="L328" i="2"/>
  <c r="K328" i="2" s="1"/>
  <c r="J328" i="2"/>
  <c r="H328" i="2"/>
  <c r="L327" i="2"/>
  <c r="K327" i="2"/>
  <c r="J327" i="2"/>
  <c r="H327" i="2"/>
  <c r="L326" i="2"/>
  <c r="K326" i="2" s="1"/>
  <c r="J326" i="2"/>
  <c r="H326" i="2"/>
  <c r="L325" i="2"/>
  <c r="K325" i="2" s="1"/>
  <c r="J325" i="2"/>
  <c r="H325" i="2"/>
  <c r="L324" i="2"/>
  <c r="K324" i="2" s="1"/>
  <c r="J324" i="2"/>
  <c r="H324" i="2"/>
  <c r="L323" i="2"/>
  <c r="K323" i="2" s="1"/>
  <c r="J323" i="2"/>
  <c r="H323" i="2"/>
  <c r="L322" i="2"/>
  <c r="K322" i="2" s="1"/>
  <c r="J322" i="2"/>
  <c r="H322" i="2"/>
  <c r="L321" i="2"/>
  <c r="K321" i="2"/>
  <c r="J321" i="2"/>
  <c r="H321" i="2" s="1"/>
  <c r="L320" i="2"/>
  <c r="K320" i="2" s="1"/>
  <c r="J320" i="2"/>
  <c r="H320" i="2"/>
  <c r="L319" i="2"/>
  <c r="K319" i="2" s="1"/>
  <c r="J319" i="2"/>
  <c r="H319" i="2"/>
  <c r="L318" i="2"/>
  <c r="K318" i="2" s="1"/>
  <c r="J318" i="2"/>
  <c r="H318" i="2"/>
  <c r="L317" i="2"/>
  <c r="K317" i="2" s="1"/>
  <c r="J317" i="2"/>
  <c r="H317" i="2"/>
  <c r="L316" i="2"/>
  <c r="K316" i="2" s="1"/>
  <c r="J316" i="2"/>
  <c r="H316" i="2"/>
  <c r="L315" i="2"/>
  <c r="K315" i="2"/>
  <c r="J315" i="2"/>
  <c r="H315" i="2" s="1"/>
  <c r="L314" i="2"/>
  <c r="K314" i="2" s="1"/>
  <c r="J314" i="2"/>
  <c r="H314" i="2"/>
  <c r="L313" i="2"/>
  <c r="K313" i="2" s="1"/>
  <c r="J313" i="2"/>
  <c r="H313" i="2" s="1"/>
  <c r="L312" i="2"/>
  <c r="K312" i="2" s="1"/>
  <c r="J312" i="2"/>
  <c r="H312" i="2"/>
  <c r="L311" i="2"/>
  <c r="K311" i="2"/>
  <c r="J311" i="2"/>
  <c r="H311" i="2" s="1"/>
  <c r="L310" i="2"/>
  <c r="K310" i="2" s="1"/>
  <c r="J310" i="2"/>
  <c r="H310" i="2"/>
  <c r="L309" i="2"/>
  <c r="K309" i="2"/>
  <c r="J309" i="2"/>
  <c r="H309" i="2"/>
  <c r="L308" i="2"/>
  <c r="K308" i="2" s="1"/>
  <c r="J308" i="2"/>
  <c r="H308" i="2"/>
  <c r="L307" i="2"/>
  <c r="K307" i="2"/>
  <c r="J307" i="2"/>
  <c r="H307" i="2"/>
  <c r="L306" i="2"/>
  <c r="K306" i="2" s="1"/>
  <c r="J306" i="2"/>
  <c r="H306" i="2"/>
  <c r="L305" i="2"/>
  <c r="K305" i="2"/>
  <c r="J305" i="2"/>
  <c r="H305" i="2"/>
  <c r="L304" i="2"/>
  <c r="K304" i="2" s="1"/>
  <c r="J304" i="2"/>
  <c r="H304" i="2"/>
  <c r="L303" i="2"/>
  <c r="K303" i="2" s="1"/>
  <c r="J303" i="2"/>
  <c r="H303" i="2"/>
  <c r="L302" i="2"/>
  <c r="K302" i="2" s="1"/>
  <c r="J302" i="2"/>
  <c r="H302" i="2"/>
  <c r="L301" i="2"/>
  <c r="K301" i="2" s="1"/>
  <c r="J301" i="2"/>
  <c r="H301" i="2"/>
  <c r="L300" i="2"/>
  <c r="K300" i="2" s="1"/>
  <c r="J300" i="2"/>
  <c r="H300" i="2"/>
  <c r="L299" i="2"/>
  <c r="K299" i="2"/>
  <c r="J299" i="2"/>
  <c r="H299" i="2" s="1"/>
  <c r="L298" i="2"/>
  <c r="K298" i="2" s="1"/>
  <c r="J298" i="2"/>
  <c r="H298" i="2"/>
  <c r="L297" i="2"/>
  <c r="K297" i="2"/>
  <c r="J297" i="2"/>
  <c r="H297" i="2" s="1"/>
  <c r="L296" i="2"/>
  <c r="K296" i="2" s="1"/>
  <c r="J296" i="2"/>
  <c r="H296" i="2"/>
  <c r="L295" i="2"/>
  <c r="K295" i="2"/>
  <c r="J295" i="2"/>
  <c r="H295" i="2"/>
  <c r="L294" i="2"/>
  <c r="K294" i="2" s="1"/>
  <c r="J294" i="2"/>
  <c r="H294" i="2"/>
  <c r="L293" i="2"/>
  <c r="K293" i="2" s="1"/>
  <c r="J293" i="2"/>
  <c r="H293" i="2"/>
  <c r="L292" i="2"/>
  <c r="K292" i="2" s="1"/>
  <c r="J292" i="2"/>
  <c r="H292" i="2"/>
  <c r="L291" i="2"/>
  <c r="K291" i="2" s="1"/>
  <c r="J291" i="2"/>
  <c r="H291" i="2"/>
  <c r="L290" i="2"/>
  <c r="K290" i="2" s="1"/>
  <c r="J290" i="2"/>
  <c r="H290" i="2"/>
  <c r="L289" i="2"/>
  <c r="K289" i="2"/>
  <c r="J289" i="2"/>
  <c r="H289" i="2" s="1"/>
  <c r="L288" i="2"/>
  <c r="K288" i="2" s="1"/>
  <c r="J288" i="2"/>
  <c r="H288" i="2"/>
  <c r="L287" i="2"/>
  <c r="K287" i="2"/>
  <c r="J287" i="2"/>
  <c r="H287" i="2" s="1"/>
  <c r="L286" i="2"/>
  <c r="K286" i="2" s="1"/>
  <c r="J286" i="2"/>
  <c r="H286" i="2"/>
  <c r="L285" i="2"/>
  <c r="K285" i="2" s="1"/>
  <c r="J285" i="2"/>
  <c r="H285" i="2"/>
  <c r="L284" i="2"/>
  <c r="K284" i="2" s="1"/>
  <c r="J284" i="2"/>
  <c r="H284" i="2"/>
  <c r="L283" i="2"/>
  <c r="K283" i="2"/>
  <c r="J283" i="2"/>
  <c r="H283" i="2"/>
  <c r="L282" i="2"/>
  <c r="K282" i="2" s="1"/>
  <c r="J282" i="2"/>
  <c r="H282" i="2"/>
  <c r="L281" i="2"/>
  <c r="K281" i="2"/>
  <c r="J281" i="2"/>
  <c r="H281" i="2" s="1"/>
  <c r="L280" i="2"/>
  <c r="K280" i="2" s="1"/>
  <c r="J280" i="2"/>
  <c r="H280" i="2"/>
  <c r="L279" i="2"/>
  <c r="K279" i="2" s="1"/>
  <c r="J279" i="2"/>
  <c r="H279" i="2"/>
  <c r="L278" i="2"/>
  <c r="K278" i="2" s="1"/>
  <c r="J278" i="2"/>
  <c r="H278" i="2"/>
  <c r="L277" i="2"/>
  <c r="K277" i="2"/>
  <c r="J277" i="2"/>
  <c r="H277" i="2" s="1"/>
  <c r="L276" i="2"/>
  <c r="K276" i="2" s="1"/>
  <c r="J276" i="2"/>
  <c r="H276" i="2"/>
  <c r="L275" i="2"/>
  <c r="K275" i="2"/>
  <c r="J275" i="2"/>
  <c r="H275" i="2" s="1"/>
  <c r="L274" i="2"/>
  <c r="K274" i="2" s="1"/>
  <c r="J274" i="2"/>
  <c r="H274" i="2"/>
  <c r="L273" i="2"/>
  <c r="K273" i="2"/>
  <c r="J273" i="2"/>
  <c r="H273" i="2"/>
  <c r="L272" i="2"/>
  <c r="K272" i="2" s="1"/>
  <c r="J272" i="2"/>
  <c r="H272" i="2"/>
  <c r="L271" i="2"/>
  <c r="K271" i="2"/>
  <c r="J271" i="2"/>
  <c r="H271" i="2"/>
  <c r="L270" i="2"/>
  <c r="K270" i="2" s="1"/>
  <c r="J270" i="2"/>
  <c r="H270" i="2"/>
  <c r="L269" i="2"/>
  <c r="K269" i="2" s="1"/>
  <c r="J269" i="2"/>
  <c r="H269" i="2"/>
  <c r="L268" i="2"/>
  <c r="K268" i="2" s="1"/>
  <c r="J268" i="2"/>
  <c r="H268" i="2"/>
  <c r="L267" i="2"/>
  <c r="K267" i="2" s="1"/>
  <c r="J267" i="2"/>
  <c r="H267" i="2"/>
  <c r="L266" i="2"/>
  <c r="K266" i="2" s="1"/>
  <c r="J266" i="2"/>
  <c r="H266" i="2"/>
  <c r="L265" i="2"/>
  <c r="K265" i="2" s="1"/>
  <c r="J265" i="2"/>
  <c r="H265" i="2" s="1"/>
  <c r="L264" i="2"/>
  <c r="K264" i="2" s="1"/>
  <c r="J264" i="2"/>
  <c r="H264" i="2"/>
  <c r="L263" i="2"/>
  <c r="K263" i="2"/>
  <c r="J263" i="2"/>
  <c r="H263" i="2" s="1"/>
  <c r="L262" i="2"/>
  <c r="K262" i="2" s="1"/>
  <c r="J262" i="2"/>
  <c r="H262" i="2"/>
  <c r="L261" i="2"/>
  <c r="K261" i="2"/>
  <c r="J261" i="2"/>
  <c r="H261" i="2"/>
  <c r="L260" i="2"/>
  <c r="K260" i="2" s="1"/>
  <c r="J260" i="2"/>
  <c r="H260" i="2"/>
  <c r="L259" i="2"/>
  <c r="K259" i="2"/>
  <c r="J259" i="2"/>
  <c r="H259" i="2"/>
  <c r="L258" i="2"/>
  <c r="K258" i="2" s="1"/>
  <c r="J258" i="2"/>
  <c r="H258" i="2"/>
  <c r="L257" i="2"/>
  <c r="K257" i="2"/>
  <c r="J257" i="2"/>
  <c r="H257" i="2"/>
  <c r="L256" i="2"/>
  <c r="K256" i="2" s="1"/>
  <c r="J256" i="2"/>
  <c r="H256" i="2"/>
  <c r="L255" i="2"/>
  <c r="K255" i="2"/>
  <c r="J255" i="2"/>
  <c r="H255" i="2"/>
  <c r="L254" i="2"/>
  <c r="K254" i="2" s="1"/>
  <c r="J254" i="2"/>
  <c r="H254" i="2"/>
  <c r="L253" i="2"/>
  <c r="K253" i="2" s="1"/>
  <c r="J253" i="2"/>
  <c r="H253" i="2"/>
  <c r="L252" i="2"/>
  <c r="K252" i="2" s="1"/>
  <c r="J252" i="2"/>
  <c r="H252" i="2"/>
  <c r="L251" i="2"/>
  <c r="K251" i="2"/>
  <c r="J251" i="2"/>
  <c r="H251" i="2"/>
  <c r="L250" i="2"/>
  <c r="K250" i="2" s="1"/>
  <c r="J250" i="2"/>
  <c r="H250" i="2"/>
  <c r="L249" i="2"/>
  <c r="K249" i="2"/>
  <c r="J249" i="2"/>
  <c r="H249" i="2" s="1"/>
  <c r="L248" i="2"/>
  <c r="K248" i="2" s="1"/>
  <c r="J248" i="2"/>
  <c r="H248" i="2"/>
  <c r="L247" i="2"/>
  <c r="K247" i="2"/>
  <c r="J247" i="2"/>
  <c r="H247" i="2"/>
  <c r="L246" i="2"/>
  <c r="K246" i="2" s="1"/>
  <c r="J246" i="2"/>
  <c r="H246" i="2"/>
  <c r="L245" i="2"/>
  <c r="K245" i="2"/>
  <c r="J245" i="2"/>
  <c r="H245" i="2"/>
  <c r="L244" i="2"/>
  <c r="K244" i="2" s="1"/>
  <c r="J244" i="2"/>
  <c r="H244" i="2"/>
  <c r="L243" i="2"/>
  <c r="K243" i="2"/>
  <c r="J243" i="2"/>
  <c r="H243" i="2"/>
  <c r="L242" i="2"/>
  <c r="K242" i="2" s="1"/>
  <c r="J242" i="2"/>
  <c r="H242" i="2"/>
  <c r="L241" i="2"/>
  <c r="K241" i="2"/>
  <c r="J241" i="2"/>
  <c r="H241" i="2"/>
  <c r="L240" i="2"/>
  <c r="K240" i="2" s="1"/>
  <c r="J240" i="2"/>
  <c r="H240" i="2"/>
  <c r="L239" i="2"/>
  <c r="K239" i="2"/>
  <c r="J239" i="2"/>
  <c r="H239" i="2"/>
  <c r="L238" i="2"/>
  <c r="K238" i="2" s="1"/>
  <c r="J238" i="2"/>
  <c r="H238" i="2"/>
  <c r="L237" i="2"/>
  <c r="K237" i="2" s="1"/>
  <c r="J237" i="2"/>
  <c r="H237" i="2"/>
  <c r="L236" i="2"/>
  <c r="K236" i="2" s="1"/>
  <c r="J236" i="2"/>
  <c r="H236" i="2"/>
  <c r="L235" i="2"/>
  <c r="K235" i="2"/>
  <c r="J235" i="2"/>
  <c r="H235" i="2"/>
  <c r="L234" i="2"/>
  <c r="K234" i="2" s="1"/>
  <c r="J234" i="2"/>
  <c r="H234" i="2"/>
  <c r="L233" i="2"/>
  <c r="K233" i="2"/>
  <c r="J233" i="2"/>
  <c r="H233" i="2" s="1"/>
  <c r="L232" i="2"/>
  <c r="K232" i="2" s="1"/>
  <c r="J232" i="2"/>
  <c r="H232" i="2"/>
  <c r="L231" i="2"/>
  <c r="K231" i="2"/>
  <c r="J231" i="2"/>
  <c r="H231" i="2"/>
  <c r="L230" i="2"/>
  <c r="K230" i="2" s="1"/>
  <c r="J230" i="2"/>
  <c r="H230" i="2"/>
  <c r="L229" i="2"/>
  <c r="K229" i="2" s="1"/>
  <c r="J229" i="2"/>
  <c r="H229" i="2"/>
  <c r="L228" i="2"/>
  <c r="K228" i="2" s="1"/>
  <c r="J228" i="2"/>
  <c r="H228" i="2"/>
  <c r="L227" i="2"/>
  <c r="K227" i="2" s="1"/>
  <c r="J227" i="2"/>
  <c r="H227" i="2"/>
  <c r="L226" i="2"/>
  <c r="K226" i="2" s="1"/>
  <c r="J226" i="2"/>
  <c r="H226" i="2"/>
  <c r="L225" i="2"/>
  <c r="K225" i="2"/>
  <c r="J225" i="2"/>
  <c r="H225" i="2" s="1"/>
  <c r="L224" i="2"/>
  <c r="K224" i="2" s="1"/>
  <c r="J224" i="2"/>
  <c r="H224" i="2"/>
  <c r="L223" i="2"/>
  <c r="K223" i="2"/>
  <c r="J223" i="2"/>
  <c r="H223" i="2" s="1"/>
  <c r="L222" i="2"/>
  <c r="K222" i="2" s="1"/>
  <c r="J222" i="2"/>
  <c r="H222" i="2"/>
  <c r="L221" i="2"/>
  <c r="K221" i="2" s="1"/>
  <c r="J221" i="2"/>
  <c r="H221" i="2"/>
  <c r="L220" i="2"/>
  <c r="K220" i="2" s="1"/>
  <c r="J220" i="2"/>
  <c r="H220" i="2"/>
  <c r="L219" i="2"/>
  <c r="K219" i="2"/>
  <c r="J219" i="2"/>
  <c r="H219" i="2"/>
  <c r="L218" i="2"/>
  <c r="K218" i="2" s="1"/>
  <c r="J218" i="2"/>
  <c r="H218" i="2"/>
  <c r="L217" i="2"/>
  <c r="K217" i="2"/>
  <c r="J217" i="2"/>
  <c r="H217" i="2" s="1"/>
  <c r="L216" i="2"/>
  <c r="K216" i="2" s="1"/>
  <c r="J216" i="2"/>
  <c r="H216" i="2"/>
  <c r="L215" i="2"/>
  <c r="K215" i="2" s="1"/>
  <c r="J215" i="2"/>
  <c r="H215" i="2"/>
  <c r="L214" i="2"/>
  <c r="K214" i="2" s="1"/>
  <c r="J214" i="2"/>
  <c r="H214" i="2"/>
  <c r="L213" i="2"/>
  <c r="K213" i="2"/>
  <c r="J213" i="2"/>
  <c r="H213" i="2"/>
  <c r="L212" i="2"/>
  <c r="K212" i="2" s="1"/>
  <c r="J212" i="2"/>
  <c r="H212" i="2"/>
  <c r="L211" i="2"/>
  <c r="K211" i="2"/>
  <c r="J211" i="2"/>
  <c r="H211" i="2" s="1"/>
  <c r="L210" i="2"/>
  <c r="K210" i="2" s="1"/>
  <c r="J210" i="2"/>
  <c r="H210" i="2"/>
  <c r="L209" i="2"/>
  <c r="K209" i="2"/>
  <c r="J209" i="2"/>
  <c r="H209" i="2"/>
  <c r="L208" i="2"/>
  <c r="K208" i="2" s="1"/>
  <c r="J208" i="2"/>
  <c r="H208" i="2"/>
  <c r="L207" i="2"/>
  <c r="K207" i="2"/>
  <c r="J207" i="2"/>
  <c r="H207" i="2"/>
  <c r="L206" i="2"/>
  <c r="K206" i="2" s="1"/>
  <c r="J206" i="2"/>
  <c r="H206" i="2"/>
  <c r="L205" i="2"/>
  <c r="K205" i="2" s="1"/>
  <c r="J205" i="2"/>
  <c r="H205" i="2"/>
  <c r="L204" i="2"/>
  <c r="K204" i="2" s="1"/>
  <c r="J204" i="2"/>
  <c r="H204" i="2"/>
  <c r="L203" i="2"/>
  <c r="K203" i="2" s="1"/>
  <c r="J203" i="2"/>
  <c r="H203" i="2"/>
  <c r="L202" i="2"/>
  <c r="K202" i="2" s="1"/>
  <c r="J202" i="2"/>
  <c r="H202" i="2"/>
  <c r="L201" i="2"/>
  <c r="K201" i="2" s="1"/>
  <c r="J201" i="2"/>
  <c r="H201" i="2" s="1"/>
  <c r="L200" i="2"/>
  <c r="K200" i="2" s="1"/>
  <c r="J200" i="2"/>
  <c r="H200" i="2"/>
  <c r="L199" i="2"/>
  <c r="K199" i="2"/>
  <c r="J199" i="2"/>
  <c r="H199" i="2" s="1"/>
  <c r="L198" i="2"/>
  <c r="K198" i="2" s="1"/>
  <c r="J198" i="2"/>
  <c r="H198" i="2"/>
  <c r="L197" i="2"/>
  <c r="K197" i="2"/>
  <c r="J197" i="2"/>
  <c r="H197" i="2"/>
  <c r="L196" i="2"/>
  <c r="K196" i="2" s="1"/>
  <c r="J196" i="2"/>
  <c r="H196" i="2"/>
  <c r="L195" i="2"/>
  <c r="K195" i="2"/>
  <c r="J195" i="2"/>
  <c r="H195" i="2"/>
  <c r="L194" i="2"/>
  <c r="K194" i="2" s="1"/>
  <c r="J194" i="2"/>
  <c r="H194" i="2"/>
  <c r="L193" i="2"/>
  <c r="K193" i="2"/>
  <c r="J193" i="2"/>
  <c r="H193" i="2"/>
  <c r="L192" i="2"/>
  <c r="K192" i="2" s="1"/>
  <c r="J192" i="2"/>
  <c r="H192" i="2"/>
  <c r="L191" i="2"/>
  <c r="K191" i="2"/>
  <c r="J191" i="2"/>
  <c r="H191" i="2"/>
  <c r="L190" i="2"/>
  <c r="K190" i="2" s="1"/>
  <c r="J190" i="2"/>
  <c r="H190" i="2"/>
  <c r="L189" i="2"/>
  <c r="K189" i="2" s="1"/>
  <c r="J189" i="2"/>
  <c r="H189" i="2"/>
  <c r="L188" i="2"/>
  <c r="K188" i="2" s="1"/>
  <c r="J188" i="2"/>
  <c r="H188" i="2"/>
  <c r="L187" i="2"/>
  <c r="K187" i="2"/>
  <c r="J187" i="2"/>
  <c r="H187" i="2"/>
  <c r="L186" i="2"/>
  <c r="K186" i="2" s="1"/>
  <c r="J186" i="2"/>
  <c r="H186" i="2"/>
  <c r="L185" i="2"/>
  <c r="K185" i="2"/>
  <c r="J185" i="2"/>
  <c r="H185" i="2" s="1"/>
  <c r="L184" i="2"/>
  <c r="K184" i="2" s="1"/>
  <c r="J184" i="2"/>
  <c r="H184" i="2"/>
  <c r="L183" i="2"/>
  <c r="K183" i="2"/>
  <c r="J183" i="2"/>
  <c r="H183" i="2"/>
  <c r="L182" i="2"/>
  <c r="K182" i="2" s="1"/>
  <c r="J182" i="2"/>
  <c r="H182" i="2"/>
  <c r="L181" i="2"/>
  <c r="K181" i="2"/>
  <c r="J181" i="2"/>
  <c r="H181" i="2"/>
  <c r="L180" i="2"/>
  <c r="K180" i="2" s="1"/>
  <c r="J180" i="2"/>
  <c r="H180" i="2"/>
  <c r="L179" i="2"/>
  <c r="K179" i="2"/>
  <c r="J179" i="2"/>
  <c r="H179" i="2"/>
  <c r="L178" i="2"/>
  <c r="K178" i="2" s="1"/>
  <c r="J178" i="2"/>
  <c r="H178" i="2"/>
  <c r="L177" i="2"/>
  <c r="K177" i="2"/>
  <c r="J177" i="2"/>
  <c r="H177" i="2"/>
  <c r="L176" i="2"/>
  <c r="K176" i="2" s="1"/>
  <c r="J176" i="2"/>
  <c r="H176" i="2"/>
  <c r="L175" i="2"/>
  <c r="K175" i="2" s="1"/>
  <c r="J175" i="2"/>
  <c r="H175" i="2" s="1"/>
  <c r="L174" i="2"/>
  <c r="K174" i="2" s="1"/>
  <c r="J174" i="2"/>
  <c r="H174" i="2"/>
  <c r="L173" i="2"/>
  <c r="K173" i="2" s="1"/>
  <c r="J173" i="2"/>
  <c r="H173" i="2"/>
  <c r="L172" i="2"/>
  <c r="K172" i="2" s="1"/>
  <c r="J172" i="2"/>
  <c r="H172" i="2"/>
  <c r="L171" i="2"/>
  <c r="K171" i="2" s="1"/>
  <c r="J171" i="2"/>
  <c r="H171" i="2"/>
  <c r="L170" i="2"/>
  <c r="K170" i="2" s="1"/>
  <c r="J170" i="2"/>
  <c r="H170" i="2"/>
  <c r="L169" i="2"/>
  <c r="K169" i="2" s="1"/>
  <c r="J169" i="2"/>
  <c r="H169" i="2"/>
  <c r="L168" i="2"/>
  <c r="K168" i="2"/>
  <c r="J168" i="2"/>
  <c r="H168" i="2" s="1"/>
  <c r="L167" i="2"/>
  <c r="K167" i="2" s="1"/>
  <c r="J167" i="2"/>
  <c r="H167" i="2"/>
  <c r="L166" i="2"/>
  <c r="K166" i="2"/>
  <c r="J166" i="2"/>
  <c r="H166" i="2" s="1"/>
  <c r="L165" i="2"/>
  <c r="K165" i="2" s="1"/>
  <c r="J165" i="2"/>
  <c r="H165" i="2"/>
  <c r="L164" i="2"/>
  <c r="K164" i="2"/>
  <c r="J164" i="2"/>
  <c r="H164" i="2"/>
  <c r="L163" i="2"/>
  <c r="K163" i="2" s="1"/>
  <c r="J163" i="2"/>
  <c r="H163" i="2"/>
  <c r="L162" i="2"/>
  <c r="K162" i="2"/>
  <c r="J162" i="2"/>
  <c r="H162" i="2"/>
  <c r="L161" i="2"/>
  <c r="K161" i="2" s="1"/>
  <c r="J161" i="2"/>
  <c r="H161" i="2"/>
  <c r="L160" i="2"/>
  <c r="K160" i="2"/>
  <c r="J160" i="2"/>
  <c r="H160" i="2"/>
  <c r="L159" i="2"/>
  <c r="K159" i="2" s="1"/>
  <c r="J159" i="2"/>
  <c r="H159" i="2"/>
  <c r="L158" i="2"/>
  <c r="K158" i="2"/>
  <c r="J158" i="2"/>
  <c r="H158" i="2"/>
  <c r="L157" i="2"/>
  <c r="K157" i="2" s="1"/>
  <c r="J157" i="2"/>
  <c r="H157" i="2"/>
  <c r="L156" i="2"/>
  <c r="K156" i="2" s="1"/>
  <c r="J156" i="2"/>
  <c r="H156" i="2"/>
  <c r="L155" i="2"/>
  <c r="K155" i="2" s="1"/>
  <c r="J155" i="2"/>
  <c r="H155" i="2"/>
  <c r="L154" i="2"/>
  <c r="K154" i="2" s="1"/>
  <c r="J154" i="2"/>
  <c r="H154" i="2"/>
  <c r="L153" i="2"/>
  <c r="K153" i="2" s="1"/>
  <c r="J153" i="2"/>
  <c r="H153" i="2"/>
  <c r="L152" i="2"/>
  <c r="K152" i="2"/>
  <c r="J152" i="2"/>
  <c r="H152" i="2" s="1"/>
  <c r="L151" i="2"/>
  <c r="K151" i="2" s="1"/>
  <c r="J151" i="2"/>
  <c r="H151" i="2"/>
  <c r="L150" i="2"/>
  <c r="K150" i="2"/>
  <c r="J150" i="2"/>
  <c r="H150" i="2" s="1"/>
  <c r="L149" i="2"/>
  <c r="K149" i="2" s="1"/>
  <c r="J149" i="2"/>
  <c r="H149" i="2"/>
  <c r="L148" i="2"/>
  <c r="K148" i="2"/>
  <c r="J148" i="2"/>
  <c r="H148" i="2"/>
  <c r="L147" i="2"/>
  <c r="K147" i="2" s="1"/>
  <c r="J147" i="2"/>
  <c r="H147" i="2"/>
  <c r="L146" i="2"/>
  <c r="K146" i="2"/>
  <c r="J146" i="2"/>
  <c r="H146" i="2"/>
  <c r="L145" i="2"/>
  <c r="K145" i="2" s="1"/>
  <c r="J145" i="2"/>
  <c r="H145" i="2"/>
  <c r="L144" i="2"/>
  <c r="K144" i="2"/>
  <c r="J144" i="2"/>
  <c r="H144" i="2"/>
  <c r="L143" i="2"/>
  <c r="K143" i="2" s="1"/>
  <c r="J143" i="2"/>
  <c r="H143" i="2"/>
  <c r="L142" i="2"/>
  <c r="K142" i="2"/>
  <c r="J142" i="2"/>
  <c r="H142" i="2"/>
  <c r="L141" i="2"/>
  <c r="K141" i="2" s="1"/>
  <c r="J141" i="2"/>
  <c r="H141" i="2"/>
  <c r="L140" i="2"/>
  <c r="K140" i="2" s="1"/>
  <c r="J140" i="2"/>
  <c r="H140" i="2"/>
  <c r="L139" i="2"/>
  <c r="K139" i="2" s="1"/>
  <c r="J139" i="2"/>
  <c r="H139" i="2"/>
  <c r="L138" i="2"/>
  <c r="K138" i="2" s="1"/>
  <c r="J138" i="2"/>
  <c r="H138" i="2"/>
  <c r="L137" i="2"/>
  <c r="K137" i="2" s="1"/>
  <c r="J137" i="2"/>
  <c r="H137" i="2"/>
  <c r="L136" i="2"/>
  <c r="K136" i="2"/>
  <c r="J136" i="2"/>
  <c r="H136" i="2" s="1"/>
  <c r="L135" i="2"/>
  <c r="K135" i="2" s="1"/>
  <c r="J135" i="2"/>
  <c r="H135" i="2"/>
  <c r="L134" i="2"/>
  <c r="K134" i="2"/>
  <c r="J134" i="2"/>
  <c r="H134" i="2" s="1"/>
  <c r="L133" i="2"/>
  <c r="K133" i="2" s="1"/>
  <c r="J133" i="2"/>
  <c r="H133" i="2"/>
  <c r="L132" i="2"/>
  <c r="K132" i="2"/>
  <c r="J132" i="2"/>
  <c r="H132" i="2"/>
  <c r="L131" i="2"/>
  <c r="K131" i="2" s="1"/>
  <c r="J131" i="2"/>
  <c r="H131" i="2"/>
  <c r="L130" i="2"/>
  <c r="K130" i="2"/>
  <c r="J130" i="2"/>
  <c r="H130" i="2"/>
  <c r="L129" i="2"/>
  <c r="K129" i="2" s="1"/>
  <c r="J129" i="2"/>
  <c r="H129" i="2"/>
  <c r="L128" i="2"/>
  <c r="K128" i="2"/>
  <c r="J128" i="2"/>
  <c r="H128" i="2"/>
  <c r="L127" i="2"/>
  <c r="K127" i="2" s="1"/>
  <c r="J127" i="2"/>
  <c r="H127" i="2"/>
  <c r="L126" i="2"/>
  <c r="K126" i="2"/>
  <c r="J126" i="2"/>
  <c r="H126" i="2"/>
  <c r="L125" i="2"/>
  <c r="K125" i="2" s="1"/>
  <c r="J125" i="2"/>
  <c r="H125" i="2"/>
  <c r="L124" i="2"/>
  <c r="K124" i="2" s="1"/>
  <c r="J124" i="2"/>
  <c r="H124" i="2"/>
  <c r="L123" i="2"/>
  <c r="K123" i="2" s="1"/>
  <c r="J123" i="2"/>
  <c r="H123" i="2"/>
  <c r="L122" i="2"/>
  <c r="K122" i="2" s="1"/>
  <c r="J122" i="2"/>
  <c r="H122" i="2"/>
  <c r="L121" i="2"/>
  <c r="K121" i="2" s="1"/>
  <c r="J121" i="2"/>
  <c r="H121" i="2"/>
  <c r="L120" i="2"/>
  <c r="K120" i="2"/>
  <c r="J120" i="2"/>
  <c r="H120" i="2" s="1"/>
  <c r="L119" i="2"/>
  <c r="K119" i="2" s="1"/>
  <c r="J119" i="2"/>
  <c r="H119" i="2"/>
  <c r="L118" i="2"/>
  <c r="K118" i="2"/>
  <c r="J118" i="2"/>
  <c r="H118" i="2" s="1"/>
  <c r="L117" i="2"/>
  <c r="K117" i="2" s="1"/>
  <c r="J117" i="2"/>
  <c r="H117" i="2"/>
  <c r="L116" i="2"/>
  <c r="K116" i="2"/>
  <c r="J116" i="2"/>
  <c r="H116" i="2"/>
  <c r="L115" i="2"/>
  <c r="K115" i="2" s="1"/>
  <c r="J115" i="2"/>
  <c r="H115" i="2"/>
  <c r="L114" i="2"/>
  <c r="K114" i="2"/>
  <c r="J114" i="2"/>
  <c r="H114" i="2"/>
  <c r="L113" i="2"/>
  <c r="K113" i="2" s="1"/>
  <c r="J113" i="2"/>
  <c r="H113" i="2"/>
  <c r="L112" i="2"/>
  <c r="K112" i="2"/>
  <c r="J112" i="2"/>
  <c r="H112" i="2"/>
  <c r="L111" i="2"/>
  <c r="K111" i="2" s="1"/>
  <c r="J111" i="2"/>
  <c r="H111" i="2"/>
  <c r="L110" i="2"/>
  <c r="K110" i="2"/>
  <c r="J110" i="2"/>
  <c r="H110" i="2"/>
  <c r="L109" i="2"/>
  <c r="K109" i="2" s="1"/>
  <c r="J109" i="2"/>
  <c r="H109" i="2"/>
  <c r="L108" i="2"/>
  <c r="K108" i="2"/>
  <c r="J108" i="2"/>
  <c r="H108" i="2"/>
  <c r="L107" i="2"/>
  <c r="K107" i="2" s="1"/>
  <c r="J107" i="2"/>
  <c r="H107" i="2"/>
  <c r="L106" i="2"/>
  <c r="K106" i="2" s="1"/>
  <c r="J106" i="2"/>
  <c r="H106" i="2"/>
  <c r="L105" i="2"/>
  <c r="K105" i="2" s="1"/>
  <c r="J105" i="2"/>
  <c r="H105" i="2"/>
  <c r="L104" i="2"/>
  <c r="K104" i="2"/>
  <c r="J104" i="2"/>
  <c r="H104" i="2"/>
  <c r="L103" i="2"/>
  <c r="K103" i="2" s="1"/>
  <c r="J103" i="2"/>
  <c r="H103" i="2"/>
  <c r="L102" i="2"/>
  <c r="K102" i="2"/>
  <c r="J102" i="2"/>
  <c r="H102" i="2" s="1"/>
  <c r="L101" i="2"/>
  <c r="K101" i="2" s="1"/>
  <c r="J101" i="2"/>
  <c r="H101" i="2"/>
  <c r="L100" i="2"/>
  <c r="K100" i="2"/>
  <c r="J100" i="2"/>
  <c r="H100" i="2"/>
  <c r="L99" i="2"/>
  <c r="K99" i="2" s="1"/>
  <c r="J99" i="2"/>
  <c r="H99" i="2"/>
  <c r="L98" i="2"/>
  <c r="K98" i="2"/>
  <c r="J98" i="2"/>
  <c r="H98" i="2"/>
  <c r="L97" i="2"/>
  <c r="K97" i="2" s="1"/>
  <c r="J97" i="2"/>
  <c r="H97" i="2"/>
  <c r="L96" i="2"/>
  <c r="K96" i="2"/>
  <c r="J96" i="2"/>
  <c r="H96" i="2"/>
  <c r="L95" i="2"/>
  <c r="K95" i="2" s="1"/>
  <c r="J95" i="2"/>
  <c r="H95" i="2"/>
  <c r="L94" i="2"/>
  <c r="K94" i="2"/>
  <c r="J94" i="2"/>
  <c r="H94" i="2"/>
  <c r="L93" i="2"/>
  <c r="K93" i="2" s="1"/>
  <c r="J93" i="2"/>
  <c r="H93" i="2"/>
  <c r="L92" i="2"/>
  <c r="K92" i="2"/>
  <c r="J92" i="2"/>
  <c r="H92" i="2"/>
  <c r="L91" i="2"/>
  <c r="K91" i="2" s="1"/>
  <c r="J91" i="2"/>
  <c r="H91" i="2"/>
  <c r="L90" i="2"/>
  <c r="K90" i="2" s="1"/>
  <c r="J90" i="2"/>
  <c r="H90" i="2"/>
  <c r="L89" i="2"/>
  <c r="K89" i="2" s="1"/>
  <c r="J89" i="2"/>
  <c r="H89" i="2"/>
  <c r="L88" i="2"/>
  <c r="K88" i="2"/>
  <c r="J88" i="2"/>
  <c r="H88" i="2"/>
  <c r="L87" i="2"/>
  <c r="K87" i="2" s="1"/>
  <c r="J87" i="2"/>
  <c r="H87" i="2"/>
  <c r="L86" i="2"/>
  <c r="K86" i="2"/>
  <c r="J86" i="2"/>
  <c r="H86" i="2" s="1"/>
  <c r="L85" i="2"/>
  <c r="K85" i="2" s="1"/>
  <c r="J85" i="2"/>
  <c r="H85" i="2"/>
  <c r="L84" i="2"/>
  <c r="K84" i="2"/>
  <c r="J84" i="2"/>
  <c r="H84" i="2"/>
  <c r="L83" i="2"/>
  <c r="K83" i="2" s="1"/>
  <c r="J83" i="2"/>
  <c r="H83" i="2"/>
  <c r="L82" i="2"/>
  <c r="K82" i="2"/>
  <c r="J82" i="2"/>
  <c r="H82" i="2"/>
  <c r="L81" i="2"/>
  <c r="K81" i="2" s="1"/>
  <c r="J81" i="2"/>
  <c r="H81" i="2"/>
  <c r="L80" i="2"/>
  <c r="K80" i="2"/>
  <c r="J80" i="2"/>
  <c r="H80" i="2"/>
  <c r="L79" i="2"/>
  <c r="K79" i="2" s="1"/>
  <c r="J79" i="2"/>
  <c r="H79" i="2"/>
  <c r="L78" i="2"/>
  <c r="K78" i="2"/>
  <c r="J78" i="2"/>
  <c r="H78" i="2"/>
  <c r="L77" i="2"/>
  <c r="K77" i="2" s="1"/>
  <c r="J77" i="2"/>
  <c r="H77" i="2"/>
  <c r="L76" i="2"/>
  <c r="K76" i="2" s="1"/>
  <c r="J76" i="2"/>
  <c r="H76" i="2"/>
  <c r="L75" i="2"/>
  <c r="K75" i="2" s="1"/>
  <c r="J75" i="2"/>
  <c r="H75" i="2"/>
  <c r="L74" i="2"/>
  <c r="K74" i="2" s="1"/>
  <c r="J74" i="2"/>
  <c r="H74" i="2"/>
  <c r="L73" i="2"/>
  <c r="K73" i="2" s="1"/>
  <c r="J73" i="2"/>
  <c r="H73" i="2"/>
  <c r="L72" i="2"/>
  <c r="K72" i="2"/>
  <c r="J72" i="2"/>
  <c r="H72" i="2" s="1"/>
  <c r="L71" i="2"/>
  <c r="K71" i="2" s="1"/>
  <c r="J71" i="2"/>
  <c r="H71" i="2"/>
  <c r="L70" i="2"/>
  <c r="K70" i="2"/>
  <c r="J70" i="2"/>
  <c r="H70" i="2" s="1"/>
  <c r="L69" i="2"/>
  <c r="K69" i="2" s="1"/>
  <c r="J69" i="2"/>
  <c r="H69" i="2"/>
  <c r="L68" i="2"/>
  <c r="K68" i="2"/>
  <c r="J68" i="2"/>
  <c r="H68" i="2"/>
  <c r="L67" i="2"/>
  <c r="K67" i="2" s="1"/>
  <c r="J67" i="2"/>
  <c r="H67" i="2"/>
  <c r="L66" i="2"/>
  <c r="K66" i="2"/>
  <c r="J66" i="2"/>
  <c r="H66" i="2"/>
  <c r="L65" i="2"/>
  <c r="K65" i="2" s="1"/>
  <c r="J65" i="2"/>
  <c r="H65" i="2"/>
  <c r="L64" i="2"/>
  <c r="K64" i="2"/>
  <c r="J64" i="2"/>
  <c r="H64" i="2"/>
  <c r="L63" i="2"/>
  <c r="K63" i="2" s="1"/>
  <c r="J63" i="2"/>
  <c r="H63" i="2"/>
  <c r="L62" i="2"/>
  <c r="K62" i="2"/>
  <c r="J62" i="2"/>
  <c r="H62" i="2"/>
  <c r="L61" i="2"/>
  <c r="K61" i="2" s="1"/>
  <c r="J61" i="2"/>
  <c r="H61" i="2"/>
  <c r="L60" i="2"/>
  <c r="K60" i="2" s="1"/>
  <c r="J60" i="2"/>
  <c r="H60" i="2"/>
  <c r="L59" i="2"/>
  <c r="K59" i="2" s="1"/>
  <c r="J59" i="2"/>
  <c r="H59" i="2"/>
  <c r="L58" i="2"/>
  <c r="K58" i="2" s="1"/>
  <c r="J58" i="2"/>
  <c r="H58" i="2"/>
  <c r="L57" i="2"/>
  <c r="K57" i="2" s="1"/>
  <c r="J57" i="2"/>
  <c r="H57" i="2"/>
  <c r="L56" i="2"/>
  <c r="K56" i="2"/>
  <c r="J56" i="2"/>
  <c r="H56" i="2" s="1"/>
  <c r="L55" i="2"/>
  <c r="K55" i="2" s="1"/>
  <c r="J55" i="2"/>
  <c r="H55" i="2"/>
  <c r="L54" i="2"/>
  <c r="K54" i="2"/>
  <c r="J54" i="2"/>
  <c r="H54" i="2" s="1"/>
  <c r="L53" i="2"/>
  <c r="K53" i="2" s="1"/>
  <c r="J53" i="2"/>
  <c r="H53" i="2"/>
  <c r="L52" i="2"/>
  <c r="K52" i="2"/>
  <c r="J52" i="2"/>
  <c r="H52" i="2"/>
  <c r="L51" i="2"/>
  <c r="K51" i="2" s="1"/>
  <c r="J51" i="2"/>
  <c r="H51" i="2"/>
  <c r="L50" i="2"/>
  <c r="K50" i="2"/>
  <c r="J50" i="2"/>
  <c r="H50" i="2"/>
  <c r="L49" i="2"/>
  <c r="K49" i="2" s="1"/>
  <c r="J49" i="2"/>
  <c r="H49" i="2"/>
  <c r="L48" i="2"/>
  <c r="K48" i="2"/>
  <c r="J48" i="2"/>
  <c r="H48" i="2"/>
  <c r="L47" i="2"/>
  <c r="K47" i="2" s="1"/>
  <c r="J47" i="2"/>
  <c r="H47" i="2"/>
  <c r="L46" i="2"/>
  <c r="K46" i="2"/>
  <c r="J46" i="2"/>
  <c r="H46" i="2"/>
  <c r="L45" i="2"/>
  <c r="K45" i="2" s="1"/>
  <c r="J45" i="2"/>
  <c r="H45" i="2"/>
  <c r="L44" i="2"/>
  <c r="K44" i="2"/>
  <c r="J44" i="2"/>
  <c r="H44" i="2"/>
  <c r="L43" i="2"/>
  <c r="K43" i="2"/>
  <c r="J43" i="2"/>
  <c r="H43" i="2"/>
  <c r="L42" i="2"/>
  <c r="K42" i="2"/>
  <c r="J42" i="2"/>
  <c r="H42" i="2"/>
  <c r="L41" i="2"/>
  <c r="K41" i="2"/>
  <c r="J41" i="2"/>
  <c r="H41" i="2"/>
  <c r="L40" i="2"/>
  <c r="K40" i="2"/>
  <c r="J40" i="2"/>
  <c r="H40" i="2"/>
  <c r="L39" i="2"/>
  <c r="K39" i="2"/>
  <c r="J39" i="2"/>
  <c r="H39" i="2"/>
  <c r="L38" i="2"/>
  <c r="K38" i="2"/>
  <c r="J38" i="2"/>
  <c r="H38" i="2"/>
  <c r="L37" i="2"/>
  <c r="K37" i="2"/>
  <c r="J37" i="2"/>
  <c r="H37" i="2"/>
  <c r="L36" i="2"/>
  <c r="K36" i="2"/>
  <c r="J36" i="2"/>
  <c r="H36" i="2"/>
  <c r="L35" i="2"/>
  <c r="K35" i="2"/>
  <c r="J35" i="2"/>
  <c r="H35" i="2"/>
  <c r="L34" i="2"/>
  <c r="K34" i="2"/>
  <c r="J34" i="2"/>
  <c r="H34" i="2"/>
  <c r="L33" i="2"/>
  <c r="K33" i="2"/>
  <c r="J33" i="2"/>
  <c r="H33" i="2"/>
  <c r="L32" i="2"/>
  <c r="K32" i="2" s="1"/>
  <c r="J32" i="2"/>
  <c r="H32" i="2"/>
  <c r="L31" i="2"/>
  <c r="K31" i="2"/>
  <c r="J31" i="2"/>
  <c r="H31" i="2"/>
  <c r="L30" i="2"/>
  <c r="K30" i="2" s="1"/>
  <c r="J30" i="2"/>
  <c r="H30" i="2"/>
  <c r="L29" i="2"/>
  <c r="K29" i="2"/>
  <c r="J29" i="2"/>
  <c r="H29" i="2"/>
  <c r="L28" i="2"/>
  <c r="K28" i="2" s="1"/>
  <c r="J28" i="2"/>
  <c r="H28" i="2"/>
  <c r="L27" i="2"/>
  <c r="K27" i="2"/>
  <c r="J27" i="2"/>
  <c r="H27" i="2"/>
  <c r="L26" i="2"/>
  <c r="K26" i="2" s="1"/>
  <c r="J26" i="2"/>
  <c r="H26" i="2"/>
  <c r="L25" i="2"/>
  <c r="K25" i="2"/>
  <c r="J25" i="2"/>
  <c r="H25" i="2"/>
  <c r="L24" i="2"/>
  <c r="K24" i="2" s="1"/>
  <c r="J24" i="2"/>
  <c r="H24" i="2"/>
  <c r="L23" i="2"/>
  <c r="K23" i="2"/>
  <c r="J23" i="2"/>
  <c r="H23" i="2"/>
  <c r="L22" i="2"/>
  <c r="K22" i="2" s="1"/>
  <c r="J22" i="2"/>
  <c r="H22" i="2"/>
  <c r="L21" i="2"/>
  <c r="K21" i="2"/>
  <c r="J21" i="2"/>
  <c r="H21" i="2"/>
  <c r="L20" i="2"/>
  <c r="K20" i="2" s="1"/>
  <c r="J20" i="2"/>
  <c r="H20" i="2"/>
  <c r="L19" i="2"/>
  <c r="K19" i="2"/>
  <c r="J19" i="2"/>
  <c r="H19" i="2"/>
  <c r="L18" i="2"/>
  <c r="K18" i="2" s="1"/>
  <c r="J18" i="2"/>
  <c r="H18" i="2"/>
  <c r="L17" i="2"/>
  <c r="K17" i="2"/>
  <c r="J17" i="2"/>
  <c r="H17" i="2"/>
  <c r="L16" i="2"/>
  <c r="K16" i="2" s="1"/>
  <c r="J16" i="2"/>
  <c r="H16" i="2"/>
  <c r="L15" i="2"/>
  <c r="K15" i="2"/>
  <c r="J15" i="2"/>
  <c r="H15" i="2"/>
  <c r="L14" i="2"/>
  <c r="K14" i="2" s="1"/>
  <c r="J14" i="2"/>
  <c r="H14" i="2"/>
  <c r="L13" i="2"/>
  <c r="K13" i="2"/>
  <c r="J13" i="2"/>
  <c r="H13" i="2"/>
  <c r="L12" i="2"/>
  <c r="K12" i="2" s="1"/>
  <c r="J12" i="2"/>
  <c r="H12" i="2"/>
  <c r="L11" i="2"/>
  <c r="K11" i="2"/>
  <c r="J11" i="2"/>
  <c r="H11" i="2"/>
  <c r="L10" i="2"/>
  <c r="K10" i="2" s="1"/>
  <c r="J10" i="2"/>
  <c r="H10" i="2"/>
  <c r="L9" i="2"/>
  <c r="K9" i="2"/>
  <c r="J9" i="2"/>
  <c r="H9" i="2"/>
  <c r="L8" i="2"/>
  <c r="K8" i="2" s="1"/>
  <c r="J8" i="2"/>
  <c r="H8" i="2"/>
  <c r="L7" i="2"/>
  <c r="K7" i="2"/>
  <c r="J7" i="2"/>
  <c r="H7" i="2"/>
  <c r="L6" i="2"/>
  <c r="K6" i="2" s="1"/>
  <c r="J6" i="2"/>
  <c r="H6" i="2"/>
  <c r="L5" i="2"/>
  <c r="K5" i="2"/>
  <c r="J5" i="2"/>
  <c r="H5" i="2"/>
  <c r="L4" i="2"/>
  <c r="K4" i="2" s="1"/>
  <c r="J4" i="2"/>
  <c r="H4" i="2"/>
  <c r="U329" i="1"/>
  <c r="S329" i="1"/>
  <c r="Q329" i="1"/>
  <c r="U328" i="1"/>
  <c r="S328" i="1"/>
  <c r="Q328" i="1"/>
  <c r="U327" i="1"/>
  <c r="S327" i="1"/>
  <c r="Q327" i="1" s="1"/>
  <c r="U326" i="1"/>
  <c r="S326" i="1"/>
  <c r="Q326" i="1" s="1"/>
  <c r="U325" i="1"/>
  <c r="S325" i="1"/>
  <c r="Q325" i="1"/>
  <c r="U324" i="1"/>
  <c r="S324" i="1"/>
  <c r="Q324" i="1" s="1"/>
  <c r="U323" i="1"/>
  <c r="S323" i="1"/>
  <c r="Q323" i="1"/>
  <c r="U322" i="1"/>
  <c r="S322" i="1"/>
  <c r="Q322" i="1" s="1"/>
  <c r="U321" i="1"/>
  <c r="S321" i="1"/>
  <c r="Q321" i="1" s="1"/>
  <c r="U320" i="1"/>
  <c r="S320" i="1"/>
  <c r="Q320" i="1" s="1"/>
  <c r="U319" i="1"/>
  <c r="S319" i="1"/>
  <c r="Q319" i="1" s="1"/>
  <c r="U318" i="1"/>
  <c r="S318" i="1"/>
  <c r="Q318" i="1"/>
  <c r="U317" i="1"/>
  <c r="S317" i="1"/>
  <c r="Q317" i="1" s="1"/>
  <c r="U316" i="1"/>
  <c r="S316" i="1"/>
  <c r="Q316" i="1"/>
  <c r="U315" i="1"/>
  <c r="S315" i="1"/>
  <c r="Q315" i="1" s="1"/>
  <c r="U314" i="1"/>
  <c r="S314" i="1"/>
  <c r="Q314" i="1" s="1"/>
  <c r="U313" i="1"/>
  <c r="S313" i="1"/>
  <c r="Q313" i="1" s="1"/>
  <c r="U312" i="1"/>
  <c r="S312" i="1"/>
  <c r="Q312" i="1" s="1"/>
  <c r="U311" i="1"/>
  <c r="S311" i="1"/>
  <c r="Q311" i="1" s="1"/>
  <c r="U310" i="1"/>
  <c r="S310" i="1"/>
  <c r="Q310" i="1" s="1"/>
  <c r="U309" i="1"/>
  <c r="S309" i="1"/>
  <c r="Q309" i="1" s="1"/>
  <c r="U308" i="1"/>
  <c r="S308" i="1"/>
  <c r="Q308" i="1" s="1"/>
  <c r="U307" i="1"/>
  <c r="S307" i="1"/>
  <c r="Q307" i="1" s="1"/>
  <c r="U306" i="1"/>
  <c r="S306" i="1"/>
  <c r="Q306" i="1" s="1"/>
  <c r="U305" i="1"/>
  <c r="S305" i="1"/>
  <c r="Q305" i="1" s="1"/>
  <c r="U304" i="1"/>
  <c r="S304" i="1"/>
  <c r="Q304" i="1" s="1"/>
  <c r="U303" i="1"/>
  <c r="S303" i="1"/>
  <c r="Q303" i="1" s="1"/>
  <c r="U302" i="1"/>
  <c r="S302" i="1"/>
  <c r="Q302" i="1" s="1"/>
  <c r="U301" i="1"/>
  <c r="S301" i="1"/>
  <c r="Q301" i="1" s="1"/>
  <c r="U300" i="1"/>
  <c r="S300" i="1"/>
  <c r="Q300" i="1" s="1"/>
  <c r="U299" i="1"/>
  <c r="S299" i="1"/>
  <c r="Q299" i="1"/>
  <c r="U298" i="1"/>
  <c r="S298" i="1"/>
  <c r="Q298" i="1"/>
  <c r="U297" i="1"/>
  <c r="S297" i="1"/>
  <c r="Q297" i="1"/>
  <c r="U296" i="1"/>
  <c r="S296" i="1"/>
  <c r="Q296" i="1"/>
  <c r="U295" i="1"/>
  <c r="S295" i="1"/>
  <c r="Q295" i="1" s="1"/>
  <c r="U294" i="1"/>
  <c r="S294" i="1"/>
  <c r="Q294" i="1" s="1"/>
  <c r="U293" i="1"/>
  <c r="S293" i="1"/>
  <c r="Q293" i="1"/>
  <c r="U292" i="1"/>
  <c r="S292" i="1"/>
  <c r="Q292" i="1" s="1"/>
  <c r="U291" i="1"/>
  <c r="S291" i="1"/>
  <c r="Q291" i="1"/>
  <c r="U290" i="1"/>
  <c r="S290" i="1"/>
  <c r="Q290" i="1" s="1"/>
  <c r="U289" i="1"/>
  <c r="S289" i="1"/>
  <c r="Q289" i="1" s="1"/>
  <c r="U288" i="1"/>
  <c r="S288" i="1"/>
  <c r="Q288" i="1" s="1"/>
  <c r="U287" i="1"/>
  <c r="S287" i="1"/>
  <c r="Q287" i="1"/>
  <c r="U286" i="1"/>
  <c r="S286" i="1"/>
  <c r="Q286" i="1"/>
  <c r="U285" i="1"/>
  <c r="S285" i="1"/>
  <c r="Q285" i="1" s="1"/>
  <c r="U284" i="1"/>
  <c r="S284" i="1"/>
  <c r="Q284" i="1" s="1"/>
  <c r="U283" i="1"/>
  <c r="S283" i="1"/>
  <c r="Q283" i="1" s="1"/>
  <c r="U282" i="1"/>
  <c r="S282" i="1"/>
  <c r="Q282" i="1"/>
  <c r="U281" i="1"/>
  <c r="S281" i="1"/>
  <c r="Q281" i="1"/>
  <c r="U280" i="1"/>
  <c r="S280" i="1"/>
  <c r="Q280" i="1" s="1"/>
  <c r="U279" i="1"/>
  <c r="S279" i="1"/>
  <c r="Q279" i="1"/>
  <c r="U278" i="1"/>
  <c r="S278" i="1"/>
  <c r="Q278" i="1" s="1"/>
  <c r="U277" i="1"/>
  <c r="S277" i="1"/>
  <c r="Q277" i="1" s="1"/>
  <c r="U276" i="1"/>
  <c r="S276" i="1"/>
  <c r="Q276" i="1"/>
  <c r="U275" i="1"/>
  <c r="S275" i="1"/>
  <c r="Q275" i="1"/>
  <c r="U274" i="1"/>
  <c r="S274" i="1"/>
  <c r="Q274" i="1" s="1"/>
  <c r="U273" i="1"/>
  <c r="S273" i="1"/>
  <c r="Q273" i="1"/>
  <c r="U272" i="1"/>
  <c r="S272" i="1"/>
  <c r="Q272" i="1"/>
  <c r="U271" i="1"/>
  <c r="S271" i="1"/>
  <c r="Q271" i="1" s="1"/>
  <c r="U270" i="1"/>
  <c r="S270" i="1"/>
  <c r="Q270" i="1" s="1"/>
  <c r="U269" i="1"/>
  <c r="S269" i="1"/>
  <c r="Q269" i="1"/>
  <c r="U268" i="1"/>
  <c r="S268" i="1"/>
  <c r="Q268" i="1" s="1"/>
  <c r="U267" i="1"/>
  <c r="S267" i="1"/>
  <c r="Q267" i="1" s="1"/>
  <c r="U266" i="1"/>
  <c r="S266" i="1"/>
  <c r="Q266" i="1" s="1"/>
  <c r="U265" i="1"/>
  <c r="S265" i="1"/>
  <c r="Q265" i="1"/>
  <c r="U264" i="1"/>
  <c r="S264" i="1"/>
  <c r="Q264" i="1"/>
  <c r="U263" i="1"/>
  <c r="S263" i="1"/>
  <c r="Q263" i="1" s="1"/>
  <c r="U262" i="1"/>
  <c r="S262" i="1"/>
  <c r="Q262" i="1" s="1"/>
  <c r="U261" i="1"/>
  <c r="S261" i="1"/>
  <c r="Q261" i="1" s="1"/>
  <c r="U260" i="1"/>
  <c r="S260" i="1"/>
  <c r="Q260" i="1" s="1"/>
  <c r="U259" i="1"/>
  <c r="S259" i="1"/>
  <c r="Q259" i="1" s="1"/>
  <c r="U258" i="1"/>
  <c r="S258" i="1"/>
  <c r="Q258" i="1" s="1"/>
  <c r="U257" i="1"/>
  <c r="S257" i="1"/>
  <c r="Q257" i="1" s="1"/>
  <c r="U256" i="1"/>
  <c r="S256" i="1"/>
  <c r="Q256" i="1"/>
  <c r="U255" i="1"/>
  <c r="S255" i="1"/>
  <c r="Q255" i="1" s="1"/>
  <c r="U254" i="1"/>
  <c r="S254" i="1"/>
  <c r="Q254" i="1"/>
  <c r="U253" i="1"/>
  <c r="S253" i="1"/>
  <c r="Q253" i="1" s="1"/>
  <c r="U252" i="1"/>
  <c r="S252" i="1"/>
  <c r="Q252" i="1"/>
  <c r="U251" i="1"/>
  <c r="S251" i="1"/>
  <c r="Q251" i="1" s="1"/>
  <c r="U250" i="1"/>
  <c r="S250" i="1"/>
  <c r="Q250" i="1" s="1"/>
  <c r="U249" i="1"/>
  <c r="S249" i="1"/>
  <c r="Q249" i="1" s="1"/>
  <c r="U248" i="1"/>
  <c r="S248" i="1"/>
  <c r="Q248" i="1"/>
  <c r="U247" i="1"/>
  <c r="S247" i="1"/>
  <c r="Q247" i="1" s="1"/>
  <c r="U246" i="1"/>
  <c r="S246" i="1"/>
  <c r="Q246" i="1"/>
  <c r="U245" i="1"/>
  <c r="S245" i="1"/>
  <c r="Q245" i="1" s="1"/>
  <c r="U244" i="1"/>
  <c r="S244" i="1"/>
  <c r="Q244" i="1" s="1"/>
  <c r="U243" i="1"/>
  <c r="S243" i="1"/>
  <c r="Q243" i="1" s="1"/>
  <c r="U242" i="1"/>
  <c r="S242" i="1"/>
  <c r="Q242" i="1" s="1"/>
  <c r="U241" i="1"/>
  <c r="S241" i="1"/>
  <c r="Q241" i="1" s="1"/>
  <c r="U240" i="1"/>
  <c r="S240" i="1"/>
  <c r="Q240" i="1" s="1"/>
  <c r="U239" i="1"/>
  <c r="S239" i="1"/>
  <c r="Q239" i="1"/>
  <c r="U238" i="1"/>
  <c r="S238" i="1"/>
  <c r="Q238" i="1" s="1"/>
  <c r="U237" i="1"/>
  <c r="S237" i="1"/>
  <c r="Q237" i="1" s="1"/>
  <c r="U236" i="1"/>
  <c r="S236" i="1"/>
  <c r="Q236" i="1"/>
  <c r="U235" i="1"/>
  <c r="S235" i="1"/>
  <c r="Q235" i="1" s="1"/>
  <c r="U234" i="1"/>
  <c r="S234" i="1"/>
  <c r="Q234" i="1"/>
  <c r="U233" i="1"/>
  <c r="S233" i="1"/>
  <c r="Q233" i="1" s="1"/>
  <c r="U232" i="1"/>
  <c r="S232" i="1"/>
  <c r="Q232" i="1" s="1"/>
  <c r="U231" i="1"/>
  <c r="S231" i="1"/>
  <c r="Q231" i="1" s="1"/>
  <c r="U230" i="1"/>
  <c r="S230" i="1"/>
  <c r="Q230" i="1"/>
  <c r="U229" i="1"/>
  <c r="S229" i="1"/>
  <c r="Q229" i="1" s="1"/>
  <c r="U228" i="1"/>
  <c r="S228" i="1"/>
  <c r="Q228" i="1"/>
  <c r="U227" i="1"/>
  <c r="S227" i="1"/>
  <c r="Q227" i="1" s="1"/>
  <c r="U226" i="1"/>
  <c r="S226" i="1"/>
  <c r="Q226" i="1" s="1"/>
  <c r="U225" i="1"/>
  <c r="S225" i="1"/>
  <c r="Q225" i="1" s="1"/>
  <c r="U224" i="1"/>
  <c r="S224" i="1"/>
  <c r="Q224" i="1"/>
  <c r="U223" i="1"/>
  <c r="S223" i="1"/>
  <c r="Q223" i="1" s="1"/>
  <c r="U222" i="1"/>
  <c r="S222" i="1"/>
  <c r="Q222" i="1" s="1"/>
  <c r="U221" i="1"/>
  <c r="S221" i="1"/>
  <c r="Q221" i="1" s="1"/>
  <c r="U220" i="1"/>
  <c r="S220" i="1"/>
  <c r="Q220" i="1" s="1"/>
  <c r="U219" i="1"/>
  <c r="S219" i="1"/>
  <c r="Q219" i="1"/>
  <c r="U218" i="1"/>
  <c r="S218" i="1"/>
  <c r="Q218" i="1"/>
  <c r="U217" i="1"/>
  <c r="S217" i="1"/>
  <c r="Q217" i="1"/>
  <c r="U216" i="1"/>
  <c r="S216" i="1"/>
  <c r="Q216" i="1" s="1"/>
  <c r="U215" i="1"/>
  <c r="S215" i="1"/>
  <c r="Q215" i="1" s="1"/>
  <c r="U214" i="1"/>
  <c r="S214" i="1"/>
  <c r="Q214" i="1" s="1"/>
  <c r="U213" i="1"/>
  <c r="S213" i="1"/>
  <c r="Q213" i="1" s="1"/>
  <c r="U212" i="1"/>
  <c r="S212" i="1"/>
  <c r="Q212" i="1"/>
  <c r="U211" i="1"/>
  <c r="S211" i="1"/>
  <c r="Q211" i="1"/>
  <c r="U210" i="1"/>
  <c r="S210" i="1"/>
  <c r="Q210" i="1"/>
  <c r="U209" i="1"/>
  <c r="S209" i="1"/>
  <c r="Q209" i="1" s="1"/>
  <c r="U208" i="1"/>
  <c r="S208" i="1"/>
  <c r="Q208" i="1"/>
  <c r="U207" i="1"/>
  <c r="S207" i="1"/>
  <c r="Q207" i="1"/>
  <c r="U206" i="1"/>
  <c r="S206" i="1"/>
  <c r="Q206" i="1" s="1"/>
  <c r="U205" i="1"/>
  <c r="S205" i="1"/>
  <c r="Q205" i="1" s="1"/>
  <c r="U204" i="1"/>
  <c r="S204" i="1"/>
  <c r="Q204" i="1"/>
  <c r="U203" i="1"/>
  <c r="S203" i="1"/>
  <c r="Q203" i="1" s="1"/>
  <c r="U202" i="1"/>
  <c r="S202" i="1"/>
  <c r="Q202" i="1" s="1"/>
  <c r="U201" i="1"/>
  <c r="S201" i="1"/>
  <c r="Q201" i="1"/>
  <c r="U200" i="1"/>
  <c r="S200" i="1"/>
  <c r="Q200" i="1"/>
  <c r="U199" i="1"/>
  <c r="S199" i="1"/>
  <c r="Q199" i="1" s="1"/>
  <c r="U198" i="1"/>
  <c r="S198" i="1"/>
  <c r="Q198" i="1" s="1"/>
  <c r="U197" i="1"/>
  <c r="S197" i="1"/>
  <c r="Q197" i="1" s="1"/>
  <c r="U196" i="1"/>
  <c r="S196" i="1"/>
  <c r="Q196" i="1" s="1"/>
  <c r="U195" i="1"/>
  <c r="S195" i="1"/>
  <c r="Q195" i="1"/>
  <c r="U194" i="1"/>
  <c r="S194" i="1"/>
  <c r="Q194" i="1" s="1"/>
  <c r="U193" i="1"/>
  <c r="S193" i="1"/>
  <c r="Q193" i="1" s="1"/>
  <c r="U192" i="1"/>
  <c r="S192" i="1"/>
  <c r="Q192" i="1" s="1"/>
  <c r="U191" i="1"/>
  <c r="S191" i="1"/>
  <c r="Q191" i="1" s="1"/>
  <c r="U190" i="1"/>
  <c r="S190" i="1"/>
  <c r="Q190" i="1"/>
  <c r="U189" i="1"/>
  <c r="S189" i="1"/>
  <c r="Q189" i="1" s="1"/>
  <c r="U188" i="1"/>
  <c r="S188" i="1"/>
  <c r="Q188" i="1"/>
  <c r="U187" i="1"/>
  <c r="S187" i="1"/>
  <c r="Q187" i="1" s="1"/>
  <c r="U186" i="1"/>
  <c r="S186" i="1"/>
  <c r="Q186" i="1" s="1"/>
  <c r="U185" i="1"/>
  <c r="S185" i="1"/>
  <c r="Q185" i="1" s="1"/>
  <c r="U184" i="1"/>
  <c r="S184" i="1"/>
  <c r="Q184" i="1" s="1"/>
  <c r="U183" i="1"/>
  <c r="S183" i="1"/>
  <c r="Q183" i="1" s="1"/>
  <c r="U182" i="1"/>
  <c r="S182" i="1"/>
  <c r="Q182" i="1" s="1"/>
  <c r="U181" i="1"/>
  <c r="S181" i="1"/>
  <c r="Q181" i="1" s="1"/>
  <c r="U180" i="1"/>
  <c r="S180" i="1"/>
  <c r="Q180" i="1"/>
  <c r="U179" i="1"/>
  <c r="S179" i="1"/>
  <c r="Q179" i="1"/>
  <c r="U178" i="1"/>
  <c r="S178" i="1"/>
  <c r="Q178" i="1" s="1"/>
  <c r="U177" i="1"/>
  <c r="S177" i="1"/>
  <c r="Q177" i="1" s="1"/>
  <c r="U176" i="1"/>
  <c r="S176" i="1"/>
  <c r="Q176" i="1" s="1"/>
  <c r="U175" i="1"/>
  <c r="S175" i="1"/>
  <c r="Q175" i="1"/>
  <c r="U174" i="1"/>
  <c r="S174" i="1"/>
  <c r="Q174" i="1" s="1"/>
  <c r="U173" i="1"/>
  <c r="S173" i="1"/>
  <c r="Q173" i="1" s="1"/>
  <c r="U172" i="1"/>
  <c r="S172" i="1"/>
  <c r="Q172" i="1"/>
  <c r="U171" i="1"/>
  <c r="S171" i="1"/>
  <c r="Q171" i="1" s="1"/>
  <c r="U170" i="1"/>
  <c r="S170" i="1"/>
  <c r="Q170" i="1"/>
  <c r="U169" i="1"/>
  <c r="S169" i="1"/>
  <c r="Q169" i="1" s="1"/>
  <c r="U168" i="1"/>
  <c r="S168" i="1"/>
  <c r="Q168" i="1" s="1"/>
  <c r="U167" i="1"/>
  <c r="S167" i="1"/>
  <c r="Q167" i="1"/>
  <c r="U166" i="1"/>
  <c r="S166" i="1"/>
  <c r="Q166" i="1"/>
  <c r="U165" i="1"/>
  <c r="S165" i="1"/>
  <c r="Q165" i="1" s="1"/>
  <c r="U164" i="1"/>
  <c r="S164" i="1"/>
  <c r="Q164" i="1" s="1"/>
  <c r="U163" i="1"/>
  <c r="S163" i="1"/>
  <c r="Q163" i="1" s="1"/>
  <c r="U162" i="1"/>
  <c r="S162" i="1"/>
  <c r="Q162" i="1" s="1"/>
  <c r="U161" i="1"/>
  <c r="S161" i="1"/>
  <c r="Q161" i="1" s="1"/>
  <c r="U160" i="1"/>
  <c r="S160" i="1"/>
  <c r="Q160" i="1" s="1"/>
  <c r="U159" i="1"/>
  <c r="S159" i="1"/>
  <c r="Q159" i="1" s="1"/>
  <c r="U158" i="1"/>
  <c r="S158" i="1"/>
  <c r="Q158" i="1"/>
  <c r="U157" i="1"/>
  <c r="S157" i="1"/>
  <c r="Q157" i="1" s="1"/>
  <c r="U156" i="1"/>
  <c r="S156" i="1"/>
  <c r="Q156" i="1" s="1"/>
  <c r="U155" i="1"/>
  <c r="S155" i="1"/>
  <c r="Q155" i="1" s="1"/>
  <c r="U154" i="1"/>
  <c r="S154" i="1"/>
  <c r="Q154" i="1"/>
  <c r="U153" i="1"/>
  <c r="S153" i="1"/>
  <c r="Q153" i="1" s="1"/>
  <c r="U152" i="1"/>
  <c r="S152" i="1"/>
  <c r="Q152" i="1"/>
  <c r="U151" i="1"/>
  <c r="S151" i="1"/>
  <c r="Q151" i="1"/>
  <c r="U150" i="1"/>
  <c r="S150" i="1"/>
  <c r="Q150" i="1" s="1"/>
  <c r="U149" i="1"/>
  <c r="S149" i="1"/>
  <c r="Q149" i="1"/>
  <c r="U148" i="1"/>
  <c r="S148" i="1"/>
  <c r="Q148" i="1"/>
  <c r="U147" i="1"/>
  <c r="S147" i="1"/>
  <c r="Q147" i="1"/>
  <c r="U146" i="1"/>
  <c r="S146" i="1"/>
  <c r="Q146" i="1" s="1"/>
  <c r="U145" i="1"/>
  <c r="S145" i="1"/>
  <c r="Q145" i="1" s="1"/>
  <c r="U144" i="1"/>
  <c r="S144" i="1"/>
  <c r="Q144" i="1" s="1"/>
  <c r="U143" i="1"/>
  <c r="S143" i="1"/>
  <c r="Q143" i="1" s="1"/>
  <c r="U142" i="1"/>
  <c r="S142" i="1"/>
  <c r="Q142" i="1" s="1"/>
  <c r="U141" i="1"/>
  <c r="S141" i="1"/>
  <c r="Q141" i="1" s="1"/>
  <c r="U140" i="1"/>
  <c r="S140" i="1"/>
  <c r="Q140" i="1"/>
  <c r="U139" i="1"/>
  <c r="S139" i="1"/>
  <c r="Q139" i="1"/>
  <c r="U138" i="1"/>
  <c r="S138" i="1"/>
  <c r="Q138" i="1" s="1"/>
  <c r="U137" i="1"/>
  <c r="S137" i="1"/>
  <c r="Q137" i="1"/>
  <c r="U136" i="1"/>
  <c r="S136" i="1"/>
  <c r="Q136" i="1"/>
  <c r="U135" i="1"/>
  <c r="S135" i="1"/>
  <c r="Q135" i="1"/>
  <c r="U134" i="1"/>
  <c r="S134" i="1"/>
  <c r="Q134" i="1"/>
  <c r="U133" i="1"/>
  <c r="S133" i="1"/>
  <c r="Q133" i="1" s="1"/>
  <c r="U132" i="1"/>
  <c r="S132" i="1"/>
  <c r="Q132" i="1"/>
  <c r="U131" i="1"/>
  <c r="S131" i="1"/>
  <c r="Q131" i="1"/>
  <c r="U130" i="1"/>
  <c r="S130" i="1"/>
  <c r="Q130" i="1" s="1"/>
  <c r="U129" i="1"/>
  <c r="S129" i="1"/>
  <c r="Q129" i="1" s="1"/>
  <c r="U128" i="1"/>
  <c r="S128" i="1"/>
  <c r="Q128" i="1"/>
  <c r="U127" i="1"/>
  <c r="S127" i="1"/>
  <c r="Q127" i="1" s="1"/>
  <c r="U126" i="1"/>
  <c r="S126" i="1"/>
  <c r="Q126" i="1" s="1"/>
  <c r="U125" i="1"/>
  <c r="S125" i="1"/>
  <c r="Q125" i="1" s="1"/>
  <c r="U124" i="1"/>
  <c r="S124" i="1"/>
  <c r="Q124" i="1"/>
  <c r="U123" i="1"/>
  <c r="S123" i="1"/>
  <c r="Q123" i="1"/>
  <c r="U122" i="1"/>
  <c r="S122" i="1"/>
  <c r="Q122" i="1" s="1"/>
  <c r="U121" i="1"/>
  <c r="S121" i="1"/>
  <c r="Q121" i="1" s="1"/>
  <c r="U120" i="1"/>
  <c r="S120" i="1"/>
  <c r="Q120" i="1" s="1"/>
  <c r="U119" i="1"/>
  <c r="S119" i="1"/>
  <c r="Q119" i="1"/>
  <c r="U118" i="1"/>
  <c r="S118" i="1"/>
  <c r="Q118" i="1" s="1"/>
  <c r="U117" i="1"/>
  <c r="S117" i="1"/>
  <c r="Q117" i="1" s="1"/>
  <c r="U116" i="1"/>
  <c r="S116" i="1"/>
  <c r="Q116" i="1"/>
  <c r="U115" i="1"/>
  <c r="S115" i="1"/>
  <c r="Q115" i="1"/>
  <c r="U114" i="1"/>
  <c r="S114" i="1"/>
  <c r="Q114" i="1" s="1"/>
  <c r="U113" i="1"/>
  <c r="S113" i="1"/>
  <c r="Q113" i="1" s="1"/>
  <c r="U112" i="1"/>
  <c r="S112" i="1"/>
  <c r="Q112" i="1"/>
  <c r="U111" i="1"/>
  <c r="S111" i="1"/>
  <c r="Q111" i="1" s="1"/>
  <c r="U110" i="1"/>
  <c r="S110" i="1"/>
  <c r="Q110" i="1" s="1"/>
  <c r="U109" i="1"/>
  <c r="S109" i="1"/>
  <c r="Q109" i="1" s="1"/>
  <c r="U108" i="1"/>
  <c r="S108" i="1"/>
  <c r="Q108" i="1" s="1"/>
  <c r="U107" i="1"/>
  <c r="S107" i="1"/>
  <c r="Q107" i="1"/>
  <c r="U106" i="1"/>
  <c r="S106" i="1"/>
  <c r="Q106" i="1" s="1"/>
  <c r="U105" i="1"/>
  <c r="S105" i="1"/>
  <c r="Q105" i="1" s="1"/>
  <c r="U104" i="1"/>
  <c r="S104" i="1"/>
  <c r="Q104" i="1"/>
  <c r="U103" i="1"/>
  <c r="S103" i="1"/>
  <c r="Q103" i="1" s="1"/>
  <c r="U102" i="1"/>
  <c r="S102" i="1"/>
  <c r="Q102" i="1" s="1"/>
  <c r="U101" i="1"/>
  <c r="S101" i="1"/>
  <c r="Q101" i="1"/>
  <c r="U100" i="1"/>
  <c r="S100" i="1"/>
  <c r="Q100" i="1"/>
  <c r="U99" i="1"/>
  <c r="S99" i="1"/>
  <c r="Q99" i="1"/>
  <c r="U98" i="1"/>
  <c r="S98" i="1"/>
  <c r="Q98" i="1" s="1"/>
  <c r="U97" i="1"/>
  <c r="S97" i="1"/>
  <c r="Q97" i="1" s="1"/>
  <c r="U96" i="1"/>
  <c r="S96" i="1"/>
  <c r="Q96" i="1" s="1"/>
  <c r="U95" i="1"/>
  <c r="S95" i="1"/>
  <c r="Q95" i="1" s="1"/>
  <c r="U94" i="1"/>
  <c r="S94" i="1"/>
  <c r="Q94" i="1"/>
  <c r="U93" i="1"/>
  <c r="S93" i="1"/>
  <c r="Q93" i="1" s="1"/>
  <c r="U92" i="1"/>
  <c r="S92" i="1"/>
  <c r="Q92" i="1" s="1"/>
  <c r="U91" i="1"/>
  <c r="S91" i="1"/>
  <c r="Q91" i="1"/>
  <c r="U90" i="1"/>
  <c r="S90" i="1"/>
  <c r="Q90" i="1" s="1"/>
  <c r="U89" i="1"/>
  <c r="S89" i="1"/>
  <c r="Q89" i="1" s="1"/>
  <c r="U88" i="1"/>
  <c r="S88" i="1"/>
  <c r="Q88" i="1" s="1"/>
  <c r="U87" i="1"/>
  <c r="S87" i="1"/>
  <c r="Q87" i="1" s="1"/>
  <c r="U86" i="1"/>
  <c r="S86" i="1"/>
  <c r="Q86" i="1" s="1"/>
  <c r="U85" i="1"/>
  <c r="S85" i="1"/>
  <c r="Q85" i="1"/>
  <c r="U84" i="1"/>
  <c r="S84" i="1"/>
  <c r="Q84" i="1" s="1"/>
  <c r="U83" i="1"/>
  <c r="S83" i="1"/>
  <c r="Q83" i="1" s="1"/>
  <c r="U82" i="1"/>
  <c r="S82" i="1"/>
  <c r="Q82" i="1" s="1"/>
  <c r="U81" i="1"/>
  <c r="S81" i="1"/>
  <c r="Q81" i="1" s="1"/>
  <c r="U80" i="1"/>
  <c r="S80" i="1"/>
  <c r="Q80" i="1"/>
  <c r="U79" i="1"/>
  <c r="S79" i="1"/>
  <c r="Q79" i="1" s="1"/>
  <c r="U78" i="1"/>
  <c r="S78" i="1"/>
  <c r="Q78" i="1" s="1"/>
  <c r="U77" i="1"/>
  <c r="S77" i="1"/>
  <c r="Q77" i="1" s="1"/>
  <c r="U76" i="1"/>
  <c r="S76" i="1"/>
  <c r="Q76" i="1"/>
  <c r="U75" i="1"/>
  <c r="S75" i="1"/>
  <c r="Q75" i="1" s="1"/>
  <c r="U74" i="1"/>
  <c r="S74" i="1"/>
  <c r="Q74" i="1"/>
  <c r="U73" i="1"/>
  <c r="S73" i="1"/>
  <c r="Q73" i="1"/>
  <c r="U72" i="1"/>
  <c r="S72" i="1"/>
  <c r="Q72" i="1"/>
  <c r="U71" i="1"/>
  <c r="S71" i="1"/>
  <c r="Q71" i="1" s="1"/>
  <c r="U70" i="1"/>
  <c r="S70" i="1"/>
  <c r="Q70" i="1" s="1"/>
  <c r="U69" i="1"/>
  <c r="S69" i="1"/>
  <c r="Q69" i="1"/>
  <c r="U68" i="1"/>
  <c r="S68" i="1"/>
  <c r="Q68" i="1" s="1"/>
  <c r="U67" i="1"/>
  <c r="S67" i="1"/>
  <c r="Q67" i="1"/>
  <c r="U66" i="1"/>
  <c r="S66" i="1"/>
  <c r="Q66" i="1" s="1"/>
  <c r="U65" i="1"/>
  <c r="S65" i="1"/>
  <c r="Q65" i="1" s="1"/>
  <c r="U64" i="1"/>
  <c r="S64" i="1"/>
  <c r="Q64" i="1"/>
  <c r="U63" i="1"/>
  <c r="S63" i="1"/>
  <c r="Q63" i="1" s="1"/>
  <c r="U62" i="1"/>
  <c r="S62" i="1"/>
  <c r="Q62" i="1" s="1"/>
  <c r="U61" i="1"/>
  <c r="S61" i="1"/>
  <c r="Q61" i="1" s="1"/>
  <c r="U60" i="1"/>
  <c r="S60" i="1"/>
  <c r="Q60" i="1" s="1"/>
  <c r="U59" i="1"/>
  <c r="S59" i="1"/>
  <c r="Q59" i="1" s="1"/>
  <c r="U58" i="1"/>
  <c r="S58" i="1"/>
  <c r="Q58" i="1" s="1"/>
  <c r="U57" i="1"/>
  <c r="S57" i="1"/>
  <c r="Q57" i="1" s="1"/>
  <c r="U56" i="1"/>
  <c r="S56" i="1"/>
  <c r="Q56" i="1" s="1"/>
  <c r="U55" i="1"/>
  <c r="S55" i="1"/>
  <c r="Q55" i="1" s="1"/>
  <c r="U54" i="1"/>
  <c r="S54" i="1"/>
  <c r="Q54" i="1"/>
  <c r="U53" i="1"/>
  <c r="S53" i="1"/>
  <c r="Q53" i="1" s="1"/>
  <c r="U52" i="1"/>
  <c r="S52" i="1"/>
  <c r="Q52" i="1"/>
  <c r="U51" i="1"/>
  <c r="S51" i="1"/>
  <c r="Q51" i="1" s="1"/>
  <c r="U50" i="1"/>
  <c r="S50" i="1"/>
  <c r="Q50" i="1" s="1"/>
  <c r="U49" i="1"/>
  <c r="S49" i="1"/>
  <c r="Q49" i="1" s="1"/>
  <c r="U48" i="1"/>
  <c r="S48" i="1"/>
  <c r="Q48" i="1" s="1"/>
  <c r="U47" i="1"/>
  <c r="S47" i="1"/>
  <c r="Q47" i="1" s="1"/>
  <c r="U46" i="1"/>
  <c r="S46" i="1"/>
  <c r="Q46" i="1" s="1"/>
  <c r="U45" i="1"/>
  <c r="S45" i="1"/>
  <c r="Q45" i="1" s="1"/>
  <c r="U44" i="1"/>
  <c r="S44" i="1"/>
  <c r="Q44" i="1"/>
  <c r="U43" i="1"/>
  <c r="S43" i="1"/>
  <c r="Q43" i="1" s="1"/>
  <c r="U42" i="1"/>
  <c r="S42" i="1"/>
  <c r="Q42" i="1" s="1"/>
  <c r="U41" i="1"/>
  <c r="S41" i="1"/>
  <c r="Q41" i="1" s="1"/>
  <c r="U40" i="1"/>
  <c r="S40" i="1"/>
  <c r="Q40" i="1" s="1"/>
  <c r="U39" i="1"/>
  <c r="S39" i="1"/>
  <c r="Q39" i="1" s="1"/>
  <c r="U38" i="1"/>
  <c r="S38" i="1"/>
  <c r="Q38" i="1"/>
  <c r="U37" i="1"/>
  <c r="S37" i="1"/>
  <c r="Q37" i="1" s="1"/>
  <c r="U36" i="1"/>
  <c r="S36" i="1"/>
  <c r="Q36" i="1" s="1"/>
  <c r="U35" i="1"/>
  <c r="S35" i="1"/>
  <c r="Q35" i="1" s="1"/>
  <c r="U34" i="1"/>
  <c r="S34" i="1"/>
  <c r="Q34" i="1" s="1"/>
  <c r="U33" i="1"/>
  <c r="S33" i="1"/>
  <c r="Q33" i="1" s="1"/>
  <c r="U32" i="1"/>
  <c r="S32" i="1"/>
  <c r="Q32" i="1" s="1"/>
  <c r="U31" i="1"/>
  <c r="S31" i="1"/>
  <c r="Q31" i="1" s="1"/>
  <c r="U30" i="1"/>
  <c r="S30" i="1"/>
  <c r="Q30" i="1"/>
  <c r="U29" i="1"/>
  <c r="S29" i="1"/>
  <c r="Q29" i="1" s="1"/>
  <c r="U28" i="1"/>
  <c r="S28" i="1"/>
  <c r="Q28" i="1"/>
  <c r="U27" i="1"/>
  <c r="S27" i="1"/>
  <c r="Q27" i="1" s="1"/>
  <c r="U26" i="1"/>
  <c r="S26" i="1"/>
  <c r="Q26" i="1" s="1"/>
  <c r="U25" i="1"/>
  <c r="S25" i="1"/>
  <c r="Q25" i="1" s="1"/>
  <c r="U24" i="1"/>
  <c r="S24" i="1"/>
  <c r="Q24" i="1"/>
  <c r="U23" i="1"/>
  <c r="S23" i="1"/>
  <c r="Q23" i="1" s="1"/>
  <c r="U22" i="1"/>
  <c r="S22" i="1"/>
  <c r="Q22" i="1"/>
  <c r="U21" i="1"/>
  <c r="S21" i="1"/>
  <c r="Q21" i="1" s="1"/>
  <c r="U20" i="1"/>
  <c r="S20" i="1"/>
  <c r="Q20" i="1" s="1"/>
  <c r="U19" i="1"/>
  <c r="S19" i="1"/>
  <c r="Q19" i="1" s="1"/>
  <c r="U18" i="1"/>
  <c r="T18" i="1" s="1"/>
  <c r="S18" i="1"/>
  <c r="Q18" i="1" s="1"/>
  <c r="U17" i="1"/>
  <c r="T17" i="1" s="1"/>
  <c r="S17" i="1"/>
  <c r="Q17" i="1" s="1"/>
  <c r="U16" i="1"/>
  <c r="T16" i="1" s="1"/>
  <c r="S16" i="1"/>
  <c r="Q16" i="1" s="1"/>
  <c r="U15" i="1"/>
  <c r="S15" i="1"/>
  <c r="Q15" i="1" s="1"/>
  <c r="U14" i="1"/>
  <c r="S14" i="1"/>
  <c r="Q14" i="1" s="1"/>
  <c r="U13" i="1"/>
  <c r="T13" i="1" s="1"/>
  <c r="S13" i="1"/>
  <c r="Q13" i="1" s="1"/>
  <c r="U12" i="1"/>
  <c r="T12" i="1" s="1"/>
  <c r="S12" i="1"/>
  <c r="Q12" i="1" s="1"/>
  <c r="U11" i="1"/>
  <c r="S11" i="1"/>
  <c r="Q11" i="1" s="1"/>
  <c r="U10" i="1"/>
  <c r="T10" i="1" s="1"/>
  <c r="S10" i="1"/>
  <c r="Q10" i="1" s="1"/>
  <c r="U9" i="1"/>
  <c r="T9" i="1" s="1"/>
  <c r="S9" i="1"/>
  <c r="Q9" i="1" s="1"/>
  <c r="U8" i="1"/>
  <c r="T8" i="1" s="1"/>
  <c r="S8" i="1"/>
  <c r="Q8" i="1" s="1"/>
  <c r="U7" i="1"/>
  <c r="S7" i="1"/>
  <c r="Q7" i="1" s="1"/>
  <c r="H24" i="1"/>
  <c r="H23" i="1"/>
  <c r="H19" i="1"/>
  <c r="H27" i="1" s="1"/>
  <c r="H28" i="1" s="1"/>
</calcChain>
</file>

<file path=xl/sharedStrings.xml><?xml version="1.0" encoding="utf-8"?>
<sst xmlns="http://schemas.openxmlformats.org/spreadsheetml/2006/main" count="941" uniqueCount="371">
  <si>
    <t>Column Height</t>
  </si>
  <si>
    <t>Number of Columns</t>
  </si>
  <si>
    <t>INPUT</t>
  </si>
  <si>
    <t>Number of Vertical Bars</t>
  </si>
  <si>
    <t>Stirrup bar diameter required</t>
  </si>
  <si>
    <t>Reinforcement bar Diameter required</t>
  </si>
  <si>
    <t>stirrup spacing</t>
  </si>
  <si>
    <t xml:space="preserve">Use End Hook: </t>
  </si>
  <si>
    <t>Total length of each bars should be more than or equal to:</t>
  </si>
  <si>
    <t xml:space="preserve">Cut Length of each stirrups: </t>
  </si>
  <si>
    <t>Number of Stirrups per Column:</t>
  </si>
  <si>
    <t xml:space="preserve">#16 TIE WIRE USED: </t>
  </si>
  <si>
    <t>commercial length of bar</t>
  </si>
  <si>
    <t>Column Dimension 1 L</t>
  </si>
  <si>
    <t>Column Dimension 2 W</t>
  </si>
  <si>
    <t>density of rebar</t>
  </si>
  <si>
    <t>kg/m^3</t>
  </si>
  <si>
    <t>Volume of rebar</t>
  </si>
  <si>
    <t>Net wt.</t>
  </si>
  <si>
    <t>Total Number of Bars used for stirrups  :</t>
  </si>
  <si>
    <t>Total Number of Vertical Bars</t>
  </si>
  <si>
    <t>Diameter of main bar</t>
  </si>
  <si>
    <t>qty</t>
  </si>
  <si>
    <t>cut length</t>
  </si>
  <si>
    <t>commercial length</t>
  </si>
  <si>
    <t>bars</t>
  </si>
  <si>
    <t>net wt. kg</t>
  </si>
  <si>
    <t>total length m</t>
  </si>
  <si>
    <t>vertical bars</t>
  </si>
  <si>
    <t>c21</t>
  </si>
  <si>
    <t>c22</t>
  </si>
  <si>
    <t>diameter</t>
  </si>
  <si>
    <t>c23</t>
  </si>
  <si>
    <t>c20</t>
  </si>
  <si>
    <t>number of cut length per std. length</t>
  </si>
  <si>
    <t>checked</t>
  </si>
  <si>
    <t>c1</t>
  </si>
  <si>
    <t>c2</t>
  </si>
  <si>
    <t>c17</t>
  </si>
  <si>
    <t>c18</t>
  </si>
  <si>
    <t>C2V1</t>
  </si>
  <si>
    <t>C2V2</t>
  </si>
  <si>
    <t>C2V3</t>
  </si>
  <si>
    <t>C2V4</t>
  </si>
  <si>
    <t>C2V5</t>
  </si>
  <si>
    <t>C2V6</t>
  </si>
  <si>
    <t>C2T1</t>
  </si>
  <si>
    <t>C2T2</t>
  </si>
  <si>
    <t>C2T3</t>
  </si>
  <si>
    <t>C2T4</t>
  </si>
  <si>
    <t>C2T5</t>
  </si>
  <si>
    <t>C2T6</t>
  </si>
  <si>
    <t>C2T7</t>
  </si>
  <si>
    <t>C2T8</t>
  </si>
  <si>
    <t>C2T9</t>
  </si>
  <si>
    <t>C3V1</t>
  </si>
  <si>
    <t>C3V2</t>
  </si>
  <si>
    <t>C3V3</t>
  </si>
  <si>
    <t>C3V4</t>
  </si>
  <si>
    <t>C3V5</t>
  </si>
  <si>
    <t>C3V6</t>
  </si>
  <si>
    <t>C3T1</t>
  </si>
  <si>
    <t>C3T2</t>
  </si>
  <si>
    <t>C3T3</t>
  </si>
  <si>
    <t>C3T4</t>
  </si>
  <si>
    <t>C3T5</t>
  </si>
  <si>
    <t>C4V1</t>
  </si>
  <si>
    <t>C4V2</t>
  </si>
  <si>
    <t>C4V3</t>
  </si>
  <si>
    <t>C4V4</t>
  </si>
  <si>
    <t>C4T1</t>
  </si>
  <si>
    <t>C4T2</t>
  </si>
  <si>
    <t>C4T3</t>
  </si>
  <si>
    <t>C4T4</t>
  </si>
  <si>
    <t>C4T5</t>
  </si>
  <si>
    <t>C4T6</t>
  </si>
  <si>
    <t>C4T7</t>
  </si>
  <si>
    <t>C4T8</t>
  </si>
  <si>
    <t>C4T9</t>
  </si>
  <si>
    <t>C5V1</t>
  </si>
  <si>
    <t>C5V2</t>
  </si>
  <si>
    <t>C5V3</t>
  </si>
  <si>
    <t>C5V4</t>
  </si>
  <si>
    <t>C5V5</t>
  </si>
  <si>
    <t>C5V6</t>
  </si>
  <si>
    <t>C5T1</t>
  </si>
  <si>
    <t>C5T2</t>
  </si>
  <si>
    <t>C5T3</t>
  </si>
  <si>
    <t>C5T4</t>
  </si>
  <si>
    <t>C5T5</t>
  </si>
  <si>
    <t>C5T6</t>
  </si>
  <si>
    <t>C5T7</t>
  </si>
  <si>
    <t>C5T8</t>
  </si>
  <si>
    <t>C5T9</t>
  </si>
  <si>
    <t>C5T10</t>
  </si>
  <si>
    <t>C5T11</t>
  </si>
  <si>
    <t>C5T12</t>
  </si>
  <si>
    <t>C6V1</t>
  </si>
  <si>
    <t>C6V2</t>
  </si>
  <si>
    <t>C6V3</t>
  </si>
  <si>
    <t>C6V4</t>
  </si>
  <si>
    <t>C6V6</t>
  </si>
  <si>
    <t>C6T1</t>
  </si>
  <si>
    <t>C6T2</t>
  </si>
  <si>
    <t>C6T3</t>
  </si>
  <si>
    <t>C6T4</t>
  </si>
  <si>
    <t>C6T5</t>
  </si>
  <si>
    <t>C6T6</t>
  </si>
  <si>
    <t>C6T7</t>
  </si>
  <si>
    <t>C7V1</t>
  </si>
  <si>
    <t>C7V2</t>
  </si>
  <si>
    <t>C7V3</t>
  </si>
  <si>
    <t>C7V4</t>
  </si>
  <si>
    <t>C7V5</t>
  </si>
  <si>
    <t>C7V6</t>
  </si>
  <si>
    <t>C7T1</t>
  </si>
  <si>
    <t>C7T2</t>
  </si>
  <si>
    <t>C7T3</t>
  </si>
  <si>
    <t>C7T4</t>
  </si>
  <si>
    <t>C7T5</t>
  </si>
  <si>
    <t>C7T6</t>
  </si>
  <si>
    <t>C7T7</t>
  </si>
  <si>
    <t>C7T8</t>
  </si>
  <si>
    <t>C7T9</t>
  </si>
  <si>
    <t>C8V1</t>
  </si>
  <si>
    <t>C8V2</t>
  </si>
  <si>
    <t>C8V3</t>
  </si>
  <si>
    <t>C8V4</t>
  </si>
  <si>
    <t>C8T1</t>
  </si>
  <si>
    <t>C8T2</t>
  </si>
  <si>
    <t>C8T3</t>
  </si>
  <si>
    <t>C8T4</t>
  </si>
  <si>
    <t>C8T5</t>
  </si>
  <si>
    <t>C8T6</t>
  </si>
  <si>
    <t>C8T7</t>
  </si>
  <si>
    <t>C8T8</t>
  </si>
  <si>
    <t>C8T9</t>
  </si>
  <si>
    <t>C8T9b</t>
  </si>
  <si>
    <t>C9V1</t>
  </si>
  <si>
    <t>C9V2</t>
  </si>
  <si>
    <t>C9V3</t>
  </si>
  <si>
    <t>C9V4</t>
  </si>
  <si>
    <t>C9V5</t>
  </si>
  <si>
    <t>C9V6</t>
  </si>
  <si>
    <t>C9V7</t>
  </si>
  <si>
    <t>C9T1</t>
  </si>
  <si>
    <t>C9T2</t>
  </si>
  <si>
    <t>C9T3</t>
  </si>
  <si>
    <t>C9T4</t>
  </si>
  <si>
    <t>C9T5</t>
  </si>
  <si>
    <t>C9T6</t>
  </si>
  <si>
    <t>C9T7</t>
  </si>
  <si>
    <t>C9T8</t>
  </si>
  <si>
    <t>C10V1</t>
  </si>
  <si>
    <t>C10V2</t>
  </si>
  <si>
    <t>C10V3</t>
  </si>
  <si>
    <t>C10V4</t>
  </si>
  <si>
    <t>C10T1</t>
  </si>
  <si>
    <t>C10T2</t>
  </si>
  <si>
    <t>C10T3</t>
  </si>
  <si>
    <t>C10T4</t>
  </si>
  <si>
    <t>C10T5</t>
  </si>
  <si>
    <t>C10T6</t>
  </si>
  <si>
    <t>C10T7</t>
  </si>
  <si>
    <t>C11V1</t>
  </si>
  <si>
    <t>C11V2</t>
  </si>
  <si>
    <t>C11V3</t>
  </si>
  <si>
    <t>C11V4</t>
  </si>
  <si>
    <t>C11V5</t>
  </si>
  <si>
    <t>C11V6</t>
  </si>
  <si>
    <t>C11V7</t>
  </si>
  <si>
    <t>C11V8</t>
  </si>
  <si>
    <t>C11T1</t>
  </si>
  <si>
    <t>C11T2</t>
  </si>
  <si>
    <t>C11T3</t>
  </si>
  <si>
    <t>C11T4</t>
  </si>
  <si>
    <t>C11T5</t>
  </si>
  <si>
    <t>C11T6</t>
  </si>
  <si>
    <t>C11T7</t>
  </si>
  <si>
    <t>C11T8</t>
  </si>
  <si>
    <t>C11T9</t>
  </si>
  <si>
    <t>C11T10</t>
  </si>
  <si>
    <t>C11T11</t>
  </si>
  <si>
    <t>C11T12</t>
  </si>
  <si>
    <t>C12V1</t>
  </si>
  <si>
    <t>C12V2</t>
  </si>
  <si>
    <t>C12V3</t>
  </si>
  <si>
    <t>C12V4</t>
  </si>
  <si>
    <t>C12V5</t>
  </si>
  <si>
    <t>C12V6</t>
  </si>
  <si>
    <t>C12T1</t>
  </si>
  <si>
    <t>C12T2</t>
  </si>
  <si>
    <t>C12T3</t>
  </si>
  <si>
    <t>C12T4</t>
  </si>
  <si>
    <t>C12T5</t>
  </si>
  <si>
    <t>C12T6</t>
  </si>
  <si>
    <t>C12T7</t>
  </si>
  <si>
    <t>C12T8</t>
  </si>
  <si>
    <t>C12T9</t>
  </si>
  <si>
    <t>C12T10</t>
  </si>
  <si>
    <t>C13V1</t>
  </si>
  <si>
    <t>C13V2</t>
  </si>
  <si>
    <t>C13V3</t>
  </si>
  <si>
    <t>C13V4</t>
  </si>
  <si>
    <t>C13V5</t>
  </si>
  <si>
    <t>C13V6</t>
  </si>
  <si>
    <t>C13V7</t>
  </si>
  <si>
    <t>C13T1</t>
  </si>
  <si>
    <t>C13T2</t>
  </si>
  <si>
    <t>C13T3</t>
  </si>
  <si>
    <t>C13T4</t>
  </si>
  <si>
    <t>C13T5</t>
  </si>
  <si>
    <t>C13T6</t>
  </si>
  <si>
    <t>C13T7</t>
  </si>
  <si>
    <t>C13T8</t>
  </si>
  <si>
    <t>C14V1</t>
  </si>
  <si>
    <t>C14V2</t>
  </si>
  <si>
    <t>C14V3</t>
  </si>
  <si>
    <t>C14V4</t>
  </si>
  <si>
    <t>C14V5</t>
  </si>
  <si>
    <t>C14V6</t>
  </si>
  <si>
    <t>C14T1</t>
  </si>
  <si>
    <t>C14T2</t>
  </si>
  <si>
    <t>C14T3</t>
  </si>
  <si>
    <t>C14T4</t>
  </si>
  <si>
    <t>C14T5</t>
  </si>
  <si>
    <t>C14T6</t>
  </si>
  <si>
    <t>C14T7</t>
  </si>
  <si>
    <t>C14T8</t>
  </si>
  <si>
    <t>C15V1</t>
  </si>
  <si>
    <t>C15V2</t>
  </si>
  <si>
    <t>C15V3</t>
  </si>
  <si>
    <t>C15V4</t>
  </si>
  <si>
    <t>C15V5</t>
  </si>
  <si>
    <t>C15V6</t>
  </si>
  <si>
    <t>C15T1</t>
  </si>
  <si>
    <t>C15T2</t>
  </si>
  <si>
    <t>C15T3</t>
  </si>
  <si>
    <t>C15T4</t>
  </si>
  <si>
    <t>C15T5</t>
  </si>
  <si>
    <t>C15T6</t>
  </si>
  <si>
    <t>C15T7</t>
  </si>
  <si>
    <t>C15T8</t>
  </si>
  <si>
    <t>C16V1</t>
  </si>
  <si>
    <t>C16V2</t>
  </si>
  <si>
    <t>C16V3</t>
  </si>
  <si>
    <t>C16V4</t>
  </si>
  <si>
    <t>C16V5</t>
  </si>
  <si>
    <t>C16V6</t>
  </si>
  <si>
    <t>C16T1</t>
  </si>
  <si>
    <t>C16T2</t>
  </si>
  <si>
    <t>C16T3</t>
  </si>
  <si>
    <t>C16T4</t>
  </si>
  <si>
    <t>C16T5</t>
  </si>
  <si>
    <t>C16T6</t>
  </si>
  <si>
    <t>C16T7</t>
  </si>
  <si>
    <t>C19V1</t>
  </si>
  <si>
    <t>C19V2</t>
  </si>
  <si>
    <t>C19V3</t>
  </si>
  <si>
    <t>C19V4</t>
  </si>
  <si>
    <t>C19V5</t>
  </si>
  <si>
    <t>C19V7</t>
  </si>
  <si>
    <t>C19V8</t>
  </si>
  <si>
    <t>C19T1</t>
  </si>
  <si>
    <t>C19T2</t>
  </si>
  <si>
    <t>C19T3</t>
  </si>
  <si>
    <t>C19T4</t>
  </si>
  <si>
    <t>C19T5</t>
  </si>
  <si>
    <t>C19T6</t>
  </si>
  <si>
    <t>C19T7</t>
  </si>
  <si>
    <t>qty std pcs</t>
  </si>
  <si>
    <t>set</t>
  </si>
  <si>
    <t>check</t>
  </si>
  <si>
    <t>C1V1</t>
  </si>
  <si>
    <t>C1V2</t>
  </si>
  <si>
    <t>C1V3</t>
  </si>
  <si>
    <t>C1V4</t>
  </si>
  <si>
    <t>C1T1</t>
  </si>
  <si>
    <t>C1T2</t>
  </si>
  <si>
    <t>C1T3</t>
  </si>
  <si>
    <t>C1T4</t>
  </si>
  <si>
    <t>C1T5</t>
  </si>
  <si>
    <t>C1T6</t>
  </si>
  <si>
    <t>C1T7</t>
  </si>
  <si>
    <t>C1T8</t>
  </si>
  <si>
    <t>C17V1</t>
  </si>
  <si>
    <t>C17V2</t>
  </si>
  <si>
    <t>C17V3</t>
  </si>
  <si>
    <t>C17V4</t>
  </si>
  <si>
    <t>C17V5</t>
  </si>
  <si>
    <t>C17V6</t>
  </si>
  <si>
    <t>C17T1</t>
  </si>
  <si>
    <t>C17T2</t>
  </si>
  <si>
    <t>C17T3</t>
  </si>
  <si>
    <t>C17T4</t>
  </si>
  <si>
    <t>C17T5</t>
  </si>
  <si>
    <t>C17T6</t>
  </si>
  <si>
    <t>C18V1</t>
  </si>
  <si>
    <t>C18V2</t>
  </si>
  <si>
    <t>C18V3</t>
  </si>
  <si>
    <t>C18V4</t>
  </si>
  <si>
    <t>C18V5</t>
  </si>
  <si>
    <t>C18V6</t>
  </si>
  <si>
    <t>C18V7</t>
  </si>
  <si>
    <t>C18V8</t>
  </si>
  <si>
    <t>C18V9</t>
  </si>
  <si>
    <t>C18T1</t>
  </si>
  <si>
    <t>C18T2</t>
  </si>
  <si>
    <t>C18T3</t>
  </si>
  <si>
    <t>C18T4</t>
  </si>
  <si>
    <t>C18T5</t>
  </si>
  <si>
    <t>C18T6</t>
  </si>
  <si>
    <t>C18T7</t>
  </si>
  <si>
    <t>C18T8</t>
  </si>
  <si>
    <t>C20V1</t>
  </si>
  <si>
    <t>C20V2</t>
  </si>
  <si>
    <t>C20V3</t>
  </si>
  <si>
    <t>C20V4</t>
  </si>
  <si>
    <t>C20V5</t>
  </si>
  <si>
    <t>C20V6</t>
  </si>
  <si>
    <t>C20V7</t>
  </si>
  <si>
    <t>C20T1</t>
  </si>
  <si>
    <t>C20T2</t>
  </si>
  <si>
    <t>C20T3</t>
  </si>
  <si>
    <t>C20T4</t>
  </si>
  <si>
    <t>C20T5</t>
  </si>
  <si>
    <t>C20T6</t>
  </si>
  <si>
    <t>C21V1</t>
  </si>
  <si>
    <t>C21V2</t>
  </si>
  <si>
    <t>C21V3</t>
  </si>
  <si>
    <t>C21V4</t>
  </si>
  <si>
    <t>C21V5</t>
  </si>
  <si>
    <t>C21V6</t>
  </si>
  <si>
    <t>C21V7</t>
  </si>
  <si>
    <t>C21V8</t>
  </si>
  <si>
    <t>C21T1</t>
  </si>
  <si>
    <t>C21T2</t>
  </si>
  <si>
    <t>C21T3</t>
  </si>
  <si>
    <t>C21T4</t>
  </si>
  <si>
    <t>C21T5</t>
  </si>
  <si>
    <t>C21T6</t>
  </si>
  <si>
    <t>C21T7</t>
  </si>
  <si>
    <t>C21T8</t>
  </si>
  <si>
    <t>C22V1</t>
  </si>
  <si>
    <t>C22V2</t>
  </si>
  <si>
    <t>C22V3</t>
  </si>
  <si>
    <t>C22V4</t>
  </si>
  <si>
    <t>C22V5</t>
  </si>
  <si>
    <t>C22V6</t>
  </si>
  <si>
    <t>C22V7</t>
  </si>
  <si>
    <t>C22V8</t>
  </si>
  <si>
    <t>C22T1</t>
  </si>
  <si>
    <t>C22T2</t>
  </si>
  <si>
    <t>C22T3</t>
  </si>
  <si>
    <t>C22T4</t>
  </si>
  <si>
    <t>C22T5</t>
  </si>
  <si>
    <t>C22T6</t>
  </si>
  <si>
    <t>C22T7</t>
  </si>
  <si>
    <t>C23V1</t>
  </si>
  <si>
    <t>C23V2</t>
  </si>
  <si>
    <t>C23V3</t>
  </si>
  <si>
    <t>C23V4</t>
  </si>
  <si>
    <t>C23V5</t>
  </si>
  <si>
    <t>C23V6</t>
  </si>
  <si>
    <t>C23V7</t>
  </si>
  <si>
    <t>C23V8</t>
  </si>
  <si>
    <t>number of errors</t>
  </si>
  <si>
    <t>number of cut length per std. length (m)</t>
  </si>
  <si>
    <t>cut length (m)</t>
  </si>
  <si>
    <t>qty std pcs from cutting list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</si>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</sst>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F8"/>
        <bgColor rgb="FFFFFFFF"/>
      </patternFill>
    </fill>
    <fill>
      <patternFill patternType="solid">
        <fgColor rgb="FFF2F6FA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0" xfId="0" applyBorder="1"/>
    <xf numFmtId="0" fontId="0" fillId="0" borderId="10" xfId="0" applyBorder="1"/>
    <xf numFmtId="0" fontId="0" fillId="5" borderId="0" xfId="0" applyFill="1"/>
    <xf numFmtId="0" fontId="0" fillId="6" borderId="0" xfId="0" applyFill="1"/>
    <xf numFmtId="0" fontId="2" fillId="0" borderId="12" xfId="0" applyFont="1" applyBorder="1"/>
    <xf numFmtId="0" fontId="2" fillId="7" borderId="12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2" fontId="0" fillId="2" borderId="5" xfId="0" applyNumberFormat="1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7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2" fontId="0" fillId="2" borderId="0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9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2" fontId="0" fillId="2" borderId="10" xfId="0" applyNumberFormat="1" applyFont="1" applyFill="1" applyBorder="1" applyAlignment="1">
      <alignment horizontal="left"/>
    </xf>
    <xf numFmtId="0" fontId="0" fillId="2" borderId="10" xfId="0" applyFont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2" fontId="0" fillId="2" borderId="5" xfId="0" applyNumberForma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2" fontId="0" fillId="2" borderId="0" xfId="0" applyNumberForma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2" fontId="0" fillId="2" borderId="10" xfId="0" applyNumberForma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0" fontId="2" fillId="7" borderId="10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7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7" borderId="4" xfId="0" applyFont="1" applyFill="1" applyBorder="1"/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7" borderId="7" xfId="0" applyFont="1" applyFill="1" applyBorder="1"/>
    <xf numFmtId="0" fontId="2" fillId="8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7" borderId="9" xfId="0" applyFont="1" applyFill="1" applyBorder="1"/>
    <xf numFmtId="0" fontId="2" fillId="0" borderId="10" xfId="0" applyFont="1" applyBorder="1" applyAlignment="1">
      <alignment horizontal="left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1" xfId="0" applyFont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3</xdr:row>
      <xdr:rowOff>22860</xdr:rowOff>
    </xdr:from>
    <xdr:to>
      <xdr:col>5</xdr:col>
      <xdr:colOff>205740</xdr:colOff>
      <xdr:row>22</xdr:row>
      <xdr:rowOff>175260</xdr:rowOff>
    </xdr:to>
    <xdr:grpSp>
      <xdr:nvGrpSpPr>
        <xdr:cNvPr id="1102" name="docshapegroup1042">
          <a:extLst>
            <a:ext uri="{FF2B5EF4-FFF2-40B4-BE49-F238E27FC236}">
              <a16:creationId xmlns:a16="http://schemas.microsoft.com/office/drawing/2014/main" id="{58D7B52C-3E7A-DC12-1435-7105AE4DEC5D}"/>
            </a:ext>
          </a:extLst>
        </xdr:cNvPr>
        <xdr:cNvGrpSpPr>
          <a:grpSpLocks/>
        </xdr:cNvGrpSpPr>
      </xdr:nvGrpSpPr>
      <xdr:grpSpPr bwMode="auto">
        <a:xfrm>
          <a:off x="83820" y="578031"/>
          <a:ext cx="3169920" cy="4582886"/>
          <a:chOff x="1046" y="-1164"/>
          <a:chExt cx="4986" cy="5703"/>
        </a:xfrm>
      </xdr:grpSpPr>
      <xdr:sp macro="" textlink="">
        <xdr:nvSpPr>
          <xdr:cNvPr id="1103" name="docshape1043">
            <a:extLst>
              <a:ext uri="{FF2B5EF4-FFF2-40B4-BE49-F238E27FC236}">
                <a16:creationId xmlns:a16="http://schemas.microsoft.com/office/drawing/2014/main" id="{7E6EFC77-6339-E2A7-6C3F-45D06DD2DACD}"/>
              </a:ext>
            </a:extLst>
          </xdr:cNvPr>
          <xdr:cNvSpPr>
            <a:spLocks/>
          </xdr:cNvSpPr>
        </xdr:nvSpPr>
        <xdr:spPr bwMode="auto">
          <a:xfrm>
            <a:off x="1380" y="2288"/>
            <a:ext cx="1218" cy="466"/>
          </a:xfrm>
          <a:custGeom>
            <a:avLst/>
            <a:gdLst>
              <a:gd name="T0" fmla="+- 0 2598 1380"/>
              <a:gd name="T1" fmla="*/ T0 w 1218"/>
              <a:gd name="T2" fmla="+- 0 2288 2288"/>
              <a:gd name="T3" fmla="*/ 2288 h 466"/>
              <a:gd name="T4" fmla="+- 0 1646 1380"/>
              <a:gd name="T5" fmla="*/ T4 w 1218"/>
              <a:gd name="T6" fmla="+- 0 2288 2288"/>
              <a:gd name="T7" fmla="*/ 2288 h 466"/>
              <a:gd name="T8" fmla="+- 0 1380 1380"/>
              <a:gd name="T9" fmla="*/ T8 w 1218"/>
              <a:gd name="T10" fmla="+- 0 2554 2288"/>
              <a:gd name="T11" fmla="*/ 2554 h 466"/>
              <a:gd name="T12" fmla="+- 0 1380 1380"/>
              <a:gd name="T13" fmla="*/ T12 w 1218"/>
              <a:gd name="T14" fmla="+- 0 2754 2288"/>
              <a:gd name="T15" fmla="*/ 2754 h 466"/>
              <a:gd name="T16" fmla="+- 0 2330 1380"/>
              <a:gd name="T17" fmla="*/ T16 w 1218"/>
              <a:gd name="T18" fmla="+- 0 2754 2288"/>
              <a:gd name="T19" fmla="*/ 2754 h 466"/>
              <a:gd name="T20" fmla="+- 0 2598 1380"/>
              <a:gd name="T21" fmla="*/ T20 w 1218"/>
              <a:gd name="T22" fmla="+- 0 2486 2288"/>
              <a:gd name="T23" fmla="*/ 2486 h 466"/>
              <a:gd name="T24" fmla="+- 0 2598 1380"/>
              <a:gd name="T25" fmla="*/ T24 w 1218"/>
              <a:gd name="T26" fmla="+- 0 2288 2288"/>
              <a:gd name="T27" fmla="*/ 2288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218" h="466">
                <a:moveTo>
                  <a:pt x="1218" y="0"/>
                </a:moveTo>
                <a:lnTo>
                  <a:pt x="266" y="0"/>
                </a:lnTo>
                <a:lnTo>
                  <a:pt x="0" y="266"/>
                </a:lnTo>
                <a:lnTo>
                  <a:pt x="0" y="466"/>
                </a:lnTo>
                <a:lnTo>
                  <a:pt x="950" y="466"/>
                </a:lnTo>
                <a:lnTo>
                  <a:pt x="1218" y="198"/>
                </a:lnTo>
                <a:lnTo>
                  <a:pt x="1218" y="0"/>
                </a:lnTo>
                <a:close/>
              </a:path>
            </a:pathLst>
          </a:custGeom>
          <a:solidFill>
            <a:srgbClr val="4E80B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04" name="docshape1044">
            <a:extLst>
              <a:ext uri="{FF2B5EF4-FFF2-40B4-BE49-F238E27FC236}">
                <a16:creationId xmlns:a16="http://schemas.microsoft.com/office/drawing/2014/main" id="{06E09C2B-162A-A7F9-8D71-A082D8E38B6B}"/>
              </a:ext>
            </a:extLst>
          </xdr:cNvPr>
          <xdr:cNvSpPr>
            <a:spLocks/>
          </xdr:cNvSpPr>
        </xdr:nvSpPr>
        <xdr:spPr bwMode="auto">
          <a:xfrm>
            <a:off x="1380" y="2288"/>
            <a:ext cx="1218" cy="466"/>
          </a:xfrm>
          <a:custGeom>
            <a:avLst/>
            <a:gdLst>
              <a:gd name="T0" fmla="+- 0 1380 1380"/>
              <a:gd name="T1" fmla="*/ T0 w 1218"/>
              <a:gd name="T2" fmla="+- 0 2754 2288"/>
              <a:gd name="T3" fmla="*/ 2754 h 466"/>
              <a:gd name="T4" fmla="+- 0 1380 1380"/>
              <a:gd name="T5" fmla="*/ T4 w 1218"/>
              <a:gd name="T6" fmla="+- 0 2554 2288"/>
              <a:gd name="T7" fmla="*/ 2554 h 466"/>
              <a:gd name="T8" fmla="+- 0 1646 1380"/>
              <a:gd name="T9" fmla="*/ T8 w 1218"/>
              <a:gd name="T10" fmla="+- 0 2288 2288"/>
              <a:gd name="T11" fmla="*/ 2288 h 466"/>
              <a:gd name="T12" fmla="+- 0 2598 1380"/>
              <a:gd name="T13" fmla="*/ T12 w 1218"/>
              <a:gd name="T14" fmla="+- 0 2288 2288"/>
              <a:gd name="T15" fmla="*/ 2288 h 466"/>
              <a:gd name="T16" fmla="+- 0 2598 1380"/>
              <a:gd name="T17" fmla="*/ T16 w 1218"/>
              <a:gd name="T18" fmla="+- 0 2486 2288"/>
              <a:gd name="T19" fmla="*/ 2486 h 466"/>
              <a:gd name="T20" fmla="+- 0 2330 1380"/>
              <a:gd name="T21" fmla="*/ T20 w 1218"/>
              <a:gd name="T22" fmla="+- 0 2754 2288"/>
              <a:gd name="T23" fmla="*/ 2754 h 466"/>
              <a:gd name="T24" fmla="+- 0 1380 1380"/>
              <a:gd name="T25" fmla="*/ T24 w 1218"/>
              <a:gd name="T26" fmla="+- 0 2754 2288"/>
              <a:gd name="T27" fmla="*/ 2754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218" h="466">
                <a:moveTo>
                  <a:pt x="0" y="466"/>
                </a:moveTo>
                <a:lnTo>
                  <a:pt x="0" y="266"/>
                </a:lnTo>
                <a:lnTo>
                  <a:pt x="266" y="0"/>
                </a:lnTo>
                <a:lnTo>
                  <a:pt x="1218" y="0"/>
                </a:lnTo>
                <a:lnTo>
                  <a:pt x="1218" y="198"/>
                </a:lnTo>
                <a:lnTo>
                  <a:pt x="950" y="466"/>
                </a:lnTo>
                <a:lnTo>
                  <a:pt x="0" y="46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5" name="docshape1045">
            <a:extLst>
              <a:ext uri="{FF2B5EF4-FFF2-40B4-BE49-F238E27FC236}">
                <a16:creationId xmlns:a16="http://schemas.microsoft.com/office/drawing/2014/main" id="{A7E36703-6112-51A7-16F6-C40E2921AD84}"/>
              </a:ext>
            </a:extLst>
          </xdr:cNvPr>
          <xdr:cNvSpPr>
            <a:spLocks/>
          </xdr:cNvSpPr>
        </xdr:nvSpPr>
        <xdr:spPr bwMode="auto">
          <a:xfrm>
            <a:off x="1377" y="2285"/>
            <a:ext cx="1224" cy="472"/>
          </a:xfrm>
          <a:custGeom>
            <a:avLst/>
            <a:gdLst>
              <a:gd name="T0" fmla="+- 0 1383 1377"/>
              <a:gd name="T1" fmla="*/ T0 w 1224"/>
              <a:gd name="T2" fmla="+- 0 2288 2286"/>
              <a:gd name="T3" fmla="*/ 2288 h 472"/>
              <a:gd name="T4" fmla="+- 0 1382 1377"/>
              <a:gd name="T5" fmla="*/ T4 w 1224"/>
              <a:gd name="T6" fmla="+- 0 2287 2286"/>
              <a:gd name="T7" fmla="*/ 2287 h 472"/>
              <a:gd name="T8" fmla="+- 0 1380 1377"/>
              <a:gd name="T9" fmla="*/ T8 w 1224"/>
              <a:gd name="T10" fmla="+- 0 2286 2286"/>
              <a:gd name="T11" fmla="*/ 2286 h 472"/>
              <a:gd name="T12" fmla="+- 0 1378 1377"/>
              <a:gd name="T13" fmla="*/ T12 w 1224"/>
              <a:gd name="T14" fmla="+- 0 2287 2286"/>
              <a:gd name="T15" fmla="*/ 2287 h 472"/>
              <a:gd name="T16" fmla="+- 0 1377 1377"/>
              <a:gd name="T17" fmla="*/ T16 w 1224"/>
              <a:gd name="T18" fmla="+- 0 2288 2286"/>
              <a:gd name="T19" fmla="*/ 2288 h 472"/>
              <a:gd name="T20" fmla="+- 0 1378 1377"/>
              <a:gd name="T21" fmla="*/ T20 w 1224"/>
              <a:gd name="T22" fmla="+- 0 2290 2286"/>
              <a:gd name="T23" fmla="*/ 2290 h 472"/>
              <a:gd name="T24" fmla="+- 0 1380 1377"/>
              <a:gd name="T25" fmla="*/ T24 w 1224"/>
              <a:gd name="T26" fmla="+- 0 2291 2286"/>
              <a:gd name="T27" fmla="*/ 2291 h 472"/>
              <a:gd name="T28" fmla="+- 0 1382 1377"/>
              <a:gd name="T29" fmla="*/ T28 w 1224"/>
              <a:gd name="T30" fmla="+- 0 2290 2286"/>
              <a:gd name="T31" fmla="*/ 2290 h 472"/>
              <a:gd name="T32" fmla="+- 0 1383 1377"/>
              <a:gd name="T33" fmla="*/ T32 w 1224"/>
              <a:gd name="T34" fmla="+- 0 2288 2286"/>
              <a:gd name="T35" fmla="*/ 2288 h 472"/>
              <a:gd name="T36" fmla="+- 0 2601 1377"/>
              <a:gd name="T37" fmla="*/ T36 w 1224"/>
              <a:gd name="T38" fmla="+- 0 2754 2286"/>
              <a:gd name="T39" fmla="*/ 2754 h 472"/>
              <a:gd name="T40" fmla="+- 0 2600 1377"/>
              <a:gd name="T41" fmla="*/ T40 w 1224"/>
              <a:gd name="T42" fmla="+- 0 2753 2286"/>
              <a:gd name="T43" fmla="*/ 2753 h 472"/>
              <a:gd name="T44" fmla="+- 0 2598 1377"/>
              <a:gd name="T45" fmla="*/ T44 w 1224"/>
              <a:gd name="T46" fmla="+- 0 2752 2286"/>
              <a:gd name="T47" fmla="*/ 2752 h 472"/>
              <a:gd name="T48" fmla="+- 0 2596 1377"/>
              <a:gd name="T49" fmla="*/ T48 w 1224"/>
              <a:gd name="T50" fmla="+- 0 2753 2286"/>
              <a:gd name="T51" fmla="*/ 2753 h 472"/>
              <a:gd name="T52" fmla="+- 0 2595 1377"/>
              <a:gd name="T53" fmla="*/ T52 w 1224"/>
              <a:gd name="T54" fmla="+- 0 2754 2286"/>
              <a:gd name="T55" fmla="*/ 2754 h 472"/>
              <a:gd name="T56" fmla="+- 0 2596 1377"/>
              <a:gd name="T57" fmla="*/ T56 w 1224"/>
              <a:gd name="T58" fmla="+- 0 2756 2286"/>
              <a:gd name="T59" fmla="*/ 2756 h 472"/>
              <a:gd name="T60" fmla="+- 0 2598 1377"/>
              <a:gd name="T61" fmla="*/ T60 w 1224"/>
              <a:gd name="T62" fmla="+- 0 2757 2286"/>
              <a:gd name="T63" fmla="*/ 2757 h 472"/>
              <a:gd name="T64" fmla="+- 0 2600 1377"/>
              <a:gd name="T65" fmla="*/ T64 w 1224"/>
              <a:gd name="T66" fmla="+- 0 2756 2286"/>
              <a:gd name="T67" fmla="*/ 2756 h 472"/>
              <a:gd name="T68" fmla="+- 0 2601 1377"/>
              <a:gd name="T69" fmla="*/ T68 w 1224"/>
              <a:gd name="T70" fmla="+- 0 2754 2286"/>
              <a:gd name="T71" fmla="*/ 2754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24" h="47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1224" y="468"/>
                </a:moveTo>
                <a:lnTo>
                  <a:pt x="1223" y="467"/>
                </a:lnTo>
                <a:lnTo>
                  <a:pt x="1221" y="466"/>
                </a:lnTo>
                <a:lnTo>
                  <a:pt x="1219" y="467"/>
                </a:lnTo>
                <a:lnTo>
                  <a:pt x="1218" y="468"/>
                </a:lnTo>
                <a:lnTo>
                  <a:pt x="1219" y="470"/>
                </a:lnTo>
                <a:lnTo>
                  <a:pt x="1221" y="471"/>
                </a:lnTo>
                <a:lnTo>
                  <a:pt x="1223" y="470"/>
                </a:lnTo>
                <a:lnTo>
                  <a:pt x="1224" y="46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06" name="docshape1046">
            <a:extLst>
              <a:ext uri="{FF2B5EF4-FFF2-40B4-BE49-F238E27FC236}">
                <a16:creationId xmlns:a16="http://schemas.microsoft.com/office/drawing/2014/main" id="{C21BD00C-9683-20C6-1ABD-82E8347E1024}"/>
              </a:ext>
            </a:extLst>
          </xdr:cNvPr>
          <xdr:cNvSpPr>
            <a:spLocks/>
          </xdr:cNvSpPr>
        </xdr:nvSpPr>
        <xdr:spPr bwMode="auto">
          <a:xfrm>
            <a:off x="1380" y="2288"/>
            <a:ext cx="1218" cy="266"/>
          </a:xfrm>
          <a:custGeom>
            <a:avLst/>
            <a:gdLst>
              <a:gd name="T0" fmla="+- 0 2598 1380"/>
              <a:gd name="T1" fmla="*/ T0 w 1218"/>
              <a:gd name="T2" fmla="+- 0 2288 2288"/>
              <a:gd name="T3" fmla="*/ 2288 h 266"/>
              <a:gd name="T4" fmla="+- 0 1646 1380"/>
              <a:gd name="T5" fmla="*/ T4 w 1218"/>
              <a:gd name="T6" fmla="+- 0 2288 2288"/>
              <a:gd name="T7" fmla="*/ 2288 h 266"/>
              <a:gd name="T8" fmla="+- 0 1380 1380"/>
              <a:gd name="T9" fmla="*/ T8 w 1218"/>
              <a:gd name="T10" fmla="+- 0 2554 2288"/>
              <a:gd name="T11" fmla="*/ 2554 h 266"/>
              <a:gd name="T12" fmla="+- 0 2330 1380"/>
              <a:gd name="T13" fmla="*/ T12 w 1218"/>
              <a:gd name="T14" fmla="+- 0 2554 2288"/>
              <a:gd name="T15" fmla="*/ 2554 h 266"/>
              <a:gd name="T16" fmla="+- 0 2598 1380"/>
              <a:gd name="T17" fmla="*/ T16 w 1218"/>
              <a:gd name="T18" fmla="+- 0 2288 2288"/>
              <a:gd name="T19" fmla="*/ 2288 h 2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8" h="266">
                <a:moveTo>
                  <a:pt x="1218" y="0"/>
                </a:moveTo>
                <a:lnTo>
                  <a:pt x="266" y="0"/>
                </a:lnTo>
                <a:lnTo>
                  <a:pt x="0" y="266"/>
                </a:lnTo>
                <a:lnTo>
                  <a:pt x="950" y="266"/>
                </a:lnTo>
                <a:lnTo>
                  <a:pt x="1218" y="0"/>
                </a:lnTo>
                <a:close/>
              </a:path>
            </a:pathLst>
          </a:custGeom>
          <a:solidFill>
            <a:srgbClr val="6B96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07" name="docshape1047">
            <a:extLst>
              <a:ext uri="{FF2B5EF4-FFF2-40B4-BE49-F238E27FC236}">
                <a16:creationId xmlns:a16="http://schemas.microsoft.com/office/drawing/2014/main" id="{AC06A1D4-99F3-B716-2331-4D4D5E864F1A}"/>
              </a:ext>
            </a:extLst>
          </xdr:cNvPr>
          <xdr:cNvSpPr>
            <a:spLocks/>
          </xdr:cNvSpPr>
        </xdr:nvSpPr>
        <xdr:spPr bwMode="auto">
          <a:xfrm>
            <a:off x="1380" y="2288"/>
            <a:ext cx="1218" cy="266"/>
          </a:xfrm>
          <a:custGeom>
            <a:avLst/>
            <a:gdLst>
              <a:gd name="T0" fmla="+- 0 1380 1380"/>
              <a:gd name="T1" fmla="*/ T0 w 1218"/>
              <a:gd name="T2" fmla="+- 0 2554 2288"/>
              <a:gd name="T3" fmla="*/ 2554 h 266"/>
              <a:gd name="T4" fmla="+- 0 1646 1380"/>
              <a:gd name="T5" fmla="*/ T4 w 1218"/>
              <a:gd name="T6" fmla="+- 0 2288 2288"/>
              <a:gd name="T7" fmla="*/ 2288 h 266"/>
              <a:gd name="T8" fmla="+- 0 2598 1380"/>
              <a:gd name="T9" fmla="*/ T8 w 1218"/>
              <a:gd name="T10" fmla="+- 0 2288 2288"/>
              <a:gd name="T11" fmla="*/ 2288 h 266"/>
              <a:gd name="T12" fmla="+- 0 2330 1380"/>
              <a:gd name="T13" fmla="*/ T12 w 1218"/>
              <a:gd name="T14" fmla="+- 0 2554 2288"/>
              <a:gd name="T15" fmla="*/ 2554 h 266"/>
              <a:gd name="T16" fmla="+- 0 1380 1380"/>
              <a:gd name="T17" fmla="*/ T16 w 1218"/>
              <a:gd name="T18" fmla="+- 0 2554 2288"/>
              <a:gd name="T19" fmla="*/ 2554 h 2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8" h="266">
                <a:moveTo>
                  <a:pt x="0" y="266"/>
                </a:moveTo>
                <a:lnTo>
                  <a:pt x="266" y="0"/>
                </a:lnTo>
                <a:lnTo>
                  <a:pt x="1218" y="0"/>
                </a:lnTo>
                <a:lnTo>
                  <a:pt x="950" y="266"/>
                </a:lnTo>
                <a:lnTo>
                  <a:pt x="0" y="26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8" name="docshape1048">
            <a:extLst>
              <a:ext uri="{FF2B5EF4-FFF2-40B4-BE49-F238E27FC236}">
                <a16:creationId xmlns:a16="http://schemas.microsoft.com/office/drawing/2014/main" id="{E86390E9-78EF-0DE0-1DE2-F149D007B4B6}"/>
              </a:ext>
            </a:extLst>
          </xdr:cNvPr>
          <xdr:cNvSpPr>
            <a:spLocks/>
          </xdr:cNvSpPr>
        </xdr:nvSpPr>
        <xdr:spPr bwMode="auto">
          <a:xfrm>
            <a:off x="1377" y="2285"/>
            <a:ext cx="1224" cy="472"/>
          </a:xfrm>
          <a:custGeom>
            <a:avLst/>
            <a:gdLst>
              <a:gd name="T0" fmla="+- 0 1383 1377"/>
              <a:gd name="T1" fmla="*/ T0 w 1224"/>
              <a:gd name="T2" fmla="+- 0 2288 2286"/>
              <a:gd name="T3" fmla="*/ 2288 h 472"/>
              <a:gd name="T4" fmla="+- 0 1382 1377"/>
              <a:gd name="T5" fmla="*/ T4 w 1224"/>
              <a:gd name="T6" fmla="+- 0 2287 2286"/>
              <a:gd name="T7" fmla="*/ 2287 h 472"/>
              <a:gd name="T8" fmla="+- 0 1380 1377"/>
              <a:gd name="T9" fmla="*/ T8 w 1224"/>
              <a:gd name="T10" fmla="+- 0 2286 2286"/>
              <a:gd name="T11" fmla="*/ 2286 h 472"/>
              <a:gd name="T12" fmla="+- 0 1378 1377"/>
              <a:gd name="T13" fmla="*/ T12 w 1224"/>
              <a:gd name="T14" fmla="+- 0 2287 2286"/>
              <a:gd name="T15" fmla="*/ 2287 h 472"/>
              <a:gd name="T16" fmla="+- 0 1377 1377"/>
              <a:gd name="T17" fmla="*/ T16 w 1224"/>
              <a:gd name="T18" fmla="+- 0 2288 2286"/>
              <a:gd name="T19" fmla="*/ 2288 h 472"/>
              <a:gd name="T20" fmla="+- 0 1378 1377"/>
              <a:gd name="T21" fmla="*/ T20 w 1224"/>
              <a:gd name="T22" fmla="+- 0 2290 2286"/>
              <a:gd name="T23" fmla="*/ 2290 h 472"/>
              <a:gd name="T24" fmla="+- 0 1380 1377"/>
              <a:gd name="T25" fmla="*/ T24 w 1224"/>
              <a:gd name="T26" fmla="+- 0 2291 2286"/>
              <a:gd name="T27" fmla="*/ 2291 h 472"/>
              <a:gd name="T28" fmla="+- 0 1382 1377"/>
              <a:gd name="T29" fmla="*/ T28 w 1224"/>
              <a:gd name="T30" fmla="+- 0 2290 2286"/>
              <a:gd name="T31" fmla="*/ 2290 h 472"/>
              <a:gd name="T32" fmla="+- 0 1383 1377"/>
              <a:gd name="T33" fmla="*/ T32 w 1224"/>
              <a:gd name="T34" fmla="+- 0 2288 2286"/>
              <a:gd name="T35" fmla="*/ 2288 h 472"/>
              <a:gd name="T36" fmla="+- 0 2601 1377"/>
              <a:gd name="T37" fmla="*/ T36 w 1224"/>
              <a:gd name="T38" fmla="+- 0 2754 2286"/>
              <a:gd name="T39" fmla="*/ 2754 h 472"/>
              <a:gd name="T40" fmla="+- 0 2600 1377"/>
              <a:gd name="T41" fmla="*/ T40 w 1224"/>
              <a:gd name="T42" fmla="+- 0 2753 2286"/>
              <a:gd name="T43" fmla="*/ 2753 h 472"/>
              <a:gd name="T44" fmla="+- 0 2598 1377"/>
              <a:gd name="T45" fmla="*/ T44 w 1224"/>
              <a:gd name="T46" fmla="+- 0 2752 2286"/>
              <a:gd name="T47" fmla="*/ 2752 h 472"/>
              <a:gd name="T48" fmla="+- 0 2596 1377"/>
              <a:gd name="T49" fmla="*/ T48 w 1224"/>
              <a:gd name="T50" fmla="+- 0 2753 2286"/>
              <a:gd name="T51" fmla="*/ 2753 h 472"/>
              <a:gd name="T52" fmla="+- 0 2595 1377"/>
              <a:gd name="T53" fmla="*/ T52 w 1224"/>
              <a:gd name="T54" fmla="+- 0 2754 2286"/>
              <a:gd name="T55" fmla="*/ 2754 h 472"/>
              <a:gd name="T56" fmla="+- 0 2596 1377"/>
              <a:gd name="T57" fmla="*/ T56 w 1224"/>
              <a:gd name="T58" fmla="+- 0 2756 2286"/>
              <a:gd name="T59" fmla="*/ 2756 h 472"/>
              <a:gd name="T60" fmla="+- 0 2598 1377"/>
              <a:gd name="T61" fmla="*/ T60 w 1224"/>
              <a:gd name="T62" fmla="+- 0 2757 2286"/>
              <a:gd name="T63" fmla="*/ 2757 h 472"/>
              <a:gd name="T64" fmla="+- 0 2600 1377"/>
              <a:gd name="T65" fmla="*/ T64 w 1224"/>
              <a:gd name="T66" fmla="+- 0 2756 2286"/>
              <a:gd name="T67" fmla="*/ 2756 h 472"/>
              <a:gd name="T68" fmla="+- 0 2601 1377"/>
              <a:gd name="T69" fmla="*/ T68 w 1224"/>
              <a:gd name="T70" fmla="+- 0 2754 2286"/>
              <a:gd name="T71" fmla="*/ 2754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24" h="47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1224" y="468"/>
                </a:moveTo>
                <a:lnTo>
                  <a:pt x="1223" y="467"/>
                </a:lnTo>
                <a:lnTo>
                  <a:pt x="1221" y="466"/>
                </a:lnTo>
                <a:lnTo>
                  <a:pt x="1219" y="467"/>
                </a:lnTo>
                <a:lnTo>
                  <a:pt x="1218" y="468"/>
                </a:lnTo>
                <a:lnTo>
                  <a:pt x="1219" y="470"/>
                </a:lnTo>
                <a:lnTo>
                  <a:pt x="1221" y="471"/>
                </a:lnTo>
                <a:lnTo>
                  <a:pt x="1223" y="470"/>
                </a:lnTo>
                <a:lnTo>
                  <a:pt x="1224" y="46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09" name="docshape1049">
            <a:extLst>
              <a:ext uri="{FF2B5EF4-FFF2-40B4-BE49-F238E27FC236}">
                <a16:creationId xmlns:a16="http://schemas.microsoft.com/office/drawing/2014/main" id="{9983D727-D241-9229-9E68-AFB73541441B}"/>
              </a:ext>
            </a:extLst>
          </xdr:cNvPr>
          <xdr:cNvSpPr>
            <a:spLocks/>
          </xdr:cNvSpPr>
        </xdr:nvSpPr>
        <xdr:spPr bwMode="auto">
          <a:xfrm>
            <a:off x="2330" y="2288"/>
            <a:ext cx="268" cy="466"/>
          </a:xfrm>
          <a:custGeom>
            <a:avLst/>
            <a:gdLst>
              <a:gd name="T0" fmla="+- 0 2598 2330"/>
              <a:gd name="T1" fmla="*/ T0 w 268"/>
              <a:gd name="T2" fmla="+- 0 2288 2288"/>
              <a:gd name="T3" fmla="*/ 2288 h 466"/>
              <a:gd name="T4" fmla="+- 0 2330 2330"/>
              <a:gd name="T5" fmla="*/ T4 w 268"/>
              <a:gd name="T6" fmla="+- 0 2554 2288"/>
              <a:gd name="T7" fmla="*/ 2554 h 466"/>
              <a:gd name="T8" fmla="+- 0 2330 2330"/>
              <a:gd name="T9" fmla="*/ T8 w 268"/>
              <a:gd name="T10" fmla="+- 0 2754 2288"/>
              <a:gd name="T11" fmla="*/ 2754 h 466"/>
              <a:gd name="T12" fmla="+- 0 2598 2330"/>
              <a:gd name="T13" fmla="*/ T12 w 268"/>
              <a:gd name="T14" fmla="+- 0 2486 2288"/>
              <a:gd name="T15" fmla="*/ 2486 h 466"/>
              <a:gd name="T16" fmla="+- 0 2598 2330"/>
              <a:gd name="T17" fmla="*/ T16 w 268"/>
              <a:gd name="T18" fmla="+- 0 2288 2288"/>
              <a:gd name="T19" fmla="*/ 2288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68" h="466">
                <a:moveTo>
                  <a:pt x="268" y="0"/>
                </a:moveTo>
                <a:lnTo>
                  <a:pt x="0" y="266"/>
                </a:lnTo>
                <a:lnTo>
                  <a:pt x="0" y="466"/>
                </a:lnTo>
                <a:lnTo>
                  <a:pt x="268" y="198"/>
                </a:lnTo>
                <a:lnTo>
                  <a:pt x="268" y="0"/>
                </a:lnTo>
                <a:close/>
              </a:path>
            </a:pathLst>
          </a:custGeom>
          <a:solidFill>
            <a:srgbClr val="3E669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10" name="docshape1050">
            <a:extLst>
              <a:ext uri="{FF2B5EF4-FFF2-40B4-BE49-F238E27FC236}">
                <a16:creationId xmlns:a16="http://schemas.microsoft.com/office/drawing/2014/main" id="{F7A35574-34AA-21FC-2BEE-F67659AE190C}"/>
              </a:ext>
            </a:extLst>
          </xdr:cNvPr>
          <xdr:cNvSpPr>
            <a:spLocks/>
          </xdr:cNvSpPr>
        </xdr:nvSpPr>
        <xdr:spPr bwMode="auto">
          <a:xfrm>
            <a:off x="2330" y="2288"/>
            <a:ext cx="268" cy="466"/>
          </a:xfrm>
          <a:custGeom>
            <a:avLst/>
            <a:gdLst>
              <a:gd name="T0" fmla="+- 0 2330 2330"/>
              <a:gd name="T1" fmla="*/ T0 w 268"/>
              <a:gd name="T2" fmla="+- 0 2754 2288"/>
              <a:gd name="T3" fmla="*/ 2754 h 466"/>
              <a:gd name="T4" fmla="+- 0 2330 2330"/>
              <a:gd name="T5" fmla="*/ T4 w 268"/>
              <a:gd name="T6" fmla="+- 0 2554 2288"/>
              <a:gd name="T7" fmla="*/ 2554 h 466"/>
              <a:gd name="T8" fmla="+- 0 2598 2330"/>
              <a:gd name="T9" fmla="*/ T8 w 268"/>
              <a:gd name="T10" fmla="+- 0 2288 2288"/>
              <a:gd name="T11" fmla="*/ 2288 h 466"/>
              <a:gd name="T12" fmla="+- 0 2598 2330"/>
              <a:gd name="T13" fmla="*/ T12 w 268"/>
              <a:gd name="T14" fmla="+- 0 2486 2288"/>
              <a:gd name="T15" fmla="*/ 2486 h 466"/>
              <a:gd name="T16" fmla="+- 0 2330 2330"/>
              <a:gd name="T17" fmla="*/ T16 w 268"/>
              <a:gd name="T18" fmla="+- 0 2754 2288"/>
              <a:gd name="T19" fmla="*/ 2754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68" h="466">
                <a:moveTo>
                  <a:pt x="0" y="466"/>
                </a:moveTo>
                <a:lnTo>
                  <a:pt x="0" y="266"/>
                </a:lnTo>
                <a:lnTo>
                  <a:pt x="268" y="0"/>
                </a:lnTo>
                <a:lnTo>
                  <a:pt x="268" y="198"/>
                </a:lnTo>
                <a:lnTo>
                  <a:pt x="0" y="46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1" name="docshape1051">
            <a:extLst>
              <a:ext uri="{FF2B5EF4-FFF2-40B4-BE49-F238E27FC236}">
                <a16:creationId xmlns:a16="http://schemas.microsoft.com/office/drawing/2014/main" id="{2C95E056-D390-E137-5072-D9A398DF2F8C}"/>
              </a:ext>
            </a:extLst>
          </xdr:cNvPr>
          <xdr:cNvSpPr>
            <a:spLocks/>
          </xdr:cNvSpPr>
        </xdr:nvSpPr>
        <xdr:spPr bwMode="auto">
          <a:xfrm>
            <a:off x="1377" y="2285"/>
            <a:ext cx="1224" cy="472"/>
          </a:xfrm>
          <a:custGeom>
            <a:avLst/>
            <a:gdLst>
              <a:gd name="T0" fmla="+- 0 1383 1377"/>
              <a:gd name="T1" fmla="*/ T0 w 1224"/>
              <a:gd name="T2" fmla="+- 0 2288 2286"/>
              <a:gd name="T3" fmla="*/ 2288 h 472"/>
              <a:gd name="T4" fmla="+- 0 1382 1377"/>
              <a:gd name="T5" fmla="*/ T4 w 1224"/>
              <a:gd name="T6" fmla="+- 0 2287 2286"/>
              <a:gd name="T7" fmla="*/ 2287 h 472"/>
              <a:gd name="T8" fmla="+- 0 1380 1377"/>
              <a:gd name="T9" fmla="*/ T8 w 1224"/>
              <a:gd name="T10" fmla="+- 0 2286 2286"/>
              <a:gd name="T11" fmla="*/ 2286 h 472"/>
              <a:gd name="T12" fmla="+- 0 1378 1377"/>
              <a:gd name="T13" fmla="*/ T12 w 1224"/>
              <a:gd name="T14" fmla="+- 0 2287 2286"/>
              <a:gd name="T15" fmla="*/ 2287 h 472"/>
              <a:gd name="T16" fmla="+- 0 1377 1377"/>
              <a:gd name="T17" fmla="*/ T16 w 1224"/>
              <a:gd name="T18" fmla="+- 0 2288 2286"/>
              <a:gd name="T19" fmla="*/ 2288 h 472"/>
              <a:gd name="T20" fmla="+- 0 1378 1377"/>
              <a:gd name="T21" fmla="*/ T20 w 1224"/>
              <a:gd name="T22" fmla="+- 0 2290 2286"/>
              <a:gd name="T23" fmla="*/ 2290 h 472"/>
              <a:gd name="T24" fmla="+- 0 1380 1377"/>
              <a:gd name="T25" fmla="*/ T24 w 1224"/>
              <a:gd name="T26" fmla="+- 0 2291 2286"/>
              <a:gd name="T27" fmla="*/ 2291 h 472"/>
              <a:gd name="T28" fmla="+- 0 1382 1377"/>
              <a:gd name="T29" fmla="*/ T28 w 1224"/>
              <a:gd name="T30" fmla="+- 0 2290 2286"/>
              <a:gd name="T31" fmla="*/ 2290 h 472"/>
              <a:gd name="T32" fmla="+- 0 1383 1377"/>
              <a:gd name="T33" fmla="*/ T32 w 1224"/>
              <a:gd name="T34" fmla="+- 0 2288 2286"/>
              <a:gd name="T35" fmla="*/ 2288 h 472"/>
              <a:gd name="T36" fmla="+- 0 2601 1377"/>
              <a:gd name="T37" fmla="*/ T36 w 1224"/>
              <a:gd name="T38" fmla="+- 0 2754 2286"/>
              <a:gd name="T39" fmla="*/ 2754 h 472"/>
              <a:gd name="T40" fmla="+- 0 2600 1377"/>
              <a:gd name="T41" fmla="*/ T40 w 1224"/>
              <a:gd name="T42" fmla="+- 0 2753 2286"/>
              <a:gd name="T43" fmla="*/ 2753 h 472"/>
              <a:gd name="T44" fmla="+- 0 2598 1377"/>
              <a:gd name="T45" fmla="*/ T44 w 1224"/>
              <a:gd name="T46" fmla="+- 0 2752 2286"/>
              <a:gd name="T47" fmla="*/ 2752 h 472"/>
              <a:gd name="T48" fmla="+- 0 2596 1377"/>
              <a:gd name="T49" fmla="*/ T48 w 1224"/>
              <a:gd name="T50" fmla="+- 0 2753 2286"/>
              <a:gd name="T51" fmla="*/ 2753 h 472"/>
              <a:gd name="T52" fmla="+- 0 2595 1377"/>
              <a:gd name="T53" fmla="*/ T52 w 1224"/>
              <a:gd name="T54" fmla="+- 0 2754 2286"/>
              <a:gd name="T55" fmla="*/ 2754 h 472"/>
              <a:gd name="T56" fmla="+- 0 2596 1377"/>
              <a:gd name="T57" fmla="*/ T56 w 1224"/>
              <a:gd name="T58" fmla="+- 0 2756 2286"/>
              <a:gd name="T59" fmla="*/ 2756 h 472"/>
              <a:gd name="T60" fmla="+- 0 2598 1377"/>
              <a:gd name="T61" fmla="*/ T60 w 1224"/>
              <a:gd name="T62" fmla="+- 0 2757 2286"/>
              <a:gd name="T63" fmla="*/ 2757 h 472"/>
              <a:gd name="T64" fmla="+- 0 2600 1377"/>
              <a:gd name="T65" fmla="*/ T64 w 1224"/>
              <a:gd name="T66" fmla="+- 0 2756 2286"/>
              <a:gd name="T67" fmla="*/ 2756 h 472"/>
              <a:gd name="T68" fmla="+- 0 2601 1377"/>
              <a:gd name="T69" fmla="*/ T68 w 1224"/>
              <a:gd name="T70" fmla="+- 0 2754 2286"/>
              <a:gd name="T71" fmla="*/ 2754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24" h="47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1224" y="468"/>
                </a:moveTo>
                <a:lnTo>
                  <a:pt x="1223" y="467"/>
                </a:lnTo>
                <a:lnTo>
                  <a:pt x="1221" y="466"/>
                </a:lnTo>
                <a:lnTo>
                  <a:pt x="1219" y="467"/>
                </a:lnTo>
                <a:lnTo>
                  <a:pt x="1218" y="468"/>
                </a:lnTo>
                <a:lnTo>
                  <a:pt x="1219" y="470"/>
                </a:lnTo>
                <a:lnTo>
                  <a:pt x="1221" y="471"/>
                </a:lnTo>
                <a:lnTo>
                  <a:pt x="1223" y="470"/>
                </a:lnTo>
                <a:lnTo>
                  <a:pt x="1224" y="46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0" name="docshape1052">
            <a:extLst>
              <a:ext uri="{FF2B5EF4-FFF2-40B4-BE49-F238E27FC236}">
                <a16:creationId xmlns:a16="http://schemas.microsoft.com/office/drawing/2014/main" id="{5E6609CD-76E1-98DB-71E5-E562A0608A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" y="1344"/>
            <a:ext cx="414" cy="10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13" name="docshape1053">
            <a:extLst>
              <a:ext uri="{FF2B5EF4-FFF2-40B4-BE49-F238E27FC236}">
                <a16:creationId xmlns:a16="http://schemas.microsoft.com/office/drawing/2014/main" id="{38C5B5B8-6BF7-B0AE-3EAF-774D47C81D13}"/>
              </a:ext>
            </a:extLst>
          </xdr:cNvPr>
          <xdr:cNvSpPr>
            <a:spLocks/>
          </xdr:cNvSpPr>
        </xdr:nvSpPr>
        <xdr:spPr bwMode="auto">
          <a:xfrm>
            <a:off x="1812" y="1342"/>
            <a:ext cx="412" cy="1096"/>
          </a:xfrm>
          <a:custGeom>
            <a:avLst/>
            <a:gdLst>
              <a:gd name="T0" fmla="+- 0 1812 1812"/>
              <a:gd name="T1" fmla="*/ T0 w 412"/>
              <a:gd name="T2" fmla="+- 0 2438 1342"/>
              <a:gd name="T3" fmla="*/ 2438 h 1096"/>
              <a:gd name="T4" fmla="+- 0 1812 1812"/>
              <a:gd name="T5" fmla="*/ T4 w 412"/>
              <a:gd name="T6" fmla="+- 0 1446 1342"/>
              <a:gd name="T7" fmla="*/ 1446 h 1096"/>
              <a:gd name="T8" fmla="+- 0 1914 1812"/>
              <a:gd name="T9" fmla="*/ T8 w 412"/>
              <a:gd name="T10" fmla="+- 0 1342 1342"/>
              <a:gd name="T11" fmla="*/ 1342 h 1096"/>
              <a:gd name="T12" fmla="+- 0 2224 1812"/>
              <a:gd name="T13" fmla="*/ T12 w 412"/>
              <a:gd name="T14" fmla="+- 0 1342 1342"/>
              <a:gd name="T15" fmla="*/ 1342 h 1096"/>
              <a:gd name="T16" fmla="+- 0 2224 1812"/>
              <a:gd name="T17" fmla="*/ T16 w 412"/>
              <a:gd name="T18" fmla="+- 0 2334 1342"/>
              <a:gd name="T19" fmla="*/ 2334 h 1096"/>
              <a:gd name="T20" fmla="+- 0 2122 1812"/>
              <a:gd name="T21" fmla="*/ T20 w 412"/>
              <a:gd name="T22" fmla="+- 0 2438 1342"/>
              <a:gd name="T23" fmla="*/ 2438 h 1096"/>
              <a:gd name="T24" fmla="+- 0 1812 1812"/>
              <a:gd name="T25" fmla="*/ T24 w 412"/>
              <a:gd name="T26" fmla="+- 0 2438 1342"/>
              <a:gd name="T27" fmla="*/ 2438 h 109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12" h="1096">
                <a:moveTo>
                  <a:pt x="0" y="1096"/>
                </a:moveTo>
                <a:lnTo>
                  <a:pt x="0" y="104"/>
                </a:lnTo>
                <a:lnTo>
                  <a:pt x="102" y="0"/>
                </a:lnTo>
                <a:lnTo>
                  <a:pt x="412" y="0"/>
                </a:lnTo>
                <a:lnTo>
                  <a:pt x="412" y="992"/>
                </a:lnTo>
                <a:lnTo>
                  <a:pt x="310" y="1096"/>
                </a:lnTo>
                <a:lnTo>
                  <a:pt x="0" y="109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4" name="docshape1054">
            <a:extLst>
              <a:ext uri="{FF2B5EF4-FFF2-40B4-BE49-F238E27FC236}">
                <a16:creationId xmlns:a16="http://schemas.microsoft.com/office/drawing/2014/main" id="{9441E459-41EA-2D4B-9093-7855C30EF79B}"/>
              </a:ext>
            </a:extLst>
          </xdr:cNvPr>
          <xdr:cNvSpPr>
            <a:spLocks/>
          </xdr:cNvSpPr>
        </xdr:nvSpPr>
        <xdr:spPr bwMode="auto">
          <a:xfrm>
            <a:off x="2221" y="2435"/>
            <a:ext cx="6" cy="6"/>
          </a:xfrm>
          <a:custGeom>
            <a:avLst/>
            <a:gdLst>
              <a:gd name="T0" fmla="+- 0 2221 2221"/>
              <a:gd name="T1" fmla="*/ T0 w 6"/>
              <a:gd name="T2" fmla="+- 0 2438 2436"/>
              <a:gd name="T3" fmla="*/ 2438 h 6"/>
              <a:gd name="T4" fmla="+- 0 2222 2221"/>
              <a:gd name="T5" fmla="*/ T4 w 6"/>
              <a:gd name="T6" fmla="+- 0 2437 2436"/>
              <a:gd name="T7" fmla="*/ 2437 h 6"/>
              <a:gd name="T8" fmla="+- 0 2224 2221"/>
              <a:gd name="T9" fmla="*/ T8 w 6"/>
              <a:gd name="T10" fmla="+- 0 2436 2436"/>
              <a:gd name="T11" fmla="*/ 2436 h 6"/>
              <a:gd name="T12" fmla="+- 0 2226 2221"/>
              <a:gd name="T13" fmla="*/ T12 w 6"/>
              <a:gd name="T14" fmla="+- 0 2437 2436"/>
              <a:gd name="T15" fmla="*/ 2437 h 6"/>
              <a:gd name="T16" fmla="+- 0 2227 2221"/>
              <a:gd name="T17" fmla="*/ T16 w 6"/>
              <a:gd name="T18" fmla="+- 0 2438 2436"/>
              <a:gd name="T19" fmla="*/ 2438 h 6"/>
              <a:gd name="T20" fmla="+- 0 2226 2221"/>
              <a:gd name="T21" fmla="*/ T20 w 6"/>
              <a:gd name="T22" fmla="+- 0 2440 2436"/>
              <a:gd name="T23" fmla="*/ 2440 h 6"/>
              <a:gd name="T24" fmla="+- 0 2224 2221"/>
              <a:gd name="T25" fmla="*/ T24 w 6"/>
              <a:gd name="T26" fmla="+- 0 2441 2436"/>
              <a:gd name="T27" fmla="*/ 2441 h 6"/>
              <a:gd name="T28" fmla="+- 0 2222 2221"/>
              <a:gd name="T29" fmla="*/ T28 w 6"/>
              <a:gd name="T30" fmla="+- 0 2440 2436"/>
              <a:gd name="T31" fmla="*/ 2440 h 6"/>
              <a:gd name="T32" fmla="+- 0 2221 2221"/>
              <a:gd name="T33" fmla="*/ T32 w 6"/>
              <a:gd name="T34" fmla="+- 0 2438 2436"/>
              <a:gd name="T35" fmla="*/ 2438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6">
                <a:moveTo>
                  <a:pt x="0" y="2"/>
                </a:moveTo>
                <a:lnTo>
                  <a:pt x="1" y="1"/>
                </a:lnTo>
                <a:lnTo>
                  <a:pt x="3" y="0"/>
                </a:lnTo>
                <a:lnTo>
                  <a:pt x="5" y="1"/>
                </a:lnTo>
                <a:lnTo>
                  <a:pt x="6" y="2"/>
                </a:lnTo>
                <a:lnTo>
                  <a:pt x="5" y="4"/>
                </a:lnTo>
                <a:lnTo>
                  <a:pt x="3" y="5"/>
                </a:lnTo>
                <a:lnTo>
                  <a:pt x="1" y="4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1" name="docshape1055">
            <a:extLst>
              <a:ext uri="{FF2B5EF4-FFF2-40B4-BE49-F238E27FC236}">
                <a16:creationId xmlns:a16="http://schemas.microsoft.com/office/drawing/2014/main" id="{5C8E29DA-5BE9-CE13-6670-08341F2AC7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9" y="1339"/>
            <a:ext cx="415" cy="1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16" name="docshape1056">
            <a:extLst>
              <a:ext uri="{FF2B5EF4-FFF2-40B4-BE49-F238E27FC236}">
                <a16:creationId xmlns:a16="http://schemas.microsoft.com/office/drawing/2014/main" id="{8AA93889-7742-93CC-BF9B-3200C12EF8B7}"/>
              </a:ext>
            </a:extLst>
          </xdr:cNvPr>
          <xdr:cNvSpPr>
            <a:spLocks/>
          </xdr:cNvSpPr>
        </xdr:nvSpPr>
        <xdr:spPr bwMode="auto">
          <a:xfrm>
            <a:off x="1812" y="1342"/>
            <a:ext cx="412" cy="104"/>
          </a:xfrm>
          <a:custGeom>
            <a:avLst/>
            <a:gdLst>
              <a:gd name="T0" fmla="+- 0 1812 1812"/>
              <a:gd name="T1" fmla="*/ T0 w 412"/>
              <a:gd name="T2" fmla="+- 0 1446 1342"/>
              <a:gd name="T3" fmla="*/ 1446 h 104"/>
              <a:gd name="T4" fmla="+- 0 1914 1812"/>
              <a:gd name="T5" fmla="*/ T4 w 412"/>
              <a:gd name="T6" fmla="+- 0 1342 1342"/>
              <a:gd name="T7" fmla="*/ 1342 h 104"/>
              <a:gd name="T8" fmla="+- 0 2224 1812"/>
              <a:gd name="T9" fmla="*/ T8 w 412"/>
              <a:gd name="T10" fmla="+- 0 1342 1342"/>
              <a:gd name="T11" fmla="*/ 1342 h 104"/>
              <a:gd name="T12" fmla="+- 0 2122 1812"/>
              <a:gd name="T13" fmla="*/ T12 w 412"/>
              <a:gd name="T14" fmla="+- 0 1446 1342"/>
              <a:gd name="T15" fmla="*/ 1446 h 104"/>
              <a:gd name="T16" fmla="+- 0 1812 1812"/>
              <a:gd name="T17" fmla="*/ T16 w 412"/>
              <a:gd name="T18" fmla="+- 0 1446 1342"/>
              <a:gd name="T19" fmla="*/ 1446 h 10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12" h="104">
                <a:moveTo>
                  <a:pt x="0" y="104"/>
                </a:moveTo>
                <a:lnTo>
                  <a:pt x="102" y="0"/>
                </a:lnTo>
                <a:lnTo>
                  <a:pt x="412" y="0"/>
                </a:lnTo>
                <a:lnTo>
                  <a:pt x="310" y="104"/>
                </a:lnTo>
                <a:lnTo>
                  <a:pt x="0" y="104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7" name="docshape1057">
            <a:extLst>
              <a:ext uri="{FF2B5EF4-FFF2-40B4-BE49-F238E27FC236}">
                <a16:creationId xmlns:a16="http://schemas.microsoft.com/office/drawing/2014/main" id="{EC25E7D6-4B0B-C047-8495-81F90A9F4445}"/>
              </a:ext>
            </a:extLst>
          </xdr:cNvPr>
          <xdr:cNvSpPr>
            <a:spLocks/>
          </xdr:cNvSpPr>
        </xdr:nvSpPr>
        <xdr:spPr bwMode="auto">
          <a:xfrm>
            <a:off x="1809" y="1339"/>
            <a:ext cx="6" cy="6"/>
          </a:xfrm>
          <a:custGeom>
            <a:avLst/>
            <a:gdLst>
              <a:gd name="T0" fmla="+- 0 1809 1809"/>
              <a:gd name="T1" fmla="*/ T0 w 6"/>
              <a:gd name="T2" fmla="+- 0 1342 1340"/>
              <a:gd name="T3" fmla="*/ 1342 h 6"/>
              <a:gd name="T4" fmla="+- 0 1810 1809"/>
              <a:gd name="T5" fmla="*/ T4 w 6"/>
              <a:gd name="T6" fmla="+- 0 1341 1340"/>
              <a:gd name="T7" fmla="*/ 1341 h 6"/>
              <a:gd name="T8" fmla="+- 0 1812 1809"/>
              <a:gd name="T9" fmla="*/ T8 w 6"/>
              <a:gd name="T10" fmla="+- 0 1340 1340"/>
              <a:gd name="T11" fmla="*/ 1340 h 6"/>
              <a:gd name="T12" fmla="+- 0 1814 1809"/>
              <a:gd name="T13" fmla="*/ T12 w 6"/>
              <a:gd name="T14" fmla="+- 0 1341 1340"/>
              <a:gd name="T15" fmla="*/ 1341 h 6"/>
              <a:gd name="T16" fmla="+- 0 1815 1809"/>
              <a:gd name="T17" fmla="*/ T16 w 6"/>
              <a:gd name="T18" fmla="+- 0 1342 1340"/>
              <a:gd name="T19" fmla="*/ 1342 h 6"/>
              <a:gd name="T20" fmla="+- 0 1814 1809"/>
              <a:gd name="T21" fmla="*/ T20 w 6"/>
              <a:gd name="T22" fmla="+- 0 1344 1340"/>
              <a:gd name="T23" fmla="*/ 1344 h 6"/>
              <a:gd name="T24" fmla="+- 0 1812 1809"/>
              <a:gd name="T25" fmla="*/ T24 w 6"/>
              <a:gd name="T26" fmla="+- 0 1345 1340"/>
              <a:gd name="T27" fmla="*/ 1345 h 6"/>
              <a:gd name="T28" fmla="+- 0 1810 1809"/>
              <a:gd name="T29" fmla="*/ T28 w 6"/>
              <a:gd name="T30" fmla="+- 0 1344 1340"/>
              <a:gd name="T31" fmla="*/ 1344 h 6"/>
              <a:gd name="T32" fmla="+- 0 1809 1809"/>
              <a:gd name="T33" fmla="*/ T32 w 6"/>
              <a:gd name="T34" fmla="+- 0 1342 1340"/>
              <a:gd name="T35" fmla="*/ 1342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6">
                <a:moveTo>
                  <a:pt x="0" y="2"/>
                </a:moveTo>
                <a:lnTo>
                  <a:pt x="1" y="1"/>
                </a:lnTo>
                <a:lnTo>
                  <a:pt x="3" y="0"/>
                </a:lnTo>
                <a:lnTo>
                  <a:pt x="5" y="1"/>
                </a:lnTo>
                <a:lnTo>
                  <a:pt x="6" y="2"/>
                </a:lnTo>
                <a:lnTo>
                  <a:pt x="5" y="4"/>
                </a:lnTo>
                <a:lnTo>
                  <a:pt x="3" y="5"/>
                </a:lnTo>
                <a:lnTo>
                  <a:pt x="1" y="4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2" name="docshape1058">
            <a:extLst>
              <a:ext uri="{FF2B5EF4-FFF2-40B4-BE49-F238E27FC236}">
                <a16:creationId xmlns:a16="http://schemas.microsoft.com/office/drawing/2014/main" id="{A06681C0-AED5-6DC7-FAF9-D927FBAD560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20" y="1344"/>
            <a:ext cx="107" cy="10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19" name="docshape1059">
            <a:extLst>
              <a:ext uri="{FF2B5EF4-FFF2-40B4-BE49-F238E27FC236}">
                <a16:creationId xmlns:a16="http://schemas.microsoft.com/office/drawing/2014/main" id="{F043559F-2658-37D9-8BB5-7E381F73BCAD}"/>
              </a:ext>
            </a:extLst>
          </xdr:cNvPr>
          <xdr:cNvSpPr>
            <a:spLocks/>
          </xdr:cNvSpPr>
        </xdr:nvSpPr>
        <xdr:spPr bwMode="auto">
          <a:xfrm>
            <a:off x="2122" y="1342"/>
            <a:ext cx="102" cy="1096"/>
          </a:xfrm>
          <a:custGeom>
            <a:avLst/>
            <a:gdLst>
              <a:gd name="T0" fmla="+- 0 2122 2122"/>
              <a:gd name="T1" fmla="*/ T0 w 102"/>
              <a:gd name="T2" fmla="+- 0 2438 1342"/>
              <a:gd name="T3" fmla="*/ 2438 h 1096"/>
              <a:gd name="T4" fmla="+- 0 2122 2122"/>
              <a:gd name="T5" fmla="*/ T4 w 102"/>
              <a:gd name="T6" fmla="+- 0 1446 1342"/>
              <a:gd name="T7" fmla="*/ 1446 h 1096"/>
              <a:gd name="T8" fmla="+- 0 2224 2122"/>
              <a:gd name="T9" fmla="*/ T8 w 102"/>
              <a:gd name="T10" fmla="+- 0 1342 1342"/>
              <a:gd name="T11" fmla="*/ 1342 h 1096"/>
              <a:gd name="T12" fmla="+- 0 2224 2122"/>
              <a:gd name="T13" fmla="*/ T12 w 102"/>
              <a:gd name="T14" fmla="+- 0 2334 1342"/>
              <a:gd name="T15" fmla="*/ 2334 h 1096"/>
              <a:gd name="T16" fmla="+- 0 2122 2122"/>
              <a:gd name="T17" fmla="*/ T16 w 102"/>
              <a:gd name="T18" fmla="+- 0 2438 1342"/>
              <a:gd name="T19" fmla="*/ 2438 h 109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2" h="1096">
                <a:moveTo>
                  <a:pt x="0" y="1096"/>
                </a:moveTo>
                <a:lnTo>
                  <a:pt x="0" y="104"/>
                </a:lnTo>
                <a:lnTo>
                  <a:pt x="102" y="0"/>
                </a:lnTo>
                <a:lnTo>
                  <a:pt x="102" y="992"/>
                </a:lnTo>
                <a:lnTo>
                  <a:pt x="0" y="109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0" name="docshape1060">
            <a:extLst>
              <a:ext uri="{FF2B5EF4-FFF2-40B4-BE49-F238E27FC236}">
                <a16:creationId xmlns:a16="http://schemas.microsoft.com/office/drawing/2014/main" id="{87C6F905-A403-EF97-08EB-FFEE2DFA5591}"/>
              </a:ext>
            </a:extLst>
          </xdr:cNvPr>
          <xdr:cNvSpPr>
            <a:spLocks/>
          </xdr:cNvSpPr>
        </xdr:nvSpPr>
        <xdr:spPr bwMode="auto">
          <a:xfrm>
            <a:off x="1809" y="1339"/>
            <a:ext cx="418" cy="1102"/>
          </a:xfrm>
          <a:custGeom>
            <a:avLst/>
            <a:gdLst>
              <a:gd name="T0" fmla="+- 0 1815 1809"/>
              <a:gd name="T1" fmla="*/ T0 w 418"/>
              <a:gd name="T2" fmla="+- 0 1342 1340"/>
              <a:gd name="T3" fmla="*/ 1342 h 1102"/>
              <a:gd name="T4" fmla="+- 0 1814 1809"/>
              <a:gd name="T5" fmla="*/ T4 w 418"/>
              <a:gd name="T6" fmla="+- 0 1341 1340"/>
              <a:gd name="T7" fmla="*/ 1341 h 1102"/>
              <a:gd name="T8" fmla="+- 0 1812 1809"/>
              <a:gd name="T9" fmla="*/ T8 w 418"/>
              <a:gd name="T10" fmla="+- 0 1340 1340"/>
              <a:gd name="T11" fmla="*/ 1340 h 1102"/>
              <a:gd name="T12" fmla="+- 0 1810 1809"/>
              <a:gd name="T13" fmla="*/ T12 w 418"/>
              <a:gd name="T14" fmla="+- 0 1341 1340"/>
              <a:gd name="T15" fmla="*/ 1341 h 1102"/>
              <a:gd name="T16" fmla="+- 0 1809 1809"/>
              <a:gd name="T17" fmla="*/ T16 w 418"/>
              <a:gd name="T18" fmla="+- 0 1342 1340"/>
              <a:gd name="T19" fmla="*/ 1342 h 1102"/>
              <a:gd name="T20" fmla="+- 0 1810 1809"/>
              <a:gd name="T21" fmla="*/ T20 w 418"/>
              <a:gd name="T22" fmla="+- 0 1344 1340"/>
              <a:gd name="T23" fmla="*/ 1344 h 1102"/>
              <a:gd name="T24" fmla="+- 0 1812 1809"/>
              <a:gd name="T25" fmla="*/ T24 w 418"/>
              <a:gd name="T26" fmla="+- 0 1345 1340"/>
              <a:gd name="T27" fmla="*/ 1345 h 1102"/>
              <a:gd name="T28" fmla="+- 0 1814 1809"/>
              <a:gd name="T29" fmla="*/ T28 w 418"/>
              <a:gd name="T30" fmla="+- 0 1344 1340"/>
              <a:gd name="T31" fmla="*/ 1344 h 1102"/>
              <a:gd name="T32" fmla="+- 0 1815 1809"/>
              <a:gd name="T33" fmla="*/ T32 w 418"/>
              <a:gd name="T34" fmla="+- 0 1342 1340"/>
              <a:gd name="T35" fmla="*/ 1342 h 1102"/>
              <a:gd name="T36" fmla="+- 0 2227 1809"/>
              <a:gd name="T37" fmla="*/ T36 w 418"/>
              <a:gd name="T38" fmla="+- 0 2438 1340"/>
              <a:gd name="T39" fmla="*/ 2438 h 1102"/>
              <a:gd name="T40" fmla="+- 0 2226 1809"/>
              <a:gd name="T41" fmla="*/ T40 w 418"/>
              <a:gd name="T42" fmla="+- 0 2437 1340"/>
              <a:gd name="T43" fmla="*/ 2437 h 1102"/>
              <a:gd name="T44" fmla="+- 0 2224 1809"/>
              <a:gd name="T45" fmla="*/ T44 w 418"/>
              <a:gd name="T46" fmla="+- 0 2436 1340"/>
              <a:gd name="T47" fmla="*/ 2436 h 1102"/>
              <a:gd name="T48" fmla="+- 0 2222 1809"/>
              <a:gd name="T49" fmla="*/ T48 w 418"/>
              <a:gd name="T50" fmla="+- 0 2437 1340"/>
              <a:gd name="T51" fmla="*/ 2437 h 1102"/>
              <a:gd name="T52" fmla="+- 0 2221 1809"/>
              <a:gd name="T53" fmla="*/ T52 w 418"/>
              <a:gd name="T54" fmla="+- 0 2438 1340"/>
              <a:gd name="T55" fmla="*/ 2438 h 1102"/>
              <a:gd name="T56" fmla="+- 0 2222 1809"/>
              <a:gd name="T57" fmla="*/ T56 w 418"/>
              <a:gd name="T58" fmla="+- 0 2440 1340"/>
              <a:gd name="T59" fmla="*/ 2440 h 1102"/>
              <a:gd name="T60" fmla="+- 0 2224 1809"/>
              <a:gd name="T61" fmla="*/ T60 w 418"/>
              <a:gd name="T62" fmla="+- 0 2441 1340"/>
              <a:gd name="T63" fmla="*/ 2441 h 1102"/>
              <a:gd name="T64" fmla="+- 0 2226 1809"/>
              <a:gd name="T65" fmla="*/ T64 w 418"/>
              <a:gd name="T66" fmla="+- 0 2440 1340"/>
              <a:gd name="T67" fmla="*/ 2440 h 1102"/>
              <a:gd name="T68" fmla="+- 0 2227 1809"/>
              <a:gd name="T69" fmla="*/ T68 w 418"/>
              <a:gd name="T70" fmla="+- 0 2438 1340"/>
              <a:gd name="T71" fmla="*/ 2438 h 110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18" h="110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18" y="1098"/>
                </a:moveTo>
                <a:lnTo>
                  <a:pt x="417" y="1097"/>
                </a:lnTo>
                <a:lnTo>
                  <a:pt x="415" y="1096"/>
                </a:lnTo>
                <a:lnTo>
                  <a:pt x="413" y="1097"/>
                </a:lnTo>
                <a:lnTo>
                  <a:pt x="412" y="1098"/>
                </a:lnTo>
                <a:lnTo>
                  <a:pt x="413" y="1100"/>
                </a:lnTo>
                <a:lnTo>
                  <a:pt x="415" y="1101"/>
                </a:lnTo>
                <a:lnTo>
                  <a:pt x="417" y="1100"/>
                </a:lnTo>
                <a:lnTo>
                  <a:pt x="418" y="109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3" name="docshape1061">
            <a:extLst>
              <a:ext uri="{FF2B5EF4-FFF2-40B4-BE49-F238E27FC236}">
                <a16:creationId xmlns:a16="http://schemas.microsoft.com/office/drawing/2014/main" id="{4123BC78-E46A-E564-DA0B-778E465BC6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6" y="1284"/>
            <a:ext cx="1982" cy="4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" name="docshape1062">
            <a:extLst>
              <a:ext uri="{FF2B5EF4-FFF2-40B4-BE49-F238E27FC236}">
                <a16:creationId xmlns:a16="http://schemas.microsoft.com/office/drawing/2014/main" id="{D99D73D7-AF50-5739-8966-1D87207C75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" y="-982"/>
            <a:ext cx="432" cy="25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23" name="docshape1063">
            <a:extLst>
              <a:ext uri="{FF2B5EF4-FFF2-40B4-BE49-F238E27FC236}">
                <a16:creationId xmlns:a16="http://schemas.microsoft.com/office/drawing/2014/main" id="{93D8A404-1777-84B8-96D6-E310E096F818}"/>
              </a:ext>
            </a:extLst>
          </xdr:cNvPr>
          <xdr:cNvSpPr>
            <a:spLocks/>
          </xdr:cNvSpPr>
        </xdr:nvSpPr>
        <xdr:spPr bwMode="auto">
          <a:xfrm>
            <a:off x="1812" y="-982"/>
            <a:ext cx="432" cy="2580"/>
          </a:xfrm>
          <a:custGeom>
            <a:avLst/>
            <a:gdLst>
              <a:gd name="T0" fmla="+- 0 1812 1812"/>
              <a:gd name="T1" fmla="*/ T0 w 432"/>
              <a:gd name="T2" fmla="+- 0 1598 -982"/>
              <a:gd name="T3" fmla="*/ 1598 h 2580"/>
              <a:gd name="T4" fmla="+- 0 1812 1812"/>
              <a:gd name="T5" fmla="*/ T4 w 432"/>
              <a:gd name="T6" fmla="+- 0 -874 -982"/>
              <a:gd name="T7" fmla="*/ -874 h 2580"/>
              <a:gd name="T8" fmla="+- 0 1920 1812"/>
              <a:gd name="T9" fmla="*/ T8 w 432"/>
              <a:gd name="T10" fmla="+- 0 -982 -982"/>
              <a:gd name="T11" fmla="*/ -982 h 2580"/>
              <a:gd name="T12" fmla="+- 0 2244 1812"/>
              <a:gd name="T13" fmla="*/ T12 w 432"/>
              <a:gd name="T14" fmla="+- 0 -982 -982"/>
              <a:gd name="T15" fmla="*/ -982 h 2580"/>
              <a:gd name="T16" fmla="+- 0 2244 1812"/>
              <a:gd name="T17" fmla="*/ T16 w 432"/>
              <a:gd name="T18" fmla="+- 0 1490 -982"/>
              <a:gd name="T19" fmla="*/ 1490 h 2580"/>
              <a:gd name="T20" fmla="+- 0 2136 1812"/>
              <a:gd name="T21" fmla="*/ T20 w 432"/>
              <a:gd name="T22" fmla="+- 0 1598 -982"/>
              <a:gd name="T23" fmla="*/ 1598 h 2580"/>
              <a:gd name="T24" fmla="+- 0 1812 1812"/>
              <a:gd name="T25" fmla="*/ T24 w 432"/>
              <a:gd name="T26" fmla="+- 0 1598 -982"/>
              <a:gd name="T27" fmla="*/ 1598 h 258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32" h="2580">
                <a:moveTo>
                  <a:pt x="0" y="2580"/>
                </a:moveTo>
                <a:lnTo>
                  <a:pt x="0" y="108"/>
                </a:lnTo>
                <a:lnTo>
                  <a:pt x="108" y="0"/>
                </a:lnTo>
                <a:lnTo>
                  <a:pt x="432" y="0"/>
                </a:lnTo>
                <a:lnTo>
                  <a:pt x="432" y="2472"/>
                </a:lnTo>
                <a:lnTo>
                  <a:pt x="324" y="2580"/>
                </a:lnTo>
                <a:lnTo>
                  <a:pt x="0" y="2580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4" name="docshape1064">
            <a:extLst>
              <a:ext uri="{FF2B5EF4-FFF2-40B4-BE49-F238E27FC236}">
                <a16:creationId xmlns:a16="http://schemas.microsoft.com/office/drawing/2014/main" id="{AC691FB0-C674-D33F-BDD3-E02887507A76}"/>
              </a:ext>
            </a:extLst>
          </xdr:cNvPr>
          <xdr:cNvSpPr>
            <a:spLocks/>
          </xdr:cNvSpPr>
        </xdr:nvSpPr>
        <xdr:spPr bwMode="auto">
          <a:xfrm>
            <a:off x="1809" y="-985"/>
            <a:ext cx="438" cy="2586"/>
          </a:xfrm>
          <a:custGeom>
            <a:avLst/>
            <a:gdLst>
              <a:gd name="T0" fmla="+- 0 1815 1809"/>
              <a:gd name="T1" fmla="*/ T0 w 438"/>
              <a:gd name="T2" fmla="+- 0 -982 -984"/>
              <a:gd name="T3" fmla="*/ -982 h 2586"/>
              <a:gd name="T4" fmla="+- 0 1814 1809"/>
              <a:gd name="T5" fmla="*/ T4 w 438"/>
              <a:gd name="T6" fmla="+- 0 -983 -984"/>
              <a:gd name="T7" fmla="*/ -983 h 2586"/>
              <a:gd name="T8" fmla="+- 0 1812 1809"/>
              <a:gd name="T9" fmla="*/ T8 w 438"/>
              <a:gd name="T10" fmla="+- 0 -984 -984"/>
              <a:gd name="T11" fmla="*/ -984 h 2586"/>
              <a:gd name="T12" fmla="+- 0 1810 1809"/>
              <a:gd name="T13" fmla="*/ T12 w 438"/>
              <a:gd name="T14" fmla="+- 0 -983 -984"/>
              <a:gd name="T15" fmla="*/ -983 h 2586"/>
              <a:gd name="T16" fmla="+- 0 1809 1809"/>
              <a:gd name="T17" fmla="*/ T16 w 438"/>
              <a:gd name="T18" fmla="+- 0 -982 -984"/>
              <a:gd name="T19" fmla="*/ -982 h 2586"/>
              <a:gd name="T20" fmla="+- 0 1810 1809"/>
              <a:gd name="T21" fmla="*/ T20 w 438"/>
              <a:gd name="T22" fmla="+- 0 -980 -984"/>
              <a:gd name="T23" fmla="*/ -980 h 2586"/>
              <a:gd name="T24" fmla="+- 0 1812 1809"/>
              <a:gd name="T25" fmla="*/ T24 w 438"/>
              <a:gd name="T26" fmla="+- 0 -979 -984"/>
              <a:gd name="T27" fmla="*/ -979 h 2586"/>
              <a:gd name="T28" fmla="+- 0 1814 1809"/>
              <a:gd name="T29" fmla="*/ T28 w 438"/>
              <a:gd name="T30" fmla="+- 0 -980 -984"/>
              <a:gd name="T31" fmla="*/ -980 h 2586"/>
              <a:gd name="T32" fmla="+- 0 1815 1809"/>
              <a:gd name="T33" fmla="*/ T32 w 438"/>
              <a:gd name="T34" fmla="+- 0 -982 -984"/>
              <a:gd name="T35" fmla="*/ -982 h 2586"/>
              <a:gd name="T36" fmla="+- 0 2247 1809"/>
              <a:gd name="T37" fmla="*/ T36 w 438"/>
              <a:gd name="T38" fmla="+- 0 1598 -984"/>
              <a:gd name="T39" fmla="*/ 1598 h 2586"/>
              <a:gd name="T40" fmla="+- 0 2246 1809"/>
              <a:gd name="T41" fmla="*/ T40 w 438"/>
              <a:gd name="T42" fmla="+- 0 1597 -984"/>
              <a:gd name="T43" fmla="*/ 1597 h 2586"/>
              <a:gd name="T44" fmla="+- 0 2244 1809"/>
              <a:gd name="T45" fmla="*/ T44 w 438"/>
              <a:gd name="T46" fmla="+- 0 1596 -984"/>
              <a:gd name="T47" fmla="*/ 1596 h 2586"/>
              <a:gd name="T48" fmla="+- 0 2242 1809"/>
              <a:gd name="T49" fmla="*/ T48 w 438"/>
              <a:gd name="T50" fmla="+- 0 1597 -984"/>
              <a:gd name="T51" fmla="*/ 1597 h 2586"/>
              <a:gd name="T52" fmla="+- 0 2241 1809"/>
              <a:gd name="T53" fmla="*/ T52 w 438"/>
              <a:gd name="T54" fmla="+- 0 1598 -984"/>
              <a:gd name="T55" fmla="*/ 1598 h 2586"/>
              <a:gd name="T56" fmla="+- 0 2242 1809"/>
              <a:gd name="T57" fmla="*/ T56 w 438"/>
              <a:gd name="T58" fmla="+- 0 1600 -984"/>
              <a:gd name="T59" fmla="*/ 1600 h 2586"/>
              <a:gd name="T60" fmla="+- 0 2244 1809"/>
              <a:gd name="T61" fmla="*/ T60 w 438"/>
              <a:gd name="T62" fmla="+- 0 1601 -984"/>
              <a:gd name="T63" fmla="*/ 1601 h 2586"/>
              <a:gd name="T64" fmla="+- 0 2246 1809"/>
              <a:gd name="T65" fmla="*/ T64 w 438"/>
              <a:gd name="T66" fmla="+- 0 1600 -984"/>
              <a:gd name="T67" fmla="*/ 1600 h 2586"/>
              <a:gd name="T68" fmla="+- 0 2247 1809"/>
              <a:gd name="T69" fmla="*/ T68 w 438"/>
              <a:gd name="T70" fmla="+- 0 1598 -984"/>
              <a:gd name="T71" fmla="*/ 1598 h 258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38" h="258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38" y="2582"/>
                </a:moveTo>
                <a:lnTo>
                  <a:pt x="437" y="2581"/>
                </a:lnTo>
                <a:lnTo>
                  <a:pt x="435" y="2580"/>
                </a:lnTo>
                <a:lnTo>
                  <a:pt x="433" y="2581"/>
                </a:lnTo>
                <a:lnTo>
                  <a:pt x="432" y="2582"/>
                </a:lnTo>
                <a:lnTo>
                  <a:pt x="433" y="2584"/>
                </a:lnTo>
                <a:lnTo>
                  <a:pt x="435" y="2585"/>
                </a:lnTo>
                <a:lnTo>
                  <a:pt x="437" y="2584"/>
                </a:lnTo>
                <a:lnTo>
                  <a:pt x="438" y="258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5" name="docshape1065">
            <a:extLst>
              <a:ext uri="{FF2B5EF4-FFF2-40B4-BE49-F238E27FC236}">
                <a16:creationId xmlns:a16="http://schemas.microsoft.com/office/drawing/2014/main" id="{62610C72-6CD9-5156-B7C6-BFFBC11221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" y="-982"/>
            <a:ext cx="432" cy="1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26" name="docshape1066">
            <a:extLst>
              <a:ext uri="{FF2B5EF4-FFF2-40B4-BE49-F238E27FC236}">
                <a16:creationId xmlns:a16="http://schemas.microsoft.com/office/drawing/2014/main" id="{874D920C-D506-809C-BC8E-45E38505D0CD}"/>
              </a:ext>
            </a:extLst>
          </xdr:cNvPr>
          <xdr:cNvSpPr>
            <a:spLocks/>
          </xdr:cNvSpPr>
        </xdr:nvSpPr>
        <xdr:spPr bwMode="auto">
          <a:xfrm>
            <a:off x="1812" y="-982"/>
            <a:ext cx="432" cy="108"/>
          </a:xfrm>
          <a:custGeom>
            <a:avLst/>
            <a:gdLst>
              <a:gd name="T0" fmla="+- 0 1812 1812"/>
              <a:gd name="T1" fmla="*/ T0 w 432"/>
              <a:gd name="T2" fmla="+- 0 -874 -982"/>
              <a:gd name="T3" fmla="*/ -874 h 108"/>
              <a:gd name="T4" fmla="+- 0 1920 1812"/>
              <a:gd name="T5" fmla="*/ T4 w 432"/>
              <a:gd name="T6" fmla="+- 0 -982 -982"/>
              <a:gd name="T7" fmla="*/ -982 h 108"/>
              <a:gd name="T8" fmla="+- 0 2244 1812"/>
              <a:gd name="T9" fmla="*/ T8 w 432"/>
              <a:gd name="T10" fmla="+- 0 -982 -982"/>
              <a:gd name="T11" fmla="*/ -982 h 108"/>
              <a:gd name="T12" fmla="+- 0 2136 1812"/>
              <a:gd name="T13" fmla="*/ T12 w 432"/>
              <a:gd name="T14" fmla="+- 0 -874 -982"/>
              <a:gd name="T15" fmla="*/ -874 h 108"/>
              <a:gd name="T16" fmla="+- 0 1812 1812"/>
              <a:gd name="T17" fmla="*/ T16 w 432"/>
              <a:gd name="T18" fmla="+- 0 -874 -982"/>
              <a:gd name="T19" fmla="*/ -874 h 10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32" h="108">
                <a:moveTo>
                  <a:pt x="0" y="108"/>
                </a:moveTo>
                <a:lnTo>
                  <a:pt x="108" y="0"/>
                </a:lnTo>
                <a:lnTo>
                  <a:pt x="432" y="0"/>
                </a:lnTo>
                <a:lnTo>
                  <a:pt x="324" y="108"/>
                </a:lnTo>
                <a:lnTo>
                  <a:pt x="0" y="108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7" name="docshape1067">
            <a:extLst>
              <a:ext uri="{FF2B5EF4-FFF2-40B4-BE49-F238E27FC236}">
                <a16:creationId xmlns:a16="http://schemas.microsoft.com/office/drawing/2014/main" id="{67D1F262-77F4-F6C6-6EC1-AE8F7362E911}"/>
              </a:ext>
            </a:extLst>
          </xdr:cNvPr>
          <xdr:cNvSpPr>
            <a:spLocks/>
          </xdr:cNvSpPr>
        </xdr:nvSpPr>
        <xdr:spPr bwMode="auto">
          <a:xfrm>
            <a:off x="1809" y="-985"/>
            <a:ext cx="438" cy="2586"/>
          </a:xfrm>
          <a:custGeom>
            <a:avLst/>
            <a:gdLst>
              <a:gd name="T0" fmla="+- 0 1815 1809"/>
              <a:gd name="T1" fmla="*/ T0 w 438"/>
              <a:gd name="T2" fmla="+- 0 -982 -984"/>
              <a:gd name="T3" fmla="*/ -982 h 2586"/>
              <a:gd name="T4" fmla="+- 0 1814 1809"/>
              <a:gd name="T5" fmla="*/ T4 w 438"/>
              <a:gd name="T6" fmla="+- 0 -983 -984"/>
              <a:gd name="T7" fmla="*/ -983 h 2586"/>
              <a:gd name="T8" fmla="+- 0 1812 1809"/>
              <a:gd name="T9" fmla="*/ T8 w 438"/>
              <a:gd name="T10" fmla="+- 0 -984 -984"/>
              <a:gd name="T11" fmla="*/ -984 h 2586"/>
              <a:gd name="T12" fmla="+- 0 1810 1809"/>
              <a:gd name="T13" fmla="*/ T12 w 438"/>
              <a:gd name="T14" fmla="+- 0 -983 -984"/>
              <a:gd name="T15" fmla="*/ -983 h 2586"/>
              <a:gd name="T16" fmla="+- 0 1809 1809"/>
              <a:gd name="T17" fmla="*/ T16 w 438"/>
              <a:gd name="T18" fmla="+- 0 -982 -984"/>
              <a:gd name="T19" fmla="*/ -982 h 2586"/>
              <a:gd name="T20" fmla="+- 0 1810 1809"/>
              <a:gd name="T21" fmla="*/ T20 w 438"/>
              <a:gd name="T22" fmla="+- 0 -980 -984"/>
              <a:gd name="T23" fmla="*/ -980 h 2586"/>
              <a:gd name="T24" fmla="+- 0 1812 1809"/>
              <a:gd name="T25" fmla="*/ T24 w 438"/>
              <a:gd name="T26" fmla="+- 0 -979 -984"/>
              <a:gd name="T27" fmla="*/ -979 h 2586"/>
              <a:gd name="T28" fmla="+- 0 1814 1809"/>
              <a:gd name="T29" fmla="*/ T28 w 438"/>
              <a:gd name="T30" fmla="+- 0 -980 -984"/>
              <a:gd name="T31" fmla="*/ -980 h 2586"/>
              <a:gd name="T32" fmla="+- 0 1815 1809"/>
              <a:gd name="T33" fmla="*/ T32 w 438"/>
              <a:gd name="T34" fmla="+- 0 -982 -984"/>
              <a:gd name="T35" fmla="*/ -982 h 2586"/>
              <a:gd name="T36" fmla="+- 0 2247 1809"/>
              <a:gd name="T37" fmla="*/ T36 w 438"/>
              <a:gd name="T38" fmla="+- 0 1598 -984"/>
              <a:gd name="T39" fmla="*/ 1598 h 2586"/>
              <a:gd name="T40" fmla="+- 0 2246 1809"/>
              <a:gd name="T41" fmla="*/ T40 w 438"/>
              <a:gd name="T42" fmla="+- 0 1597 -984"/>
              <a:gd name="T43" fmla="*/ 1597 h 2586"/>
              <a:gd name="T44" fmla="+- 0 2244 1809"/>
              <a:gd name="T45" fmla="*/ T44 w 438"/>
              <a:gd name="T46" fmla="+- 0 1596 -984"/>
              <a:gd name="T47" fmla="*/ 1596 h 2586"/>
              <a:gd name="T48" fmla="+- 0 2242 1809"/>
              <a:gd name="T49" fmla="*/ T48 w 438"/>
              <a:gd name="T50" fmla="+- 0 1597 -984"/>
              <a:gd name="T51" fmla="*/ 1597 h 2586"/>
              <a:gd name="T52" fmla="+- 0 2241 1809"/>
              <a:gd name="T53" fmla="*/ T52 w 438"/>
              <a:gd name="T54" fmla="+- 0 1598 -984"/>
              <a:gd name="T55" fmla="*/ 1598 h 2586"/>
              <a:gd name="T56" fmla="+- 0 2242 1809"/>
              <a:gd name="T57" fmla="*/ T56 w 438"/>
              <a:gd name="T58" fmla="+- 0 1600 -984"/>
              <a:gd name="T59" fmla="*/ 1600 h 2586"/>
              <a:gd name="T60" fmla="+- 0 2244 1809"/>
              <a:gd name="T61" fmla="*/ T60 w 438"/>
              <a:gd name="T62" fmla="+- 0 1601 -984"/>
              <a:gd name="T63" fmla="*/ 1601 h 2586"/>
              <a:gd name="T64" fmla="+- 0 2246 1809"/>
              <a:gd name="T65" fmla="*/ T64 w 438"/>
              <a:gd name="T66" fmla="+- 0 1600 -984"/>
              <a:gd name="T67" fmla="*/ 1600 h 2586"/>
              <a:gd name="T68" fmla="+- 0 2247 1809"/>
              <a:gd name="T69" fmla="*/ T68 w 438"/>
              <a:gd name="T70" fmla="+- 0 1598 -984"/>
              <a:gd name="T71" fmla="*/ 1598 h 258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38" h="258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38" y="2582"/>
                </a:moveTo>
                <a:lnTo>
                  <a:pt x="437" y="2581"/>
                </a:lnTo>
                <a:lnTo>
                  <a:pt x="435" y="2580"/>
                </a:lnTo>
                <a:lnTo>
                  <a:pt x="433" y="2581"/>
                </a:lnTo>
                <a:lnTo>
                  <a:pt x="432" y="2582"/>
                </a:lnTo>
                <a:lnTo>
                  <a:pt x="433" y="2584"/>
                </a:lnTo>
                <a:lnTo>
                  <a:pt x="435" y="2585"/>
                </a:lnTo>
                <a:lnTo>
                  <a:pt x="437" y="2584"/>
                </a:lnTo>
                <a:lnTo>
                  <a:pt x="438" y="258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6" name="docshape1068">
            <a:extLst>
              <a:ext uri="{FF2B5EF4-FFF2-40B4-BE49-F238E27FC236}">
                <a16:creationId xmlns:a16="http://schemas.microsoft.com/office/drawing/2014/main" id="{7C2311AB-C92F-1A6F-3018-E1259A6284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34" y="-982"/>
            <a:ext cx="108" cy="25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29" name="docshape1069">
            <a:extLst>
              <a:ext uri="{FF2B5EF4-FFF2-40B4-BE49-F238E27FC236}">
                <a16:creationId xmlns:a16="http://schemas.microsoft.com/office/drawing/2014/main" id="{592B4748-79AA-CE5A-52F0-CA330286CD43}"/>
              </a:ext>
            </a:extLst>
          </xdr:cNvPr>
          <xdr:cNvSpPr>
            <a:spLocks/>
          </xdr:cNvSpPr>
        </xdr:nvSpPr>
        <xdr:spPr bwMode="auto">
          <a:xfrm>
            <a:off x="2136" y="-982"/>
            <a:ext cx="108" cy="2580"/>
          </a:xfrm>
          <a:custGeom>
            <a:avLst/>
            <a:gdLst>
              <a:gd name="T0" fmla="+- 0 2136 2136"/>
              <a:gd name="T1" fmla="*/ T0 w 108"/>
              <a:gd name="T2" fmla="+- 0 1598 -982"/>
              <a:gd name="T3" fmla="*/ 1598 h 2580"/>
              <a:gd name="T4" fmla="+- 0 2136 2136"/>
              <a:gd name="T5" fmla="*/ T4 w 108"/>
              <a:gd name="T6" fmla="+- 0 -874 -982"/>
              <a:gd name="T7" fmla="*/ -874 h 2580"/>
              <a:gd name="T8" fmla="+- 0 2244 2136"/>
              <a:gd name="T9" fmla="*/ T8 w 108"/>
              <a:gd name="T10" fmla="+- 0 -982 -982"/>
              <a:gd name="T11" fmla="*/ -982 h 2580"/>
              <a:gd name="T12" fmla="+- 0 2244 2136"/>
              <a:gd name="T13" fmla="*/ T12 w 108"/>
              <a:gd name="T14" fmla="+- 0 1490 -982"/>
              <a:gd name="T15" fmla="*/ 1490 h 2580"/>
              <a:gd name="T16" fmla="+- 0 2136 2136"/>
              <a:gd name="T17" fmla="*/ T16 w 108"/>
              <a:gd name="T18" fmla="+- 0 1598 -982"/>
              <a:gd name="T19" fmla="*/ 1598 h 258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8" h="2580">
                <a:moveTo>
                  <a:pt x="0" y="2580"/>
                </a:moveTo>
                <a:lnTo>
                  <a:pt x="0" y="108"/>
                </a:lnTo>
                <a:lnTo>
                  <a:pt x="108" y="0"/>
                </a:lnTo>
                <a:lnTo>
                  <a:pt x="108" y="2472"/>
                </a:lnTo>
                <a:lnTo>
                  <a:pt x="0" y="2580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0" name="docshape1070">
            <a:extLst>
              <a:ext uri="{FF2B5EF4-FFF2-40B4-BE49-F238E27FC236}">
                <a16:creationId xmlns:a16="http://schemas.microsoft.com/office/drawing/2014/main" id="{230D52BF-2C4F-2190-1F1C-3BCABDCB3518}"/>
              </a:ext>
            </a:extLst>
          </xdr:cNvPr>
          <xdr:cNvSpPr>
            <a:spLocks/>
          </xdr:cNvSpPr>
        </xdr:nvSpPr>
        <xdr:spPr bwMode="auto">
          <a:xfrm>
            <a:off x="1809" y="-985"/>
            <a:ext cx="438" cy="2586"/>
          </a:xfrm>
          <a:custGeom>
            <a:avLst/>
            <a:gdLst>
              <a:gd name="T0" fmla="+- 0 1815 1809"/>
              <a:gd name="T1" fmla="*/ T0 w 438"/>
              <a:gd name="T2" fmla="+- 0 -982 -984"/>
              <a:gd name="T3" fmla="*/ -982 h 2586"/>
              <a:gd name="T4" fmla="+- 0 1814 1809"/>
              <a:gd name="T5" fmla="*/ T4 w 438"/>
              <a:gd name="T6" fmla="+- 0 -983 -984"/>
              <a:gd name="T7" fmla="*/ -983 h 2586"/>
              <a:gd name="T8" fmla="+- 0 1812 1809"/>
              <a:gd name="T9" fmla="*/ T8 w 438"/>
              <a:gd name="T10" fmla="+- 0 -984 -984"/>
              <a:gd name="T11" fmla="*/ -984 h 2586"/>
              <a:gd name="T12" fmla="+- 0 1810 1809"/>
              <a:gd name="T13" fmla="*/ T12 w 438"/>
              <a:gd name="T14" fmla="+- 0 -983 -984"/>
              <a:gd name="T15" fmla="*/ -983 h 2586"/>
              <a:gd name="T16" fmla="+- 0 1809 1809"/>
              <a:gd name="T17" fmla="*/ T16 w 438"/>
              <a:gd name="T18" fmla="+- 0 -982 -984"/>
              <a:gd name="T19" fmla="*/ -982 h 2586"/>
              <a:gd name="T20" fmla="+- 0 1810 1809"/>
              <a:gd name="T21" fmla="*/ T20 w 438"/>
              <a:gd name="T22" fmla="+- 0 -980 -984"/>
              <a:gd name="T23" fmla="*/ -980 h 2586"/>
              <a:gd name="T24" fmla="+- 0 1812 1809"/>
              <a:gd name="T25" fmla="*/ T24 w 438"/>
              <a:gd name="T26" fmla="+- 0 -979 -984"/>
              <a:gd name="T27" fmla="*/ -979 h 2586"/>
              <a:gd name="T28" fmla="+- 0 1814 1809"/>
              <a:gd name="T29" fmla="*/ T28 w 438"/>
              <a:gd name="T30" fmla="+- 0 -980 -984"/>
              <a:gd name="T31" fmla="*/ -980 h 2586"/>
              <a:gd name="T32" fmla="+- 0 1815 1809"/>
              <a:gd name="T33" fmla="*/ T32 w 438"/>
              <a:gd name="T34" fmla="+- 0 -982 -984"/>
              <a:gd name="T35" fmla="*/ -982 h 2586"/>
              <a:gd name="T36" fmla="+- 0 2247 1809"/>
              <a:gd name="T37" fmla="*/ T36 w 438"/>
              <a:gd name="T38" fmla="+- 0 1598 -984"/>
              <a:gd name="T39" fmla="*/ 1598 h 2586"/>
              <a:gd name="T40" fmla="+- 0 2246 1809"/>
              <a:gd name="T41" fmla="*/ T40 w 438"/>
              <a:gd name="T42" fmla="+- 0 1597 -984"/>
              <a:gd name="T43" fmla="*/ 1597 h 2586"/>
              <a:gd name="T44" fmla="+- 0 2244 1809"/>
              <a:gd name="T45" fmla="*/ T44 w 438"/>
              <a:gd name="T46" fmla="+- 0 1596 -984"/>
              <a:gd name="T47" fmla="*/ 1596 h 2586"/>
              <a:gd name="T48" fmla="+- 0 2242 1809"/>
              <a:gd name="T49" fmla="*/ T48 w 438"/>
              <a:gd name="T50" fmla="+- 0 1597 -984"/>
              <a:gd name="T51" fmla="*/ 1597 h 2586"/>
              <a:gd name="T52" fmla="+- 0 2241 1809"/>
              <a:gd name="T53" fmla="*/ T52 w 438"/>
              <a:gd name="T54" fmla="+- 0 1598 -984"/>
              <a:gd name="T55" fmla="*/ 1598 h 2586"/>
              <a:gd name="T56" fmla="+- 0 2242 1809"/>
              <a:gd name="T57" fmla="*/ T56 w 438"/>
              <a:gd name="T58" fmla="+- 0 1600 -984"/>
              <a:gd name="T59" fmla="*/ 1600 h 2586"/>
              <a:gd name="T60" fmla="+- 0 2244 1809"/>
              <a:gd name="T61" fmla="*/ T60 w 438"/>
              <a:gd name="T62" fmla="+- 0 1601 -984"/>
              <a:gd name="T63" fmla="*/ 1601 h 2586"/>
              <a:gd name="T64" fmla="+- 0 2246 1809"/>
              <a:gd name="T65" fmla="*/ T64 w 438"/>
              <a:gd name="T66" fmla="+- 0 1600 -984"/>
              <a:gd name="T67" fmla="*/ 1600 h 2586"/>
              <a:gd name="T68" fmla="+- 0 2247 1809"/>
              <a:gd name="T69" fmla="*/ T68 w 438"/>
              <a:gd name="T70" fmla="+- 0 1598 -984"/>
              <a:gd name="T71" fmla="*/ 1598 h 258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38" h="258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38" y="2582"/>
                </a:moveTo>
                <a:lnTo>
                  <a:pt x="437" y="2581"/>
                </a:lnTo>
                <a:lnTo>
                  <a:pt x="435" y="2580"/>
                </a:lnTo>
                <a:lnTo>
                  <a:pt x="433" y="2581"/>
                </a:lnTo>
                <a:lnTo>
                  <a:pt x="432" y="2582"/>
                </a:lnTo>
                <a:lnTo>
                  <a:pt x="433" y="2584"/>
                </a:lnTo>
                <a:lnTo>
                  <a:pt x="435" y="2585"/>
                </a:lnTo>
                <a:lnTo>
                  <a:pt x="437" y="2584"/>
                </a:lnTo>
                <a:lnTo>
                  <a:pt x="438" y="258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1" name="docshape1071">
            <a:extLst>
              <a:ext uri="{FF2B5EF4-FFF2-40B4-BE49-F238E27FC236}">
                <a16:creationId xmlns:a16="http://schemas.microsoft.com/office/drawing/2014/main" id="{D81DC45A-CBD9-F8E6-01B6-42324EA0732E}"/>
              </a:ext>
            </a:extLst>
          </xdr:cNvPr>
          <xdr:cNvSpPr>
            <a:spLocks/>
          </xdr:cNvSpPr>
        </xdr:nvSpPr>
        <xdr:spPr bwMode="auto">
          <a:xfrm>
            <a:off x="3580" y="2288"/>
            <a:ext cx="1216" cy="466"/>
          </a:xfrm>
          <a:custGeom>
            <a:avLst/>
            <a:gdLst>
              <a:gd name="T0" fmla="+- 0 4796 3580"/>
              <a:gd name="T1" fmla="*/ T0 w 1216"/>
              <a:gd name="T2" fmla="+- 0 2288 2288"/>
              <a:gd name="T3" fmla="*/ 2288 h 466"/>
              <a:gd name="T4" fmla="+- 0 3846 3580"/>
              <a:gd name="T5" fmla="*/ T4 w 1216"/>
              <a:gd name="T6" fmla="+- 0 2288 2288"/>
              <a:gd name="T7" fmla="*/ 2288 h 466"/>
              <a:gd name="T8" fmla="+- 0 3580 3580"/>
              <a:gd name="T9" fmla="*/ T8 w 1216"/>
              <a:gd name="T10" fmla="+- 0 2554 2288"/>
              <a:gd name="T11" fmla="*/ 2554 h 466"/>
              <a:gd name="T12" fmla="+- 0 3580 3580"/>
              <a:gd name="T13" fmla="*/ T12 w 1216"/>
              <a:gd name="T14" fmla="+- 0 2754 2288"/>
              <a:gd name="T15" fmla="*/ 2754 h 466"/>
              <a:gd name="T16" fmla="+- 0 4530 3580"/>
              <a:gd name="T17" fmla="*/ T16 w 1216"/>
              <a:gd name="T18" fmla="+- 0 2754 2288"/>
              <a:gd name="T19" fmla="*/ 2754 h 466"/>
              <a:gd name="T20" fmla="+- 0 4796 3580"/>
              <a:gd name="T21" fmla="*/ T20 w 1216"/>
              <a:gd name="T22" fmla="+- 0 2486 2288"/>
              <a:gd name="T23" fmla="*/ 2486 h 466"/>
              <a:gd name="T24" fmla="+- 0 4796 3580"/>
              <a:gd name="T25" fmla="*/ T24 w 1216"/>
              <a:gd name="T26" fmla="+- 0 2288 2288"/>
              <a:gd name="T27" fmla="*/ 2288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216" h="466">
                <a:moveTo>
                  <a:pt x="1216" y="0"/>
                </a:moveTo>
                <a:lnTo>
                  <a:pt x="266" y="0"/>
                </a:lnTo>
                <a:lnTo>
                  <a:pt x="0" y="266"/>
                </a:lnTo>
                <a:lnTo>
                  <a:pt x="0" y="466"/>
                </a:lnTo>
                <a:lnTo>
                  <a:pt x="950" y="466"/>
                </a:lnTo>
                <a:lnTo>
                  <a:pt x="1216" y="198"/>
                </a:lnTo>
                <a:lnTo>
                  <a:pt x="1216" y="0"/>
                </a:lnTo>
                <a:close/>
              </a:path>
            </a:pathLst>
          </a:custGeom>
          <a:solidFill>
            <a:srgbClr val="4E80B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2" name="docshape1072">
            <a:extLst>
              <a:ext uri="{FF2B5EF4-FFF2-40B4-BE49-F238E27FC236}">
                <a16:creationId xmlns:a16="http://schemas.microsoft.com/office/drawing/2014/main" id="{41FD95C6-7A13-A4D0-3191-B426C7577D8B}"/>
              </a:ext>
            </a:extLst>
          </xdr:cNvPr>
          <xdr:cNvSpPr>
            <a:spLocks/>
          </xdr:cNvSpPr>
        </xdr:nvSpPr>
        <xdr:spPr bwMode="auto">
          <a:xfrm>
            <a:off x="3580" y="2288"/>
            <a:ext cx="1216" cy="466"/>
          </a:xfrm>
          <a:custGeom>
            <a:avLst/>
            <a:gdLst>
              <a:gd name="T0" fmla="+- 0 3580 3580"/>
              <a:gd name="T1" fmla="*/ T0 w 1216"/>
              <a:gd name="T2" fmla="+- 0 2754 2288"/>
              <a:gd name="T3" fmla="*/ 2754 h 466"/>
              <a:gd name="T4" fmla="+- 0 3580 3580"/>
              <a:gd name="T5" fmla="*/ T4 w 1216"/>
              <a:gd name="T6" fmla="+- 0 2554 2288"/>
              <a:gd name="T7" fmla="*/ 2554 h 466"/>
              <a:gd name="T8" fmla="+- 0 3846 3580"/>
              <a:gd name="T9" fmla="*/ T8 w 1216"/>
              <a:gd name="T10" fmla="+- 0 2288 2288"/>
              <a:gd name="T11" fmla="*/ 2288 h 466"/>
              <a:gd name="T12" fmla="+- 0 4796 3580"/>
              <a:gd name="T13" fmla="*/ T12 w 1216"/>
              <a:gd name="T14" fmla="+- 0 2288 2288"/>
              <a:gd name="T15" fmla="*/ 2288 h 466"/>
              <a:gd name="T16" fmla="+- 0 4796 3580"/>
              <a:gd name="T17" fmla="*/ T16 w 1216"/>
              <a:gd name="T18" fmla="+- 0 2486 2288"/>
              <a:gd name="T19" fmla="*/ 2486 h 466"/>
              <a:gd name="T20" fmla="+- 0 4530 3580"/>
              <a:gd name="T21" fmla="*/ T20 w 1216"/>
              <a:gd name="T22" fmla="+- 0 2754 2288"/>
              <a:gd name="T23" fmla="*/ 2754 h 466"/>
              <a:gd name="T24" fmla="+- 0 3580 3580"/>
              <a:gd name="T25" fmla="*/ T24 w 1216"/>
              <a:gd name="T26" fmla="+- 0 2754 2288"/>
              <a:gd name="T27" fmla="*/ 2754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1216" h="466">
                <a:moveTo>
                  <a:pt x="0" y="466"/>
                </a:moveTo>
                <a:lnTo>
                  <a:pt x="0" y="266"/>
                </a:lnTo>
                <a:lnTo>
                  <a:pt x="266" y="0"/>
                </a:lnTo>
                <a:lnTo>
                  <a:pt x="1216" y="0"/>
                </a:lnTo>
                <a:lnTo>
                  <a:pt x="1216" y="198"/>
                </a:lnTo>
                <a:lnTo>
                  <a:pt x="950" y="466"/>
                </a:lnTo>
                <a:lnTo>
                  <a:pt x="0" y="46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3" name="docshape1073">
            <a:extLst>
              <a:ext uri="{FF2B5EF4-FFF2-40B4-BE49-F238E27FC236}">
                <a16:creationId xmlns:a16="http://schemas.microsoft.com/office/drawing/2014/main" id="{3D630C4A-BB19-4B72-094D-6487BC124982}"/>
              </a:ext>
            </a:extLst>
          </xdr:cNvPr>
          <xdr:cNvSpPr>
            <a:spLocks/>
          </xdr:cNvSpPr>
        </xdr:nvSpPr>
        <xdr:spPr bwMode="auto">
          <a:xfrm>
            <a:off x="3577" y="2285"/>
            <a:ext cx="1222" cy="472"/>
          </a:xfrm>
          <a:custGeom>
            <a:avLst/>
            <a:gdLst>
              <a:gd name="T0" fmla="+- 0 3583 3577"/>
              <a:gd name="T1" fmla="*/ T0 w 1222"/>
              <a:gd name="T2" fmla="+- 0 2288 2286"/>
              <a:gd name="T3" fmla="*/ 2288 h 472"/>
              <a:gd name="T4" fmla="+- 0 3582 3577"/>
              <a:gd name="T5" fmla="*/ T4 w 1222"/>
              <a:gd name="T6" fmla="+- 0 2287 2286"/>
              <a:gd name="T7" fmla="*/ 2287 h 472"/>
              <a:gd name="T8" fmla="+- 0 3580 3577"/>
              <a:gd name="T9" fmla="*/ T8 w 1222"/>
              <a:gd name="T10" fmla="+- 0 2286 2286"/>
              <a:gd name="T11" fmla="*/ 2286 h 472"/>
              <a:gd name="T12" fmla="+- 0 3578 3577"/>
              <a:gd name="T13" fmla="*/ T12 w 1222"/>
              <a:gd name="T14" fmla="+- 0 2287 2286"/>
              <a:gd name="T15" fmla="*/ 2287 h 472"/>
              <a:gd name="T16" fmla="+- 0 3577 3577"/>
              <a:gd name="T17" fmla="*/ T16 w 1222"/>
              <a:gd name="T18" fmla="+- 0 2288 2286"/>
              <a:gd name="T19" fmla="*/ 2288 h 472"/>
              <a:gd name="T20" fmla="+- 0 3578 3577"/>
              <a:gd name="T21" fmla="*/ T20 w 1222"/>
              <a:gd name="T22" fmla="+- 0 2290 2286"/>
              <a:gd name="T23" fmla="*/ 2290 h 472"/>
              <a:gd name="T24" fmla="+- 0 3580 3577"/>
              <a:gd name="T25" fmla="*/ T24 w 1222"/>
              <a:gd name="T26" fmla="+- 0 2291 2286"/>
              <a:gd name="T27" fmla="*/ 2291 h 472"/>
              <a:gd name="T28" fmla="+- 0 3582 3577"/>
              <a:gd name="T29" fmla="*/ T28 w 1222"/>
              <a:gd name="T30" fmla="+- 0 2290 2286"/>
              <a:gd name="T31" fmla="*/ 2290 h 472"/>
              <a:gd name="T32" fmla="+- 0 3583 3577"/>
              <a:gd name="T33" fmla="*/ T32 w 1222"/>
              <a:gd name="T34" fmla="+- 0 2288 2286"/>
              <a:gd name="T35" fmla="*/ 2288 h 472"/>
              <a:gd name="T36" fmla="+- 0 4799 3577"/>
              <a:gd name="T37" fmla="*/ T36 w 1222"/>
              <a:gd name="T38" fmla="+- 0 2754 2286"/>
              <a:gd name="T39" fmla="*/ 2754 h 472"/>
              <a:gd name="T40" fmla="+- 0 4798 3577"/>
              <a:gd name="T41" fmla="*/ T40 w 1222"/>
              <a:gd name="T42" fmla="+- 0 2753 2286"/>
              <a:gd name="T43" fmla="*/ 2753 h 472"/>
              <a:gd name="T44" fmla="+- 0 4796 3577"/>
              <a:gd name="T45" fmla="*/ T44 w 1222"/>
              <a:gd name="T46" fmla="+- 0 2752 2286"/>
              <a:gd name="T47" fmla="*/ 2752 h 472"/>
              <a:gd name="T48" fmla="+- 0 4794 3577"/>
              <a:gd name="T49" fmla="*/ T48 w 1222"/>
              <a:gd name="T50" fmla="+- 0 2753 2286"/>
              <a:gd name="T51" fmla="*/ 2753 h 472"/>
              <a:gd name="T52" fmla="+- 0 4793 3577"/>
              <a:gd name="T53" fmla="*/ T52 w 1222"/>
              <a:gd name="T54" fmla="+- 0 2754 2286"/>
              <a:gd name="T55" fmla="*/ 2754 h 472"/>
              <a:gd name="T56" fmla="+- 0 4794 3577"/>
              <a:gd name="T57" fmla="*/ T56 w 1222"/>
              <a:gd name="T58" fmla="+- 0 2756 2286"/>
              <a:gd name="T59" fmla="*/ 2756 h 472"/>
              <a:gd name="T60" fmla="+- 0 4796 3577"/>
              <a:gd name="T61" fmla="*/ T60 w 1222"/>
              <a:gd name="T62" fmla="+- 0 2757 2286"/>
              <a:gd name="T63" fmla="*/ 2757 h 472"/>
              <a:gd name="T64" fmla="+- 0 4798 3577"/>
              <a:gd name="T65" fmla="*/ T64 w 1222"/>
              <a:gd name="T66" fmla="+- 0 2756 2286"/>
              <a:gd name="T67" fmla="*/ 2756 h 472"/>
              <a:gd name="T68" fmla="+- 0 4799 3577"/>
              <a:gd name="T69" fmla="*/ T68 w 1222"/>
              <a:gd name="T70" fmla="+- 0 2754 2286"/>
              <a:gd name="T71" fmla="*/ 2754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22" h="47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1222" y="468"/>
                </a:moveTo>
                <a:lnTo>
                  <a:pt x="1221" y="467"/>
                </a:lnTo>
                <a:lnTo>
                  <a:pt x="1219" y="466"/>
                </a:lnTo>
                <a:lnTo>
                  <a:pt x="1217" y="467"/>
                </a:lnTo>
                <a:lnTo>
                  <a:pt x="1216" y="468"/>
                </a:lnTo>
                <a:lnTo>
                  <a:pt x="1217" y="470"/>
                </a:lnTo>
                <a:lnTo>
                  <a:pt x="1219" y="471"/>
                </a:lnTo>
                <a:lnTo>
                  <a:pt x="1221" y="470"/>
                </a:lnTo>
                <a:lnTo>
                  <a:pt x="1222" y="46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4" name="docshape1074">
            <a:extLst>
              <a:ext uri="{FF2B5EF4-FFF2-40B4-BE49-F238E27FC236}">
                <a16:creationId xmlns:a16="http://schemas.microsoft.com/office/drawing/2014/main" id="{8EAD1F41-C312-FCAE-1E6D-317AF865E945}"/>
              </a:ext>
            </a:extLst>
          </xdr:cNvPr>
          <xdr:cNvSpPr>
            <a:spLocks/>
          </xdr:cNvSpPr>
        </xdr:nvSpPr>
        <xdr:spPr bwMode="auto">
          <a:xfrm>
            <a:off x="3580" y="2288"/>
            <a:ext cx="1216" cy="266"/>
          </a:xfrm>
          <a:custGeom>
            <a:avLst/>
            <a:gdLst>
              <a:gd name="T0" fmla="+- 0 4796 3580"/>
              <a:gd name="T1" fmla="*/ T0 w 1216"/>
              <a:gd name="T2" fmla="+- 0 2288 2288"/>
              <a:gd name="T3" fmla="*/ 2288 h 266"/>
              <a:gd name="T4" fmla="+- 0 3846 3580"/>
              <a:gd name="T5" fmla="*/ T4 w 1216"/>
              <a:gd name="T6" fmla="+- 0 2288 2288"/>
              <a:gd name="T7" fmla="*/ 2288 h 266"/>
              <a:gd name="T8" fmla="+- 0 3580 3580"/>
              <a:gd name="T9" fmla="*/ T8 w 1216"/>
              <a:gd name="T10" fmla="+- 0 2554 2288"/>
              <a:gd name="T11" fmla="*/ 2554 h 266"/>
              <a:gd name="T12" fmla="+- 0 4530 3580"/>
              <a:gd name="T13" fmla="*/ T12 w 1216"/>
              <a:gd name="T14" fmla="+- 0 2554 2288"/>
              <a:gd name="T15" fmla="*/ 2554 h 266"/>
              <a:gd name="T16" fmla="+- 0 4796 3580"/>
              <a:gd name="T17" fmla="*/ T16 w 1216"/>
              <a:gd name="T18" fmla="+- 0 2288 2288"/>
              <a:gd name="T19" fmla="*/ 2288 h 2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6" h="266">
                <a:moveTo>
                  <a:pt x="1216" y="0"/>
                </a:moveTo>
                <a:lnTo>
                  <a:pt x="266" y="0"/>
                </a:lnTo>
                <a:lnTo>
                  <a:pt x="0" y="266"/>
                </a:lnTo>
                <a:lnTo>
                  <a:pt x="950" y="266"/>
                </a:lnTo>
                <a:lnTo>
                  <a:pt x="1216" y="0"/>
                </a:lnTo>
                <a:close/>
              </a:path>
            </a:pathLst>
          </a:custGeom>
          <a:solidFill>
            <a:srgbClr val="6B96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5" name="docshape1075">
            <a:extLst>
              <a:ext uri="{FF2B5EF4-FFF2-40B4-BE49-F238E27FC236}">
                <a16:creationId xmlns:a16="http://schemas.microsoft.com/office/drawing/2014/main" id="{1C0AB4CB-33AD-7A3A-2DB5-6465B08485C4}"/>
              </a:ext>
            </a:extLst>
          </xdr:cNvPr>
          <xdr:cNvSpPr>
            <a:spLocks/>
          </xdr:cNvSpPr>
        </xdr:nvSpPr>
        <xdr:spPr bwMode="auto">
          <a:xfrm>
            <a:off x="3580" y="2288"/>
            <a:ext cx="1216" cy="266"/>
          </a:xfrm>
          <a:custGeom>
            <a:avLst/>
            <a:gdLst>
              <a:gd name="T0" fmla="+- 0 3580 3580"/>
              <a:gd name="T1" fmla="*/ T0 w 1216"/>
              <a:gd name="T2" fmla="+- 0 2554 2288"/>
              <a:gd name="T3" fmla="*/ 2554 h 266"/>
              <a:gd name="T4" fmla="+- 0 3846 3580"/>
              <a:gd name="T5" fmla="*/ T4 w 1216"/>
              <a:gd name="T6" fmla="+- 0 2288 2288"/>
              <a:gd name="T7" fmla="*/ 2288 h 266"/>
              <a:gd name="T8" fmla="+- 0 4796 3580"/>
              <a:gd name="T9" fmla="*/ T8 w 1216"/>
              <a:gd name="T10" fmla="+- 0 2288 2288"/>
              <a:gd name="T11" fmla="*/ 2288 h 266"/>
              <a:gd name="T12" fmla="+- 0 4530 3580"/>
              <a:gd name="T13" fmla="*/ T12 w 1216"/>
              <a:gd name="T14" fmla="+- 0 2554 2288"/>
              <a:gd name="T15" fmla="*/ 2554 h 266"/>
              <a:gd name="T16" fmla="+- 0 3580 3580"/>
              <a:gd name="T17" fmla="*/ T16 w 1216"/>
              <a:gd name="T18" fmla="+- 0 2554 2288"/>
              <a:gd name="T19" fmla="*/ 2554 h 2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16" h="266">
                <a:moveTo>
                  <a:pt x="0" y="266"/>
                </a:moveTo>
                <a:lnTo>
                  <a:pt x="266" y="0"/>
                </a:lnTo>
                <a:lnTo>
                  <a:pt x="1216" y="0"/>
                </a:lnTo>
                <a:lnTo>
                  <a:pt x="950" y="266"/>
                </a:lnTo>
                <a:lnTo>
                  <a:pt x="0" y="26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6" name="docshape1076">
            <a:extLst>
              <a:ext uri="{FF2B5EF4-FFF2-40B4-BE49-F238E27FC236}">
                <a16:creationId xmlns:a16="http://schemas.microsoft.com/office/drawing/2014/main" id="{2E22AF77-A274-C60C-A9F5-B8C08D500901}"/>
              </a:ext>
            </a:extLst>
          </xdr:cNvPr>
          <xdr:cNvSpPr>
            <a:spLocks/>
          </xdr:cNvSpPr>
        </xdr:nvSpPr>
        <xdr:spPr bwMode="auto">
          <a:xfrm>
            <a:off x="3577" y="2285"/>
            <a:ext cx="1222" cy="472"/>
          </a:xfrm>
          <a:custGeom>
            <a:avLst/>
            <a:gdLst>
              <a:gd name="T0" fmla="+- 0 3583 3577"/>
              <a:gd name="T1" fmla="*/ T0 w 1222"/>
              <a:gd name="T2" fmla="+- 0 2288 2286"/>
              <a:gd name="T3" fmla="*/ 2288 h 472"/>
              <a:gd name="T4" fmla="+- 0 3582 3577"/>
              <a:gd name="T5" fmla="*/ T4 w 1222"/>
              <a:gd name="T6" fmla="+- 0 2287 2286"/>
              <a:gd name="T7" fmla="*/ 2287 h 472"/>
              <a:gd name="T8" fmla="+- 0 3580 3577"/>
              <a:gd name="T9" fmla="*/ T8 w 1222"/>
              <a:gd name="T10" fmla="+- 0 2286 2286"/>
              <a:gd name="T11" fmla="*/ 2286 h 472"/>
              <a:gd name="T12" fmla="+- 0 3578 3577"/>
              <a:gd name="T13" fmla="*/ T12 w 1222"/>
              <a:gd name="T14" fmla="+- 0 2287 2286"/>
              <a:gd name="T15" fmla="*/ 2287 h 472"/>
              <a:gd name="T16" fmla="+- 0 3577 3577"/>
              <a:gd name="T17" fmla="*/ T16 w 1222"/>
              <a:gd name="T18" fmla="+- 0 2288 2286"/>
              <a:gd name="T19" fmla="*/ 2288 h 472"/>
              <a:gd name="T20" fmla="+- 0 3578 3577"/>
              <a:gd name="T21" fmla="*/ T20 w 1222"/>
              <a:gd name="T22" fmla="+- 0 2290 2286"/>
              <a:gd name="T23" fmla="*/ 2290 h 472"/>
              <a:gd name="T24" fmla="+- 0 3580 3577"/>
              <a:gd name="T25" fmla="*/ T24 w 1222"/>
              <a:gd name="T26" fmla="+- 0 2291 2286"/>
              <a:gd name="T27" fmla="*/ 2291 h 472"/>
              <a:gd name="T28" fmla="+- 0 3582 3577"/>
              <a:gd name="T29" fmla="*/ T28 w 1222"/>
              <a:gd name="T30" fmla="+- 0 2290 2286"/>
              <a:gd name="T31" fmla="*/ 2290 h 472"/>
              <a:gd name="T32" fmla="+- 0 3583 3577"/>
              <a:gd name="T33" fmla="*/ T32 w 1222"/>
              <a:gd name="T34" fmla="+- 0 2288 2286"/>
              <a:gd name="T35" fmla="*/ 2288 h 472"/>
              <a:gd name="T36" fmla="+- 0 4799 3577"/>
              <a:gd name="T37" fmla="*/ T36 w 1222"/>
              <a:gd name="T38" fmla="+- 0 2754 2286"/>
              <a:gd name="T39" fmla="*/ 2754 h 472"/>
              <a:gd name="T40" fmla="+- 0 4798 3577"/>
              <a:gd name="T41" fmla="*/ T40 w 1222"/>
              <a:gd name="T42" fmla="+- 0 2753 2286"/>
              <a:gd name="T43" fmla="*/ 2753 h 472"/>
              <a:gd name="T44" fmla="+- 0 4796 3577"/>
              <a:gd name="T45" fmla="*/ T44 w 1222"/>
              <a:gd name="T46" fmla="+- 0 2752 2286"/>
              <a:gd name="T47" fmla="*/ 2752 h 472"/>
              <a:gd name="T48" fmla="+- 0 4794 3577"/>
              <a:gd name="T49" fmla="*/ T48 w 1222"/>
              <a:gd name="T50" fmla="+- 0 2753 2286"/>
              <a:gd name="T51" fmla="*/ 2753 h 472"/>
              <a:gd name="T52" fmla="+- 0 4793 3577"/>
              <a:gd name="T53" fmla="*/ T52 w 1222"/>
              <a:gd name="T54" fmla="+- 0 2754 2286"/>
              <a:gd name="T55" fmla="*/ 2754 h 472"/>
              <a:gd name="T56" fmla="+- 0 4794 3577"/>
              <a:gd name="T57" fmla="*/ T56 w 1222"/>
              <a:gd name="T58" fmla="+- 0 2756 2286"/>
              <a:gd name="T59" fmla="*/ 2756 h 472"/>
              <a:gd name="T60" fmla="+- 0 4796 3577"/>
              <a:gd name="T61" fmla="*/ T60 w 1222"/>
              <a:gd name="T62" fmla="+- 0 2757 2286"/>
              <a:gd name="T63" fmla="*/ 2757 h 472"/>
              <a:gd name="T64" fmla="+- 0 4798 3577"/>
              <a:gd name="T65" fmla="*/ T64 w 1222"/>
              <a:gd name="T66" fmla="+- 0 2756 2286"/>
              <a:gd name="T67" fmla="*/ 2756 h 472"/>
              <a:gd name="T68" fmla="+- 0 4799 3577"/>
              <a:gd name="T69" fmla="*/ T68 w 1222"/>
              <a:gd name="T70" fmla="+- 0 2754 2286"/>
              <a:gd name="T71" fmla="*/ 2754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22" h="47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1222" y="468"/>
                </a:moveTo>
                <a:lnTo>
                  <a:pt x="1221" y="467"/>
                </a:lnTo>
                <a:lnTo>
                  <a:pt x="1219" y="466"/>
                </a:lnTo>
                <a:lnTo>
                  <a:pt x="1217" y="467"/>
                </a:lnTo>
                <a:lnTo>
                  <a:pt x="1216" y="468"/>
                </a:lnTo>
                <a:lnTo>
                  <a:pt x="1217" y="470"/>
                </a:lnTo>
                <a:lnTo>
                  <a:pt x="1219" y="471"/>
                </a:lnTo>
                <a:lnTo>
                  <a:pt x="1221" y="470"/>
                </a:lnTo>
                <a:lnTo>
                  <a:pt x="1222" y="46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7" name="docshape1077">
            <a:extLst>
              <a:ext uri="{FF2B5EF4-FFF2-40B4-BE49-F238E27FC236}">
                <a16:creationId xmlns:a16="http://schemas.microsoft.com/office/drawing/2014/main" id="{EAE88991-62C0-B47F-97CA-F8FAAD1F8EC7}"/>
              </a:ext>
            </a:extLst>
          </xdr:cNvPr>
          <xdr:cNvSpPr>
            <a:spLocks/>
          </xdr:cNvSpPr>
        </xdr:nvSpPr>
        <xdr:spPr bwMode="auto">
          <a:xfrm>
            <a:off x="4530" y="2288"/>
            <a:ext cx="266" cy="466"/>
          </a:xfrm>
          <a:custGeom>
            <a:avLst/>
            <a:gdLst>
              <a:gd name="T0" fmla="+- 0 4796 4530"/>
              <a:gd name="T1" fmla="*/ T0 w 266"/>
              <a:gd name="T2" fmla="+- 0 2288 2288"/>
              <a:gd name="T3" fmla="*/ 2288 h 466"/>
              <a:gd name="T4" fmla="+- 0 4530 4530"/>
              <a:gd name="T5" fmla="*/ T4 w 266"/>
              <a:gd name="T6" fmla="+- 0 2554 2288"/>
              <a:gd name="T7" fmla="*/ 2554 h 466"/>
              <a:gd name="T8" fmla="+- 0 4530 4530"/>
              <a:gd name="T9" fmla="*/ T8 w 266"/>
              <a:gd name="T10" fmla="+- 0 2754 2288"/>
              <a:gd name="T11" fmla="*/ 2754 h 466"/>
              <a:gd name="T12" fmla="+- 0 4796 4530"/>
              <a:gd name="T13" fmla="*/ T12 w 266"/>
              <a:gd name="T14" fmla="+- 0 2486 2288"/>
              <a:gd name="T15" fmla="*/ 2486 h 466"/>
              <a:gd name="T16" fmla="+- 0 4796 4530"/>
              <a:gd name="T17" fmla="*/ T16 w 266"/>
              <a:gd name="T18" fmla="+- 0 2288 2288"/>
              <a:gd name="T19" fmla="*/ 2288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66" h="466">
                <a:moveTo>
                  <a:pt x="266" y="0"/>
                </a:moveTo>
                <a:lnTo>
                  <a:pt x="0" y="266"/>
                </a:lnTo>
                <a:lnTo>
                  <a:pt x="0" y="466"/>
                </a:lnTo>
                <a:lnTo>
                  <a:pt x="266" y="198"/>
                </a:lnTo>
                <a:lnTo>
                  <a:pt x="266" y="0"/>
                </a:lnTo>
                <a:close/>
              </a:path>
            </a:pathLst>
          </a:custGeom>
          <a:solidFill>
            <a:srgbClr val="3E669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8" name="docshape1078">
            <a:extLst>
              <a:ext uri="{FF2B5EF4-FFF2-40B4-BE49-F238E27FC236}">
                <a16:creationId xmlns:a16="http://schemas.microsoft.com/office/drawing/2014/main" id="{32FC5083-D52E-D8E5-6CF6-996079017A5F}"/>
              </a:ext>
            </a:extLst>
          </xdr:cNvPr>
          <xdr:cNvSpPr>
            <a:spLocks/>
          </xdr:cNvSpPr>
        </xdr:nvSpPr>
        <xdr:spPr bwMode="auto">
          <a:xfrm>
            <a:off x="4530" y="2288"/>
            <a:ext cx="266" cy="466"/>
          </a:xfrm>
          <a:custGeom>
            <a:avLst/>
            <a:gdLst>
              <a:gd name="T0" fmla="+- 0 4530 4530"/>
              <a:gd name="T1" fmla="*/ T0 w 266"/>
              <a:gd name="T2" fmla="+- 0 2754 2288"/>
              <a:gd name="T3" fmla="*/ 2754 h 466"/>
              <a:gd name="T4" fmla="+- 0 4530 4530"/>
              <a:gd name="T5" fmla="*/ T4 w 266"/>
              <a:gd name="T6" fmla="+- 0 2554 2288"/>
              <a:gd name="T7" fmla="*/ 2554 h 466"/>
              <a:gd name="T8" fmla="+- 0 4796 4530"/>
              <a:gd name="T9" fmla="*/ T8 w 266"/>
              <a:gd name="T10" fmla="+- 0 2288 2288"/>
              <a:gd name="T11" fmla="*/ 2288 h 466"/>
              <a:gd name="T12" fmla="+- 0 4796 4530"/>
              <a:gd name="T13" fmla="*/ T12 w 266"/>
              <a:gd name="T14" fmla="+- 0 2486 2288"/>
              <a:gd name="T15" fmla="*/ 2486 h 466"/>
              <a:gd name="T16" fmla="+- 0 4530 4530"/>
              <a:gd name="T17" fmla="*/ T16 w 266"/>
              <a:gd name="T18" fmla="+- 0 2754 2288"/>
              <a:gd name="T19" fmla="*/ 2754 h 46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266" h="466">
                <a:moveTo>
                  <a:pt x="0" y="466"/>
                </a:moveTo>
                <a:lnTo>
                  <a:pt x="0" y="266"/>
                </a:lnTo>
                <a:lnTo>
                  <a:pt x="266" y="0"/>
                </a:lnTo>
                <a:lnTo>
                  <a:pt x="266" y="198"/>
                </a:lnTo>
                <a:lnTo>
                  <a:pt x="0" y="46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9" name="docshape1079">
            <a:extLst>
              <a:ext uri="{FF2B5EF4-FFF2-40B4-BE49-F238E27FC236}">
                <a16:creationId xmlns:a16="http://schemas.microsoft.com/office/drawing/2014/main" id="{248968DF-5CEE-972C-E4B8-E996F1B2015F}"/>
              </a:ext>
            </a:extLst>
          </xdr:cNvPr>
          <xdr:cNvSpPr>
            <a:spLocks/>
          </xdr:cNvSpPr>
        </xdr:nvSpPr>
        <xdr:spPr bwMode="auto">
          <a:xfrm>
            <a:off x="3577" y="2285"/>
            <a:ext cx="1222" cy="472"/>
          </a:xfrm>
          <a:custGeom>
            <a:avLst/>
            <a:gdLst>
              <a:gd name="T0" fmla="+- 0 3583 3577"/>
              <a:gd name="T1" fmla="*/ T0 w 1222"/>
              <a:gd name="T2" fmla="+- 0 2288 2286"/>
              <a:gd name="T3" fmla="*/ 2288 h 472"/>
              <a:gd name="T4" fmla="+- 0 3582 3577"/>
              <a:gd name="T5" fmla="*/ T4 w 1222"/>
              <a:gd name="T6" fmla="+- 0 2287 2286"/>
              <a:gd name="T7" fmla="*/ 2287 h 472"/>
              <a:gd name="T8" fmla="+- 0 3580 3577"/>
              <a:gd name="T9" fmla="*/ T8 w 1222"/>
              <a:gd name="T10" fmla="+- 0 2286 2286"/>
              <a:gd name="T11" fmla="*/ 2286 h 472"/>
              <a:gd name="T12" fmla="+- 0 3578 3577"/>
              <a:gd name="T13" fmla="*/ T12 w 1222"/>
              <a:gd name="T14" fmla="+- 0 2287 2286"/>
              <a:gd name="T15" fmla="*/ 2287 h 472"/>
              <a:gd name="T16" fmla="+- 0 3577 3577"/>
              <a:gd name="T17" fmla="*/ T16 w 1222"/>
              <a:gd name="T18" fmla="+- 0 2288 2286"/>
              <a:gd name="T19" fmla="*/ 2288 h 472"/>
              <a:gd name="T20" fmla="+- 0 3578 3577"/>
              <a:gd name="T21" fmla="*/ T20 w 1222"/>
              <a:gd name="T22" fmla="+- 0 2290 2286"/>
              <a:gd name="T23" fmla="*/ 2290 h 472"/>
              <a:gd name="T24" fmla="+- 0 3580 3577"/>
              <a:gd name="T25" fmla="*/ T24 w 1222"/>
              <a:gd name="T26" fmla="+- 0 2291 2286"/>
              <a:gd name="T27" fmla="*/ 2291 h 472"/>
              <a:gd name="T28" fmla="+- 0 3582 3577"/>
              <a:gd name="T29" fmla="*/ T28 w 1222"/>
              <a:gd name="T30" fmla="+- 0 2290 2286"/>
              <a:gd name="T31" fmla="*/ 2290 h 472"/>
              <a:gd name="T32" fmla="+- 0 3583 3577"/>
              <a:gd name="T33" fmla="*/ T32 w 1222"/>
              <a:gd name="T34" fmla="+- 0 2288 2286"/>
              <a:gd name="T35" fmla="*/ 2288 h 472"/>
              <a:gd name="T36" fmla="+- 0 4799 3577"/>
              <a:gd name="T37" fmla="*/ T36 w 1222"/>
              <a:gd name="T38" fmla="+- 0 2754 2286"/>
              <a:gd name="T39" fmla="*/ 2754 h 472"/>
              <a:gd name="T40" fmla="+- 0 4798 3577"/>
              <a:gd name="T41" fmla="*/ T40 w 1222"/>
              <a:gd name="T42" fmla="+- 0 2753 2286"/>
              <a:gd name="T43" fmla="*/ 2753 h 472"/>
              <a:gd name="T44" fmla="+- 0 4796 3577"/>
              <a:gd name="T45" fmla="*/ T44 w 1222"/>
              <a:gd name="T46" fmla="+- 0 2752 2286"/>
              <a:gd name="T47" fmla="*/ 2752 h 472"/>
              <a:gd name="T48" fmla="+- 0 4794 3577"/>
              <a:gd name="T49" fmla="*/ T48 w 1222"/>
              <a:gd name="T50" fmla="+- 0 2753 2286"/>
              <a:gd name="T51" fmla="*/ 2753 h 472"/>
              <a:gd name="T52" fmla="+- 0 4793 3577"/>
              <a:gd name="T53" fmla="*/ T52 w 1222"/>
              <a:gd name="T54" fmla="+- 0 2754 2286"/>
              <a:gd name="T55" fmla="*/ 2754 h 472"/>
              <a:gd name="T56" fmla="+- 0 4794 3577"/>
              <a:gd name="T57" fmla="*/ T56 w 1222"/>
              <a:gd name="T58" fmla="+- 0 2756 2286"/>
              <a:gd name="T59" fmla="*/ 2756 h 472"/>
              <a:gd name="T60" fmla="+- 0 4796 3577"/>
              <a:gd name="T61" fmla="*/ T60 w 1222"/>
              <a:gd name="T62" fmla="+- 0 2757 2286"/>
              <a:gd name="T63" fmla="*/ 2757 h 472"/>
              <a:gd name="T64" fmla="+- 0 4798 3577"/>
              <a:gd name="T65" fmla="*/ T64 w 1222"/>
              <a:gd name="T66" fmla="+- 0 2756 2286"/>
              <a:gd name="T67" fmla="*/ 2756 h 472"/>
              <a:gd name="T68" fmla="+- 0 4799 3577"/>
              <a:gd name="T69" fmla="*/ T68 w 1222"/>
              <a:gd name="T70" fmla="+- 0 2754 2286"/>
              <a:gd name="T71" fmla="*/ 2754 h 47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1222" h="47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1222" y="468"/>
                </a:moveTo>
                <a:lnTo>
                  <a:pt x="1221" y="467"/>
                </a:lnTo>
                <a:lnTo>
                  <a:pt x="1219" y="466"/>
                </a:lnTo>
                <a:lnTo>
                  <a:pt x="1217" y="467"/>
                </a:lnTo>
                <a:lnTo>
                  <a:pt x="1216" y="468"/>
                </a:lnTo>
                <a:lnTo>
                  <a:pt x="1217" y="470"/>
                </a:lnTo>
                <a:lnTo>
                  <a:pt x="1219" y="471"/>
                </a:lnTo>
                <a:lnTo>
                  <a:pt x="1221" y="470"/>
                </a:lnTo>
                <a:lnTo>
                  <a:pt x="1222" y="46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7" name="docshape1080">
            <a:extLst>
              <a:ext uri="{FF2B5EF4-FFF2-40B4-BE49-F238E27FC236}">
                <a16:creationId xmlns:a16="http://schemas.microsoft.com/office/drawing/2014/main" id="{C8C4DB1C-69D9-3F93-C966-10A95E52F4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08" y="1344"/>
            <a:ext cx="414" cy="10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41" name="docshape1081">
            <a:extLst>
              <a:ext uri="{FF2B5EF4-FFF2-40B4-BE49-F238E27FC236}">
                <a16:creationId xmlns:a16="http://schemas.microsoft.com/office/drawing/2014/main" id="{9A196C21-719E-9390-363B-444983C1B37B}"/>
              </a:ext>
            </a:extLst>
          </xdr:cNvPr>
          <xdr:cNvSpPr>
            <a:spLocks/>
          </xdr:cNvSpPr>
        </xdr:nvSpPr>
        <xdr:spPr bwMode="auto">
          <a:xfrm>
            <a:off x="4010" y="1342"/>
            <a:ext cx="412" cy="1096"/>
          </a:xfrm>
          <a:custGeom>
            <a:avLst/>
            <a:gdLst>
              <a:gd name="T0" fmla="+- 0 4010 4010"/>
              <a:gd name="T1" fmla="*/ T0 w 412"/>
              <a:gd name="T2" fmla="+- 0 2438 1342"/>
              <a:gd name="T3" fmla="*/ 2438 h 1096"/>
              <a:gd name="T4" fmla="+- 0 4010 4010"/>
              <a:gd name="T5" fmla="*/ T4 w 412"/>
              <a:gd name="T6" fmla="+- 0 1446 1342"/>
              <a:gd name="T7" fmla="*/ 1446 h 1096"/>
              <a:gd name="T8" fmla="+- 0 4112 4010"/>
              <a:gd name="T9" fmla="*/ T8 w 412"/>
              <a:gd name="T10" fmla="+- 0 1342 1342"/>
              <a:gd name="T11" fmla="*/ 1342 h 1096"/>
              <a:gd name="T12" fmla="+- 0 4422 4010"/>
              <a:gd name="T13" fmla="*/ T12 w 412"/>
              <a:gd name="T14" fmla="+- 0 1342 1342"/>
              <a:gd name="T15" fmla="*/ 1342 h 1096"/>
              <a:gd name="T16" fmla="+- 0 4422 4010"/>
              <a:gd name="T17" fmla="*/ T16 w 412"/>
              <a:gd name="T18" fmla="+- 0 2334 1342"/>
              <a:gd name="T19" fmla="*/ 2334 h 1096"/>
              <a:gd name="T20" fmla="+- 0 4320 4010"/>
              <a:gd name="T21" fmla="*/ T20 w 412"/>
              <a:gd name="T22" fmla="+- 0 2438 1342"/>
              <a:gd name="T23" fmla="*/ 2438 h 1096"/>
              <a:gd name="T24" fmla="+- 0 4010 4010"/>
              <a:gd name="T25" fmla="*/ T24 w 412"/>
              <a:gd name="T26" fmla="+- 0 2438 1342"/>
              <a:gd name="T27" fmla="*/ 2438 h 109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12" h="1096">
                <a:moveTo>
                  <a:pt x="0" y="1096"/>
                </a:moveTo>
                <a:lnTo>
                  <a:pt x="0" y="104"/>
                </a:lnTo>
                <a:lnTo>
                  <a:pt x="102" y="0"/>
                </a:lnTo>
                <a:lnTo>
                  <a:pt x="412" y="0"/>
                </a:lnTo>
                <a:lnTo>
                  <a:pt x="412" y="992"/>
                </a:lnTo>
                <a:lnTo>
                  <a:pt x="310" y="1096"/>
                </a:lnTo>
                <a:lnTo>
                  <a:pt x="0" y="109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2" name="docshape1082">
            <a:extLst>
              <a:ext uri="{FF2B5EF4-FFF2-40B4-BE49-F238E27FC236}">
                <a16:creationId xmlns:a16="http://schemas.microsoft.com/office/drawing/2014/main" id="{FBA1BA2A-BC44-D182-EFC8-3F2A2A4CE443}"/>
              </a:ext>
            </a:extLst>
          </xdr:cNvPr>
          <xdr:cNvSpPr>
            <a:spLocks/>
          </xdr:cNvSpPr>
        </xdr:nvSpPr>
        <xdr:spPr bwMode="auto">
          <a:xfrm>
            <a:off x="4419" y="2435"/>
            <a:ext cx="6" cy="6"/>
          </a:xfrm>
          <a:custGeom>
            <a:avLst/>
            <a:gdLst>
              <a:gd name="T0" fmla="+- 0 4419 4419"/>
              <a:gd name="T1" fmla="*/ T0 w 6"/>
              <a:gd name="T2" fmla="+- 0 2438 2436"/>
              <a:gd name="T3" fmla="*/ 2438 h 6"/>
              <a:gd name="T4" fmla="+- 0 4420 4419"/>
              <a:gd name="T5" fmla="*/ T4 w 6"/>
              <a:gd name="T6" fmla="+- 0 2437 2436"/>
              <a:gd name="T7" fmla="*/ 2437 h 6"/>
              <a:gd name="T8" fmla="+- 0 4422 4419"/>
              <a:gd name="T9" fmla="*/ T8 w 6"/>
              <a:gd name="T10" fmla="+- 0 2436 2436"/>
              <a:gd name="T11" fmla="*/ 2436 h 6"/>
              <a:gd name="T12" fmla="+- 0 4424 4419"/>
              <a:gd name="T13" fmla="*/ T12 w 6"/>
              <a:gd name="T14" fmla="+- 0 2437 2436"/>
              <a:gd name="T15" fmla="*/ 2437 h 6"/>
              <a:gd name="T16" fmla="+- 0 4425 4419"/>
              <a:gd name="T17" fmla="*/ T16 w 6"/>
              <a:gd name="T18" fmla="+- 0 2438 2436"/>
              <a:gd name="T19" fmla="*/ 2438 h 6"/>
              <a:gd name="T20" fmla="+- 0 4424 4419"/>
              <a:gd name="T21" fmla="*/ T20 w 6"/>
              <a:gd name="T22" fmla="+- 0 2440 2436"/>
              <a:gd name="T23" fmla="*/ 2440 h 6"/>
              <a:gd name="T24" fmla="+- 0 4422 4419"/>
              <a:gd name="T25" fmla="*/ T24 w 6"/>
              <a:gd name="T26" fmla="+- 0 2441 2436"/>
              <a:gd name="T27" fmla="*/ 2441 h 6"/>
              <a:gd name="T28" fmla="+- 0 4420 4419"/>
              <a:gd name="T29" fmla="*/ T28 w 6"/>
              <a:gd name="T30" fmla="+- 0 2440 2436"/>
              <a:gd name="T31" fmla="*/ 2440 h 6"/>
              <a:gd name="T32" fmla="+- 0 4419 4419"/>
              <a:gd name="T33" fmla="*/ T32 w 6"/>
              <a:gd name="T34" fmla="+- 0 2438 2436"/>
              <a:gd name="T35" fmla="*/ 2438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6">
                <a:moveTo>
                  <a:pt x="0" y="2"/>
                </a:moveTo>
                <a:lnTo>
                  <a:pt x="1" y="1"/>
                </a:lnTo>
                <a:lnTo>
                  <a:pt x="3" y="0"/>
                </a:lnTo>
                <a:lnTo>
                  <a:pt x="5" y="1"/>
                </a:lnTo>
                <a:lnTo>
                  <a:pt x="6" y="2"/>
                </a:lnTo>
                <a:lnTo>
                  <a:pt x="5" y="4"/>
                </a:lnTo>
                <a:lnTo>
                  <a:pt x="3" y="5"/>
                </a:lnTo>
                <a:lnTo>
                  <a:pt x="1" y="4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8" name="docshape1083">
            <a:extLst>
              <a:ext uri="{FF2B5EF4-FFF2-40B4-BE49-F238E27FC236}">
                <a16:creationId xmlns:a16="http://schemas.microsoft.com/office/drawing/2014/main" id="{D1667DB4-80E9-D5A5-81AF-B97C6856D04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07" y="1339"/>
            <a:ext cx="415" cy="1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44" name="docshape1084">
            <a:extLst>
              <a:ext uri="{FF2B5EF4-FFF2-40B4-BE49-F238E27FC236}">
                <a16:creationId xmlns:a16="http://schemas.microsoft.com/office/drawing/2014/main" id="{512A3AEE-F4DA-7F97-9370-5BACD71354B3}"/>
              </a:ext>
            </a:extLst>
          </xdr:cNvPr>
          <xdr:cNvSpPr>
            <a:spLocks/>
          </xdr:cNvSpPr>
        </xdr:nvSpPr>
        <xdr:spPr bwMode="auto">
          <a:xfrm>
            <a:off x="4010" y="1342"/>
            <a:ext cx="412" cy="104"/>
          </a:xfrm>
          <a:custGeom>
            <a:avLst/>
            <a:gdLst>
              <a:gd name="T0" fmla="+- 0 4010 4010"/>
              <a:gd name="T1" fmla="*/ T0 w 412"/>
              <a:gd name="T2" fmla="+- 0 1446 1342"/>
              <a:gd name="T3" fmla="*/ 1446 h 104"/>
              <a:gd name="T4" fmla="+- 0 4112 4010"/>
              <a:gd name="T5" fmla="*/ T4 w 412"/>
              <a:gd name="T6" fmla="+- 0 1342 1342"/>
              <a:gd name="T7" fmla="*/ 1342 h 104"/>
              <a:gd name="T8" fmla="+- 0 4422 4010"/>
              <a:gd name="T9" fmla="*/ T8 w 412"/>
              <a:gd name="T10" fmla="+- 0 1342 1342"/>
              <a:gd name="T11" fmla="*/ 1342 h 104"/>
              <a:gd name="T12" fmla="+- 0 4320 4010"/>
              <a:gd name="T13" fmla="*/ T12 w 412"/>
              <a:gd name="T14" fmla="+- 0 1446 1342"/>
              <a:gd name="T15" fmla="*/ 1446 h 104"/>
              <a:gd name="T16" fmla="+- 0 4010 4010"/>
              <a:gd name="T17" fmla="*/ T16 w 412"/>
              <a:gd name="T18" fmla="+- 0 1446 1342"/>
              <a:gd name="T19" fmla="*/ 1446 h 10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12" h="104">
                <a:moveTo>
                  <a:pt x="0" y="104"/>
                </a:moveTo>
                <a:lnTo>
                  <a:pt x="102" y="0"/>
                </a:lnTo>
                <a:lnTo>
                  <a:pt x="412" y="0"/>
                </a:lnTo>
                <a:lnTo>
                  <a:pt x="310" y="104"/>
                </a:lnTo>
                <a:lnTo>
                  <a:pt x="0" y="104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5" name="docshape1085">
            <a:extLst>
              <a:ext uri="{FF2B5EF4-FFF2-40B4-BE49-F238E27FC236}">
                <a16:creationId xmlns:a16="http://schemas.microsoft.com/office/drawing/2014/main" id="{D42D6E55-7764-ED95-0EA4-793304162673}"/>
              </a:ext>
            </a:extLst>
          </xdr:cNvPr>
          <xdr:cNvSpPr>
            <a:spLocks/>
          </xdr:cNvSpPr>
        </xdr:nvSpPr>
        <xdr:spPr bwMode="auto">
          <a:xfrm>
            <a:off x="4007" y="1339"/>
            <a:ext cx="6" cy="6"/>
          </a:xfrm>
          <a:custGeom>
            <a:avLst/>
            <a:gdLst>
              <a:gd name="T0" fmla="+- 0 4007 4007"/>
              <a:gd name="T1" fmla="*/ T0 w 6"/>
              <a:gd name="T2" fmla="+- 0 1342 1340"/>
              <a:gd name="T3" fmla="*/ 1342 h 6"/>
              <a:gd name="T4" fmla="+- 0 4008 4007"/>
              <a:gd name="T5" fmla="*/ T4 w 6"/>
              <a:gd name="T6" fmla="+- 0 1341 1340"/>
              <a:gd name="T7" fmla="*/ 1341 h 6"/>
              <a:gd name="T8" fmla="+- 0 4010 4007"/>
              <a:gd name="T9" fmla="*/ T8 w 6"/>
              <a:gd name="T10" fmla="+- 0 1340 1340"/>
              <a:gd name="T11" fmla="*/ 1340 h 6"/>
              <a:gd name="T12" fmla="+- 0 4012 4007"/>
              <a:gd name="T13" fmla="*/ T12 w 6"/>
              <a:gd name="T14" fmla="+- 0 1341 1340"/>
              <a:gd name="T15" fmla="*/ 1341 h 6"/>
              <a:gd name="T16" fmla="+- 0 4013 4007"/>
              <a:gd name="T17" fmla="*/ T16 w 6"/>
              <a:gd name="T18" fmla="+- 0 1342 1340"/>
              <a:gd name="T19" fmla="*/ 1342 h 6"/>
              <a:gd name="T20" fmla="+- 0 4012 4007"/>
              <a:gd name="T21" fmla="*/ T20 w 6"/>
              <a:gd name="T22" fmla="+- 0 1344 1340"/>
              <a:gd name="T23" fmla="*/ 1344 h 6"/>
              <a:gd name="T24" fmla="+- 0 4010 4007"/>
              <a:gd name="T25" fmla="*/ T24 w 6"/>
              <a:gd name="T26" fmla="+- 0 1345 1340"/>
              <a:gd name="T27" fmla="*/ 1345 h 6"/>
              <a:gd name="T28" fmla="+- 0 4008 4007"/>
              <a:gd name="T29" fmla="*/ T28 w 6"/>
              <a:gd name="T30" fmla="+- 0 1344 1340"/>
              <a:gd name="T31" fmla="*/ 1344 h 6"/>
              <a:gd name="T32" fmla="+- 0 4007 4007"/>
              <a:gd name="T33" fmla="*/ T32 w 6"/>
              <a:gd name="T34" fmla="+- 0 1342 1340"/>
              <a:gd name="T35" fmla="*/ 1342 h 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</a:cxnLst>
            <a:rect l="0" t="0" r="r" b="b"/>
            <a:pathLst>
              <a:path w="6" h="6">
                <a:moveTo>
                  <a:pt x="0" y="2"/>
                </a:moveTo>
                <a:lnTo>
                  <a:pt x="1" y="1"/>
                </a:lnTo>
                <a:lnTo>
                  <a:pt x="3" y="0"/>
                </a:lnTo>
                <a:lnTo>
                  <a:pt x="5" y="1"/>
                </a:lnTo>
                <a:lnTo>
                  <a:pt x="6" y="2"/>
                </a:lnTo>
                <a:lnTo>
                  <a:pt x="5" y="4"/>
                </a:lnTo>
                <a:lnTo>
                  <a:pt x="3" y="5"/>
                </a:lnTo>
                <a:lnTo>
                  <a:pt x="1" y="4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9" name="docshape1086">
            <a:extLst>
              <a:ext uri="{FF2B5EF4-FFF2-40B4-BE49-F238E27FC236}">
                <a16:creationId xmlns:a16="http://schemas.microsoft.com/office/drawing/2014/main" id="{86CD7CF1-5852-E991-1268-CFF457A301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20" y="1344"/>
            <a:ext cx="105" cy="10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47" name="docshape1087">
            <a:extLst>
              <a:ext uri="{FF2B5EF4-FFF2-40B4-BE49-F238E27FC236}">
                <a16:creationId xmlns:a16="http://schemas.microsoft.com/office/drawing/2014/main" id="{45C7414B-9074-2EB4-B852-914D11E1A863}"/>
              </a:ext>
            </a:extLst>
          </xdr:cNvPr>
          <xdr:cNvSpPr>
            <a:spLocks/>
          </xdr:cNvSpPr>
        </xdr:nvSpPr>
        <xdr:spPr bwMode="auto">
          <a:xfrm>
            <a:off x="4320" y="1342"/>
            <a:ext cx="102" cy="1096"/>
          </a:xfrm>
          <a:custGeom>
            <a:avLst/>
            <a:gdLst>
              <a:gd name="T0" fmla="+- 0 4320 4320"/>
              <a:gd name="T1" fmla="*/ T0 w 102"/>
              <a:gd name="T2" fmla="+- 0 2438 1342"/>
              <a:gd name="T3" fmla="*/ 2438 h 1096"/>
              <a:gd name="T4" fmla="+- 0 4320 4320"/>
              <a:gd name="T5" fmla="*/ T4 w 102"/>
              <a:gd name="T6" fmla="+- 0 1446 1342"/>
              <a:gd name="T7" fmla="*/ 1446 h 1096"/>
              <a:gd name="T8" fmla="+- 0 4422 4320"/>
              <a:gd name="T9" fmla="*/ T8 w 102"/>
              <a:gd name="T10" fmla="+- 0 1342 1342"/>
              <a:gd name="T11" fmla="*/ 1342 h 1096"/>
              <a:gd name="T12" fmla="+- 0 4422 4320"/>
              <a:gd name="T13" fmla="*/ T12 w 102"/>
              <a:gd name="T14" fmla="+- 0 2334 1342"/>
              <a:gd name="T15" fmla="*/ 2334 h 1096"/>
              <a:gd name="T16" fmla="+- 0 4320 4320"/>
              <a:gd name="T17" fmla="*/ T16 w 102"/>
              <a:gd name="T18" fmla="+- 0 2438 1342"/>
              <a:gd name="T19" fmla="*/ 2438 h 109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2" h="1096">
                <a:moveTo>
                  <a:pt x="0" y="1096"/>
                </a:moveTo>
                <a:lnTo>
                  <a:pt x="0" y="104"/>
                </a:lnTo>
                <a:lnTo>
                  <a:pt x="102" y="0"/>
                </a:lnTo>
                <a:lnTo>
                  <a:pt x="102" y="992"/>
                </a:lnTo>
                <a:lnTo>
                  <a:pt x="0" y="1096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8" name="docshape1088">
            <a:extLst>
              <a:ext uri="{FF2B5EF4-FFF2-40B4-BE49-F238E27FC236}">
                <a16:creationId xmlns:a16="http://schemas.microsoft.com/office/drawing/2014/main" id="{49B1D4A0-5B35-CDAE-3788-67E9E15F6C25}"/>
              </a:ext>
            </a:extLst>
          </xdr:cNvPr>
          <xdr:cNvSpPr>
            <a:spLocks/>
          </xdr:cNvSpPr>
        </xdr:nvSpPr>
        <xdr:spPr bwMode="auto">
          <a:xfrm>
            <a:off x="4007" y="1339"/>
            <a:ext cx="418" cy="1102"/>
          </a:xfrm>
          <a:custGeom>
            <a:avLst/>
            <a:gdLst>
              <a:gd name="T0" fmla="+- 0 4013 4007"/>
              <a:gd name="T1" fmla="*/ T0 w 418"/>
              <a:gd name="T2" fmla="+- 0 1342 1340"/>
              <a:gd name="T3" fmla="*/ 1342 h 1102"/>
              <a:gd name="T4" fmla="+- 0 4012 4007"/>
              <a:gd name="T5" fmla="*/ T4 w 418"/>
              <a:gd name="T6" fmla="+- 0 1341 1340"/>
              <a:gd name="T7" fmla="*/ 1341 h 1102"/>
              <a:gd name="T8" fmla="+- 0 4010 4007"/>
              <a:gd name="T9" fmla="*/ T8 w 418"/>
              <a:gd name="T10" fmla="+- 0 1340 1340"/>
              <a:gd name="T11" fmla="*/ 1340 h 1102"/>
              <a:gd name="T12" fmla="+- 0 4008 4007"/>
              <a:gd name="T13" fmla="*/ T12 w 418"/>
              <a:gd name="T14" fmla="+- 0 1341 1340"/>
              <a:gd name="T15" fmla="*/ 1341 h 1102"/>
              <a:gd name="T16" fmla="+- 0 4007 4007"/>
              <a:gd name="T17" fmla="*/ T16 w 418"/>
              <a:gd name="T18" fmla="+- 0 1342 1340"/>
              <a:gd name="T19" fmla="*/ 1342 h 1102"/>
              <a:gd name="T20" fmla="+- 0 4008 4007"/>
              <a:gd name="T21" fmla="*/ T20 w 418"/>
              <a:gd name="T22" fmla="+- 0 1344 1340"/>
              <a:gd name="T23" fmla="*/ 1344 h 1102"/>
              <a:gd name="T24" fmla="+- 0 4010 4007"/>
              <a:gd name="T25" fmla="*/ T24 w 418"/>
              <a:gd name="T26" fmla="+- 0 1345 1340"/>
              <a:gd name="T27" fmla="*/ 1345 h 1102"/>
              <a:gd name="T28" fmla="+- 0 4012 4007"/>
              <a:gd name="T29" fmla="*/ T28 w 418"/>
              <a:gd name="T30" fmla="+- 0 1344 1340"/>
              <a:gd name="T31" fmla="*/ 1344 h 1102"/>
              <a:gd name="T32" fmla="+- 0 4013 4007"/>
              <a:gd name="T33" fmla="*/ T32 w 418"/>
              <a:gd name="T34" fmla="+- 0 1342 1340"/>
              <a:gd name="T35" fmla="*/ 1342 h 1102"/>
              <a:gd name="T36" fmla="+- 0 4425 4007"/>
              <a:gd name="T37" fmla="*/ T36 w 418"/>
              <a:gd name="T38" fmla="+- 0 2438 1340"/>
              <a:gd name="T39" fmla="*/ 2438 h 1102"/>
              <a:gd name="T40" fmla="+- 0 4424 4007"/>
              <a:gd name="T41" fmla="*/ T40 w 418"/>
              <a:gd name="T42" fmla="+- 0 2437 1340"/>
              <a:gd name="T43" fmla="*/ 2437 h 1102"/>
              <a:gd name="T44" fmla="+- 0 4422 4007"/>
              <a:gd name="T45" fmla="*/ T44 w 418"/>
              <a:gd name="T46" fmla="+- 0 2436 1340"/>
              <a:gd name="T47" fmla="*/ 2436 h 1102"/>
              <a:gd name="T48" fmla="+- 0 4420 4007"/>
              <a:gd name="T49" fmla="*/ T48 w 418"/>
              <a:gd name="T50" fmla="+- 0 2437 1340"/>
              <a:gd name="T51" fmla="*/ 2437 h 1102"/>
              <a:gd name="T52" fmla="+- 0 4419 4007"/>
              <a:gd name="T53" fmla="*/ T52 w 418"/>
              <a:gd name="T54" fmla="+- 0 2438 1340"/>
              <a:gd name="T55" fmla="*/ 2438 h 1102"/>
              <a:gd name="T56" fmla="+- 0 4420 4007"/>
              <a:gd name="T57" fmla="*/ T56 w 418"/>
              <a:gd name="T58" fmla="+- 0 2440 1340"/>
              <a:gd name="T59" fmla="*/ 2440 h 1102"/>
              <a:gd name="T60" fmla="+- 0 4422 4007"/>
              <a:gd name="T61" fmla="*/ T60 w 418"/>
              <a:gd name="T62" fmla="+- 0 2441 1340"/>
              <a:gd name="T63" fmla="*/ 2441 h 1102"/>
              <a:gd name="T64" fmla="+- 0 4424 4007"/>
              <a:gd name="T65" fmla="*/ T64 w 418"/>
              <a:gd name="T66" fmla="+- 0 2440 1340"/>
              <a:gd name="T67" fmla="*/ 2440 h 1102"/>
              <a:gd name="T68" fmla="+- 0 4425 4007"/>
              <a:gd name="T69" fmla="*/ T68 w 418"/>
              <a:gd name="T70" fmla="+- 0 2438 1340"/>
              <a:gd name="T71" fmla="*/ 2438 h 110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18" h="110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18" y="1098"/>
                </a:moveTo>
                <a:lnTo>
                  <a:pt x="417" y="1097"/>
                </a:lnTo>
                <a:lnTo>
                  <a:pt x="415" y="1096"/>
                </a:lnTo>
                <a:lnTo>
                  <a:pt x="413" y="1097"/>
                </a:lnTo>
                <a:lnTo>
                  <a:pt x="412" y="1098"/>
                </a:lnTo>
                <a:lnTo>
                  <a:pt x="413" y="1100"/>
                </a:lnTo>
                <a:lnTo>
                  <a:pt x="415" y="1101"/>
                </a:lnTo>
                <a:lnTo>
                  <a:pt x="417" y="1100"/>
                </a:lnTo>
                <a:lnTo>
                  <a:pt x="418" y="109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30" name="docshape1089">
            <a:extLst>
              <a:ext uri="{FF2B5EF4-FFF2-40B4-BE49-F238E27FC236}">
                <a16:creationId xmlns:a16="http://schemas.microsoft.com/office/drawing/2014/main" id="{654F50DE-EBD9-00FB-0DD7-A7C6F5891F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44" y="1284"/>
            <a:ext cx="1982" cy="4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1" name="docshape1090">
            <a:extLst>
              <a:ext uri="{FF2B5EF4-FFF2-40B4-BE49-F238E27FC236}">
                <a16:creationId xmlns:a16="http://schemas.microsoft.com/office/drawing/2014/main" id="{F8E8F4EA-BBD8-3D03-1583-99890E5495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08" y="-982"/>
            <a:ext cx="432" cy="25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51" name="docshape1091">
            <a:extLst>
              <a:ext uri="{FF2B5EF4-FFF2-40B4-BE49-F238E27FC236}">
                <a16:creationId xmlns:a16="http://schemas.microsoft.com/office/drawing/2014/main" id="{A6E37237-3FD3-314B-9D8A-E1C9B82FC67B}"/>
              </a:ext>
            </a:extLst>
          </xdr:cNvPr>
          <xdr:cNvSpPr>
            <a:spLocks/>
          </xdr:cNvSpPr>
        </xdr:nvSpPr>
        <xdr:spPr bwMode="auto">
          <a:xfrm>
            <a:off x="4010" y="-982"/>
            <a:ext cx="432" cy="2580"/>
          </a:xfrm>
          <a:custGeom>
            <a:avLst/>
            <a:gdLst>
              <a:gd name="T0" fmla="+- 0 4010 4010"/>
              <a:gd name="T1" fmla="*/ T0 w 432"/>
              <a:gd name="T2" fmla="+- 0 1598 -982"/>
              <a:gd name="T3" fmla="*/ 1598 h 2580"/>
              <a:gd name="T4" fmla="+- 0 4010 4010"/>
              <a:gd name="T5" fmla="*/ T4 w 432"/>
              <a:gd name="T6" fmla="+- 0 -874 -982"/>
              <a:gd name="T7" fmla="*/ -874 h 2580"/>
              <a:gd name="T8" fmla="+- 0 4118 4010"/>
              <a:gd name="T9" fmla="*/ T8 w 432"/>
              <a:gd name="T10" fmla="+- 0 -982 -982"/>
              <a:gd name="T11" fmla="*/ -982 h 2580"/>
              <a:gd name="T12" fmla="+- 0 4442 4010"/>
              <a:gd name="T13" fmla="*/ T12 w 432"/>
              <a:gd name="T14" fmla="+- 0 -982 -982"/>
              <a:gd name="T15" fmla="*/ -982 h 2580"/>
              <a:gd name="T16" fmla="+- 0 4442 4010"/>
              <a:gd name="T17" fmla="*/ T16 w 432"/>
              <a:gd name="T18" fmla="+- 0 1490 -982"/>
              <a:gd name="T19" fmla="*/ 1490 h 2580"/>
              <a:gd name="T20" fmla="+- 0 4334 4010"/>
              <a:gd name="T21" fmla="*/ T20 w 432"/>
              <a:gd name="T22" fmla="+- 0 1598 -982"/>
              <a:gd name="T23" fmla="*/ 1598 h 2580"/>
              <a:gd name="T24" fmla="+- 0 4010 4010"/>
              <a:gd name="T25" fmla="*/ T24 w 432"/>
              <a:gd name="T26" fmla="+- 0 1598 -982"/>
              <a:gd name="T27" fmla="*/ 1598 h 258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432" h="2580">
                <a:moveTo>
                  <a:pt x="0" y="2580"/>
                </a:moveTo>
                <a:lnTo>
                  <a:pt x="0" y="108"/>
                </a:lnTo>
                <a:lnTo>
                  <a:pt x="108" y="0"/>
                </a:lnTo>
                <a:lnTo>
                  <a:pt x="432" y="0"/>
                </a:lnTo>
                <a:lnTo>
                  <a:pt x="432" y="2472"/>
                </a:lnTo>
                <a:lnTo>
                  <a:pt x="324" y="2580"/>
                </a:lnTo>
                <a:lnTo>
                  <a:pt x="0" y="2580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2" name="docshape1092">
            <a:extLst>
              <a:ext uri="{FF2B5EF4-FFF2-40B4-BE49-F238E27FC236}">
                <a16:creationId xmlns:a16="http://schemas.microsoft.com/office/drawing/2014/main" id="{07B547B1-C8DD-A919-459E-F4B13FD78B52}"/>
              </a:ext>
            </a:extLst>
          </xdr:cNvPr>
          <xdr:cNvSpPr>
            <a:spLocks/>
          </xdr:cNvSpPr>
        </xdr:nvSpPr>
        <xdr:spPr bwMode="auto">
          <a:xfrm>
            <a:off x="4007" y="-985"/>
            <a:ext cx="438" cy="2586"/>
          </a:xfrm>
          <a:custGeom>
            <a:avLst/>
            <a:gdLst>
              <a:gd name="T0" fmla="+- 0 4013 4007"/>
              <a:gd name="T1" fmla="*/ T0 w 438"/>
              <a:gd name="T2" fmla="+- 0 -982 -984"/>
              <a:gd name="T3" fmla="*/ -982 h 2586"/>
              <a:gd name="T4" fmla="+- 0 4012 4007"/>
              <a:gd name="T5" fmla="*/ T4 w 438"/>
              <a:gd name="T6" fmla="+- 0 -983 -984"/>
              <a:gd name="T7" fmla="*/ -983 h 2586"/>
              <a:gd name="T8" fmla="+- 0 4010 4007"/>
              <a:gd name="T9" fmla="*/ T8 w 438"/>
              <a:gd name="T10" fmla="+- 0 -984 -984"/>
              <a:gd name="T11" fmla="*/ -984 h 2586"/>
              <a:gd name="T12" fmla="+- 0 4008 4007"/>
              <a:gd name="T13" fmla="*/ T12 w 438"/>
              <a:gd name="T14" fmla="+- 0 -983 -984"/>
              <a:gd name="T15" fmla="*/ -983 h 2586"/>
              <a:gd name="T16" fmla="+- 0 4007 4007"/>
              <a:gd name="T17" fmla="*/ T16 w 438"/>
              <a:gd name="T18" fmla="+- 0 -982 -984"/>
              <a:gd name="T19" fmla="*/ -982 h 2586"/>
              <a:gd name="T20" fmla="+- 0 4008 4007"/>
              <a:gd name="T21" fmla="*/ T20 w 438"/>
              <a:gd name="T22" fmla="+- 0 -980 -984"/>
              <a:gd name="T23" fmla="*/ -980 h 2586"/>
              <a:gd name="T24" fmla="+- 0 4010 4007"/>
              <a:gd name="T25" fmla="*/ T24 w 438"/>
              <a:gd name="T26" fmla="+- 0 -979 -984"/>
              <a:gd name="T27" fmla="*/ -979 h 2586"/>
              <a:gd name="T28" fmla="+- 0 4012 4007"/>
              <a:gd name="T29" fmla="*/ T28 w 438"/>
              <a:gd name="T30" fmla="+- 0 -980 -984"/>
              <a:gd name="T31" fmla="*/ -980 h 2586"/>
              <a:gd name="T32" fmla="+- 0 4013 4007"/>
              <a:gd name="T33" fmla="*/ T32 w 438"/>
              <a:gd name="T34" fmla="+- 0 -982 -984"/>
              <a:gd name="T35" fmla="*/ -982 h 2586"/>
              <a:gd name="T36" fmla="+- 0 4445 4007"/>
              <a:gd name="T37" fmla="*/ T36 w 438"/>
              <a:gd name="T38" fmla="+- 0 1598 -984"/>
              <a:gd name="T39" fmla="*/ 1598 h 2586"/>
              <a:gd name="T40" fmla="+- 0 4444 4007"/>
              <a:gd name="T41" fmla="*/ T40 w 438"/>
              <a:gd name="T42" fmla="+- 0 1597 -984"/>
              <a:gd name="T43" fmla="*/ 1597 h 2586"/>
              <a:gd name="T44" fmla="+- 0 4442 4007"/>
              <a:gd name="T45" fmla="*/ T44 w 438"/>
              <a:gd name="T46" fmla="+- 0 1596 -984"/>
              <a:gd name="T47" fmla="*/ 1596 h 2586"/>
              <a:gd name="T48" fmla="+- 0 4440 4007"/>
              <a:gd name="T49" fmla="*/ T48 w 438"/>
              <a:gd name="T50" fmla="+- 0 1597 -984"/>
              <a:gd name="T51" fmla="*/ 1597 h 2586"/>
              <a:gd name="T52" fmla="+- 0 4439 4007"/>
              <a:gd name="T53" fmla="*/ T52 w 438"/>
              <a:gd name="T54" fmla="+- 0 1598 -984"/>
              <a:gd name="T55" fmla="*/ 1598 h 2586"/>
              <a:gd name="T56" fmla="+- 0 4440 4007"/>
              <a:gd name="T57" fmla="*/ T56 w 438"/>
              <a:gd name="T58" fmla="+- 0 1600 -984"/>
              <a:gd name="T59" fmla="*/ 1600 h 2586"/>
              <a:gd name="T60" fmla="+- 0 4442 4007"/>
              <a:gd name="T61" fmla="*/ T60 w 438"/>
              <a:gd name="T62" fmla="+- 0 1601 -984"/>
              <a:gd name="T63" fmla="*/ 1601 h 2586"/>
              <a:gd name="T64" fmla="+- 0 4444 4007"/>
              <a:gd name="T65" fmla="*/ T64 w 438"/>
              <a:gd name="T66" fmla="+- 0 1600 -984"/>
              <a:gd name="T67" fmla="*/ 1600 h 2586"/>
              <a:gd name="T68" fmla="+- 0 4445 4007"/>
              <a:gd name="T69" fmla="*/ T68 w 438"/>
              <a:gd name="T70" fmla="+- 0 1598 -984"/>
              <a:gd name="T71" fmla="*/ 1598 h 258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38" h="258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38" y="2582"/>
                </a:moveTo>
                <a:lnTo>
                  <a:pt x="437" y="2581"/>
                </a:lnTo>
                <a:lnTo>
                  <a:pt x="435" y="2580"/>
                </a:lnTo>
                <a:lnTo>
                  <a:pt x="433" y="2581"/>
                </a:lnTo>
                <a:lnTo>
                  <a:pt x="432" y="2582"/>
                </a:lnTo>
                <a:lnTo>
                  <a:pt x="433" y="2584"/>
                </a:lnTo>
                <a:lnTo>
                  <a:pt x="435" y="2585"/>
                </a:lnTo>
                <a:lnTo>
                  <a:pt x="437" y="2584"/>
                </a:lnTo>
                <a:lnTo>
                  <a:pt x="438" y="258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32" name="docshape1093">
            <a:extLst>
              <a:ext uri="{FF2B5EF4-FFF2-40B4-BE49-F238E27FC236}">
                <a16:creationId xmlns:a16="http://schemas.microsoft.com/office/drawing/2014/main" id="{0D890686-865B-2BB8-70F4-F58F429D419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08" y="-982"/>
            <a:ext cx="432" cy="1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54" name="docshape1094">
            <a:extLst>
              <a:ext uri="{FF2B5EF4-FFF2-40B4-BE49-F238E27FC236}">
                <a16:creationId xmlns:a16="http://schemas.microsoft.com/office/drawing/2014/main" id="{3A825CE3-45F3-D74F-5568-2D22093E8BB4}"/>
              </a:ext>
            </a:extLst>
          </xdr:cNvPr>
          <xdr:cNvSpPr>
            <a:spLocks/>
          </xdr:cNvSpPr>
        </xdr:nvSpPr>
        <xdr:spPr bwMode="auto">
          <a:xfrm>
            <a:off x="4010" y="-982"/>
            <a:ext cx="432" cy="108"/>
          </a:xfrm>
          <a:custGeom>
            <a:avLst/>
            <a:gdLst>
              <a:gd name="T0" fmla="+- 0 4010 4010"/>
              <a:gd name="T1" fmla="*/ T0 w 432"/>
              <a:gd name="T2" fmla="+- 0 -874 -982"/>
              <a:gd name="T3" fmla="*/ -874 h 108"/>
              <a:gd name="T4" fmla="+- 0 4118 4010"/>
              <a:gd name="T5" fmla="*/ T4 w 432"/>
              <a:gd name="T6" fmla="+- 0 -982 -982"/>
              <a:gd name="T7" fmla="*/ -982 h 108"/>
              <a:gd name="T8" fmla="+- 0 4442 4010"/>
              <a:gd name="T9" fmla="*/ T8 w 432"/>
              <a:gd name="T10" fmla="+- 0 -982 -982"/>
              <a:gd name="T11" fmla="*/ -982 h 108"/>
              <a:gd name="T12" fmla="+- 0 4334 4010"/>
              <a:gd name="T13" fmla="*/ T12 w 432"/>
              <a:gd name="T14" fmla="+- 0 -874 -982"/>
              <a:gd name="T15" fmla="*/ -874 h 108"/>
              <a:gd name="T16" fmla="+- 0 4010 4010"/>
              <a:gd name="T17" fmla="*/ T16 w 432"/>
              <a:gd name="T18" fmla="+- 0 -874 -982"/>
              <a:gd name="T19" fmla="*/ -874 h 10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32" h="108">
                <a:moveTo>
                  <a:pt x="0" y="108"/>
                </a:moveTo>
                <a:lnTo>
                  <a:pt x="108" y="0"/>
                </a:lnTo>
                <a:lnTo>
                  <a:pt x="432" y="0"/>
                </a:lnTo>
                <a:lnTo>
                  <a:pt x="324" y="108"/>
                </a:lnTo>
                <a:lnTo>
                  <a:pt x="0" y="108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5" name="docshape1095">
            <a:extLst>
              <a:ext uri="{FF2B5EF4-FFF2-40B4-BE49-F238E27FC236}">
                <a16:creationId xmlns:a16="http://schemas.microsoft.com/office/drawing/2014/main" id="{7F3E263C-2C42-944E-8E9C-9C73E19FF742}"/>
              </a:ext>
            </a:extLst>
          </xdr:cNvPr>
          <xdr:cNvSpPr>
            <a:spLocks/>
          </xdr:cNvSpPr>
        </xdr:nvSpPr>
        <xdr:spPr bwMode="auto">
          <a:xfrm>
            <a:off x="4007" y="-985"/>
            <a:ext cx="438" cy="2586"/>
          </a:xfrm>
          <a:custGeom>
            <a:avLst/>
            <a:gdLst>
              <a:gd name="T0" fmla="+- 0 4013 4007"/>
              <a:gd name="T1" fmla="*/ T0 w 438"/>
              <a:gd name="T2" fmla="+- 0 -982 -984"/>
              <a:gd name="T3" fmla="*/ -982 h 2586"/>
              <a:gd name="T4" fmla="+- 0 4012 4007"/>
              <a:gd name="T5" fmla="*/ T4 w 438"/>
              <a:gd name="T6" fmla="+- 0 -983 -984"/>
              <a:gd name="T7" fmla="*/ -983 h 2586"/>
              <a:gd name="T8" fmla="+- 0 4010 4007"/>
              <a:gd name="T9" fmla="*/ T8 w 438"/>
              <a:gd name="T10" fmla="+- 0 -984 -984"/>
              <a:gd name="T11" fmla="*/ -984 h 2586"/>
              <a:gd name="T12" fmla="+- 0 4008 4007"/>
              <a:gd name="T13" fmla="*/ T12 w 438"/>
              <a:gd name="T14" fmla="+- 0 -983 -984"/>
              <a:gd name="T15" fmla="*/ -983 h 2586"/>
              <a:gd name="T16" fmla="+- 0 4007 4007"/>
              <a:gd name="T17" fmla="*/ T16 w 438"/>
              <a:gd name="T18" fmla="+- 0 -982 -984"/>
              <a:gd name="T19" fmla="*/ -982 h 2586"/>
              <a:gd name="T20" fmla="+- 0 4008 4007"/>
              <a:gd name="T21" fmla="*/ T20 w 438"/>
              <a:gd name="T22" fmla="+- 0 -980 -984"/>
              <a:gd name="T23" fmla="*/ -980 h 2586"/>
              <a:gd name="T24" fmla="+- 0 4010 4007"/>
              <a:gd name="T25" fmla="*/ T24 w 438"/>
              <a:gd name="T26" fmla="+- 0 -979 -984"/>
              <a:gd name="T27" fmla="*/ -979 h 2586"/>
              <a:gd name="T28" fmla="+- 0 4012 4007"/>
              <a:gd name="T29" fmla="*/ T28 w 438"/>
              <a:gd name="T30" fmla="+- 0 -980 -984"/>
              <a:gd name="T31" fmla="*/ -980 h 2586"/>
              <a:gd name="T32" fmla="+- 0 4013 4007"/>
              <a:gd name="T33" fmla="*/ T32 w 438"/>
              <a:gd name="T34" fmla="+- 0 -982 -984"/>
              <a:gd name="T35" fmla="*/ -982 h 2586"/>
              <a:gd name="T36" fmla="+- 0 4445 4007"/>
              <a:gd name="T37" fmla="*/ T36 w 438"/>
              <a:gd name="T38" fmla="+- 0 1598 -984"/>
              <a:gd name="T39" fmla="*/ 1598 h 2586"/>
              <a:gd name="T40" fmla="+- 0 4444 4007"/>
              <a:gd name="T41" fmla="*/ T40 w 438"/>
              <a:gd name="T42" fmla="+- 0 1597 -984"/>
              <a:gd name="T43" fmla="*/ 1597 h 2586"/>
              <a:gd name="T44" fmla="+- 0 4442 4007"/>
              <a:gd name="T45" fmla="*/ T44 w 438"/>
              <a:gd name="T46" fmla="+- 0 1596 -984"/>
              <a:gd name="T47" fmla="*/ 1596 h 2586"/>
              <a:gd name="T48" fmla="+- 0 4440 4007"/>
              <a:gd name="T49" fmla="*/ T48 w 438"/>
              <a:gd name="T50" fmla="+- 0 1597 -984"/>
              <a:gd name="T51" fmla="*/ 1597 h 2586"/>
              <a:gd name="T52" fmla="+- 0 4439 4007"/>
              <a:gd name="T53" fmla="*/ T52 w 438"/>
              <a:gd name="T54" fmla="+- 0 1598 -984"/>
              <a:gd name="T55" fmla="*/ 1598 h 2586"/>
              <a:gd name="T56" fmla="+- 0 4440 4007"/>
              <a:gd name="T57" fmla="*/ T56 w 438"/>
              <a:gd name="T58" fmla="+- 0 1600 -984"/>
              <a:gd name="T59" fmla="*/ 1600 h 2586"/>
              <a:gd name="T60" fmla="+- 0 4442 4007"/>
              <a:gd name="T61" fmla="*/ T60 w 438"/>
              <a:gd name="T62" fmla="+- 0 1601 -984"/>
              <a:gd name="T63" fmla="*/ 1601 h 2586"/>
              <a:gd name="T64" fmla="+- 0 4444 4007"/>
              <a:gd name="T65" fmla="*/ T64 w 438"/>
              <a:gd name="T66" fmla="+- 0 1600 -984"/>
              <a:gd name="T67" fmla="*/ 1600 h 2586"/>
              <a:gd name="T68" fmla="+- 0 4445 4007"/>
              <a:gd name="T69" fmla="*/ T68 w 438"/>
              <a:gd name="T70" fmla="+- 0 1598 -984"/>
              <a:gd name="T71" fmla="*/ 1598 h 258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38" h="258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38" y="2582"/>
                </a:moveTo>
                <a:lnTo>
                  <a:pt x="437" y="2581"/>
                </a:lnTo>
                <a:lnTo>
                  <a:pt x="435" y="2580"/>
                </a:lnTo>
                <a:lnTo>
                  <a:pt x="433" y="2581"/>
                </a:lnTo>
                <a:lnTo>
                  <a:pt x="432" y="2582"/>
                </a:lnTo>
                <a:lnTo>
                  <a:pt x="433" y="2584"/>
                </a:lnTo>
                <a:lnTo>
                  <a:pt x="435" y="2585"/>
                </a:lnTo>
                <a:lnTo>
                  <a:pt x="437" y="2584"/>
                </a:lnTo>
                <a:lnTo>
                  <a:pt x="438" y="258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33" name="docshape1096">
            <a:extLst>
              <a:ext uri="{FF2B5EF4-FFF2-40B4-BE49-F238E27FC236}">
                <a16:creationId xmlns:a16="http://schemas.microsoft.com/office/drawing/2014/main" id="{752A4189-9E83-E715-6147-5A6868EEF4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32" y="-982"/>
            <a:ext cx="108" cy="25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57" name="docshape1097">
            <a:extLst>
              <a:ext uri="{FF2B5EF4-FFF2-40B4-BE49-F238E27FC236}">
                <a16:creationId xmlns:a16="http://schemas.microsoft.com/office/drawing/2014/main" id="{118B4650-4B89-42B3-0A79-044A5600B3B5}"/>
              </a:ext>
            </a:extLst>
          </xdr:cNvPr>
          <xdr:cNvSpPr>
            <a:spLocks/>
          </xdr:cNvSpPr>
        </xdr:nvSpPr>
        <xdr:spPr bwMode="auto">
          <a:xfrm>
            <a:off x="4334" y="-982"/>
            <a:ext cx="108" cy="2580"/>
          </a:xfrm>
          <a:custGeom>
            <a:avLst/>
            <a:gdLst>
              <a:gd name="T0" fmla="+- 0 4334 4334"/>
              <a:gd name="T1" fmla="*/ T0 w 108"/>
              <a:gd name="T2" fmla="+- 0 1598 -982"/>
              <a:gd name="T3" fmla="*/ 1598 h 2580"/>
              <a:gd name="T4" fmla="+- 0 4334 4334"/>
              <a:gd name="T5" fmla="*/ T4 w 108"/>
              <a:gd name="T6" fmla="+- 0 -874 -982"/>
              <a:gd name="T7" fmla="*/ -874 h 2580"/>
              <a:gd name="T8" fmla="+- 0 4442 4334"/>
              <a:gd name="T9" fmla="*/ T8 w 108"/>
              <a:gd name="T10" fmla="+- 0 -982 -982"/>
              <a:gd name="T11" fmla="*/ -982 h 2580"/>
              <a:gd name="T12" fmla="+- 0 4442 4334"/>
              <a:gd name="T13" fmla="*/ T12 w 108"/>
              <a:gd name="T14" fmla="+- 0 1490 -982"/>
              <a:gd name="T15" fmla="*/ 1490 h 2580"/>
              <a:gd name="T16" fmla="+- 0 4334 4334"/>
              <a:gd name="T17" fmla="*/ T16 w 108"/>
              <a:gd name="T18" fmla="+- 0 1598 -982"/>
              <a:gd name="T19" fmla="*/ 1598 h 258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08" h="2580">
                <a:moveTo>
                  <a:pt x="0" y="2580"/>
                </a:moveTo>
                <a:lnTo>
                  <a:pt x="0" y="108"/>
                </a:lnTo>
                <a:lnTo>
                  <a:pt x="108" y="0"/>
                </a:lnTo>
                <a:lnTo>
                  <a:pt x="108" y="2472"/>
                </a:lnTo>
                <a:lnTo>
                  <a:pt x="0" y="2580"/>
                </a:lnTo>
                <a:close/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8" name="docshape1098">
            <a:extLst>
              <a:ext uri="{FF2B5EF4-FFF2-40B4-BE49-F238E27FC236}">
                <a16:creationId xmlns:a16="http://schemas.microsoft.com/office/drawing/2014/main" id="{A4C52B0F-37AE-9AF1-668D-2B892DFE5B1D}"/>
              </a:ext>
            </a:extLst>
          </xdr:cNvPr>
          <xdr:cNvSpPr>
            <a:spLocks/>
          </xdr:cNvSpPr>
        </xdr:nvSpPr>
        <xdr:spPr bwMode="auto">
          <a:xfrm>
            <a:off x="4007" y="-985"/>
            <a:ext cx="438" cy="2586"/>
          </a:xfrm>
          <a:custGeom>
            <a:avLst/>
            <a:gdLst>
              <a:gd name="T0" fmla="+- 0 4013 4007"/>
              <a:gd name="T1" fmla="*/ T0 w 438"/>
              <a:gd name="T2" fmla="+- 0 -982 -984"/>
              <a:gd name="T3" fmla="*/ -982 h 2586"/>
              <a:gd name="T4" fmla="+- 0 4012 4007"/>
              <a:gd name="T5" fmla="*/ T4 w 438"/>
              <a:gd name="T6" fmla="+- 0 -983 -984"/>
              <a:gd name="T7" fmla="*/ -983 h 2586"/>
              <a:gd name="T8" fmla="+- 0 4010 4007"/>
              <a:gd name="T9" fmla="*/ T8 w 438"/>
              <a:gd name="T10" fmla="+- 0 -984 -984"/>
              <a:gd name="T11" fmla="*/ -984 h 2586"/>
              <a:gd name="T12" fmla="+- 0 4008 4007"/>
              <a:gd name="T13" fmla="*/ T12 w 438"/>
              <a:gd name="T14" fmla="+- 0 -983 -984"/>
              <a:gd name="T15" fmla="*/ -983 h 2586"/>
              <a:gd name="T16" fmla="+- 0 4007 4007"/>
              <a:gd name="T17" fmla="*/ T16 w 438"/>
              <a:gd name="T18" fmla="+- 0 -982 -984"/>
              <a:gd name="T19" fmla="*/ -982 h 2586"/>
              <a:gd name="T20" fmla="+- 0 4008 4007"/>
              <a:gd name="T21" fmla="*/ T20 w 438"/>
              <a:gd name="T22" fmla="+- 0 -980 -984"/>
              <a:gd name="T23" fmla="*/ -980 h 2586"/>
              <a:gd name="T24" fmla="+- 0 4010 4007"/>
              <a:gd name="T25" fmla="*/ T24 w 438"/>
              <a:gd name="T26" fmla="+- 0 -979 -984"/>
              <a:gd name="T27" fmla="*/ -979 h 2586"/>
              <a:gd name="T28" fmla="+- 0 4012 4007"/>
              <a:gd name="T29" fmla="*/ T28 w 438"/>
              <a:gd name="T30" fmla="+- 0 -980 -984"/>
              <a:gd name="T31" fmla="*/ -980 h 2586"/>
              <a:gd name="T32" fmla="+- 0 4013 4007"/>
              <a:gd name="T33" fmla="*/ T32 w 438"/>
              <a:gd name="T34" fmla="+- 0 -982 -984"/>
              <a:gd name="T35" fmla="*/ -982 h 2586"/>
              <a:gd name="T36" fmla="+- 0 4445 4007"/>
              <a:gd name="T37" fmla="*/ T36 w 438"/>
              <a:gd name="T38" fmla="+- 0 1598 -984"/>
              <a:gd name="T39" fmla="*/ 1598 h 2586"/>
              <a:gd name="T40" fmla="+- 0 4444 4007"/>
              <a:gd name="T41" fmla="*/ T40 w 438"/>
              <a:gd name="T42" fmla="+- 0 1597 -984"/>
              <a:gd name="T43" fmla="*/ 1597 h 2586"/>
              <a:gd name="T44" fmla="+- 0 4442 4007"/>
              <a:gd name="T45" fmla="*/ T44 w 438"/>
              <a:gd name="T46" fmla="+- 0 1596 -984"/>
              <a:gd name="T47" fmla="*/ 1596 h 2586"/>
              <a:gd name="T48" fmla="+- 0 4440 4007"/>
              <a:gd name="T49" fmla="*/ T48 w 438"/>
              <a:gd name="T50" fmla="+- 0 1597 -984"/>
              <a:gd name="T51" fmla="*/ 1597 h 2586"/>
              <a:gd name="T52" fmla="+- 0 4439 4007"/>
              <a:gd name="T53" fmla="*/ T52 w 438"/>
              <a:gd name="T54" fmla="+- 0 1598 -984"/>
              <a:gd name="T55" fmla="*/ 1598 h 2586"/>
              <a:gd name="T56" fmla="+- 0 4440 4007"/>
              <a:gd name="T57" fmla="*/ T56 w 438"/>
              <a:gd name="T58" fmla="+- 0 1600 -984"/>
              <a:gd name="T59" fmla="*/ 1600 h 2586"/>
              <a:gd name="T60" fmla="+- 0 4442 4007"/>
              <a:gd name="T61" fmla="*/ T60 w 438"/>
              <a:gd name="T62" fmla="+- 0 1601 -984"/>
              <a:gd name="T63" fmla="*/ 1601 h 2586"/>
              <a:gd name="T64" fmla="+- 0 4444 4007"/>
              <a:gd name="T65" fmla="*/ T64 w 438"/>
              <a:gd name="T66" fmla="+- 0 1600 -984"/>
              <a:gd name="T67" fmla="*/ 1600 h 2586"/>
              <a:gd name="T68" fmla="+- 0 4445 4007"/>
              <a:gd name="T69" fmla="*/ T68 w 438"/>
              <a:gd name="T70" fmla="+- 0 1598 -984"/>
              <a:gd name="T71" fmla="*/ 1598 h 258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438" h="258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438" y="2582"/>
                </a:moveTo>
                <a:lnTo>
                  <a:pt x="437" y="2581"/>
                </a:lnTo>
                <a:lnTo>
                  <a:pt x="435" y="2580"/>
                </a:lnTo>
                <a:lnTo>
                  <a:pt x="433" y="2581"/>
                </a:lnTo>
                <a:lnTo>
                  <a:pt x="432" y="2582"/>
                </a:lnTo>
                <a:lnTo>
                  <a:pt x="433" y="2584"/>
                </a:lnTo>
                <a:lnTo>
                  <a:pt x="435" y="2585"/>
                </a:lnTo>
                <a:lnTo>
                  <a:pt x="437" y="2584"/>
                </a:lnTo>
                <a:lnTo>
                  <a:pt x="438" y="258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9" name="docshape1099">
            <a:extLst>
              <a:ext uri="{FF2B5EF4-FFF2-40B4-BE49-F238E27FC236}">
                <a16:creationId xmlns:a16="http://schemas.microsoft.com/office/drawing/2014/main" id="{69661487-A360-5251-BD5D-69E78D549C38}"/>
              </a:ext>
            </a:extLst>
          </xdr:cNvPr>
          <xdr:cNvSpPr>
            <a:spLocks/>
          </xdr:cNvSpPr>
        </xdr:nvSpPr>
        <xdr:spPr bwMode="auto">
          <a:xfrm>
            <a:off x="1812" y="-1162"/>
            <a:ext cx="3376" cy="330"/>
          </a:xfrm>
          <a:custGeom>
            <a:avLst/>
            <a:gdLst>
              <a:gd name="T0" fmla="+- 0 5188 1812"/>
              <a:gd name="T1" fmla="*/ T0 w 3376"/>
              <a:gd name="T2" fmla="+- 0 -1162 -1162"/>
              <a:gd name="T3" fmla="*/ -1162 h 330"/>
              <a:gd name="T4" fmla="+- 0 1894 1812"/>
              <a:gd name="T5" fmla="*/ T4 w 3376"/>
              <a:gd name="T6" fmla="+- 0 -1162 -1162"/>
              <a:gd name="T7" fmla="*/ -1162 h 330"/>
              <a:gd name="T8" fmla="+- 0 1812 1812"/>
              <a:gd name="T9" fmla="*/ T8 w 3376"/>
              <a:gd name="T10" fmla="+- 0 -1080 -1162"/>
              <a:gd name="T11" fmla="*/ -1080 h 330"/>
              <a:gd name="T12" fmla="+- 0 1812 1812"/>
              <a:gd name="T13" fmla="*/ T12 w 3376"/>
              <a:gd name="T14" fmla="+- 0 -832 -1162"/>
              <a:gd name="T15" fmla="*/ -832 h 330"/>
              <a:gd name="T16" fmla="+- 0 5106 1812"/>
              <a:gd name="T17" fmla="*/ T16 w 3376"/>
              <a:gd name="T18" fmla="+- 0 -832 -1162"/>
              <a:gd name="T19" fmla="*/ -832 h 330"/>
              <a:gd name="T20" fmla="+- 0 5188 1812"/>
              <a:gd name="T21" fmla="*/ T20 w 3376"/>
              <a:gd name="T22" fmla="+- 0 -914 -1162"/>
              <a:gd name="T23" fmla="*/ -914 h 330"/>
              <a:gd name="T24" fmla="+- 0 5188 1812"/>
              <a:gd name="T25" fmla="*/ T24 w 3376"/>
              <a:gd name="T26" fmla="+- 0 -1162 -1162"/>
              <a:gd name="T27" fmla="*/ -1162 h 33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3376" h="330">
                <a:moveTo>
                  <a:pt x="3376" y="0"/>
                </a:moveTo>
                <a:lnTo>
                  <a:pt x="82" y="0"/>
                </a:lnTo>
                <a:lnTo>
                  <a:pt x="0" y="82"/>
                </a:lnTo>
                <a:lnTo>
                  <a:pt x="0" y="330"/>
                </a:lnTo>
                <a:lnTo>
                  <a:pt x="3294" y="330"/>
                </a:lnTo>
                <a:lnTo>
                  <a:pt x="3376" y="248"/>
                </a:lnTo>
                <a:lnTo>
                  <a:pt x="3376" y="0"/>
                </a:lnTo>
                <a:close/>
              </a:path>
            </a:pathLst>
          </a:custGeom>
          <a:solidFill>
            <a:srgbClr val="4E80B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0" name="docshape1100">
            <a:extLst>
              <a:ext uri="{FF2B5EF4-FFF2-40B4-BE49-F238E27FC236}">
                <a16:creationId xmlns:a16="http://schemas.microsoft.com/office/drawing/2014/main" id="{E6DF22C6-9696-7905-F0A0-FBDCB3B93667}"/>
              </a:ext>
            </a:extLst>
          </xdr:cNvPr>
          <xdr:cNvSpPr>
            <a:spLocks/>
          </xdr:cNvSpPr>
        </xdr:nvSpPr>
        <xdr:spPr bwMode="auto">
          <a:xfrm>
            <a:off x="1812" y="-1162"/>
            <a:ext cx="3376" cy="330"/>
          </a:xfrm>
          <a:custGeom>
            <a:avLst/>
            <a:gdLst>
              <a:gd name="T0" fmla="+- 0 1812 1812"/>
              <a:gd name="T1" fmla="*/ T0 w 3376"/>
              <a:gd name="T2" fmla="+- 0 -832 -1162"/>
              <a:gd name="T3" fmla="*/ -832 h 330"/>
              <a:gd name="T4" fmla="+- 0 1812 1812"/>
              <a:gd name="T5" fmla="*/ T4 w 3376"/>
              <a:gd name="T6" fmla="+- 0 -1080 -1162"/>
              <a:gd name="T7" fmla="*/ -1080 h 330"/>
              <a:gd name="T8" fmla="+- 0 1894 1812"/>
              <a:gd name="T9" fmla="*/ T8 w 3376"/>
              <a:gd name="T10" fmla="+- 0 -1162 -1162"/>
              <a:gd name="T11" fmla="*/ -1162 h 330"/>
              <a:gd name="T12" fmla="+- 0 5188 1812"/>
              <a:gd name="T13" fmla="*/ T12 w 3376"/>
              <a:gd name="T14" fmla="+- 0 -1162 -1162"/>
              <a:gd name="T15" fmla="*/ -1162 h 330"/>
              <a:gd name="T16" fmla="+- 0 5188 1812"/>
              <a:gd name="T17" fmla="*/ T16 w 3376"/>
              <a:gd name="T18" fmla="+- 0 -914 -1162"/>
              <a:gd name="T19" fmla="*/ -914 h 330"/>
              <a:gd name="T20" fmla="+- 0 5106 1812"/>
              <a:gd name="T21" fmla="*/ T20 w 3376"/>
              <a:gd name="T22" fmla="+- 0 -832 -1162"/>
              <a:gd name="T23" fmla="*/ -832 h 330"/>
              <a:gd name="T24" fmla="+- 0 1812 1812"/>
              <a:gd name="T25" fmla="*/ T24 w 3376"/>
              <a:gd name="T26" fmla="+- 0 -832 -1162"/>
              <a:gd name="T27" fmla="*/ -832 h 33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</a:cxnLst>
            <a:rect l="0" t="0" r="r" b="b"/>
            <a:pathLst>
              <a:path w="3376" h="330">
                <a:moveTo>
                  <a:pt x="0" y="330"/>
                </a:moveTo>
                <a:lnTo>
                  <a:pt x="0" y="82"/>
                </a:lnTo>
                <a:lnTo>
                  <a:pt x="82" y="0"/>
                </a:lnTo>
                <a:lnTo>
                  <a:pt x="3376" y="0"/>
                </a:lnTo>
                <a:lnTo>
                  <a:pt x="3376" y="248"/>
                </a:lnTo>
                <a:lnTo>
                  <a:pt x="3294" y="330"/>
                </a:lnTo>
                <a:lnTo>
                  <a:pt x="0" y="330"/>
                </a:lnTo>
                <a:close/>
              </a:path>
            </a:pathLst>
          </a:custGeom>
          <a:noFill/>
          <a:ln w="3235">
            <a:solidFill>
              <a:srgbClr val="375C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1" name="docshape1101">
            <a:extLst>
              <a:ext uri="{FF2B5EF4-FFF2-40B4-BE49-F238E27FC236}">
                <a16:creationId xmlns:a16="http://schemas.microsoft.com/office/drawing/2014/main" id="{75FA398E-1F2E-03A2-96B1-FD056C244C03}"/>
              </a:ext>
            </a:extLst>
          </xdr:cNvPr>
          <xdr:cNvSpPr>
            <a:spLocks/>
          </xdr:cNvSpPr>
        </xdr:nvSpPr>
        <xdr:spPr bwMode="auto">
          <a:xfrm>
            <a:off x="1809" y="-1165"/>
            <a:ext cx="3382" cy="336"/>
          </a:xfrm>
          <a:custGeom>
            <a:avLst/>
            <a:gdLst>
              <a:gd name="T0" fmla="+- 0 1815 1809"/>
              <a:gd name="T1" fmla="*/ T0 w 3382"/>
              <a:gd name="T2" fmla="+- 0 -1162 -1164"/>
              <a:gd name="T3" fmla="*/ -1162 h 336"/>
              <a:gd name="T4" fmla="+- 0 1814 1809"/>
              <a:gd name="T5" fmla="*/ T4 w 3382"/>
              <a:gd name="T6" fmla="+- 0 -1163 -1164"/>
              <a:gd name="T7" fmla="*/ -1163 h 336"/>
              <a:gd name="T8" fmla="+- 0 1812 1809"/>
              <a:gd name="T9" fmla="*/ T8 w 3382"/>
              <a:gd name="T10" fmla="+- 0 -1164 -1164"/>
              <a:gd name="T11" fmla="*/ -1164 h 336"/>
              <a:gd name="T12" fmla="+- 0 1810 1809"/>
              <a:gd name="T13" fmla="*/ T12 w 3382"/>
              <a:gd name="T14" fmla="+- 0 -1163 -1164"/>
              <a:gd name="T15" fmla="*/ -1163 h 336"/>
              <a:gd name="T16" fmla="+- 0 1809 1809"/>
              <a:gd name="T17" fmla="*/ T16 w 3382"/>
              <a:gd name="T18" fmla="+- 0 -1162 -1164"/>
              <a:gd name="T19" fmla="*/ -1162 h 336"/>
              <a:gd name="T20" fmla="+- 0 1810 1809"/>
              <a:gd name="T21" fmla="*/ T20 w 3382"/>
              <a:gd name="T22" fmla="+- 0 -1160 -1164"/>
              <a:gd name="T23" fmla="*/ -1160 h 336"/>
              <a:gd name="T24" fmla="+- 0 1812 1809"/>
              <a:gd name="T25" fmla="*/ T24 w 3382"/>
              <a:gd name="T26" fmla="+- 0 -1159 -1164"/>
              <a:gd name="T27" fmla="*/ -1159 h 336"/>
              <a:gd name="T28" fmla="+- 0 1814 1809"/>
              <a:gd name="T29" fmla="*/ T28 w 3382"/>
              <a:gd name="T30" fmla="+- 0 -1160 -1164"/>
              <a:gd name="T31" fmla="*/ -1160 h 336"/>
              <a:gd name="T32" fmla="+- 0 1815 1809"/>
              <a:gd name="T33" fmla="*/ T32 w 3382"/>
              <a:gd name="T34" fmla="+- 0 -1162 -1164"/>
              <a:gd name="T35" fmla="*/ -1162 h 336"/>
              <a:gd name="T36" fmla="+- 0 5191 1809"/>
              <a:gd name="T37" fmla="*/ T36 w 3382"/>
              <a:gd name="T38" fmla="+- 0 -832 -1164"/>
              <a:gd name="T39" fmla="*/ -832 h 336"/>
              <a:gd name="T40" fmla="+- 0 5190 1809"/>
              <a:gd name="T41" fmla="*/ T40 w 3382"/>
              <a:gd name="T42" fmla="+- 0 -833 -1164"/>
              <a:gd name="T43" fmla="*/ -833 h 336"/>
              <a:gd name="T44" fmla="+- 0 5188 1809"/>
              <a:gd name="T45" fmla="*/ T44 w 3382"/>
              <a:gd name="T46" fmla="+- 0 -834 -1164"/>
              <a:gd name="T47" fmla="*/ -834 h 336"/>
              <a:gd name="T48" fmla="+- 0 5186 1809"/>
              <a:gd name="T49" fmla="*/ T48 w 3382"/>
              <a:gd name="T50" fmla="+- 0 -833 -1164"/>
              <a:gd name="T51" fmla="*/ -833 h 336"/>
              <a:gd name="T52" fmla="+- 0 5185 1809"/>
              <a:gd name="T53" fmla="*/ T52 w 3382"/>
              <a:gd name="T54" fmla="+- 0 -832 -1164"/>
              <a:gd name="T55" fmla="*/ -832 h 336"/>
              <a:gd name="T56" fmla="+- 0 5186 1809"/>
              <a:gd name="T57" fmla="*/ T56 w 3382"/>
              <a:gd name="T58" fmla="+- 0 -830 -1164"/>
              <a:gd name="T59" fmla="*/ -830 h 336"/>
              <a:gd name="T60" fmla="+- 0 5188 1809"/>
              <a:gd name="T61" fmla="*/ T60 w 3382"/>
              <a:gd name="T62" fmla="+- 0 -829 -1164"/>
              <a:gd name="T63" fmla="*/ -829 h 336"/>
              <a:gd name="T64" fmla="+- 0 5190 1809"/>
              <a:gd name="T65" fmla="*/ T64 w 3382"/>
              <a:gd name="T66" fmla="+- 0 -830 -1164"/>
              <a:gd name="T67" fmla="*/ -830 h 336"/>
              <a:gd name="T68" fmla="+- 0 5191 1809"/>
              <a:gd name="T69" fmla="*/ T68 w 3382"/>
              <a:gd name="T70" fmla="+- 0 -832 -1164"/>
              <a:gd name="T71" fmla="*/ -832 h 3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3382" h="33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3382" y="332"/>
                </a:moveTo>
                <a:lnTo>
                  <a:pt x="3381" y="331"/>
                </a:lnTo>
                <a:lnTo>
                  <a:pt x="3379" y="330"/>
                </a:lnTo>
                <a:lnTo>
                  <a:pt x="3377" y="331"/>
                </a:lnTo>
                <a:lnTo>
                  <a:pt x="3376" y="332"/>
                </a:lnTo>
                <a:lnTo>
                  <a:pt x="3377" y="334"/>
                </a:lnTo>
                <a:lnTo>
                  <a:pt x="3379" y="335"/>
                </a:lnTo>
                <a:lnTo>
                  <a:pt x="3381" y="334"/>
                </a:lnTo>
                <a:lnTo>
                  <a:pt x="3382" y="332"/>
                </a:lnTo>
                <a:close/>
              </a:path>
            </a:pathLst>
          </a:custGeom>
          <a:solidFill>
            <a:srgbClr val="375C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2" name="docshape1102">
            <a:extLst>
              <a:ext uri="{FF2B5EF4-FFF2-40B4-BE49-F238E27FC236}">
                <a16:creationId xmlns:a16="http://schemas.microsoft.com/office/drawing/2014/main" id="{870F14A1-DE16-0F96-FB44-C9D73109F0A9}"/>
              </a:ext>
            </a:extLst>
          </xdr:cNvPr>
          <xdr:cNvSpPr>
            <a:spLocks/>
          </xdr:cNvSpPr>
        </xdr:nvSpPr>
        <xdr:spPr bwMode="auto">
          <a:xfrm>
            <a:off x="1812" y="-1162"/>
            <a:ext cx="3376" cy="82"/>
          </a:xfrm>
          <a:custGeom>
            <a:avLst/>
            <a:gdLst>
              <a:gd name="T0" fmla="+- 0 5188 1812"/>
              <a:gd name="T1" fmla="*/ T0 w 3376"/>
              <a:gd name="T2" fmla="+- 0 -1162 -1162"/>
              <a:gd name="T3" fmla="*/ -1162 h 82"/>
              <a:gd name="T4" fmla="+- 0 1894 1812"/>
              <a:gd name="T5" fmla="*/ T4 w 3376"/>
              <a:gd name="T6" fmla="+- 0 -1162 -1162"/>
              <a:gd name="T7" fmla="*/ -1162 h 82"/>
              <a:gd name="T8" fmla="+- 0 1812 1812"/>
              <a:gd name="T9" fmla="*/ T8 w 3376"/>
              <a:gd name="T10" fmla="+- 0 -1080 -1162"/>
              <a:gd name="T11" fmla="*/ -1080 h 82"/>
              <a:gd name="T12" fmla="+- 0 5106 1812"/>
              <a:gd name="T13" fmla="*/ T12 w 3376"/>
              <a:gd name="T14" fmla="+- 0 -1080 -1162"/>
              <a:gd name="T15" fmla="*/ -1080 h 82"/>
              <a:gd name="T16" fmla="+- 0 5188 1812"/>
              <a:gd name="T17" fmla="*/ T16 w 3376"/>
              <a:gd name="T18" fmla="+- 0 -1162 -1162"/>
              <a:gd name="T19" fmla="*/ -1162 h 8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376" h="82">
                <a:moveTo>
                  <a:pt x="3376" y="0"/>
                </a:moveTo>
                <a:lnTo>
                  <a:pt x="82" y="0"/>
                </a:lnTo>
                <a:lnTo>
                  <a:pt x="0" y="82"/>
                </a:lnTo>
                <a:lnTo>
                  <a:pt x="3294" y="82"/>
                </a:lnTo>
                <a:lnTo>
                  <a:pt x="3376" y="0"/>
                </a:lnTo>
                <a:close/>
              </a:path>
            </a:pathLst>
          </a:custGeom>
          <a:solidFill>
            <a:srgbClr val="6B96C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3" name="docshape1103">
            <a:extLst>
              <a:ext uri="{FF2B5EF4-FFF2-40B4-BE49-F238E27FC236}">
                <a16:creationId xmlns:a16="http://schemas.microsoft.com/office/drawing/2014/main" id="{1910479A-18CF-5FC9-D0BD-E6A9B05777D5}"/>
              </a:ext>
            </a:extLst>
          </xdr:cNvPr>
          <xdr:cNvSpPr>
            <a:spLocks/>
          </xdr:cNvSpPr>
        </xdr:nvSpPr>
        <xdr:spPr bwMode="auto">
          <a:xfrm>
            <a:off x="1812" y="-1162"/>
            <a:ext cx="3376" cy="82"/>
          </a:xfrm>
          <a:custGeom>
            <a:avLst/>
            <a:gdLst>
              <a:gd name="T0" fmla="+- 0 1812 1812"/>
              <a:gd name="T1" fmla="*/ T0 w 3376"/>
              <a:gd name="T2" fmla="+- 0 -1080 -1162"/>
              <a:gd name="T3" fmla="*/ -1080 h 82"/>
              <a:gd name="T4" fmla="+- 0 1894 1812"/>
              <a:gd name="T5" fmla="*/ T4 w 3376"/>
              <a:gd name="T6" fmla="+- 0 -1162 -1162"/>
              <a:gd name="T7" fmla="*/ -1162 h 82"/>
              <a:gd name="T8" fmla="+- 0 5188 1812"/>
              <a:gd name="T9" fmla="*/ T8 w 3376"/>
              <a:gd name="T10" fmla="+- 0 -1162 -1162"/>
              <a:gd name="T11" fmla="*/ -1162 h 82"/>
              <a:gd name="T12" fmla="+- 0 5106 1812"/>
              <a:gd name="T13" fmla="*/ T12 w 3376"/>
              <a:gd name="T14" fmla="+- 0 -1080 -1162"/>
              <a:gd name="T15" fmla="*/ -1080 h 82"/>
              <a:gd name="T16" fmla="+- 0 1812 1812"/>
              <a:gd name="T17" fmla="*/ T16 w 3376"/>
              <a:gd name="T18" fmla="+- 0 -1080 -1162"/>
              <a:gd name="T19" fmla="*/ -1080 h 8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3376" h="82">
                <a:moveTo>
                  <a:pt x="0" y="82"/>
                </a:moveTo>
                <a:lnTo>
                  <a:pt x="82" y="0"/>
                </a:lnTo>
                <a:lnTo>
                  <a:pt x="3376" y="0"/>
                </a:lnTo>
                <a:lnTo>
                  <a:pt x="3294" y="82"/>
                </a:lnTo>
                <a:lnTo>
                  <a:pt x="0" y="82"/>
                </a:lnTo>
                <a:close/>
              </a:path>
            </a:pathLst>
          </a:custGeom>
          <a:noFill/>
          <a:ln w="3235">
            <a:solidFill>
              <a:srgbClr val="375C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4" name="docshape1104">
            <a:extLst>
              <a:ext uri="{FF2B5EF4-FFF2-40B4-BE49-F238E27FC236}">
                <a16:creationId xmlns:a16="http://schemas.microsoft.com/office/drawing/2014/main" id="{C4EFEEF9-3CF8-C94E-18E5-9DB8D2F4154A}"/>
              </a:ext>
            </a:extLst>
          </xdr:cNvPr>
          <xdr:cNvSpPr>
            <a:spLocks/>
          </xdr:cNvSpPr>
        </xdr:nvSpPr>
        <xdr:spPr bwMode="auto">
          <a:xfrm>
            <a:off x="1809" y="-1165"/>
            <a:ext cx="3382" cy="336"/>
          </a:xfrm>
          <a:custGeom>
            <a:avLst/>
            <a:gdLst>
              <a:gd name="T0" fmla="+- 0 1815 1809"/>
              <a:gd name="T1" fmla="*/ T0 w 3382"/>
              <a:gd name="T2" fmla="+- 0 -1162 -1164"/>
              <a:gd name="T3" fmla="*/ -1162 h 336"/>
              <a:gd name="T4" fmla="+- 0 1814 1809"/>
              <a:gd name="T5" fmla="*/ T4 w 3382"/>
              <a:gd name="T6" fmla="+- 0 -1163 -1164"/>
              <a:gd name="T7" fmla="*/ -1163 h 336"/>
              <a:gd name="T8" fmla="+- 0 1812 1809"/>
              <a:gd name="T9" fmla="*/ T8 w 3382"/>
              <a:gd name="T10" fmla="+- 0 -1164 -1164"/>
              <a:gd name="T11" fmla="*/ -1164 h 336"/>
              <a:gd name="T12" fmla="+- 0 1810 1809"/>
              <a:gd name="T13" fmla="*/ T12 w 3382"/>
              <a:gd name="T14" fmla="+- 0 -1163 -1164"/>
              <a:gd name="T15" fmla="*/ -1163 h 336"/>
              <a:gd name="T16" fmla="+- 0 1809 1809"/>
              <a:gd name="T17" fmla="*/ T16 w 3382"/>
              <a:gd name="T18" fmla="+- 0 -1162 -1164"/>
              <a:gd name="T19" fmla="*/ -1162 h 336"/>
              <a:gd name="T20" fmla="+- 0 1810 1809"/>
              <a:gd name="T21" fmla="*/ T20 w 3382"/>
              <a:gd name="T22" fmla="+- 0 -1160 -1164"/>
              <a:gd name="T23" fmla="*/ -1160 h 336"/>
              <a:gd name="T24" fmla="+- 0 1812 1809"/>
              <a:gd name="T25" fmla="*/ T24 w 3382"/>
              <a:gd name="T26" fmla="+- 0 -1159 -1164"/>
              <a:gd name="T27" fmla="*/ -1159 h 336"/>
              <a:gd name="T28" fmla="+- 0 1814 1809"/>
              <a:gd name="T29" fmla="*/ T28 w 3382"/>
              <a:gd name="T30" fmla="+- 0 -1160 -1164"/>
              <a:gd name="T31" fmla="*/ -1160 h 336"/>
              <a:gd name="T32" fmla="+- 0 1815 1809"/>
              <a:gd name="T33" fmla="*/ T32 w 3382"/>
              <a:gd name="T34" fmla="+- 0 -1162 -1164"/>
              <a:gd name="T35" fmla="*/ -1162 h 336"/>
              <a:gd name="T36" fmla="+- 0 5191 1809"/>
              <a:gd name="T37" fmla="*/ T36 w 3382"/>
              <a:gd name="T38" fmla="+- 0 -832 -1164"/>
              <a:gd name="T39" fmla="*/ -832 h 336"/>
              <a:gd name="T40" fmla="+- 0 5190 1809"/>
              <a:gd name="T41" fmla="*/ T40 w 3382"/>
              <a:gd name="T42" fmla="+- 0 -833 -1164"/>
              <a:gd name="T43" fmla="*/ -833 h 336"/>
              <a:gd name="T44" fmla="+- 0 5188 1809"/>
              <a:gd name="T45" fmla="*/ T44 w 3382"/>
              <a:gd name="T46" fmla="+- 0 -834 -1164"/>
              <a:gd name="T47" fmla="*/ -834 h 336"/>
              <a:gd name="T48" fmla="+- 0 5186 1809"/>
              <a:gd name="T49" fmla="*/ T48 w 3382"/>
              <a:gd name="T50" fmla="+- 0 -833 -1164"/>
              <a:gd name="T51" fmla="*/ -833 h 336"/>
              <a:gd name="T52" fmla="+- 0 5185 1809"/>
              <a:gd name="T53" fmla="*/ T52 w 3382"/>
              <a:gd name="T54" fmla="+- 0 -832 -1164"/>
              <a:gd name="T55" fmla="*/ -832 h 336"/>
              <a:gd name="T56" fmla="+- 0 5186 1809"/>
              <a:gd name="T57" fmla="*/ T56 w 3382"/>
              <a:gd name="T58" fmla="+- 0 -830 -1164"/>
              <a:gd name="T59" fmla="*/ -830 h 336"/>
              <a:gd name="T60" fmla="+- 0 5188 1809"/>
              <a:gd name="T61" fmla="*/ T60 w 3382"/>
              <a:gd name="T62" fmla="+- 0 -829 -1164"/>
              <a:gd name="T63" fmla="*/ -829 h 336"/>
              <a:gd name="T64" fmla="+- 0 5190 1809"/>
              <a:gd name="T65" fmla="*/ T64 w 3382"/>
              <a:gd name="T66" fmla="+- 0 -830 -1164"/>
              <a:gd name="T67" fmla="*/ -830 h 336"/>
              <a:gd name="T68" fmla="+- 0 5191 1809"/>
              <a:gd name="T69" fmla="*/ T68 w 3382"/>
              <a:gd name="T70" fmla="+- 0 -832 -1164"/>
              <a:gd name="T71" fmla="*/ -832 h 3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3382" h="33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3382" y="332"/>
                </a:moveTo>
                <a:lnTo>
                  <a:pt x="3381" y="331"/>
                </a:lnTo>
                <a:lnTo>
                  <a:pt x="3379" y="330"/>
                </a:lnTo>
                <a:lnTo>
                  <a:pt x="3377" y="331"/>
                </a:lnTo>
                <a:lnTo>
                  <a:pt x="3376" y="332"/>
                </a:lnTo>
                <a:lnTo>
                  <a:pt x="3377" y="334"/>
                </a:lnTo>
                <a:lnTo>
                  <a:pt x="3379" y="335"/>
                </a:lnTo>
                <a:lnTo>
                  <a:pt x="3381" y="334"/>
                </a:lnTo>
                <a:lnTo>
                  <a:pt x="3382" y="332"/>
                </a:lnTo>
                <a:close/>
              </a:path>
            </a:pathLst>
          </a:custGeom>
          <a:solidFill>
            <a:srgbClr val="375C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5" name="docshape1105">
            <a:extLst>
              <a:ext uri="{FF2B5EF4-FFF2-40B4-BE49-F238E27FC236}">
                <a16:creationId xmlns:a16="http://schemas.microsoft.com/office/drawing/2014/main" id="{5144A78A-3931-7887-4E3F-34546A4D293A}"/>
              </a:ext>
            </a:extLst>
          </xdr:cNvPr>
          <xdr:cNvSpPr>
            <a:spLocks/>
          </xdr:cNvSpPr>
        </xdr:nvSpPr>
        <xdr:spPr bwMode="auto">
          <a:xfrm>
            <a:off x="5106" y="-1162"/>
            <a:ext cx="82" cy="330"/>
          </a:xfrm>
          <a:custGeom>
            <a:avLst/>
            <a:gdLst>
              <a:gd name="T0" fmla="+- 0 5188 5106"/>
              <a:gd name="T1" fmla="*/ T0 w 82"/>
              <a:gd name="T2" fmla="+- 0 -1162 -1162"/>
              <a:gd name="T3" fmla="*/ -1162 h 330"/>
              <a:gd name="T4" fmla="+- 0 5106 5106"/>
              <a:gd name="T5" fmla="*/ T4 w 82"/>
              <a:gd name="T6" fmla="+- 0 -1080 -1162"/>
              <a:gd name="T7" fmla="*/ -1080 h 330"/>
              <a:gd name="T8" fmla="+- 0 5106 5106"/>
              <a:gd name="T9" fmla="*/ T8 w 82"/>
              <a:gd name="T10" fmla="+- 0 -832 -1162"/>
              <a:gd name="T11" fmla="*/ -832 h 330"/>
              <a:gd name="T12" fmla="+- 0 5188 5106"/>
              <a:gd name="T13" fmla="*/ T12 w 82"/>
              <a:gd name="T14" fmla="+- 0 -914 -1162"/>
              <a:gd name="T15" fmla="*/ -914 h 330"/>
              <a:gd name="T16" fmla="+- 0 5188 5106"/>
              <a:gd name="T17" fmla="*/ T16 w 82"/>
              <a:gd name="T18" fmla="+- 0 -1162 -1162"/>
              <a:gd name="T19" fmla="*/ -1162 h 33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2" h="330">
                <a:moveTo>
                  <a:pt x="82" y="0"/>
                </a:moveTo>
                <a:lnTo>
                  <a:pt x="0" y="82"/>
                </a:lnTo>
                <a:lnTo>
                  <a:pt x="0" y="330"/>
                </a:lnTo>
                <a:lnTo>
                  <a:pt x="82" y="248"/>
                </a:lnTo>
                <a:lnTo>
                  <a:pt x="82" y="0"/>
                </a:lnTo>
                <a:close/>
              </a:path>
            </a:pathLst>
          </a:custGeom>
          <a:solidFill>
            <a:srgbClr val="3E669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6" name="docshape1106">
            <a:extLst>
              <a:ext uri="{FF2B5EF4-FFF2-40B4-BE49-F238E27FC236}">
                <a16:creationId xmlns:a16="http://schemas.microsoft.com/office/drawing/2014/main" id="{545CB3B7-D20B-ACFA-92AC-E9C295410C66}"/>
              </a:ext>
            </a:extLst>
          </xdr:cNvPr>
          <xdr:cNvSpPr>
            <a:spLocks/>
          </xdr:cNvSpPr>
        </xdr:nvSpPr>
        <xdr:spPr bwMode="auto">
          <a:xfrm>
            <a:off x="5106" y="-1162"/>
            <a:ext cx="82" cy="330"/>
          </a:xfrm>
          <a:custGeom>
            <a:avLst/>
            <a:gdLst>
              <a:gd name="T0" fmla="+- 0 5106 5106"/>
              <a:gd name="T1" fmla="*/ T0 w 82"/>
              <a:gd name="T2" fmla="+- 0 -832 -1162"/>
              <a:gd name="T3" fmla="*/ -832 h 330"/>
              <a:gd name="T4" fmla="+- 0 5106 5106"/>
              <a:gd name="T5" fmla="*/ T4 w 82"/>
              <a:gd name="T6" fmla="+- 0 -1080 -1162"/>
              <a:gd name="T7" fmla="*/ -1080 h 330"/>
              <a:gd name="T8" fmla="+- 0 5188 5106"/>
              <a:gd name="T9" fmla="*/ T8 w 82"/>
              <a:gd name="T10" fmla="+- 0 -1162 -1162"/>
              <a:gd name="T11" fmla="*/ -1162 h 330"/>
              <a:gd name="T12" fmla="+- 0 5188 5106"/>
              <a:gd name="T13" fmla="*/ T12 w 82"/>
              <a:gd name="T14" fmla="+- 0 -914 -1162"/>
              <a:gd name="T15" fmla="*/ -914 h 330"/>
              <a:gd name="T16" fmla="+- 0 5106 5106"/>
              <a:gd name="T17" fmla="*/ T16 w 82"/>
              <a:gd name="T18" fmla="+- 0 -832 -1162"/>
              <a:gd name="T19" fmla="*/ -832 h 33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2" h="330">
                <a:moveTo>
                  <a:pt x="0" y="330"/>
                </a:moveTo>
                <a:lnTo>
                  <a:pt x="0" y="82"/>
                </a:lnTo>
                <a:lnTo>
                  <a:pt x="82" y="0"/>
                </a:lnTo>
                <a:lnTo>
                  <a:pt x="82" y="248"/>
                </a:lnTo>
                <a:lnTo>
                  <a:pt x="0" y="330"/>
                </a:lnTo>
                <a:close/>
              </a:path>
            </a:pathLst>
          </a:custGeom>
          <a:noFill/>
          <a:ln w="3235">
            <a:solidFill>
              <a:srgbClr val="375C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7" name="docshape1107">
            <a:extLst>
              <a:ext uri="{FF2B5EF4-FFF2-40B4-BE49-F238E27FC236}">
                <a16:creationId xmlns:a16="http://schemas.microsoft.com/office/drawing/2014/main" id="{677A5D44-BD4E-F451-5292-B33951A9797F}"/>
              </a:ext>
            </a:extLst>
          </xdr:cNvPr>
          <xdr:cNvSpPr>
            <a:spLocks/>
          </xdr:cNvSpPr>
        </xdr:nvSpPr>
        <xdr:spPr bwMode="auto">
          <a:xfrm>
            <a:off x="1809" y="-1165"/>
            <a:ext cx="3382" cy="336"/>
          </a:xfrm>
          <a:custGeom>
            <a:avLst/>
            <a:gdLst>
              <a:gd name="T0" fmla="+- 0 1815 1809"/>
              <a:gd name="T1" fmla="*/ T0 w 3382"/>
              <a:gd name="T2" fmla="+- 0 -1162 -1164"/>
              <a:gd name="T3" fmla="*/ -1162 h 336"/>
              <a:gd name="T4" fmla="+- 0 1814 1809"/>
              <a:gd name="T5" fmla="*/ T4 w 3382"/>
              <a:gd name="T6" fmla="+- 0 -1163 -1164"/>
              <a:gd name="T7" fmla="*/ -1163 h 336"/>
              <a:gd name="T8" fmla="+- 0 1812 1809"/>
              <a:gd name="T9" fmla="*/ T8 w 3382"/>
              <a:gd name="T10" fmla="+- 0 -1164 -1164"/>
              <a:gd name="T11" fmla="*/ -1164 h 336"/>
              <a:gd name="T12" fmla="+- 0 1810 1809"/>
              <a:gd name="T13" fmla="*/ T12 w 3382"/>
              <a:gd name="T14" fmla="+- 0 -1163 -1164"/>
              <a:gd name="T15" fmla="*/ -1163 h 336"/>
              <a:gd name="T16" fmla="+- 0 1809 1809"/>
              <a:gd name="T17" fmla="*/ T16 w 3382"/>
              <a:gd name="T18" fmla="+- 0 -1162 -1164"/>
              <a:gd name="T19" fmla="*/ -1162 h 336"/>
              <a:gd name="T20" fmla="+- 0 1810 1809"/>
              <a:gd name="T21" fmla="*/ T20 w 3382"/>
              <a:gd name="T22" fmla="+- 0 -1160 -1164"/>
              <a:gd name="T23" fmla="*/ -1160 h 336"/>
              <a:gd name="T24" fmla="+- 0 1812 1809"/>
              <a:gd name="T25" fmla="*/ T24 w 3382"/>
              <a:gd name="T26" fmla="+- 0 -1159 -1164"/>
              <a:gd name="T27" fmla="*/ -1159 h 336"/>
              <a:gd name="T28" fmla="+- 0 1814 1809"/>
              <a:gd name="T29" fmla="*/ T28 w 3382"/>
              <a:gd name="T30" fmla="+- 0 -1160 -1164"/>
              <a:gd name="T31" fmla="*/ -1160 h 336"/>
              <a:gd name="T32" fmla="+- 0 1815 1809"/>
              <a:gd name="T33" fmla="*/ T32 w 3382"/>
              <a:gd name="T34" fmla="+- 0 -1162 -1164"/>
              <a:gd name="T35" fmla="*/ -1162 h 336"/>
              <a:gd name="T36" fmla="+- 0 5191 1809"/>
              <a:gd name="T37" fmla="*/ T36 w 3382"/>
              <a:gd name="T38" fmla="+- 0 -832 -1164"/>
              <a:gd name="T39" fmla="*/ -832 h 336"/>
              <a:gd name="T40" fmla="+- 0 5190 1809"/>
              <a:gd name="T41" fmla="*/ T40 w 3382"/>
              <a:gd name="T42" fmla="+- 0 -833 -1164"/>
              <a:gd name="T43" fmla="*/ -833 h 336"/>
              <a:gd name="T44" fmla="+- 0 5188 1809"/>
              <a:gd name="T45" fmla="*/ T44 w 3382"/>
              <a:gd name="T46" fmla="+- 0 -834 -1164"/>
              <a:gd name="T47" fmla="*/ -834 h 336"/>
              <a:gd name="T48" fmla="+- 0 5186 1809"/>
              <a:gd name="T49" fmla="*/ T48 w 3382"/>
              <a:gd name="T50" fmla="+- 0 -833 -1164"/>
              <a:gd name="T51" fmla="*/ -833 h 336"/>
              <a:gd name="T52" fmla="+- 0 5185 1809"/>
              <a:gd name="T53" fmla="*/ T52 w 3382"/>
              <a:gd name="T54" fmla="+- 0 -832 -1164"/>
              <a:gd name="T55" fmla="*/ -832 h 336"/>
              <a:gd name="T56" fmla="+- 0 5186 1809"/>
              <a:gd name="T57" fmla="*/ T56 w 3382"/>
              <a:gd name="T58" fmla="+- 0 -830 -1164"/>
              <a:gd name="T59" fmla="*/ -830 h 336"/>
              <a:gd name="T60" fmla="+- 0 5188 1809"/>
              <a:gd name="T61" fmla="*/ T60 w 3382"/>
              <a:gd name="T62" fmla="+- 0 -829 -1164"/>
              <a:gd name="T63" fmla="*/ -829 h 336"/>
              <a:gd name="T64" fmla="+- 0 5190 1809"/>
              <a:gd name="T65" fmla="*/ T64 w 3382"/>
              <a:gd name="T66" fmla="+- 0 -830 -1164"/>
              <a:gd name="T67" fmla="*/ -830 h 336"/>
              <a:gd name="T68" fmla="+- 0 5191 1809"/>
              <a:gd name="T69" fmla="*/ T68 w 3382"/>
              <a:gd name="T70" fmla="+- 0 -832 -1164"/>
              <a:gd name="T71" fmla="*/ -832 h 3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3382" h="336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3382" y="332"/>
                </a:moveTo>
                <a:lnTo>
                  <a:pt x="3381" y="331"/>
                </a:lnTo>
                <a:lnTo>
                  <a:pt x="3379" y="330"/>
                </a:lnTo>
                <a:lnTo>
                  <a:pt x="3377" y="331"/>
                </a:lnTo>
                <a:lnTo>
                  <a:pt x="3376" y="332"/>
                </a:lnTo>
                <a:lnTo>
                  <a:pt x="3377" y="334"/>
                </a:lnTo>
                <a:lnTo>
                  <a:pt x="3379" y="335"/>
                </a:lnTo>
                <a:lnTo>
                  <a:pt x="3381" y="334"/>
                </a:lnTo>
                <a:lnTo>
                  <a:pt x="3382" y="332"/>
                </a:lnTo>
                <a:close/>
              </a:path>
            </a:pathLst>
          </a:custGeom>
          <a:solidFill>
            <a:srgbClr val="375C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8" name="Line 144">
            <a:extLst>
              <a:ext uri="{FF2B5EF4-FFF2-40B4-BE49-F238E27FC236}">
                <a16:creationId xmlns:a16="http://schemas.microsoft.com/office/drawing/2014/main" id="{BD4AB7F5-482E-7243-4242-FA5DF6D4958B}"/>
              </a:ext>
            </a:extLst>
          </xdr:cNvPr>
          <xdr:cNvSpPr>
            <a:spLocks noChangeShapeType="1"/>
          </xdr:cNvSpPr>
        </xdr:nvSpPr>
        <xdr:spPr bwMode="auto">
          <a:xfrm>
            <a:off x="5542" y="2106"/>
            <a:ext cx="0" cy="0"/>
          </a:xfrm>
          <a:prstGeom prst="line">
            <a:avLst/>
          </a:prstGeom>
          <a:noFill/>
          <a:ln w="93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34" name="docshape1108">
            <a:extLst>
              <a:ext uri="{FF2B5EF4-FFF2-40B4-BE49-F238E27FC236}">
                <a16:creationId xmlns:a16="http://schemas.microsoft.com/office/drawing/2014/main" id="{CD52EED7-51AB-4ECE-2AD7-31171EC127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52" y="2094"/>
            <a:ext cx="178" cy="1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5" name="docshape1109">
            <a:extLst>
              <a:ext uri="{FF2B5EF4-FFF2-40B4-BE49-F238E27FC236}">
                <a16:creationId xmlns:a16="http://schemas.microsoft.com/office/drawing/2014/main" id="{7CFD6FEA-E55A-D60C-E7DA-0E3A09C4D5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52" y="-894"/>
            <a:ext cx="180" cy="1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71" name="docshape1110">
            <a:extLst>
              <a:ext uri="{FF2B5EF4-FFF2-40B4-BE49-F238E27FC236}">
                <a16:creationId xmlns:a16="http://schemas.microsoft.com/office/drawing/2014/main" id="{A6E57E0B-199F-6753-F863-ECADD5E32C54}"/>
              </a:ext>
            </a:extLst>
          </xdr:cNvPr>
          <xdr:cNvSpPr>
            <a:spLocks/>
          </xdr:cNvSpPr>
        </xdr:nvSpPr>
        <xdr:spPr bwMode="auto">
          <a:xfrm>
            <a:off x="4776" y="-908"/>
            <a:ext cx="1256" cy="3182"/>
          </a:xfrm>
          <a:custGeom>
            <a:avLst/>
            <a:gdLst>
              <a:gd name="T0" fmla="+- 0 5130 4776"/>
              <a:gd name="T1" fmla="*/ T0 w 1256"/>
              <a:gd name="T2" fmla="+- 0 -908 -908"/>
              <a:gd name="T3" fmla="*/ -908 h 3182"/>
              <a:gd name="T4" fmla="+- 0 6032 4776"/>
              <a:gd name="T5" fmla="*/ T4 w 1256"/>
              <a:gd name="T6" fmla="+- 0 -908 -908"/>
              <a:gd name="T7" fmla="*/ -908 h 3182"/>
              <a:gd name="T8" fmla="+- 0 4776 4776"/>
              <a:gd name="T9" fmla="*/ T8 w 1256"/>
              <a:gd name="T10" fmla="+- 0 2274 -908"/>
              <a:gd name="T11" fmla="*/ 2274 h 3182"/>
              <a:gd name="T12" fmla="+- 0 5660 4776"/>
              <a:gd name="T13" fmla="*/ T12 w 1256"/>
              <a:gd name="T14" fmla="+- 0 2274 -908"/>
              <a:gd name="T15" fmla="*/ 2274 h 318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56" h="3182">
                <a:moveTo>
                  <a:pt x="354" y="0"/>
                </a:moveTo>
                <a:lnTo>
                  <a:pt x="1256" y="0"/>
                </a:lnTo>
                <a:moveTo>
                  <a:pt x="0" y="3182"/>
                </a:moveTo>
                <a:lnTo>
                  <a:pt x="884" y="3182"/>
                </a:lnTo>
              </a:path>
            </a:pathLst>
          </a:custGeom>
          <a:noFill/>
          <a:ln w="93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36" name="docshape1111">
            <a:extLst>
              <a:ext uri="{FF2B5EF4-FFF2-40B4-BE49-F238E27FC236}">
                <a16:creationId xmlns:a16="http://schemas.microsoft.com/office/drawing/2014/main" id="{13A18A4E-3B10-1C5D-7E4A-B4F7019501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72" y="4014"/>
            <a:ext cx="2512" cy="5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73" name="docshape1112">
            <a:extLst>
              <a:ext uri="{FF2B5EF4-FFF2-40B4-BE49-F238E27FC236}">
                <a16:creationId xmlns:a16="http://schemas.microsoft.com/office/drawing/2014/main" id="{B6BF69FD-B694-91FD-F2FE-F66BD8BA0923}"/>
              </a:ext>
            </a:extLst>
          </xdr:cNvPr>
          <xdr:cNvSpPr>
            <a:spLocks/>
          </xdr:cNvSpPr>
        </xdr:nvSpPr>
        <xdr:spPr bwMode="auto">
          <a:xfrm>
            <a:off x="1772" y="4012"/>
            <a:ext cx="2514" cy="376"/>
          </a:xfrm>
          <a:custGeom>
            <a:avLst/>
            <a:gdLst>
              <a:gd name="T0" fmla="+- 0 1772 1772"/>
              <a:gd name="T1" fmla="*/ T0 w 2514"/>
              <a:gd name="T2" fmla="+- 0 4388 4012"/>
              <a:gd name="T3" fmla="*/ 4388 h 376"/>
              <a:gd name="T4" fmla="+- 0 1772 1772"/>
              <a:gd name="T5" fmla="*/ T4 w 2514"/>
              <a:gd name="T6" fmla="+- 0 4012 4012"/>
              <a:gd name="T7" fmla="*/ 4012 h 376"/>
              <a:gd name="T8" fmla="+- 0 4286 1772"/>
              <a:gd name="T9" fmla="*/ T8 w 2514"/>
              <a:gd name="T10" fmla="+- 0 4012 4012"/>
              <a:gd name="T11" fmla="*/ 4012 h 376"/>
              <a:gd name="T12" fmla="+- 0 4286 1772"/>
              <a:gd name="T13" fmla="*/ T12 w 2514"/>
              <a:gd name="T14" fmla="+- 0 4388 4012"/>
              <a:gd name="T15" fmla="*/ 4388 h 37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514" h="376">
                <a:moveTo>
                  <a:pt x="0" y="376"/>
                </a:moveTo>
                <a:lnTo>
                  <a:pt x="0" y="0"/>
                </a:lnTo>
                <a:lnTo>
                  <a:pt x="2514" y="0"/>
                </a:lnTo>
                <a:lnTo>
                  <a:pt x="2514" y="376"/>
                </a:lnTo>
              </a:path>
            </a:pathLst>
          </a:custGeom>
          <a:noFill/>
          <a:ln w="323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37" name="docshape1113">
            <a:extLst>
              <a:ext uri="{FF2B5EF4-FFF2-40B4-BE49-F238E27FC236}">
                <a16:creationId xmlns:a16="http://schemas.microsoft.com/office/drawing/2014/main" id="{678FBD33-6050-8857-ECE7-28F9F35801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16" y="3578"/>
            <a:ext cx="786" cy="4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75" name="docshape1114">
            <a:extLst>
              <a:ext uri="{FF2B5EF4-FFF2-40B4-BE49-F238E27FC236}">
                <a16:creationId xmlns:a16="http://schemas.microsoft.com/office/drawing/2014/main" id="{634A061D-7F68-C9F4-A304-E7E584BBF6AD}"/>
              </a:ext>
            </a:extLst>
          </xdr:cNvPr>
          <xdr:cNvSpPr>
            <a:spLocks/>
          </xdr:cNvSpPr>
        </xdr:nvSpPr>
        <xdr:spPr bwMode="auto">
          <a:xfrm>
            <a:off x="2616" y="3578"/>
            <a:ext cx="786" cy="436"/>
          </a:xfrm>
          <a:custGeom>
            <a:avLst/>
            <a:gdLst>
              <a:gd name="T0" fmla="+- 0 2616 2616"/>
              <a:gd name="T1" fmla="*/ T0 w 786"/>
              <a:gd name="T2" fmla="+- 0 4014 3578"/>
              <a:gd name="T3" fmla="*/ 4014 h 436"/>
              <a:gd name="T4" fmla="+- 0 2616 2616"/>
              <a:gd name="T5" fmla="*/ T4 w 786"/>
              <a:gd name="T6" fmla="+- 0 3578 3578"/>
              <a:gd name="T7" fmla="*/ 3578 h 436"/>
              <a:gd name="T8" fmla="+- 0 2888 2616"/>
              <a:gd name="T9" fmla="*/ T8 w 786"/>
              <a:gd name="T10" fmla="+- 0 3696 3578"/>
              <a:gd name="T11" fmla="*/ 3696 h 436"/>
              <a:gd name="T12" fmla="+- 0 3240 2616"/>
              <a:gd name="T13" fmla="*/ T12 w 786"/>
              <a:gd name="T14" fmla="+- 0 3728 3578"/>
              <a:gd name="T15" fmla="*/ 3728 h 436"/>
              <a:gd name="T16" fmla="+- 0 3312 2616"/>
              <a:gd name="T17" fmla="*/ T16 w 786"/>
              <a:gd name="T18" fmla="+- 0 3760 3578"/>
              <a:gd name="T19" fmla="*/ 3760 h 436"/>
              <a:gd name="T20" fmla="+- 0 3402 2616"/>
              <a:gd name="T21" fmla="*/ T20 w 786"/>
              <a:gd name="T22" fmla="+- 0 3688 3578"/>
              <a:gd name="T23" fmla="*/ 3688 h 436"/>
              <a:gd name="T24" fmla="+- 0 3402 2616"/>
              <a:gd name="T25" fmla="*/ T24 w 786"/>
              <a:gd name="T26" fmla="+- 0 4014 3578"/>
              <a:gd name="T27" fmla="*/ 4014 h 436"/>
              <a:gd name="T28" fmla="+- 0 2616 2616"/>
              <a:gd name="T29" fmla="*/ T28 w 786"/>
              <a:gd name="T30" fmla="+- 0 4014 3578"/>
              <a:gd name="T31" fmla="*/ 4014 h 43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786" h="436">
                <a:moveTo>
                  <a:pt x="0" y="436"/>
                </a:moveTo>
                <a:lnTo>
                  <a:pt x="0" y="0"/>
                </a:lnTo>
                <a:lnTo>
                  <a:pt x="272" y="118"/>
                </a:lnTo>
                <a:lnTo>
                  <a:pt x="624" y="150"/>
                </a:lnTo>
                <a:lnTo>
                  <a:pt x="696" y="182"/>
                </a:lnTo>
                <a:lnTo>
                  <a:pt x="786" y="110"/>
                </a:lnTo>
                <a:lnTo>
                  <a:pt x="786" y="436"/>
                </a:lnTo>
                <a:lnTo>
                  <a:pt x="0" y="436"/>
                </a:lnTo>
                <a:close/>
              </a:path>
            </a:pathLst>
          </a:custGeom>
          <a:noFill/>
          <a:ln w="3235">
            <a:solidFill>
              <a:srgbClr val="375C89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6" name="docshape1115">
            <a:extLst>
              <a:ext uri="{FF2B5EF4-FFF2-40B4-BE49-F238E27FC236}">
                <a16:creationId xmlns:a16="http://schemas.microsoft.com/office/drawing/2014/main" id="{4E40C58B-6B7C-13E3-3DE2-3E8D03D6DB9C}"/>
              </a:ext>
            </a:extLst>
          </xdr:cNvPr>
          <xdr:cNvSpPr>
            <a:spLocks/>
          </xdr:cNvSpPr>
        </xdr:nvSpPr>
        <xdr:spPr bwMode="auto">
          <a:xfrm>
            <a:off x="2613" y="3575"/>
            <a:ext cx="792" cy="442"/>
          </a:xfrm>
          <a:custGeom>
            <a:avLst/>
            <a:gdLst>
              <a:gd name="T0" fmla="+- 0 2619 2613"/>
              <a:gd name="T1" fmla="*/ T0 w 792"/>
              <a:gd name="T2" fmla="+- 0 3578 3576"/>
              <a:gd name="T3" fmla="*/ 3578 h 442"/>
              <a:gd name="T4" fmla="+- 0 2618 2613"/>
              <a:gd name="T5" fmla="*/ T4 w 792"/>
              <a:gd name="T6" fmla="+- 0 3577 3576"/>
              <a:gd name="T7" fmla="*/ 3577 h 442"/>
              <a:gd name="T8" fmla="+- 0 2616 2613"/>
              <a:gd name="T9" fmla="*/ T8 w 792"/>
              <a:gd name="T10" fmla="+- 0 3576 3576"/>
              <a:gd name="T11" fmla="*/ 3576 h 442"/>
              <a:gd name="T12" fmla="+- 0 2614 2613"/>
              <a:gd name="T13" fmla="*/ T12 w 792"/>
              <a:gd name="T14" fmla="+- 0 3577 3576"/>
              <a:gd name="T15" fmla="*/ 3577 h 442"/>
              <a:gd name="T16" fmla="+- 0 2613 2613"/>
              <a:gd name="T17" fmla="*/ T16 w 792"/>
              <a:gd name="T18" fmla="+- 0 3578 3576"/>
              <a:gd name="T19" fmla="*/ 3578 h 442"/>
              <a:gd name="T20" fmla="+- 0 2614 2613"/>
              <a:gd name="T21" fmla="*/ T20 w 792"/>
              <a:gd name="T22" fmla="+- 0 3580 3576"/>
              <a:gd name="T23" fmla="*/ 3580 h 442"/>
              <a:gd name="T24" fmla="+- 0 2616 2613"/>
              <a:gd name="T25" fmla="*/ T24 w 792"/>
              <a:gd name="T26" fmla="+- 0 3581 3576"/>
              <a:gd name="T27" fmla="*/ 3581 h 442"/>
              <a:gd name="T28" fmla="+- 0 2618 2613"/>
              <a:gd name="T29" fmla="*/ T28 w 792"/>
              <a:gd name="T30" fmla="+- 0 3580 3576"/>
              <a:gd name="T31" fmla="*/ 3580 h 442"/>
              <a:gd name="T32" fmla="+- 0 2619 2613"/>
              <a:gd name="T33" fmla="*/ T32 w 792"/>
              <a:gd name="T34" fmla="+- 0 3578 3576"/>
              <a:gd name="T35" fmla="*/ 3578 h 442"/>
              <a:gd name="T36" fmla="+- 0 3405 2613"/>
              <a:gd name="T37" fmla="*/ T36 w 792"/>
              <a:gd name="T38" fmla="+- 0 4014 3576"/>
              <a:gd name="T39" fmla="*/ 4014 h 442"/>
              <a:gd name="T40" fmla="+- 0 3404 2613"/>
              <a:gd name="T41" fmla="*/ T40 w 792"/>
              <a:gd name="T42" fmla="+- 0 4013 3576"/>
              <a:gd name="T43" fmla="*/ 4013 h 442"/>
              <a:gd name="T44" fmla="+- 0 3402 2613"/>
              <a:gd name="T45" fmla="*/ T44 w 792"/>
              <a:gd name="T46" fmla="+- 0 4012 3576"/>
              <a:gd name="T47" fmla="*/ 4012 h 442"/>
              <a:gd name="T48" fmla="+- 0 3400 2613"/>
              <a:gd name="T49" fmla="*/ T48 w 792"/>
              <a:gd name="T50" fmla="+- 0 4013 3576"/>
              <a:gd name="T51" fmla="*/ 4013 h 442"/>
              <a:gd name="T52" fmla="+- 0 3399 2613"/>
              <a:gd name="T53" fmla="*/ T52 w 792"/>
              <a:gd name="T54" fmla="+- 0 4014 3576"/>
              <a:gd name="T55" fmla="*/ 4014 h 442"/>
              <a:gd name="T56" fmla="+- 0 3400 2613"/>
              <a:gd name="T57" fmla="*/ T56 w 792"/>
              <a:gd name="T58" fmla="+- 0 4016 3576"/>
              <a:gd name="T59" fmla="*/ 4016 h 442"/>
              <a:gd name="T60" fmla="+- 0 3402 2613"/>
              <a:gd name="T61" fmla="*/ T60 w 792"/>
              <a:gd name="T62" fmla="+- 0 4017 3576"/>
              <a:gd name="T63" fmla="*/ 4017 h 442"/>
              <a:gd name="T64" fmla="+- 0 3404 2613"/>
              <a:gd name="T65" fmla="*/ T64 w 792"/>
              <a:gd name="T66" fmla="+- 0 4016 3576"/>
              <a:gd name="T67" fmla="*/ 4016 h 442"/>
              <a:gd name="T68" fmla="+- 0 3405 2613"/>
              <a:gd name="T69" fmla="*/ T68 w 792"/>
              <a:gd name="T70" fmla="+- 0 4014 3576"/>
              <a:gd name="T71" fmla="*/ 4014 h 442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</a:cxnLst>
            <a:rect l="0" t="0" r="r" b="b"/>
            <a:pathLst>
              <a:path w="792" h="442">
                <a:moveTo>
                  <a:pt x="6" y="2"/>
                </a:moveTo>
                <a:lnTo>
                  <a:pt x="5" y="1"/>
                </a:lnTo>
                <a:lnTo>
                  <a:pt x="3" y="0"/>
                </a:lnTo>
                <a:lnTo>
                  <a:pt x="1" y="1"/>
                </a:lnTo>
                <a:lnTo>
                  <a:pt x="0" y="2"/>
                </a:lnTo>
                <a:lnTo>
                  <a:pt x="1" y="4"/>
                </a:lnTo>
                <a:lnTo>
                  <a:pt x="3" y="5"/>
                </a:lnTo>
                <a:lnTo>
                  <a:pt x="5" y="4"/>
                </a:lnTo>
                <a:lnTo>
                  <a:pt x="6" y="2"/>
                </a:lnTo>
                <a:close/>
                <a:moveTo>
                  <a:pt x="792" y="438"/>
                </a:moveTo>
                <a:lnTo>
                  <a:pt x="791" y="437"/>
                </a:lnTo>
                <a:lnTo>
                  <a:pt x="789" y="436"/>
                </a:lnTo>
                <a:lnTo>
                  <a:pt x="787" y="437"/>
                </a:lnTo>
                <a:lnTo>
                  <a:pt x="786" y="438"/>
                </a:lnTo>
                <a:lnTo>
                  <a:pt x="787" y="440"/>
                </a:lnTo>
                <a:lnTo>
                  <a:pt x="789" y="441"/>
                </a:lnTo>
                <a:lnTo>
                  <a:pt x="791" y="440"/>
                </a:lnTo>
                <a:lnTo>
                  <a:pt x="792" y="438"/>
                </a:lnTo>
                <a:close/>
              </a:path>
            </a:pathLst>
          </a:custGeom>
          <a:solidFill>
            <a:srgbClr val="375C8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77" name="docshape1116">
            <a:extLst>
              <a:ext uri="{FF2B5EF4-FFF2-40B4-BE49-F238E27FC236}">
                <a16:creationId xmlns:a16="http://schemas.microsoft.com/office/drawing/2014/main" id="{D877BC74-0B7E-CE77-8995-C00FB360CB4D}"/>
              </a:ext>
            </a:extLst>
          </xdr:cNvPr>
          <xdr:cNvSpPr>
            <a:spLocks/>
          </xdr:cNvSpPr>
        </xdr:nvSpPr>
        <xdr:spPr bwMode="auto">
          <a:xfrm>
            <a:off x="2048" y="2708"/>
            <a:ext cx="1920" cy="1680"/>
          </a:xfrm>
          <a:custGeom>
            <a:avLst/>
            <a:gdLst>
              <a:gd name="T0" fmla="+- 0 2048 2048"/>
              <a:gd name="T1" fmla="*/ T0 w 1920"/>
              <a:gd name="T2" fmla="+- 0 4374 2708"/>
              <a:gd name="T3" fmla="*/ 4374 h 1680"/>
              <a:gd name="T4" fmla="+- 0 2754 2048"/>
              <a:gd name="T5" fmla="*/ T4 w 1920"/>
              <a:gd name="T6" fmla="+- 0 4388 2708"/>
              <a:gd name="T7" fmla="*/ 4388 h 1680"/>
              <a:gd name="T8" fmla="+- 0 2734 2048"/>
              <a:gd name="T9" fmla="*/ T8 w 1920"/>
              <a:gd name="T10" fmla="+- 0 4388 2708"/>
              <a:gd name="T11" fmla="*/ 4388 h 1680"/>
              <a:gd name="T12" fmla="+- 0 2696 2048"/>
              <a:gd name="T13" fmla="*/ T12 w 1920"/>
              <a:gd name="T14" fmla="+- 0 2724 2708"/>
              <a:gd name="T15" fmla="*/ 2724 h 1680"/>
              <a:gd name="T16" fmla="+- 0 3968 2048"/>
              <a:gd name="T17" fmla="*/ T16 w 1920"/>
              <a:gd name="T18" fmla="+- 0 4338 2708"/>
              <a:gd name="T19" fmla="*/ 4338 h 1680"/>
              <a:gd name="T20" fmla="+- 0 3268 2048"/>
              <a:gd name="T21" fmla="*/ T20 w 1920"/>
              <a:gd name="T22" fmla="+- 0 4354 2708"/>
              <a:gd name="T23" fmla="*/ 4354 h 1680"/>
              <a:gd name="T24" fmla="+- 0 3268 2048"/>
              <a:gd name="T25" fmla="*/ T24 w 1920"/>
              <a:gd name="T26" fmla="+- 0 4352 2708"/>
              <a:gd name="T27" fmla="*/ 4352 h 1680"/>
              <a:gd name="T28" fmla="+- 0 3248 2048"/>
              <a:gd name="T29" fmla="*/ T28 w 1920"/>
              <a:gd name="T30" fmla="+- 0 2708 2708"/>
              <a:gd name="T31" fmla="*/ 2708 h 168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</a:cxnLst>
            <a:rect l="0" t="0" r="r" b="b"/>
            <a:pathLst>
              <a:path w="1920" h="1680">
                <a:moveTo>
                  <a:pt x="0" y="1666"/>
                </a:moveTo>
                <a:lnTo>
                  <a:pt x="706" y="1680"/>
                </a:lnTo>
                <a:moveTo>
                  <a:pt x="686" y="1680"/>
                </a:moveTo>
                <a:lnTo>
                  <a:pt x="648" y="16"/>
                </a:lnTo>
                <a:moveTo>
                  <a:pt x="1920" y="1630"/>
                </a:moveTo>
                <a:lnTo>
                  <a:pt x="1220" y="1646"/>
                </a:lnTo>
                <a:moveTo>
                  <a:pt x="1220" y="1644"/>
                </a:moveTo>
                <a:lnTo>
                  <a:pt x="1200" y="0"/>
                </a:lnTo>
              </a:path>
            </a:pathLst>
          </a:custGeom>
          <a:noFill/>
          <a:ln w="19049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8" name="docshape1117">
            <a:extLst>
              <a:ext uri="{FF2B5EF4-FFF2-40B4-BE49-F238E27FC236}">
                <a16:creationId xmlns:a16="http://schemas.microsoft.com/office/drawing/2014/main" id="{33E3248E-93B8-3E11-DFB7-0A0BF8659972}"/>
              </a:ext>
            </a:extLst>
          </xdr:cNvPr>
          <xdr:cNvSpPr>
            <a:spLocks/>
          </xdr:cNvSpPr>
        </xdr:nvSpPr>
        <xdr:spPr bwMode="auto">
          <a:xfrm>
            <a:off x="2636" y="3324"/>
            <a:ext cx="746" cy="944"/>
          </a:xfrm>
          <a:custGeom>
            <a:avLst/>
            <a:gdLst>
              <a:gd name="T0" fmla="+- 0 2636 2636"/>
              <a:gd name="T1" fmla="*/ T0 w 746"/>
              <a:gd name="T2" fmla="+- 0 4268 3324"/>
              <a:gd name="T3" fmla="*/ 4268 h 944"/>
              <a:gd name="T4" fmla="+- 0 3344 2636"/>
              <a:gd name="T5" fmla="*/ T4 w 746"/>
              <a:gd name="T6" fmla="+- 0 4252 3324"/>
              <a:gd name="T7" fmla="*/ 4252 h 944"/>
              <a:gd name="T8" fmla="+- 0 2636 2636"/>
              <a:gd name="T9" fmla="*/ T8 w 746"/>
              <a:gd name="T10" fmla="+- 0 4192 3324"/>
              <a:gd name="T11" fmla="*/ 4192 h 944"/>
              <a:gd name="T12" fmla="+- 0 3364 2636"/>
              <a:gd name="T13" fmla="*/ T12 w 746"/>
              <a:gd name="T14" fmla="+- 0 4178 3324"/>
              <a:gd name="T15" fmla="*/ 4178 h 944"/>
              <a:gd name="T16" fmla="+- 0 2636 2636"/>
              <a:gd name="T17" fmla="*/ T16 w 746"/>
              <a:gd name="T18" fmla="+- 0 4118 3324"/>
              <a:gd name="T19" fmla="*/ 4118 h 944"/>
              <a:gd name="T20" fmla="+- 0 3364 2636"/>
              <a:gd name="T21" fmla="*/ T20 w 746"/>
              <a:gd name="T22" fmla="+- 0 4104 3324"/>
              <a:gd name="T23" fmla="*/ 4104 h 944"/>
              <a:gd name="T24" fmla="+- 0 2636 2636"/>
              <a:gd name="T25" fmla="*/ T24 w 746"/>
              <a:gd name="T26" fmla="+- 0 3968 3324"/>
              <a:gd name="T27" fmla="*/ 3968 h 944"/>
              <a:gd name="T28" fmla="+- 0 3364 2636"/>
              <a:gd name="T29" fmla="*/ T28 w 746"/>
              <a:gd name="T30" fmla="+- 0 3968 3324"/>
              <a:gd name="T31" fmla="*/ 3968 h 944"/>
              <a:gd name="T32" fmla="+- 0 2656 2636"/>
              <a:gd name="T33" fmla="*/ T32 w 746"/>
              <a:gd name="T34" fmla="+- 0 3834 3324"/>
              <a:gd name="T35" fmla="*/ 3834 h 944"/>
              <a:gd name="T36" fmla="+- 0 3382 2636"/>
              <a:gd name="T37" fmla="*/ T36 w 746"/>
              <a:gd name="T38" fmla="+- 0 3834 3324"/>
              <a:gd name="T39" fmla="*/ 3834 h 944"/>
              <a:gd name="T40" fmla="+- 0 2636 2636"/>
              <a:gd name="T41" fmla="*/ T40 w 746"/>
              <a:gd name="T42" fmla="+- 0 3578 3324"/>
              <a:gd name="T43" fmla="*/ 3578 h 944"/>
              <a:gd name="T44" fmla="+- 0 3364 2636"/>
              <a:gd name="T45" fmla="*/ T44 w 746"/>
              <a:gd name="T46" fmla="+- 0 3562 3324"/>
              <a:gd name="T47" fmla="*/ 3562 h 944"/>
              <a:gd name="T48" fmla="+- 0 2656 2636"/>
              <a:gd name="T49" fmla="*/ T48 w 746"/>
              <a:gd name="T50" fmla="+- 0 3338 3324"/>
              <a:gd name="T51" fmla="*/ 3338 h 944"/>
              <a:gd name="T52" fmla="+- 0 3382 2636"/>
              <a:gd name="T53" fmla="*/ T52 w 746"/>
              <a:gd name="T54" fmla="+- 0 3324 3324"/>
              <a:gd name="T55" fmla="*/ 3324 h 94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746" h="944">
                <a:moveTo>
                  <a:pt x="0" y="944"/>
                </a:moveTo>
                <a:lnTo>
                  <a:pt x="708" y="928"/>
                </a:lnTo>
                <a:moveTo>
                  <a:pt x="0" y="868"/>
                </a:moveTo>
                <a:lnTo>
                  <a:pt x="728" y="854"/>
                </a:lnTo>
                <a:moveTo>
                  <a:pt x="0" y="794"/>
                </a:moveTo>
                <a:lnTo>
                  <a:pt x="728" y="780"/>
                </a:lnTo>
                <a:moveTo>
                  <a:pt x="0" y="644"/>
                </a:moveTo>
                <a:lnTo>
                  <a:pt x="728" y="644"/>
                </a:lnTo>
                <a:moveTo>
                  <a:pt x="20" y="510"/>
                </a:moveTo>
                <a:lnTo>
                  <a:pt x="746" y="510"/>
                </a:lnTo>
                <a:moveTo>
                  <a:pt x="0" y="254"/>
                </a:moveTo>
                <a:lnTo>
                  <a:pt x="728" y="238"/>
                </a:lnTo>
                <a:moveTo>
                  <a:pt x="20" y="14"/>
                </a:moveTo>
                <a:lnTo>
                  <a:pt x="746" y="0"/>
                </a:lnTo>
              </a:path>
            </a:pathLst>
          </a:custGeom>
          <a:noFill/>
          <a:ln w="9345">
            <a:solidFill>
              <a:srgbClr val="497DBA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533400</xdr:colOff>
      <xdr:row>0</xdr:row>
      <xdr:rowOff>45720</xdr:rowOff>
    </xdr:from>
    <xdr:to>
      <xdr:col>4</xdr:col>
      <xdr:colOff>297180</xdr:colOff>
      <xdr:row>2</xdr:row>
      <xdr:rowOff>121920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60BD8A4-CD84-F917-9FED-9ECEEC831B06}"/>
            </a:ext>
          </a:extLst>
        </xdr:cNvPr>
        <xdr:cNvSpPr txBox="1"/>
      </xdr:nvSpPr>
      <xdr:spPr>
        <a:xfrm>
          <a:off x="533400" y="45720"/>
          <a:ext cx="220218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RECTANGULAR</a:t>
          </a:r>
          <a:r>
            <a:rPr lang="en-US" sz="1100" baseline="0"/>
            <a:t> COLUMN</a:t>
          </a:r>
          <a:endParaRPr lang="LID4096" sz="1100"/>
        </a:p>
      </xdr:txBody>
    </xdr:sp>
    <xdr:clientData/>
  </xdr:twoCellAnchor>
  <xdr:twoCellAnchor editAs="oneCell">
    <xdr:from>
      <xdr:col>3</xdr:col>
      <xdr:colOff>518161</xdr:colOff>
      <xdr:row>18</xdr:row>
      <xdr:rowOff>68580</xdr:rowOff>
    </xdr:from>
    <xdr:to>
      <xdr:col>5</xdr:col>
      <xdr:colOff>518549</xdr:colOff>
      <xdr:row>22</xdr:row>
      <xdr:rowOff>225402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96D3202-42C3-FD34-8125-78F617275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46961" y="3360420"/>
          <a:ext cx="1219588" cy="888342"/>
        </a:xfrm>
        <a:prstGeom prst="rect">
          <a:avLst/>
        </a:prstGeom>
      </xdr:spPr>
    </xdr:pic>
    <xdr:clientData/>
  </xdr:twoCellAnchor>
  <xdr:twoCellAnchor>
    <xdr:from>
      <xdr:col>4</xdr:col>
      <xdr:colOff>503180</xdr:colOff>
      <xdr:row>4</xdr:row>
      <xdr:rowOff>37626</xdr:rowOff>
    </xdr:from>
    <xdr:to>
      <xdr:col>4</xdr:col>
      <xdr:colOff>503816</xdr:colOff>
      <xdr:row>14</xdr:row>
      <xdr:rowOff>160974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D6537B-9292-CDC3-CC0A-564E1903EC23}"/>
            </a:ext>
          </a:extLst>
        </xdr:cNvPr>
        <xdr:cNvCxnSpPr>
          <a:stCxn id="35" idx="0"/>
          <a:endCxn id="34" idx="2"/>
        </xdr:cNvCxnSpPr>
      </xdr:nvCxnSpPr>
      <xdr:spPr>
        <a:xfrm flipH="1">
          <a:off x="2941580" y="764457"/>
          <a:ext cx="636" cy="23038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556846</xdr:colOff>
      <xdr:row>8</xdr:row>
      <xdr:rowOff>35170</xdr:rowOff>
    </xdr:from>
    <xdr:ext cx="27578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5BDA87-C67D-B0CA-DF14-708EF021A2C8}"/>
            </a:ext>
          </a:extLst>
        </xdr:cNvPr>
        <xdr:cNvSpPr txBox="1"/>
      </xdr:nvSpPr>
      <xdr:spPr>
        <a:xfrm>
          <a:off x="2995246" y="1852247"/>
          <a:ext cx="2757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H</a:t>
          </a:r>
          <a:endParaRPr lang="LID4096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8665-0C16-4949-8CEE-F8446C908D32}">
  <dimension ref="C2:O328"/>
  <sheetViews>
    <sheetView tabSelected="1" topLeftCell="A10" zoomScale="70" zoomScaleNormal="70" workbookViewId="0">
      <selection activeCell="R11" sqref="R11:S15"/>
    </sheetView>
  </sheetViews>
  <sheetFormatPr defaultRowHeight="14.4" x14ac:dyDescent="0.3"/>
  <cols>
    <col min="3" max="3" width="17" customWidth="1"/>
    <col min="12" max="12" width="13.21875" customWidth="1"/>
  </cols>
  <sheetData>
    <row r="2" spans="3:15" x14ac:dyDescent="0.3">
      <c r="C2" s="17" t="s">
        <v>366</v>
      </c>
      <c r="D2" s="17">
        <f>COUNTIF(M5:M327, "recheck")</f>
        <v>8</v>
      </c>
      <c r="E2" s="17"/>
      <c r="F2" s="17"/>
      <c r="G2" s="18"/>
      <c r="H2" s="17"/>
      <c r="I2" s="17"/>
      <c r="J2" s="17"/>
      <c r="K2" s="17"/>
      <c r="L2" s="17"/>
      <c r="M2" s="17"/>
    </row>
    <row r="3" spans="3:15" x14ac:dyDescent="0.3">
      <c r="D3" s="17"/>
      <c r="E3" s="17"/>
      <c r="F3" s="17" t="s">
        <v>370</v>
      </c>
      <c r="G3" s="17"/>
      <c r="H3" s="17"/>
      <c r="I3" s="17"/>
      <c r="J3" s="17"/>
      <c r="K3" s="17"/>
      <c r="L3" s="17"/>
      <c r="M3" s="17"/>
    </row>
    <row r="4" spans="3:15" ht="57.6" x14ac:dyDescent="0.3">
      <c r="D4" s="17" t="s">
        <v>31</v>
      </c>
      <c r="E4" s="17" t="s">
        <v>22</v>
      </c>
      <c r="F4" s="16" t="s">
        <v>368</v>
      </c>
      <c r="G4" s="16" t="s">
        <v>24</v>
      </c>
      <c r="H4" s="18" t="s">
        <v>26</v>
      </c>
      <c r="I4" s="17" t="s">
        <v>271</v>
      </c>
      <c r="J4" s="16" t="s">
        <v>27</v>
      </c>
      <c r="K4" s="16" t="s">
        <v>25</v>
      </c>
      <c r="L4" s="16" t="s">
        <v>367</v>
      </c>
      <c r="M4" s="16" t="s">
        <v>272</v>
      </c>
      <c r="O4" s="16" t="s">
        <v>369</v>
      </c>
    </row>
    <row r="5" spans="3:15" x14ac:dyDescent="0.3">
      <c r="C5" s="72" t="s">
        <v>273</v>
      </c>
      <c r="D5" s="55">
        <v>32</v>
      </c>
      <c r="E5" s="55">
        <v>14</v>
      </c>
      <c r="F5" s="55">
        <v>7</v>
      </c>
      <c r="G5" s="55">
        <v>7.5</v>
      </c>
      <c r="H5" s="39">
        <f t="shared" ref="H5:H16" si="0">((22/(7*4))*(D5^2)/(1000^2))*J5*$B$24</f>
        <v>0</v>
      </c>
      <c r="I5" s="73">
        <v>5</v>
      </c>
      <c r="J5" s="41">
        <f t="shared" ref="J5:J36" si="1">E5*F5</f>
        <v>98</v>
      </c>
      <c r="K5" s="23">
        <f>IF(G5=0,0,ROUNDUP((E5/L5)*I5,0))</f>
        <v>70</v>
      </c>
      <c r="L5" s="41">
        <f t="shared" ref="L5:L36" si="2">ROUNDDOWN(G5/F5, 0)</f>
        <v>1</v>
      </c>
      <c r="M5" s="40" t="str">
        <f>IF(K5=O5, "MATCH", "RECHECK")</f>
        <v>MATCH</v>
      </c>
      <c r="N5" s="9"/>
      <c r="O5" s="74">
        <v>70</v>
      </c>
    </row>
    <row r="6" spans="3:15" x14ac:dyDescent="0.3">
      <c r="C6" s="75" t="s">
        <v>274</v>
      </c>
      <c r="D6" s="57">
        <v>32</v>
      </c>
      <c r="E6" s="57">
        <v>14</v>
      </c>
      <c r="F6" s="57">
        <v>7.87</v>
      </c>
      <c r="G6" s="57">
        <v>9</v>
      </c>
      <c r="H6" s="44">
        <f t="shared" si="0"/>
        <v>0</v>
      </c>
      <c r="I6" s="70">
        <v>5</v>
      </c>
      <c r="J6" s="46">
        <f t="shared" si="1"/>
        <v>110.18</v>
      </c>
      <c r="K6" s="29">
        <f t="shared" ref="K6:K69" si="3">IF(G6=0,0,ROUNDUP((E6/L6)*I6,0))</f>
        <v>70</v>
      </c>
      <c r="L6" s="46">
        <f t="shared" si="2"/>
        <v>1</v>
      </c>
      <c r="M6" s="45" t="str">
        <f t="shared" ref="M6:M69" si="4">IF(K6=O6, "MATCH", "RECHECK")</f>
        <v>MATCH</v>
      </c>
      <c r="N6" s="10"/>
      <c r="O6" s="76">
        <v>70</v>
      </c>
    </row>
    <row r="7" spans="3:15" x14ac:dyDescent="0.3">
      <c r="C7" s="75" t="s">
        <v>275</v>
      </c>
      <c r="D7" s="57">
        <v>32</v>
      </c>
      <c r="E7" s="57">
        <v>14</v>
      </c>
      <c r="F7" s="57">
        <v>8.61</v>
      </c>
      <c r="G7" s="57">
        <v>9</v>
      </c>
      <c r="H7" s="44">
        <f t="shared" si="0"/>
        <v>0</v>
      </c>
      <c r="I7" s="70">
        <v>5</v>
      </c>
      <c r="J7" s="46">
        <f t="shared" si="1"/>
        <v>120.53999999999999</v>
      </c>
      <c r="K7" s="29">
        <f t="shared" si="3"/>
        <v>70</v>
      </c>
      <c r="L7" s="46">
        <f t="shared" si="2"/>
        <v>1</v>
      </c>
      <c r="M7" s="45" t="str">
        <f t="shared" si="4"/>
        <v>MATCH</v>
      </c>
      <c r="N7" s="10"/>
      <c r="O7" s="77">
        <v>70</v>
      </c>
    </row>
    <row r="8" spans="3:15" x14ac:dyDescent="0.3">
      <c r="C8" s="75" t="s">
        <v>276</v>
      </c>
      <c r="D8" s="57">
        <v>32</v>
      </c>
      <c r="E8" s="57">
        <v>14</v>
      </c>
      <c r="F8" s="57">
        <v>11.23</v>
      </c>
      <c r="G8" s="57">
        <v>12</v>
      </c>
      <c r="H8" s="44">
        <f t="shared" si="0"/>
        <v>0</v>
      </c>
      <c r="I8" s="70">
        <v>5</v>
      </c>
      <c r="J8" s="46">
        <f t="shared" si="1"/>
        <v>157.22</v>
      </c>
      <c r="K8" s="29">
        <f t="shared" si="3"/>
        <v>70</v>
      </c>
      <c r="L8" s="46">
        <f t="shared" si="2"/>
        <v>1</v>
      </c>
      <c r="M8" s="45" t="str">
        <f t="shared" si="4"/>
        <v>MATCH</v>
      </c>
      <c r="N8" s="10"/>
      <c r="O8" s="76">
        <v>70</v>
      </c>
    </row>
    <row r="9" spans="3:15" x14ac:dyDescent="0.3">
      <c r="C9" s="75" t="s">
        <v>277</v>
      </c>
      <c r="D9" s="57">
        <v>12</v>
      </c>
      <c r="E9" s="57">
        <v>215</v>
      </c>
      <c r="F9" s="57">
        <v>2.75</v>
      </c>
      <c r="G9" s="57">
        <v>6</v>
      </c>
      <c r="H9" s="44">
        <f t="shared" si="0"/>
        <v>0</v>
      </c>
      <c r="I9" s="70">
        <v>5</v>
      </c>
      <c r="J9" s="46">
        <f t="shared" si="1"/>
        <v>591.25</v>
      </c>
      <c r="K9" s="29">
        <f t="shared" si="3"/>
        <v>538</v>
      </c>
      <c r="L9" s="46">
        <f t="shared" si="2"/>
        <v>2</v>
      </c>
      <c r="M9" s="45" t="str">
        <f t="shared" si="4"/>
        <v>MATCH</v>
      </c>
      <c r="N9" s="10"/>
      <c r="O9" s="77">
        <v>538</v>
      </c>
    </row>
    <row r="10" spans="3:15" x14ac:dyDescent="0.3">
      <c r="C10" s="75" t="s">
        <v>278</v>
      </c>
      <c r="D10" s="57">
        <v>12</v>
      </c>
      <c r="E10" s="57">
        <v>186</v>
      </c>
      <c r="F10" s="57">
        <v>2.0699999999999998</v>
      </c>
      <c r="G10" s="57">
        <v>6</v>
      </c>
      <c r="H10" s="44">
        <f t="shared" si="0"/>
        <v>0</v>
      </c>
      <c r="I10" s="70">
        <v>5</v>
      </c>
      <c r="J10" s="46">
        <f t="shared" si="1"/>
        <v>385.02</v>
      </c>
      <c r="K10" s="29">
        <f t="shared" si="3"/>
        <v>465</v>
      </c>
      <c r="L10" s="46">
        <f t="shared" si="2"/>
        <v>2</v>
      </c>
      <c r="M10" s="45" t="str">
        <f t="shared" si="4"/>
        <v>MATCH</v>
      </c>
      <c r="N10" s="10"/>
      <c r="O10" s="76">
        <v>465</v>
      </c>
    </row>
    <row r="11" spans="3:15" x14ac:dyDescent="0.3">
      <c r="C11" s="75" t="s">
        <v>279</v>
      </c>
      <c r="D11" s="57">
        <v>12</v>
      </c>
      <c r="E11" s="57">
        <v>372</v>
      </c>
      <c r="F11" s="57">
        <v>0.8</v>
      </c>
      <c r="G11" s="57">
        <v>6</v>
      </c>
      <c r="H11" s="44">
        <f t="shared" si="0"/>
        <v>0</v>
      </c>
      <c r="I11" s="70">
        <v>5</v>
      </c>
      <c r="J11" s="46">
        <f t="shared" si="1"/>
        <v>297.60000000000002</v>
      </c>
      <c r="K11" s="29">
        <f t="shared" si="3"/>
        <v>266</v>
      </c>
      <c r="L11" s="46">
        <f t="shared" si="2"/>
        <v>7</v>
      </c>
      <c r="M11" s="45" t="str">
        <f t="shared" si="4"/>
        <v>MATCH</v>
      </c>
      <c r="N11" s="10"/>
      <c r="O11" s="77">
        <v>266</v>
      </c>
    </row>
    <row r="12" spans="3:15" x14ac:dyDescent="0.3">
      <c r="C12" s="75" t="s">
        <v>280</v>
      </c>
      <c r="D12" s="57">
        <v>16</v>
      </c>
      <c r="E12" s="57">
        <v>162</v>
      </c>
      <c r="F12" s="57">
        <v>2.83</v>
      </c>
      <c r="G12" s="57">
        <v>6</v>
      </c>
      <c r="H12" s="44">
        <f t="shared" si="0"/>
        <v>0</v>
      </c>
      <c r="I12" s="70">
        <v>5</v>
      </c>
      <c r="J12" s="46">
        <f t="shared" si="1"/>
        <v>458.46000000000004</v>
      </c>
      <c r="K12" s="29">
        <f t="shared" si="3"/>
        <v>405</v>
      </c>
      <c r="L12" s="46">
        <f t="shared" si="2"/>
        <v>2</v>
      </c>
      <c r="M12" s="45" t="str">
        <f t="shared" si="4"/>
        <v>MATCH</v>
      </c>
      <c r="N12" s="10"/>
      <c r="O12" s="76">
        <v>405</v>
      </c>
    </row>
    <row r="13" spans="3:15" x14ac:dyDescent="0.3">
      <c r="C13" s="75" t="s">
        <v>281</v>
      </c>
      <c r="D13" s="57">
        <v>16</v>
      </c>
      <c r="E13" s="57">
        <v>81</v>
      </c>
      <c r="F13" s="57">
        <v>2.15</v>
      </c>
      <c r="G13" s="57">
        <v>6</v>
      </c>
      <c r="H13" s="44">
        <f t="shared" si="0"/>
        <v>0</v>
      </c>
      <c r="I13" s="70">
        <v>5</v>
      </c>
      <c r="J13" s="46">
        <f t="shared" si="1"/>
        <v>174.15</v>
      </c>
      <c r="K13" s="29">
        <f t="shared" si="3"/>
        <v>203</v>
      </c>
      <c r="L13" s="46">
        <f t="shared" si="2"/>
        <v>2</v>
      </c>
      <c r="M13" s="45" t="str">
        <f t="shared" si="4"/>
        <v>MATCH</v>
      </c>
      <c r="N13" s="10"/>
      <c r="O13" s="77">
        <v>203</v>
      </c>
    </row>
    <row r="14" spans="3:15" x14ac:dyDescent="0.3">
      <c r="C14" s="75" t="s">
        <v>282</v>
      </c>
      <c r="D14" s="57">
        <v>16</v>
      </c>
      <c r="E14" s="57">
        <v>81</v>
      </c>
      <c r="F14" s="57">
        <v>0.86</v>
      </c>
      <c r="G14" s="57">
        <v>6</v>
      </c>
      <c r="H14" s="44">
        <f t="shared" si="0"/>
        <v>0</v>
      </c>
      <c r="I14" s="70">
        <v>5</v>
      </c>
      <c r="J14" s="46">
        <f t="shared" si="1"/>
        <v>69.66</v>
      </c>
      <c r="K14" s="29">
        <f t="shared" si="3"/>
        <v>68</v>
      </c>
      <c r="L14" s="46">
        <f t="shared" si="2"/>
        <v>6</v>
      </c>
      <c r="M14" s="45" t="str">
        <f t="shared" si="4"/>
        <v>MATCH</v>
      </c>
      <c r="N14" s="10"/>
      <c r="O14" s="76">
        <v>68</v>
      </c>
    </row>
    <row r="15" spans="3:15" x14ac:dyDescent="0.3">
      <c r="C15" s="75" t="s">
        <v>283</v>
      </c>
      <c r="D15" s="57">
        <v>12</v>
      </c>
      <c r="E15" s="57">
        <v>82</v>
      </c>
      <c r="F15" s="57">
        <v>2.16</v>
      </c>
      <c r="G15" s="57">
        <v>6</v>
      </c>
      <c r="H15" s="44">
        <f t="shared" si="0"/>
        <v>0</v>
      </c>
      <c r="I15" s="70">
        <v>5</v>
      </c>
      <c r="J15" s="46">
        <f t="shared" si="1"/>
        <v>177.12</v>
      </c>
      <c r="K15" s="29">
        <f t="shared" si="3"/>
        <v>205</v>
      </c>
      <c r="L15" s="46">
        <f t="shared" si="2"/>
        <v>2</v>
      </c>
      <c r="M15" s="45" t="str">
        <f t="shared" si="4"/>
        <v>MATCH</v>
      </c>
      <c r="N15" s="10"/>
      <c r="O15" s="77">
        <v>205</v>
      </c>
    </row>
    <row r="16" spans="3:15" x14ac:dyDescent="0.3">
      <c r="C16" s="78" t="s">
        <v>284</v>
      </c>
      <c r="D16" s="59">
        <v>12</v>
      </c>
      <c r="E16" s="59">
        <v>205</v>
      </c>
      <c r="F16" s="59">
        <v>2.0499999999999998</v>
      </c>
      <c r="G16" s="59">
        <v>6</v>
      </c>
      <c r="H16" s="49">
        <f t="shared" si="0"/>
        <v>0</v>
      </c>
      <c r="I16" s="79">
        <v>5</v>
      </c>
      <c r="J16" s="51">
        <f t="shared" si="1"/>
        <v>420.24999999999994</v>
      </c>
      <c r="K16" s="35">
        <f t="shared" si="3"/>
        <v>513</v>
      </c>
      <c r="L16" s="51">
        <f t="shared" si="2"/>
        <v>2</v>
      </c>
      <c r="M16" s="50" t="str">
        <f t="shared" si="4"/>
        <v>MATCH</v>
      </c>
      <c r="N16" s="11"/>
      <c r="O16" s="80">
        <v>513</v>
      </c>
    </row>
    <row r="17" spans="3:15" x14ac:dyDescent="0.3">
      <c r="C17" s="81" t="s">
        <v>40</v>
      </c>
      <c r="D17" s="61">
        <v>32</v>
      </c>
      <c r="E17" s="61">
        <v>14</v>
      </c>
      <c r="F17" s="61">
        <v>8.51</v>
      </c>
      <c r="G17" s="61">
        <v>9</v>
      </c>
      <c r="H17" s="39">
        <f>((22/(7*4))*(D15^2)/(1000^2))*J17*$B$24</f>
        <v>0</v>
      </c>
      <c r="I17" s="73">
        <v>4</v>
      </c>
      <c r="J17" s="41">
        <f t="shared" si="1"/>
        <v>119.14</v>
      </c>
      <c r="K17" s="23">
        <f t="shared" si="3"/>
        <v>56</v>
      </c>
      <c r="L17" s="41">
        <f t="shared" si="2"/>
        <v>1</v>
      </c>
      <c r="M17" s="40" t="str">
        <f t="shared" si="4"/>
        <v>MATCH</v>
      </c>
      <c r="N17" s="9"/>
      <c r="O17" s="74">
        <v>56</v>
      </c>
    </row>
    <row r="18" spans="3:15" x14ac:dyDescent="0.3">
      <c r="C18" s="82" t="s">
        <v>41</v>
      </c>
      <c r="D18" s="63">
        <v>25</v>
      </c>
      <c r="E18" s="63">
        <v>14</v>
      </c>
      <c r="F18" s="63">
        <v>11.26</v>
      </c>
      <c r="G18" s="63">
        <v>12</v>
      </c>
      <c r="H18" s="44">
        <f>((22/(7*4))*(D16^2)/(1000^2))*J18*$B$24</f>
        <v>0</v>
      </c>
      <c r="I18" s="71">
        <v>4</v>
      </c>
      <c r="J18" s="46">
        <f t="shared" si="1"/>
        <v>157.63999999999999</v>
      </c>
      <c r="K18" s="29">
        <f t="shared" si="3"/>
        <v>56</v>
      </c>
      <c r="L18" s="46">
        <f t="shared" si="2"/>
        <v>1</v>
      </c>
      <c r="M18" s="45" t="str">
        <f t="shared" si="4"/>
        <v>MATCH</v>
      </c>
      <c r="N18" s="10"/>
      <c r="O18" s="76">
        <v>56</v>
      </c>
    </row>
    <row r="19" spans="3:15" x14ac:dyDescent="0.3">
      <c r="C19" s="82" t="s">
        <v>42</v>
      </c>
      <c r="D19" s="63">
        <v>32</v>
      </c>
      <c r="E19" s="63">
        <v>14</v>
      </c>
      <c r="F19" s="63">
        <v>6.96</v>
      </c>
      <c r="G19" s="63">
        <v>7.5</v>
      </c>
      <c r="H19" s="44">
        <f t="shared" ref="H19:H84" si="5">((22/(7*4))*(D19^2)/(1000^2))*J19*$B$24</f>
        <v>0</v>
      </c>
      <c r="I19" s="70">
        <v>4</v>
      </c>
      <c r="J19" s="46">
        <f t="shared" si="1"/>
        <v>97.44</v>
      </c>
      <c r="K19" s="29">
        <f t="shared" si="3"/>
        <v>56</v>
      </c>
      <c r="L19" s="46">
        <f t="shared" si="2"/>
        <v>1</v>
      </c>
      <c r="M19" s="45" t="str">
        <f t="shared" si="4"/>
        <v>MATCH</v>
      </c>
      <c r="N19" s="10"/>
      <c r="O19" s="77">
        <v>56</v>
      </c>
    </row>
    <row r="20" spans="3:15" x14ac:dyDescent="0.3">
      <c r="C20" s="82" t="s">
        <v>43</v>
      </c>
      <c r="D20" s="63">
        <v>25</v>
      </c>
      <c r="E20" s="63">
        <v>14</v>
      </c>
      <c r="F20" s="63">
        <v>11.95</v>
      </c>
      <c r="G20" s="63">
        <v>12</v>
      </c>
      <c r="H20" s="44">
        <f t="shared" si="5"/>
        <v>0</v>
      </c>
      <c r="I20" s="71">
        <v>4</v>
      </c>
      <c r="J20" s="46">
        <f t="shared" si="1"/>
        <v>167.29999999999998</v>
      </c>
      <c r="K20" s="29">
        <f t="shared" si="3"/>
        <v>56</v>
      </c>
      <c r="L20" s="46">
        <f t="shared" si="2"/>
        <v>1</v>
      </c>
      <c r="M20" s="45" t="str">
        <f t="shared" si="4"/>
        <v>MATCH</v>
      </c>
      <c r="N20" s="10"/>
      <c r="O20" s="76">
        <v>56</v>
      </c>
    </row>
    <row r="21" spans="3:15" x14ac:dyDescent="0.3">
      <c r="C21" s="82" t="s">
        <v>44</v>
      </c>
      <c r="D21" s="63">
        <v>32</v>
      </c>
      <c r="E21" s="63">
        <v>4</v>
      </c>
      <c r="F21" s="63">
        <v>5.97</v>
      </c>
      <c r="G21" s="63">
        <v>6</v>
      </c>
      <c r="H21" s="44">
        <f t="shared" si="5"/>
        <v>0</v>
      </c>
      <c r="I21" s="70">
        <v>4</v>
      </c>
      <c r="J21" s="46">
        <f t="shared" si="1"/>
        <v>23.88</v>
      </c>
      <c r="K21" s="29">
        <f t="shared" si="3"/>
        <v>16</v>
      </c>
      <c r="L21" s="46">
        <f t="shared" si="2"/>
        <v>1</v>
      </c>
      <c r="M21" s="45" t="str">
        <f t="shared" si="4"/>
        <v>MATCH</v>
      </c>
      <c r="N21" s="10"/>
      <c r="O21" s="77">
        <v>16</v>
      </c>
    </row>
    <row r="22" spans="3:15" x14ac:dyDescent="0.3">
      <c r="C22" s="82" t="s">
        <v>45</v>
      </c>
      <c r="D22" s="63">
        <v>25</v>
      </c>
      <c r="E22" s="63">
        <v>14</v>
      </c>
      <c r="F22" s="63">
        <v>1.36</v>
      </c>
      <c r="G22" s="63">
        <v>6</v>
      </c>
      <c r="H22" s="44">
        <f t="shared" si="5"/>
        <v>0</v>
      </c>
      <c r="I22" s="71">
        <v>4</v>
      </c>
      <c r="J22" s="46">
        <f t="shared" si="1"/>
        <v>19.040000000000003</v>
      </c>
      <c r="K22" s="29">
        <f t="shared" si="3"/>
        <v>14</v>
      </c>
      <c r="L22" s="46">
        <f t="shared" si="2"/>
        <v>4</v>
      </c>
      <c r="M22" s="45" t="str">
        <f t="shared" si="4"/>
        <v>MATCH</v>
      </c>
      <c r="N22" s="10"/>
      <c r="O22" s="76">
        <v>14</v>
      </c>
    </row>
    <row r="23" spans="3:15" x14ac:dyDescent="0.3">
      <c r="C23" s="82" t="s">
        <v>46</v>
      </c>
      <c r="D23" s="63">
        <v>12</v>
      </c>
      <c r="E23" s="63">
        <v>63</v>
      </c>
      <c r="F23" s="63">
        <v>2.75</v>
      </c>
      <c r="G23" s="63">
        <v>6</v>
      </c>
      <c r="H23" s="44">
        <f t="shared" si="5"/>
        <v>0</v>
      </c>
      <c r="I23" s="70">
        <v>4</v>
      </c>
      <c r="J23" s="46">
        <f t="shared" si="1"/>
        <v>173.25</v>
      </c>
      <c r="K23" s="29">
        <f t="shared" si="3"/>
        <v>126</v>
      </c>
      <c r="L23" s="46">
        <f t="shared" si="2"/>
        <v>2</v>
      </c>
      <c r="M23" s="45" t="str">
        <f t="shared" si="4"/>
        <v>MATCH</v>
      </c>
      <c r="N23" s="10"/>
      <c r="O23" s="77">
        <v>126</v>
      </c>
    </row>
    <row r="24" spans="3:15" x14ac:dyDescent="0.3">
      <c r="C24" s="82" t="s">
        <v>47</v>
      </c>
      <c r="D24" s="63">
        <v>12</v>
      </c>
      <c r="E24" s="63">
        <v>63</v>
      </c>
      <c r="F24" s="63">
        <v>2.16</v>
      </c>
      <c r="G24" s="63">
        <v>6</v>
      </c>
      <c r="H24" s="44">
        <f t="shared" si="5"/>
        <v>0</v>
      </c>
      <c r="I24" s="71">
        <v>4</v>
      </c>
      <c r="J24" s="46">
        <f t="shared" si="1"/>
        <v>136.08000000000001</v>
      </c>
      <c r="K24" s="29">
        <f t="shared" si="3"/>
        <v>126</v>
      </c>
      <c r="L24" s="46">
        <f t="shared" si="2"/>
        <v>2</v>
      </c>
      <c r="M24" s="45" t="str">
        <f t="shared" si="4"/>
        <v>MATCH</v>
      </c>
      <c r="N24" s="10"/>
      <c r="O24" s="76">
        <v>126</v>
      </c>
    </row>
    <row r="25" spans="3:15" x14ac:dyDescent="0.3">
      <c r="C25" s="82" t="s">
        <v>48</v>
      </c>
      <c r="D25" s="63">
        <v>12</v>
      </c>
      <c r="E25" s="63">
        <v>63</v>
      </c>
      <c r="F25" s="63">
        <v>0.8</v>
      </c>
      <c r="G25" s="63">
        <v>6</v>
      </c>
      <c r="H25" s="44">
        <f t="shared" si="5"/>
        <v>0</v>
      </c>
      <c r="I25" s="70">
        <v>4</v>
      </c>
      <c r="J25" s="46">
        <f t="shared" si="1"/>
        <v>50.400000000000006</v>
      </c>
      <c r="K25" s="29">
        <f t="shared" si="3"/>
        <v>36</v>
      </c>
      <c r="L25" s="46">
        <f t="shared" si="2"/>
        <v>7</v>
      </c>
      <c r="M25" s="45" t="str">
        <f t="shared" si="4"/>
        <v>MATCH</v>
      </c>
      <c r="N25" s="10"/>
      <c r="O25" s="77">
        <v>36</v>
      </c>
    </row>
    <row r="26" spans="3:15" x14ac:dyDescent="0.3">
      <c r="C26" s="82" t="s">
        <v>49</v>
      </c>
      <c r="D26" s="63">
        <v>12</v>
      </c>
      <c r="E26" s="63">
        <v>55</v>
      </c>
      <c r="F26" s="63">
        <v>2.75</v>
      </c>
      <c r="G26" s="63">
        <v>6</v>
      </c>
      <c r="H26" s="44">
        <f t="shared" si="5"/>
        <v>0</v>
      </c>
      <c r="I26" s="71">
        <v>4</v>
      </c>
      <c r="J26" s="46">
        <f t="shared" si="1"/>
        <v>151.25</v>
      </c>
      <c r="K26" s="29">
        <f t="shared" si="3"/>
        <v>110</v>
      </c>
      <c r="L26" s="46">
        <f t="shared" si="2"/>
        <v>2</v>
      </c>
      <c r="M26" s="45" t="str">
        <f t="shared" si="4"/>
        <v>MATCH</v>
      </c>
      <c r="N26" s="10"/>
      <c r="O26" s="76">
        <v>110</v>
      </c>
    </row>
    <row r="27" spans="3:15" x14ac:dyDescent="0.3">
      <c r="C27" s="82" t="s">
        <v>50</v>
      </c>
      <c r="D27" s="63">
        <v>12</v>
      </c>
      <c r="E27" s="63">
        <v>110</v>
      </c>
      <c r="F27" s="63">
        <v>2.06</v>
      </c>
      <c r="G27" s="63">
        <v>6</v>
      </c>
      <c r="H27" s="44">
        <f t="shared" si="5"/>
        <v>0</v>
      </c>
      <c r="I27" s="70">
        <v>4</v>
      </c>
      <c r="J27" s="46">
        <f t="shared" si="1"/>
        <v>226.6</v>
      </c>
      <c r="K27" s="29">
        <f t="shared" si="3"/>
        <v>220</v>
      </c>
      <c r="L27" s="46">
        <f t="shared" si="2"/>
        <v>2</v>
      </c>
      <c r="M27" s="45" t="str">
        <f t="shared" si="4"/>
        <v>MATCH</v>
      </c>
      <c r="N27" s="10"/>
      <c r="O27" s="77">
        <v>220</v>
      </c>
    </row>
    <row r="28" spans="3:15" x14ac:dyDescent="0.3">
      <c r="C28" s="82" t="s">
        <v>51</v>
      </c>
      <c r="D28" s="63">
        <v>12</v>
      </c>
      <c r="E28" s="63">
        <v>110</v>
      </c>
      <c r="F28" s="63">
        <v>0.52</v>
      </c>
      <c r="G28" s="63">
        <v>6</v>
      </c>
      <c r="H28" s="44">
        <f t="shared" si="5"/>
        <v>0</v>
      </c>
      <c r="I28" s="71">
        <v>4</v>
      </c>
      <c r="J28" s="46">
        <f t="shared" si="1"/>
        <v>57.2</v>
      </c>
      <c r="K28" s="29">
        <f t="shared" si="3"/>
        <v>40</v>
      </c>
      <c r="L28" s="46">
        <f t="shared" si="2"/>
        <v>11</v>
      </c>
      <c r="M28" s="45" t="str">
        <f t="shared" si="4"/>
        <v>MATCH</v>
      </c>
      <c r="N28" s="10"/>
      <c r="O28" s="76">
        <v>40</v>
      </c>
    </row>
    <row r="29" spans="3:15" x14ac:dyDescent="0.3">
      <c r="C29" s="82" t="s">
        <v>52</v>
      </c>
      <c r="D29" s="63">
        <v>10</v>
      </c>
      <c r="E29" s="63">
        <v>110</v>
      </c>
      <c r="F29" s="63">
        <v>2.72</v>
      </c>
      <c r="G29" s="63">
        <v>6</v>
      </c>
      <c r="H29" s="44">
        <f t="shared" si="5"/>
        <v>0</v>
      </c>
      <c r="I29" s="70">
        <v>4</v>
      </c>
      <c r="J29" s="46">
        <f t="shared" si="1"/>
        <v>299.20000000000005</v>
      </c>
      <c r="K29" s="29">
        <f t="shared" si="3"/>
        <v>220</v>
      </c>
      <c r="L29" s="46">
        <f t="shared" si="2"/>
        <v>2</v>
      </c>
      <c r="M29" s="45" t="str">
        <f t="shared" si="4"/>
        <v>MATCH</v>
      </c>
      <c r="N29" s="10"/>
      <c r="O29" s="77">
        <v>220</v>
      </c>
    </row>
    <row r="30" spans="3:15" x14ac:dyDescent="0.3">
      <c r="C30" s="82" t="s">
        <v>53</v>
      </c>
      <c r="D30" s="63">
        <v>10</v>
      </c>
      <c r="E30" s="63">
        <v>220</v>
      </c>
      <c r="F30" s="63">
        <v>2.02</v>
      </c>
      <c r="G30" s="63">
        <v>6</v>
      </c>
      <c r="H30" s="44">
        <f t="shared" si="5"/>
        <v>0</v>
      </c>
      <c r="I30" s="71">
        <v>4</v>
      </c>
      <c r="J30" s="46">
        <f t="shared" si="1"/>
        <v>444.4</v>
      </c>
      <c r="K30" s="29">
        <f t="shared" si="3"/>
        <v>440</v>
      </c>
      <c r="L30" s="46">
        <f t="shared" si="2"/>
        <v>2</v>
      </c>
      <c r="M30" s="45" t="str">
        <f t="shared" si="4"/>
        <v>MATCH</v>
      </c>
      <c r="N30" s="10"/>
      <c r="O30" s="76">
        <v>440</v>
      </c>
    </row>
    <row r="31" spans="3:15" x14ac:dyDescent="0.3">
      <c r="C31" s="83" t="s">
        <v>54</v>
      </c>
      <c r="D31" s="69">
        <v>10</v>
      </c>
      <c r="E31" s="69">
        <v>220</v>
      </c>
      <c r="F31" s="69">
        <v>0.77</v>
      </c>
      <c r="G31" s="69">
        <v>6</v>
      </c>
      <c r="H31" s="49">
        <f t="shared" si="5"/>
        <v>0</v>
      </c>
      <c r="I31" s="79">
        <v>4</v>
      </c>
      <c r="J31" s="51">
        <f t="shared" si="1"/>
        <v>169.4</v>
      </c>
      <c r="K31" s="35">
        <f t="shared" si="3"/>
        <v>126</v>
      </c>
      <c r="L31" s="51">
        <f t="shared" si="2"/>
        <v>7</v>
      </c>
      <c r="M31" s="50" t="str">
        <f t="shared" si="4"/>
        <v>MATCH</v>
      </c>
      <c r="N31" s="11"/>
      <c r="O31" s="84">
        <v>126</v>
      </c>
    </row>
    <row r="32" spans="3:15" x14ac:dyDescent="0.3">
      <c r="C32" s="72" t="s">
        <v>55</v>
      </c>
      <c r="D32" s="55">
        <v>32</v>
      </c>
      <c r="E32" s="55">
        <v>14</v>
      </c>
      <c r="F32" s="55">
        <v>8.23</v>
      </c>
      <c r="G32" s="55">
        <v>9</v>
      </c>
      <c r="H32" s="39">
        <f t="shared" si="5"/>
        <v>0</v>
      </c>
      <c r="I32" s="73">
        <v>2</v>
      </c>
      <c r="J32" s="41">
        <f t="shared" si="1"/>
        <v>115.22</v>
      </c>
      <c r="K32" s="23">
        <f t="shared" si="3"/>
        <v>28</v>
      </c>
      <c r="L32" s="41">
        <f t="shared" si="2"/>
        <v>1</v>
      </c>
      <c r="M32" s="40" t="str">
        <f t="shared" si="4"/>
        <v>MATCH</v>
      </c>
      <c r="N32" s="9"/>
      <c r="O32" s="74">
        <v>28</v>
      </c>
    </row>
    <row r="33" spans="3:15" x14ac:dyDescent="0.3">
      <c r="C33" s="75" t="s">
        <v>56</v>
      </c>
      <c r="D33" s="57">
        <v>25</v>
      </c>
      <c r="E33" s="57">
        <v>14</v>
      </c>
      <c r="F33" s="57">
        <v>11.06</v>
      </c>
      <c r="G33" s="57">
        <v>12</v>
      </c>
      <c r="H33" s="44">
        <f t="shared" si="5"/>
        <v>0</v>
      </c>
      <c r="I33" s="71">
        <v>2</v>
      </c>
      <c r="J33" s="46">
        <f t="shared" si="1"/>
        <v>154.84</v>
      </c>
      <c r="K33" s="29">
        <f t="shared" si="3"/>
        <v>28</v>
      </c>
      <c r="L33" s="46">
        <f t="shared" si="2"/>
        <v>1</v>
      </c>
      <c r="M33" s="45" t="str">
        <f t="shared" si="4"/>
        <v>MATCH</v>
      </c>
      <c r="N33" s="10"/>
      <c r="O33" s="76">
        <v>28</v>
      </c>
    </row>
    <row r="34" spans="3:15" x14ac:dyDescent="0.3">
      <c r="C34" s="75" t="s">
        <v>57</v>
      </c>
      <c r="D34" s="57">
        <v>32</v>
      </c>
      <c r="E34" s="57">
        <v>14</v>
      </c>
      <c r="F34" s="57">
        <v>7.06</v>
      </c>
      <c r="G34" s="57">
        <v>7.5</v>
      </c>
      <c r="H34" s="44">
        <f t="shared" si="5"/>
        <v>0</v>
      </c>
      <c r="I34" s="70">
        <v>2</v>
      </c>
      <c r="J34" s="46">
        <f t="shared" si="1"/>
        <v>98.839999999999989</v>
      </c>
      <c r="K34" s="29">
        <f t="shared" si="3"/>
        <v>28</v>
      </c>
      <c r="L34" s="46">
        <f t="shared" si="2"/>
        <v>1</v>
      </c>
      <c r="M34" s="45" t="str">
        <f t="shared" si="4"/>
        <v>MATCH</v>
      </c>
      <c r="N34" s="10"/>
      <c r="O34" s="77">
        <v>28</v>
      </c>
    </row>
    <row r="35" spans="3:15" x14ac:dyDescent="0.3">
      <c r="C35" s="75" t="s">
        <v>58</v>
      </c>
      <c r="D35" s="57">
        <v>25</v>
      </c>
      <c r="E35" s="57">
        <v>14</v>
      </c>
      <c r="F35" s="57">
        <v>11.95</v>
      </c>
      <c r="G35" s="57">
        <v>12</v>
      </c>
      <c r="H35" s="44">
        <f t="shared" si="5"/>
        <v>0</v>
      </c>
      <c r="I35" s="71">
        <v>2</v>
      </c>
      <c r="J35" s="46">
        <f t="shared" si="1"/>
        <v>167.29999999999998</v>
      </c>
      <c r="K35" s="29">
        <f t="shared" si="3"/>
        <v>28</v>
      </c>
      <c r="L35" s="46">
        <f t="shared" si="2"/>
        <v>1</v>
      </c>
      <c r="M35" s="45" t="str">
        <f t="shared" si="4"/>
        <v>MATCH</v>
      </c>
      <c r="N35" s="10"/>
      <c r="O35" s="76">
        <v>28</v>
      </c>
    </row>
    <row r="36" spans="3:15" x14ac:dyDescent="0.3">
      <c r="C36" s="75" t="s">
        <v>59</v>
      </c>
      <c r="D36" s="57">
        <v>25</v>
      </c>
      <c r="E36" s="57">
        <v>14</v>
      </c>
      <c r="F36" s="57">
        <v>1.1599999999999999</v>
      </c>
      <c r="G36" s="57">
        <v>6</v>
      </c>
      <c r="H36" s="44">
        <f t="shared" si="5"/>
        <v>0</v>
      </c>
      <c r="I36" s="70">
        <v>2</v>
      </c>
      <c r="J36" s="46">
        <f t="shared" si="1"/>
        <v>16.239999999999998</v>
      </c>
      <c r="K36" s="29">
        <f t="shared" si="3"/>
        <v>6</v>
      </c>
      <c r="L36" s="46">
        <f t="shared" si="2"/>
        <v>5</v>
      </c>
      <c r="M36" s="45" t="str">
        <f t="shared" si="4"/>
        <v>MATCH</v>
      </c>
      <c r="N36" s="10"/>
      <c r="O36" s="77">
        <v>6</v>
      </c>
    </row>
    <row r="37" spans="3:15" x14ac:dyDescent="0.3">
      <c r="C37" s="75" t="s">
        <v>60</v>
      </c>
      <c r="D37" s="57">
        <v>16</v>
      </c>
      <c r="E37" s="57">
        <v>12</v>
      </c>
      <c r="F37" s="57">
        <v>4.08</v>
      </c>
      <c r="G37" s="57">
        <v>6</v>
      </c>
      <c r="H37" s="44">
        <f t="shared" si="5"/>
        <v>0</v>
      </c>
      <c r="I37" s="71">
        <v>2</v>
      </c>
      <c r="J37" s="46">
        <f t="shared" ref="J37:J68" si="6">E37*F37</f>
        <v>48.96</v>
      </c>
      <c r="K37" s="29">
        <f t="shared" si="3"/>
        <v>24</v>
      </c>
      <c r="L37" s="46">
        <f t="shared" ref="L37:L68" si="7">ROUNDDOWN(G37/F37, 0)</f>
        <v>1</v>
      </c>
      <c r="M37" s="45" t="str">
        <f t="shared" si="4"/>
        <v>MATCH</v>
      </c>
      <c r="N37" s="10"/>
      <c r="O37" s="76">
        <v>24</v>
      </c>
    </row>
    <row r="38" spans="3:15" x14ac:dyDescent="0.3">
      <c r="C38" s="75" t="s">
        <v>61</v>
      </c>
      <c r="D38" s="57">
        <v>12</v>
      </c>
      <c r="E38" s="57">
        <v>121</v>
      </c>
      <c r="F38" s="57">
        <v>2.75</v>
      </c>
      <c r="G38" s="57">
        <v>6</v>
      </c>
      <c r="H38" s="44">
        <f t="shared" si="5"/>
        <v>0</v>
      </c>
      <c r="I38" s="70">
        <v>2</v>
      </c>
      <c r="J38" s="46">
        <f t="shared" si="6"/>
        <v>332.75</v>
      </c>
      <c r="K38" s="29">
        <f t="shared" si="3"/>
        <v>121</v>
      </c>
      <c r="L38" s="46">
        <f t="shared" si="7"/>
        <v>2</v>
      </c>
      <c r="M38" s="45" t="str">
        <f t="shared" si="4"/>
        <v>MATCH</v>
      </c>
      <c r="N38" s="10"/>
      <c r="O38" s="77">
        <v>121</v>
      </c>
    </row>
    <row r="39" spans="3:15" x14ac:dyDescent="0.3">
      <c r="C39" s="75" t="s">
        <v>62</v>
      </c>
      <c r="D39" s="57">
        <v>12</v>
      </c>
      <c r="E39" s="57">
        <v>298</v>
      </c>
      <c r="F39" s="57">
        <v>1.95</v>
      </c>
      <c r="G39" s="57">
        <v>6</v>
      </c>
      <c r="H39" s="44">
        <f t="shared" si="5"/>
        <v>0</v>
      </c>
      <c r="I39" s="71">
        <v>2</v>
      </c>
      <c r="J39" s="46">
        <f t="shared" si="6"/>
        <v>581.1</v>
      </c>
      <c r="K39" s="29">
        <f t="shared" si="3"/>
        <v>199</v>
      </c>
      <c r="L39" s="46">
        <f t="shared" si="7"/>
        <v>3</v>
      </c>
      <c r="M39" s="45" t="str">
        <f t="shared" si="4"/>
        <v>MATCH</v>
      </c>
      <c r="N39" s="10"/>
      <c r="O39" s="76">
        <v>199</v>
      </c>
    </row>
    <row r="40" spans="3:15" x14ac:dyDescent="0.3">
      <c r="C40" s="75" t="s">
        <v>63</v>
      </c>
      <c r="D40" s="57">
        <v>12</v>
      </c>
      <c r="E40" s="57">
        <v>298</v>
      </c>
      <c r="F40" s="57">
        <v>0.8</v>
      </c>
      <c r="G40" s="57">
        <v>6</v>
      </c>
      <c r="H40" s="44">
        <f t="shared" si="5"/>
        <v>0</v>
      </c>
      <c r="I40" s="70">
        <v>2</v>
      </c>
      <c r="J40" s="46">
        <f t="shared" si="6"/>
        <v>238.4</v>
      </c>
      <c r="K40" s="29">
        <f t="shared" si="3"/>
        <v>86</v>
      </c>
      <c r="L40" s="46">
        <f t="shared" si="7"/>
        <v>7</v>
      </c>
      <c r="M40" s="45" t="str">
        <f t="shared" si="4"/>
        <v>MATCH</v>
      </c>
      <c r="N40" s="10"/>
      <c r="O40" s="77">
        <v>86</v>
      </c>
    </row>
    <row r="41" spans="3:15" x14ac:dyDescent="0.3">
      <c r="C41" s="75" t="s">
        <v>64</v>
      </c>
      <c r="D41" s="57">
        <v>10</v>
      </c>
      <c r="E41" s="57">
        <v>41</v>
      </c>
      <c r="F41" s="57">
        <v>1.4</v>
      </c>
      <c r="G41" s="57">
        <v>6</v>
      </c>
      <c r="H41" s="44">
        <f t="shared" si="5"/>
        <v>0</v>
      </c>
      <c r="I41" s="71">
        <v>2</v>
      </c>
      <c r="J41" s="46">
        <f t="shared" si="6"/>
        <v>57.4</v>
      </c>
      <c r="K41" s="29">
        <f t="shared" si="3"/>
        <v>21</v>
      </c>
      <c r="L41" s="46">
        <f t="shared" si="7"/>
        <v>4</v>
      </c>
      <c r="M41" s="45" t="str">
        <f t="shared" si="4"/>
        <v>MATCH</v>
      </c>
      <c r="N41" s="10"/>
      <c r="O41" s="76">
        <v>21</v>
      </c>
    </row>
    <row r="42" spans="3:15" x14ac:dyDescent="0.3">
      <c r="C42" s="78" t="s">
        <v>65</v>
      </c>
      <c r="D42" s="59">
        <v>10</v>
      </c>
      <c r="E42" s="59">
        <v>82</v>
      </c>
      <c r="F42" s="59">
        <v>1.02</v>
      </c>
      <c r="G42" s="59">
        <v>6</v>
      </c>
      <c r="H42" s="49">
        <f t="shared" si="5"/>
        <v>0</v>
      </c>
      <c r="I42" s="79">
        <v>2</v>
      </c>
      <c r="J42" s="51">
        <f t="shared" si="6"/>
        <v>83.64</v>
      </c>
      <c r="K42" s="35">
        <f t="shared" si="3"/>
        <v>33</v>
      </c>
      <c r="L42" s="51">
        <f t="shared" si="7"/>
        <v>5</v>
      </c>
      <c r="M42" s="50" t="str">
        <f t="shared" si="4"/>
        <v>MATCH</v>
      </c>
      <c r="N42" s="11"/>
      <c r="O42" s="84">
        <v>33</v>
      </c>
    </row>
    <row r="43" spans="3:15" x14ac:dyDescent="0.3">
      <c r="C43" s="82" t="s">
        <v>66</v>
      </c>
      <c r="D43" s="63">
        <v>32</v>
      </c>
      <c r="E43" s="63">
        <v>14</v>
      </c>
      <c r="F43" s="63">
        <v>12</v>
      </c>
      <c r="G43" s="63">
        <v>12</v>
      </c>
      <c r="H43" s="44">
        <f t="shared" si="5"/>
        <v>0</v>
      </c>
      <c r="I43" s="70">
        <v>2</v>
      </c>
      <c r="J43" s="46">
        <f t="shared" si="6"/>
        <v>168</v>
      </c>
      <c r="K43" s="29">
        <f t="shared" si="3"/>
        <v>28</v>
      </c>
      <c r="L43" s="46">
        <f t="shared" si="7"/>
        <v>1</v>
      </c>
      <c r="M43" s="45" t="str">
        <f t="shared" si="4"/>
        <v>MATCH</v>
      </c>
      <c r="N43" s="10"/>
      <c r="O43" s="77">
        <v>28</v>
      </c>
    </row>
    <row r="44" spans="3:15" x14ac:dyDescent="0.3">
      <c r="C44" s="82" t="s">
        <v>67</v>
      </c>
      <c r="D44" s="63">
        <v>25</v>
      </c>
      <c r="E44" s="63">
        <v>14</v>
      </c>
      <c r="F44" s="63">
        <v>7.06</v>
      </c>
      <c r="G44" s="63">
        <v>7.5</v>
      </c>
      <c r="H44" s="44">
        <f t="shared" si="5"/>
        <v>0</v>
      </c>
      <c r="I44" s="71">
        <v>2</v>
      </c>
      <c r="J44" s="46">
        <f t="shared" si="6"/>
        <v>98.839999999999989</v>
      </c>
      <c r="K44" s="29">
        <f t="shared" si="3"/>
        <v>28</v>
      </c>
      <c r="L44" s="46">
        <f t="shared" si="7"/>
        <v>1</v>
      </c>
      <c r="M44" s="45" t="str">
        <f t="shared" si="4"/>
        <v>MATCH</v>
      </c>
      <c r="N44" s="10"/>
      <c r="O44" s="76">
        <v>28</v>
      </c>
    </row>
    <row r="45" spans="3:15" x14ac:dyDescent="0.3">
      <c r="C45" s="82" t="s">
        <v>68</v>
      </c>
      <c r="D45" s="63">
        <v>32</v>
      </c>
      <c r="E45" s="63">
        <v>14</v>
      </c>
      <c r="F45" s="63">
        <v>10.5</v>
      </c>
      <c r="G45" s="63">
        <v>10.5</v>
      </c>
      <c r="H45" s="44">
        <f t="shared" si="5"/>
        <v>0</v>
      </c>
      <c r="I45" s="70">
        <v>2</v>
      </c>
      <c r="J45" s="46">
        <f t="shared" si="6"/>
        <v>147</v>
      </c>
      <c r="K45" s="29">
        <f t="shared" si="3"/>
        <v>28</v>
      </c>
      <c r="L45" s="46">
        <f t="shared" si="7"/>
        <v>1</v>
      </c>
      <c r="M45" s="45" t="str">
        <f t="shared" si="4"/>
        <v>MATCH</v>
      </c>
      <c r="N45" s="10"/>
      <c r="O45" s="77">
        <v>28</v>
      </c>
    </row>
    <row r="46" spans="3:15" x14ac:dyDescent="0.3">
      <c r="C46" s="82" t="s">
        <v>69</v>
      </c>
      <c r="D46" s="63">
        <v>25</v>
      </c>
      <c r="E46" s="63">
        <v>14</v>
      </c>
      <c r="F46" s="63">
        <v>8.89</v>
      </c>
      <c r="G46" s="63">
        <v>9</v>
      </c>
      <c r="H46" s="44">
        <f t="shared" si="5"/>
        <v>0</v>
      </c>
      <c r="I46" s="71">
        <v>2</v>
      </c>
      <c r="J46" s="46">
        <f t="shared" si="6"/>
        <v>124.46000000000001</v>
      </c>
      <c r="K46" s="29">
        <f t="shared" si="3"/>
        <v>28</v>
      </c>
      <c r="L46" s="46">
        <f t="shared" si="7"/>
        <v>1</v>
      </c>
      <c r="M46" s="45" t="str">
        <f t="shared" si="4"/>
        <v>MATCH</v>
      </c>
      <c r="N46" s="10"/>
      <c r="O46" s="76">
        <v>28</v>
      </c>
    </row>
    <row r="47" spans="3:15" x14ac:dyDescent="0.3">
      <c r="C47" s="82" t="s">
        <v>70</v>
      </c>
      <c r="D47" s="63">
        <v>10</v>
      </c>
      <c r="E47" s="63">
        <v>63</v>
      </c>
      <c r="F47" s="63">
        <v>2.72</v>
      </c>
      <c r="G47" s="63">
        <v>6</v>
      </c>
      <c r="H47" s="44">
        <f t="shared" si="5"/>
        <v>0</v>
      </c>
      <c r="I47" s="70">
        <v>2</v>
      </c>
      <c r="J47" s="46">
        <f t="shared" si="6"/>
        <v>171.36</v>
      </c>
      <c r="K47" s="29">
        <f t="shared" si="3"/>
        <v>63</v>
      </c>
      <c r="L47" s="46">
        <f t="shared" si="7"/>
        <v>2</v>
      </c>
      <c r="M47" s="45" t="str">
        <f t="shared" si="4"/>
        <v>MATCH</v>
      </c>
      <c r="N47" s="10"/>
      <c r="O47" s="77">
        <v>63</v>
      </c>
    </row>
    <row r="48" spans="3:15" x14ac:dyDescent="0.3">
      <c r="C48" s="82" t="s">
        <v>71</v>
      </c>
      <c r="D48" s="63">
        <v>10</v>
      </c>
      <c r="E48" s="63">
        <v>126</v>
      </c>
      <c r="F48" s="63">
        <v>2.04</v>
      </c>
      <c r="G48" s="63">
        <v>6</v>
      </c>
      <c r="H48" s="44">
        <f t="shared" si="5"/>
        <v>0</v>
      </c>
      <c r="I48" s="71">
        <v>2</v>
      </c>
      <c r="J48" s="46">
        <f t="shared" si="6"/>
        <v>257.04000000000002</v>
      </c>
      <c r="K48" s="29">
        <f t="shared" si="3"/>
        <v>126</v>
      </c>
      <c r="L48" s="46">
        <f t="shared" si="7"/>
        <v>2</v>
      </c>
      <c r="M48" s="45" t="str">
        <f t="shared" si="4"/>
        <v>MATCH</v>
      </c>
      <c r="N48" s="10"/>
      <c r="O48" s="76">
        <v>126</v>
      </c>
    </row>
    <row r="49" spans="3:15" x14ac:dyDescent="0.3">
      <c r="C49" s="82" t="s">
        <v>72</v>
      </c>
      <c r="D49" s="63">
        <v>10</v>
      </c>
      <c r="E49" s="63">
        <v>126</v>
      </c>
      <c r="F49" s="63">
        <v>0.79</v>
      </c>
      <c r="G49" s="63">
        <v>6</v>
      </c>
      <c r="H49" s="44">
        <f t="shared" si="5"/>
        <v>0</v>
      </c>
      <c r="I49" s="70">
        <v>2</v>
      </c>
      <c r="J49" s="46">
        <f t="shared" si="6"/>
        <v>99.54</v>
      </c>
      <c r="K49" s="29">
        <f t="shared" si="3"/>
        <v>36</v>
      </c>
      <c r="L49" s="46">
        <f t="shared" si="7"/>
        <v>7</v>
      </c>
      <c r="M49" s="45" t="str">
        <f t="shared" si="4"/>
        <v>MATCH</v>
      </c>
      <c r="N49" s="10"/>
      <c r="O49" s="77">
        <v>36</v>
      </c>
    </row>
    <row r="50" spans="3:15" x14ac:dyDescent="0.3">
      <c r="C50" s="82" t="s">
        <v>73</v>
      </c>
      <c r="D50" s="63">
        <v>12</v>
      </c>
      <c r="E50" s="63">
        <v>81</v>
      </c>
      <c r="F50" s="63">
        <v>2.77</v>
      </c>
      <c r="G50" s="63">
        <v>6</v>
      </c>
      <c r="H50" s="44">
        <f t="shared" si="5"/>
        <v>0</v>
      </c>
      <c r="I50" s="71">
        <v>2</v>
      </c>
      <c r="J50" s="46">
        <f t="shared" si="6"/>
        <v>224.37</v>
      </c>
      <c r="K50" s="29">
        <f t="shared" si="3"/>
        <v>81</v>
      </c>
      <c r="L50" s="46">
        <f t="shared" si="7"/>
        <v>2</v>
      </c>
      <c r="M50" s="45" t="str">
        <f t="shared" si="4"/>
        <v>MATCH</v>
      </c>
      <c r="N50" s="10"/>
      <c r="O50" s="76">
        <v>81</v>
      </c>
    </row>
    <row r="51" spans="3:15" x14ac:dyDescent="0.3">
      <c r="C51" s="82" t="s">
        <v>74</v>
      </c>
      <c r="D51" s="63">
        <v>12</v>
      </c>
      <c r="E51" s="63">
        <v>162</v>
      </c>
      <c r="F51" s="63">
        <v>2.08</v>
      </c>
      <c r="G51" s="63">
        <v>6</v>
      </c>
      <c r="H51" s="44">
        <f t="shared" si="5"/>
        <v>0</v>
      </c>
      <c r="I51" s="70">
        <v>2</v>
      </c>
      <c r="J51" s="46">
        <f t="shared" si="6"/>
        <v>336.96000000000004</v>
      </c>
      <c r="K51" s="29">
        <f t="shared" si="3"/>
        <v>162</v>
      </c>
      <c r="L51" s="46">
        <f t="shared" si="7"/>
        <v>2</v>
      </c>
      <c r="M51" s="45" t="str">
        <f t="shared" si="4"/>
        <v>MATCH</v>
      </c>
      <c r="N51" s="10"/>
      <c r="O51" s="77">
        <v>162</v>
      </c>
    </row>
    <row r="52" spans="3:15" x14ac:dyDescent="0.3">
      <c r="C52" s="82" t="s">
        <v>75</v>
      </c>
      <c r="D52" s="63">
        <v>12</v>
      </c>
      <c r="E52" s="63">
        <v>162</v>
      </c>
      <c r="F52" s="63">
        <v>0.80400000000000005</v>
      </c>
      <c r="G52" s="63">
        <v>6</v>
      </c>
      <c r="H52" s="44">
        <f t="shared" si="5"/>
        <v>0</v>
      </c>
      <c r="I52" s="71">
        <v>2</v>
      </c>
      <c r="J52" s="46">
        <f t="shared" si="6"/>
        <v>130.24800000000002</v>
      </c>
      <c r="K52" s="29">
        <f t="shared" si="3"/>
        <v>47</v>
      </c>
      <c r="L52" s="46">
        <f t="shared" si="7"/>
        <v>7</v>
      </c>
      <c r="M52" s="45" t="str">
        <f t="shared" si="4"/>
        <v>MATCH</v>
      </c>
      <c r="N52" s="10"/>
      <c r="O52" s="76">
        <v>47</v>
      </c>
    </row>
    <row r="53" spans="3:15" x14ac:dyDescent="0.3">
      <c r="C53" s="82" t="s">
        <v>76</v>
      </c>
      <c r="D53" s="63">
        <v>12</v>
      </c>
      <c r="E53" s="63">
        <v>61</v>
      </c>
      <c r="F53" s="63">
        <v>2.75</v>
      </c>
      <c r="G53" s="63">
        <v>6</v>
      </c>
      <c r="H53" s="44">
        <f t="shared" si="5"/>
        <v>0</v>
      </c>
      <c r="I53" s="70">
        <v>2</v>
      </c>
      <c r="J53" s="46">
        <f t="shared" si="6"/>
        <v>167.75</v>
      </c>
      <c r="K53" s="29">
        <f t="shared" si="3"/>
        <v>61</v>
      </c>
      <c r="L53" s="46">
        <f t="shared" si="7"/>
        <v>2</v>
      </c>
      <c r="M53" s="45" t="str">
        <f t="shared" si="4"/>
        <v>MATCH</v>
      </c>
      <c r="N53" s="10"/>
      <c r="O53" s="77">
        <v>61</v>
      </c>
    </row>
    <row r="54" spans="3:15" x14ac:dyDescent="0.3">
      <c r="C54" s="82" t="s">
        <v>77</v>
      </c>
      <c r="D54" s="63">
        <v>12</v>
      </c>
      <c r="E54" s="63">
        <v>122</v>
      </c>
      <c r="F54" s="63">
        <v>1.95</v>
      </c>
      <c r="G54" s="63">
        <v>6</v>
      </c>
      <c r="H54" s="44">
        <f t="shared" si="5"/>
        <v>0</v>
      </c>
      <c r="I54" s="71">
        <v>2</v>
      </c>
      <c r="J54" s="46">
        <f t="shared" si="6"/>
        <v>237.9</v>
      </c>
      <c r="K54" s="29">
        <f t="shared" si="3"/>
        <v>82</v>
      </c>
      <c r="L54" s="46">
        <f t="shared" si="7"/>
        <v>3</v>
      </c>
      <c r="M54" s="45" t="str">
        <f t="shared" si="4"/>
        <v>MATCH</v>
      </c>
      <c r="N54" s="10"/>
      <c r="O54" s="76">
        <v>82</v>
      </c>
    </row>
    <row r="55" spans="3:15" x14ac:dyDescent="0.3">
      <c r="C55" s="83" t="s">
        <v>78</v>
      </c>
      <c r="D55" s="69">
        <v>12</v>
      </c>
      <c r="E55" s="69">
        <v>122</v>
      </c>
      <c r="F55" s="69">
        <v>0.8</v>
      </c>
      <c r="G55" s="69">
        <v>6</v>
      </c>
      <c r="H55" s="49">
        <f t="shared" si="5"/>
        <v>0</v>
      </c>
      <c r="I55" s="79">
        <v>2</v>
      </c>
      <c r="J55" s="51">
        <f t="shared" si="6"/>
        <v>97.600000000000009</v>
      </c>
      <c r="K55" s="35">
        <f t="shared" si="3"/>
        <v>35</v>
      </c>
      <c r="L55" s="51">
        <f t="shared" si="7"/>
        <v>7</v>
      </c>
      <c r="M55" s="50" t="str">
        <f t="shared" si="4"/>
        <v>MATCH</v>
      </c>
      <c r="N55" s="11"/>
      <c r="O55" s="84">
        <v>35</v>
      </c>
    </row>
    <row r="56" spans="3:15" x14ac:dyDescent="0.3">
      <c r="C56" s="72" t="s">
        <v>79</v>
      </c>
      <c r="D56" s="55">
        <v>32</v>
      </c>
      <c r="E56" s="55">
        <v>14</v>
      </c>
      <c r="F56" s="55">
        <v>12</v>
      </c>
      <c r="G56" s="55">
        <v>12</v>
      </c>
      <c r="H56" s="39">
        <f t="shared" si="5"/>
        <v>0</v>
      </c>
      <c r="I56" s="73">
        <v>2</v>
      </c>
      <c r="J56" s="41">
        <f t="shared" si="6"/>
        <v>168</v>
      </c>
      <c r="K56" s="23">
        <f t="shared" si="3"/>
        <v>28</v>
      </c>
      <c r="L56" s="41">
        <f t="shared" si="7"/>
        <v>1</v>
      </c>
      <c r="M56" s="40" t="str">
        <f t="shared" si="4"/>
        <v>MATCH</v>
      </c>
      <c r="N56" s="9"/>
      <c r="O56" s="74">
        <v>28</v>
      </c>
    </row>
    <row r="57" spans="3:15" x14ac:dyDescent="0.3">
      <c r="C57" s="75" t="s">
        <v>80</v>
      </c>
      <c r="D57" s="57">
        <v>32</v>
      </c>
      <c r="E57" s="57">
        <v>14</v>
      </c>
      <c r="F57" s="57">
        <v>3.87</v>
      </c>
      <c r="G57" s="57">
        <v>7.5</v>
      </c>
      <c r="H57" s="44">
        <f t="shared" si="5"/>
        <v>0</v>
      </c>
      <c r="I57" s="71">
        <v>2</v>
      </c>
      <c r="J57" s="46">
        <f t="shared" si="6"/>
        <v>54.18</v>
      </c>
      <c r="K57" s="29">
        <f t="shared" si="3"/>
        <v>28</v>
      </c>
      <c r="L57" s="46">
        <f t="shared" si="7"/>
        <v>1</v>
      </c>
      <c r="M57" s="45" t="str">
        <f t="shared" si="4"/>
        <v>MATCH</v>
      </c>
      <c r="N57" s="10"/>
      <c r="O57" s="76">
        <v>28</v>
      </c>
    </row>
    <row r="58" spans="3:15" x14ac:dyDescent="0.3">
      <c r="C58" s="75" t="s">
        <v>81</v>
      </c>
      <c r="D58" s="57">
        <v>32</v>
      </c>
      <c r="E58" s="57">
        <v>14</v>
      </c>
      <c r="F58" s="57">
        <v>8.5</v>
      </c>
      <c r="G58" s="57">
        <v>9</v>
      </c>
      <c r="H58" s="44">
        <f t="shared" si="5"/>
        <v>0</v>
      </c>
      <c r="I58" s="70">
        <v>2</v>
      </c>
      <c r="J58" s="46">
        <f t="shared" si="6"/>
        <v>119</v>
      </c>
      <c r="K58" s="29">
        <f t="shared" si="3"/>
        <v>28</v>
      </c>
      <c r="L58" s="46">
        <f t="shared" si="7"/>
        <v>1</v>
      </c>
      <c r="M58" s="45" t="str">
        <f t="shared" si="4"/>
        <v>MATCH</v>
      </c>
      <c r="N58" s="10"/>
      <c r="O58" s="77">
        <v>28</v>
      </c>
    </row>
    <row r="59" spans="3:15" x14ac:dyDescent="0.3">
      <c r="C59" s="75" t="s">
        <v>82</v>
      </c>
      <c r="D59" s="57">
        <v>32</v>
      </c>
      <c r="E59" s="57">
        <v>14</v>
      </c>
      <c r="F59" s="57">
        <v>11.36</v>
      </c>
      <c r="G59" s="57">
        <v>12</v>
      </c>
      <c r="H59" s="44">
        <f t="shared" si="5"/>
        <v>0</v>
      </c>
      <c r="I59" s="71">
        <v>2</v>
      </c>
      <c r="J59" s="46">
        <f t="shared" si="6"/>
        <v>159.04</v>
      </c>
      <c r="K59" s="29">
        <f t="shared" si="3"/>
        <v>28</v>
      </c>
      <c r="L59" s="46">
        <f t="shared" si="7"/>
        <v>1</v>
      </c>
      <c r="M59" s="45" t="str">
        <f t="shared" si="4"/>
        <v>MATCH</v>
      </c>
      <c r="N59" s="10"/>
      <c r="O59" s="76">
        <v>28</v>
      </c>
    </row>
    <row r="60" spans="3:15" x14ac:dyDescent="0.3">
      <c r="C60" s="75" t="s">
        <v>83</v>
      </c>
      <c r="D60" s="57">
        <v>32</v>
      </c>
      <c r="E60" s="57">
        <v>2</v>
      </c>
      <c r="F60" s="57">
        <v>6</v>
      </c>
      <c r="G60" s="57">
        <v>6</v>
      </c>
      <c r="H60" s="44">
        <f t="shared" si="5"/>
        <v>0</v>
      </c>
      <c r="I60" s="70">
        <v>2</v>
      </c>
      <c r="J60" s="46">
        <f t="shared" si="6"/>
        <v>12</v>
      </c>
      <c r="K60" s="29">
        <f t="shared" si="3"/>
        <v>4</v>
      </c>
      <c r="L60" s="46">
        <f t="shared" si="7"/>
        <v>1</v>
      </c>
      <c r="M60" s="45" t="str">
        <f t="shared" si="4"/>
        <v>MATCH</v>
      </c>
      <c r="N60" s="10"/>
      <c r="O60" s="77">
        <v>4</v>
      </c>
    </row>
    <row r="61" spans="3:15" x14ac:dyDescent="0.3">
      <c r="C61" s="75" t="s">
        <v>84</v>
      </c>
      <c r="D61" s="57">
        <v>32</v>
      </c>
      <c r="E61" s="57">
        <v>4</v>
      </c>
      <c r="F61" s="57">
        <v>5.97</v>
      </c>
      <c r="G61" s="57">
        <v>6</v>
      </c>
      <c r="H61" s="44">
        <f t="shared" si="5"/>
        <v>0</v>
      </c>
      <c r="I61" s="71">
        <v>2</v>
      </c>
      <c r="J61" s="46">
        <f t="shared" si="6"/>
        <v>23.88</v>
      </c>
      <c r="K61" s="29">
        <f t="shared" si="3"/>
        <v>8</v>
      </c>
      <c r="L61" s="46">
        <f t="shared" si="7"/>
        <v>1</v>
      </c>
      <c r="M61" s="45" t="str">
        <f t="shared" si="4"/>
        <v>MATCH</v>
      </c>
      <c r="N61" s="10"/>
      <c r="O61" s="76">
        <v>8</v>
      </c>
    </row>
    <row r="62" spans="3:15" x14ac:dyDescent="0.3">
      <c r="C62" s="75" t="s">
        <v>85</v>
      </c>
      <c r="D62" s="57">
        <v>10</v>
      </c>
      <c r="E62" s="57">
        <v>63</v>
      </c>
      <c r="F62" s="57">
        <v>2.0699999999999998</v>
      </c>
      <c r="G62" s="57">
        <v>7.5</v>
      </c>
      <c r="H62" s="44">
        <f t="shared" si="5"/>
        <v>0</v>
      </c>
      <c r="I62" s="70">
        <v>2</v>
      </c>
      <c r="J62" s="46">
        <f t="shared" si="6"/>
        <v>130.41</v>
      </c>
      <c r="K62" s="29">
        <f t="shared" si="3"/>
        <v>42</v>
      </c>
      <c r="L62" s="46">
        <f t="shared" si="7"/>
        <v>3</v>
      </c>
      <c r="M62" s="45" t="str">
        <f t="shared" si="4"/>
        <v>MATCH</v>
      </c>
      <c r="N62" s="10"/>
      <c r="O62" s="77">
        <v>42</v>
      </c>
    </row>
    <row r="63" spans="3:15" x14ac:dyDescent="0.3">
      <c r="C63" s="75" t="s">
        <v>86</v>
      </c>
      <c r="D63" s="57">
        <v>10</v>
      </c>
      <c r="E63" s="57">
        <v>126</v>
      </c>
      <c r="F63" s="57">
        <v>1.82</v>
      </c>
      <c r="G63" s="57">
        <v>6</v>
      </c>
      <c r="H63" s="44">
        <f t="shared" si="5"/>
        <v>0</v>
      </c>
      <c r="I63" s="71">
        <v>2</v>
      </c>
      <c r="J63" s="46">
        <f t="shared" si="6"/>
        <v>229.32000000000002</v>
      </c>
      <c r="K63" s="29">
        <f t="shared" si="3"/>
        <v>84</v>
      </c>
      <c r="L63" s="46">
        <f t="shared" si="7"/>
        <v>3</v>
      </c>
      <c r="M63" s="45" t="str">
        <f t="shared" si="4"/>
        <v>MATCH</v>
      </c>
      <c r="N63" s="10"/>
      <c r="O63" s="76">
        <v>84</v>
      </c>
    </row>
    <row r="64" spans="3:15" x14ac:dyDescent="0.3">
      <c r="C64" s="75" t="s">
        <v>87</v>
      </c>
      <c r="D64" s="57">
        <v>10</v>
      </c>
      <c r="E64" s="57">
        <v>63</v>
      </c>
      <c r="F64" s="57">
        <v>2.02</v>
      </c>
      <c r="G64" s="57">
        <v>7.5</v>
      </c>
      <c r="H64" s="44">
        <f t="shared" si="5"/>
        <v>0</v>
      </c>
      <c r="I64" s="70">
        <v>2</v>
      </c>
      <c r="J64" s="46">
        <f t="shared" si="6"/>
        <v>127.26</v>
      </c>
      <c r="K64" s="29">
        <f t="shared" si="3"/>
        <v>42</v>
      </c>
      <c r="L64" s="46">
        <f t="shared" si="7"/>
        <v>3</v>
      </c>
      <c r="M64" s="45" t="str">
        <f t="shared" si="4"/>
        <v>MATCH</v>
      </c>
      <c r="N64" s="10"/>
      <c r="O64" s="77">
        <v>42</v>
      </c>
    </row>
    <row r="65" spans="3:15" x14ac:dyDescent="0.3">
      <c r="C65" s="75" t="s">
        <v>88</v>
      </c>
      <c r="D65" s="57">
        <v>10</v>
      </c>
      <c r="E65" s="57">
        <v>252</v>
      </c>
      <c r="F65" s="57">
        <v>0.77</v>
      </c>
      <c r="G65" s="57">
        <v>6</v>
      </c>
      <c r="H65" s="44">
        <f t="shared" si="5"/>
        <v>0</v>
      </c>
      <c r="I65" s="71">
        <v>2</v>
      </c>
      <c r="J65" s="46">
        <f t="shared" si="6"/>
        <v>194.04</v>
      </c>
      <c r="K65" s="29">
        <f t="shared" si="3"/>
        <v>72</v>
      </c>
      <c r="L65" s="46">
        <f t="shared" si="7"/>
        <v>7</v>
      </c>
      <c r="M65" s="45" t="str">
        <f t="shared" si="4"/>
        <v>MATCH</v>
      </c>
      <c r="N65" s="10"/>
      <c r="O65" s="76">
        <v>72</v>
      </c>
    </row>
    <row r="66" spans="3:15" x14ac:dyDescent="0.3">
      <c r="C66" s="75" t="s">
        <v>89</v>
      </c>
      <c r="D66" s="57">
        <v>16</v>
      </c>
      <c r="E66" s="57">
        <v>81</v>
      </c>
      <c r="F66" s="57">
        <v>2.85</v>
      </c>
      <c r="G66" s="57">
        <v>6</v>
      </c>
      <c r="H66" s="44">
        <f t="shared" si="5"/>
        <v>0</v>
      </c>
      <c r="I66" s="70">
        <v>2</v>
      </c>
      <c r="J66" s="46">
        <f t="shared" si="6"/>
        <v>230.85</v>
      </c>
      <c r="K66" s="29">
        <f t="shared" si="3"/>
        <v>81</v>
      </c>
      <c r="L66" s="46">
        <f t="shared" si="7"/>
        <v>2</v>
      </c>
      <c r="M66" s="45" t="str">
        <f t="shared" si="4"/>
        <v>MATCH</v>
      </c>
      <c r="N66" s="10"/>
      <c r="O66" s="77">
        <v>81</v>
      </c>
    </row>
    <row r="67" spans="3:15" x14ac:dyDescent="0.3">
      <c r="C67" s="75" t="s">
        <v>90</v>
      </c>
      <c r="D67" s="57">
        <v>16</v>
      </c>
      <c r="E67" s="57">
        <v>162</v>
      </c>
      <c r="F67" s="57">
        <v>2.16</v>
      </c>
      <c r="G67" s="57">
        <v>7.5</v>
      </c>
      <c r="H67" s="44">
        <f t="shared" si="5"/>
        <v>0</v>
      </c>
      <c r="I67" s="71">
        <v>2</v>
      </c>
      <c r="J67" s="46">
        <f t="shared" si="6"/>
        <v>349.92</v>
      </c>
      <c r="K67" s="29">
        <f t="shared" si="3"/>
        <v>108</v>
      </c>
      <c r="L67" s="46">
        <f t="shared" si="7"/>
        <v>3</v>
      </c>
      <c r="M67" s="45" t="str">
        <f t="shared" si="4"/>
        <v>MATCH</v>
      </c>
      <c r="N67" s="10"/>
      <c r="O67" s="76">
        <v>108</v>
      </c>
    </row>
    <row r="68" spans="3:15" x14ac:dyDescent="0.3">
      <c r="C68" s="75" t="s">
        <v>91</v>
      </c>
      <c r="D68" s="57">
        <v>16</v>
      </c>
      <c r="E68" s="57">
        <v>162</v>
      </c>
      <c r="F68" s="57">
        <v>0.86</v>
      </c>
      <c r="G68" s="57">
        <v>6</v>
      </c>
      <c r="H68" s="44">
        <f t="shared" si="5"/>
        <v>0</v>
      </c>
      <c r="I68" s="70">
        <v>2</v>
      </c>
      <c r="J68" s="46">
        <f t="shared" si="6"/>
        <v>139.32</v>
      </c>
      <c r="K68" s="29">
        <f t="shared" si="3"/>
        <v>54</v>
      </c>
      <c r="L68" s="46">
        <f t="shared" si="7"/>
        <v>6</v>
      </c>
      <c r="M68" s="45" t="str">
        <f t="shared" si="4"/>
        <v>MATCH</v>
      </c>
      <c r="N68" s="10"/>
      <c r="O68" s="77">
        <v>54</v>
      </c>
    </row>
    <row r="69" spans="3:15" x14ac:dyDescent="0.3">
      <c r="C69" s="75" t="s">
        <v>92</v>
      </c>
      <c r="D69" s="57">
        <v>12</v>
      </c>
      <c r="E69" s="57">
        <v>114</v>
      </c>
      <c r="F69" s="57">
        <v>2.75</v>
      </c>
      <c r="G69" s="57">
        <v>6</v>
      </c>
      <c r="H69" s="44">
        <f t="shared" si="5"/>
        <v>0</v>
      </c>
      <c r="I69" s="71">
        <v>2</v>
      </c>
      <c r="J69" s="46">
        <f t="shared" ref="J69:J132" si="8">E69*F69</f>
        <v>313.5</v>
      </c>
      <c r="K69" s="29">
        <f t="shared" si="3"/>
        <v>114</v>
      </c>
      <c r="L69" s="46">
        <f t="shared" ref="L69:L132" si="9">ROUNDDOWN(G69/F69, 0)</f>
        <v>2</v>
      </c>
      <c r="M69" s="45" t="str">
        <f t="shared" si="4"/>
        <v>MATCH</v>
      </c>
      <c r="N69" s="10"/>
      <c r="O69" s="76">
        <v>114</v>
      </c>
    </row>
    <row r="70" spans="3:15" x14ac:dyDescent="0.3">
      <c r="C70" s="75" t="s">
        <v>93</v>
      </c>
      <c r="D70" s="57">
        <v>12</v>
      </c>
      <c r="E70" s="57">
        <v>162</v>
      </c>
      <c r="F70" s="57">
        <v>1.5</v>
      </c>
      <c r="G70" s="57">
        <v>6</v>
      </c>
      <c r="H70" s="44">
        <f t="shared" si="5"/>
        <v>0</v>
      </c>
      <c r="I70" s="70">
        <v>2</v>
      </c>
      <c r="J70" s="46">
        <f t="shared" si="8"/>
        <v>243</v>
      </c>
      <c r="K70" s="29">
        <f t="shared" ref="K70:K133" si="10">IF(G70=0,0,ROUNDUP((E70/L70)*I70,0))</f>
        <v>81</v>
      </c>
      <c r="L70" s="46">
        <f t="shared" si="9"/>
        <v>4</v>
      </c>
      <c r="M70" s="45" t="str">
        <f t="shared" ref="M70:M133" si="11">IF(K70=O70, "MATCH", "RECHECK")</f>
        <v>MATCH</v>
      </c>
      <c r="N70" s="10"/>
      <c r="O70" s="77">
        <v>81</v>
      </c>
    </row>
    <row r="71" spans="3:15" x14ac:dyDescent="0.3">
      <c r="C71" s="75" t="s">
        <v>94</v>
      </c>
      <c r="D71" s="57">
        <v>12</v>
      </c>
      <c r="E71" s="57">
        <v>162</v>
      </c>
      <c r="F71" s="57">
        <v>0.8</v>
      </c>
      <c r="G71" s="57">
        <v>6</v>
      </c>
      <c r="H71" s="44">
        <f t="shared" si="5"/>
        <v>0</v>
      </c>
      <c r="I71" s="71">
        <v>2</v>
      </c>
      <c r="J71" s="46">
        <f t="shared" si="8"/>
        <v>129.6</v>
      </c>
      <c r="K71" s="29">
        <f t="shared" si="10"/>
        <v>47</v>
      </c>
      <c r="L71" s="46">
        <f t="shared" si="9"/>
        <v>7</v>
      </c>
      <c r="M71" s="45" t="str">
        <f t="shared" si="11"/>
        <v>MATCH</v>
      </c>
      <c r="N71" s="10"/>
      <c r="O71" s="76">
        <v>47</v>
      </c>
    </row>
    <row r="72" spans="3:15" x14ac:dyDescent="0.3">
      <c r="C72" s="75" t="s">
        <v>95</v>
      </c>
      <c r="D72" s="57">
        <v>12</v>
      </c>
      <c r="E72" s="57">
        <v>66</v>
      </c>
      <c r="F72" s="57">
        <v>1.51</v>
      </c>
      <c r="G72" s="57">
        <v>6</v>
      </c>
      <c r="H72" s="44">
        <f t="shared" si="5"/>
        <v>0</v>
      </c>
      <c r="I72" s="70">
        <v>2</v>
      </c>
      <c r="J72" s="46">
        <f t="shared" si="8"/>
        <v>99.66</v>
      </c>
      <c r="K72" s="29">
        <f t="shared" si="10"/>
        <v>44</v>
      </c>
      <c r="L72" s="46">
        <f t="shared" si="9"/>
        <v>3</v>
      </c>
      <c r="M72" s="45" t="str">
        <f t="shared" si="11"/>
        <v>MATCH</v>
      </c>
      <c r="N72" s="10"/>
      <c r="O72" s="77">
        <v>44</v>
      </c>
    </row>
    <row r="73" spans="3:15" x14ac:dyDescent="0.3">
      <c r="C73" s="78" t="s">
        <v>96</v>
      </c>
      <c r="D73" s="59">
        <v>12</v>
      </c>
      <c r="E73" s="59">
        <v>33</v>
      </c>
      <c r="F73" s="59">
        <v>2.0499999999999998</v>
      </c>
      <c r="G73" s="59">
        <v>6</v>
      </c>
      <c r="H73" s="49">
        <f t="shared" si="5"/>
        <v>0</v>
      </c>
      <c r="I73" s="85">
        <v>2</v>
      </c>
      <c r="J73" s="51">
        <f t="shared" si="8"/>
        <v>67.649999999999991</v>
      </c>
      <c r="K73" s="35">
        <f t="shared" si="10"/>
        <v>33</v>
      </c>
      <c r="L73" s="51">
        <f t="shared" si="9"/>
        <v>2</v>
      </c>
      <c r="M73" s="50" t="str">
        <f t="shared" si="11"/>
        <v>MATCH</v>
      </c>
      <c r="N73" s="11"/>
      <c r="O73" s="80">
        <v>33</v>
      </c>
    </row>
    <row r="74" spans="3:15" x14ac:dyDescent="0.3">
      <c r="C74" s="81" t="s">
        <v>97</v>
      </c>
      <c r="D74" s="61">
        <v>32</v>
      </c>
      <c r="E74" s="61">
        <v>14</v>
      </c>
      <c r="F74" s="61">
        <v>12</v>
      </c>
      <c r="G74" s="61">
        <v>12</v>
      </c>
      <c r="H74" s="39">
        <f t="shared" si="5"/>
        <v>0</v>
      </c>
      <c r="I74" s="73">
        <v>2</v>
      </c>
      <c r="J74" s="41">
        <f t="shared" si="8"/>
        <v>168</v>
      </c>
      <c r="K74" s="23">
        <f t="shared" si="10"/>
        <v>28</v>
      </c>
      <c r="L74" s="41">
        <f t="shared" si="9"/>
        <v>1</v>
      </c>
      <c r="M74" s="40" t="str">
        <f t="shared" si="11"/>
        <v>MATCH</v>
      </c>
      <c r="N74" s="9"/>
      <c r="O74" s="74">
        <v>28</v>
      </c>
    </row>
    <row r="75" spans="3:15" x14ac:dyDescent="0.3">
      <c r="C75" s="82" t="s">
        <v>98</v>
      </c>
      <c r="D75" s="63">
        <v>32</v>
      </c>
      <c r="E75" s="63">
        <v>14</v>
      </c>
      <c r="F75" s="63">
        <v>7.36</v>
      </c>
      <c r="G75" s="63">
        <v>7.5</v>
      </c>
      <c r="H75" s="44">
        <f t="shared" si="5"/>
        <v>0</v>
      </c>
      <c r="I75" s="71">
        <v>2</v>
      </c>
      <c r="J75" s="46">
        <f t="shared" si="8"/>
        <v>103.04</v>
      </c>
      <c r="K75" s="29">
        <f t="shared" si="10"/>
        <v>28</v>
      </c>
      <c r="L75" s="46">
        <f t="shared" si="9"/>
        <v>1</v>
      </c>
      <c r="M75" s="45" t="str">
        <f t="shared" si="11"/>
        <v>MATCH</v>
      </c>
      <c r="N75" s="10"/>
      <c r="O75" s="76">
        <v>28</v>
      </c>
    </row>
    <row r="76" spans="3:15" x14ac:dyDescent="0.3">
      <c r="C76" s="82" t="s">
        <v>99</v>
      </c>
      <c r="D76" s="63">
        <v>32</v>
      </c>
      <c r="E76" s="63">
        <v>14</v>
      </c>
      <c r="F76" s="63">
        <v>8.5</v>
      </c>
      <c r="G76" s="63">
        <v>9</v>
      </c>
      <c r="H76" s="44">
        <f t="shared" si="5"/>
        <v>0</v>
      </c>
      <c r="I76" s="70">
        <v>2</v>
      </c>
      <c r="J76" s="46">
        <f t="shared" si="8"/>
        <v>119</v>
      </c>
      <c r="K76" s="29">
        <f t="shared" si="10"/>
        <v>28</v>
      </c>
      <c r="L76" s="46">
        <f t="shared" si="9"/>
        <v>1</v>
      </c>
      <c r="M76" s="45" t="str">
        <f t="shared" si="11"/>
        <v>MATCH</v>
      </c>
      <c r="N76" s="10"/>
      <c r="O76" s="77">
        <v>28</v>
      </c>
    </row>
    <row r="77" spans="3:15" x14ac:dyDescent="0.3">
      <c r="C77" s="82" t="s">
        <v>100</v>
      </c>
      <c r="D77" s="63">
        <v>32</v>
      </c>
      <c r="E77" s="63">
        <v>14</v>
      </c>
      <c r="F77" s="63">
        <v>11.36</v>
      </c>
      <c r="G77" s="63">
        <v>12</v>
      </c>
      <c r="H77" s="44">
        <f t="shared" si="5"/>
        <v>0</v>
      </c>
      <c r="I77" s="71">
        <v>2</v>
      </c>
      <c r="J77" s="46">
        <f t="shared" si="8"/>
        <v>159.04</v>
      </c>
      <c r="K77" s="29">
        <f t="shared" si="10"/>
        <v>28</v>
      </c>
      <c r="L77" s="46">
        <f t="shared" si="9"/>
        <v>1</v>
      </c>
      <c r="M77" s="45" t="str">
        <f t="shared" si="11"/>
        <v>MATCH</v>
      </c>
      <c r="N77" s="10"/>
      <c r="O77" s="76">
        <v>28</v>
      </c>
    </row>
    <row r="78" spans="3:15" x14ac:dyDescent="0.3">
      <c r="C78" s="82" t="s">
        <v>101</v>
      </c>
      <c r="D78" s="63">
        <v>32</v>
      </c>
      <c r="E78" s="63">
        <v>4</v>
      </c>
      <c r="F78" s="63">
        <v>5.97</v>
      </c>
      <c r="G78" s="63">
        <v>6</v>
      </c>
      <c r="H78" s="44">
        <f t="shared" si="5"/>
        <v>0</v>
      </c>
      <c r="I78" s="70">
        <v>2</v>
      </c>
      <c r="J78" s="46">
        <f t="shared" si="8"/>
        <v>23.88</v>
      </c>
      <c r="K78" s="29">
        <f t="shared" si="10"/>
        <v>8</v>
      </c>
      <c r="L78" s="46">
        <f t="shared" si="9"/>
        <v>1</v>
      </c>
      <c r="M78" s="45" t="str">
        <f t="shared" si="11"/>
        <v>MATCH</v>
      </c>
      <c r="N78" s="10"/>
      <c r="O78" s="77">
        <v>8</v>
      </c>
    </row>
    <row r="79" spans="3:15" x14ac:dyDescent="0.3">
      <c r="C79" s="82" t="s">
        <v>102</v>
      </c>
      <c r="D79" s="63">
        <v>10</v>
      </c>
      <c r="E79" s="63">
        <v>63</v>
      </c>
      <c r="F79" s="63">
        <v>2.72</v>
      </c>
      <c r="G79" s="63">
        <v>6</v>
      </c>
      <c r="H79" s="44">
        <f t="shared" si="5"/>
        <v>0</v>
      </c>
      <c r="I79" s="71">
        <v>2</v>
      </c>
      <c r="J79" s="46">
        <f t="shared" si="8"/>
        <v>171.36</v>
      </c>
      <c r="K79" s="29">
        <f t="shared" si="10"/>
        <v>63</v>
      </c>
      <c r="L79" s="46">
        <f t="shared" si="9"/>
        <v>2</v>
      </c>
      <c r="M79" s="45" t="str">
        <f t="shared" si="11"/>
        <v>MATCH</v>
      </c>
      <c r="N79" s="10"/>
      <c r="O79" s="76">
        <v>63</v>
      </c>
    </row>
    <row r="80" spans="3:15" x14ac:dyDescent="0.3">
      <c r="C80" s="82" t="s">
        <v>103</v>
      </c>
      <c r="D80" s="63">
        <v>10</v>
      </c>
      <c r="E80" s="63">
        <v>126</v>
      </c>
      <c r="F80" s="63">
        <v>1.82</v>
      </c>
      <c r="G80" s="63">
        <v>6</v>
      </c>
      <c r="H80" s="44">
        <f t="shared" si="5"/>
        <v>0</v>
      </c>
      <c r="I80" s="70">
        <v>2</v>
      </c>
      <c r="J80" s="46">
        <f t="shared" si="8"/>
        <v>229.32000000000002</v>
      </c>
      <c r="K80" s="29">
        <f t="shared" si="10"/>
        <v>84</v>
      </c>
      <c r="L80" s="46">
        <f t="shared" si="9"/>
        <v>3</v>
      </c>
      <c r="M80" s="45" t="str">
        <f t="shared" si="11"/>
        <v>MATCH</v>
      </c>
      <c r="N80" s="10"/>
      <c r="O80" s="77">
        <v>84</v>
      </c>
    </row>
    <row r="81" spans="3:15" x14ac:dyDescent="0.3">
      <c r="C81" s="82" t="s">
        <v>104</v>
      </c>
      <c r="D81" s="63">
        <v>10</v>
      </c>
      <c r="E81" s="63">
        <v>63</v>
      </c>
      <c r="F81" s="63">
        <v>2.02</v>
      </c>
      <c r="G81" s="63">
        <v>6</v>
      </c>
      <c r="H81" s="44">
        <f t="shared" si="5"/>
        <v>0</v>
      </c>
      <c r="I81" s="71">
        <v>2</v>
      </c>
      <c r="J81" s="46">
        <f t="shared" si="8"/>
        <v>127.26</v>
      </c>
      <c r="K81" s="29">
        <f t="shared" si="10"/>
        <v>63</v>
      </c>
      <c r="L81" s="46">
        <f t="shared" si="9"/>
        <v>2</v>
      </c>
      <c r="M81" s="45" t="str">
        <f t="shared" si="11"/>
        <v>MATCH</v>
      </c>
      <c r="N81" s="10"/>
      <c r="O81" s="76">
        <v>63</v>
      </c>
    </row>
    <row r="82" spans="3:15" x14ac:dyDescent="0.3">
      <c r="C82" s="82" t="s">
        <v>105</v>
      </c>
      <c r="D82" s="63">
        <v>10</v>
      </c>
      <c r="E82" s="63">
        <v>252</v>
      </c>
      <c r="F82" s="63">
        <v>0.77</v>
      </c>
      <c r="G82" s="63">
        <v>6</v>
      </c>
      <c r="H82" s="44">
        <f t="shared" si="5"/>
        <v>0</v>
      </c>
      <c r="I82" s="70">
        <v>2</v>
      </c>
      <c r="J82" s="46">
        <f t="shared" si="8"/>
        <v>194.04</v>
      </c>
      <c r="K82" s="29">
        <f t="shared" si="10"/>
        <v>72</v>
      </c>
      <c r="L82" s="46">
        <f t="shared" si="9"/>
        <v>7</v>
      </c>
      <c r="M82" s="45" t="str">
        <f t="shared" si="11"/>
        <v>MATCH</v>
      </c>
      <c r="N82" s="10"/>
      <c r="O82" s="77">
        <v>72</v>
      </c>
    </row>
    <row r="83" spans="3:15" x14ac:dyDescent="0.3">
      <c r="C83" s="82" t="s">
        <v>106</v>
      </c>
      <c r="D83" s="63">
        <v>12</v>
      </c>
      <c r="E83" s="63">
        <v>195</v>
      </c>
      <c r="F83" s="63">
        <v>2.77</v>
      </c>
      <c r="G83" s="63">
        <v>6</v>
      </c>
      <c r="H83" s="44">
        <f t="shared" si="5"/>
        <v>0</v>
      </c>
      <c r="I83" s="71">
        <v>2</v>
      </c>
      <c r="J83" s="46">
        <f t="shared" si="8"/>
        <v>540.15</v>
      </c>
      <c r="K83" s="29">
        <f t="shared" si="10"/>
        <v>195</v>
      </c>
      <c r="L83" s="46">
        <f t="shared" si="9"/>
        <v>2</v>
      </c>
      <c r="M83" s="45" t="str">
        <f t="shared" si="11"/>
        <v>MATCH</v>
      </c>
      <c r="N83" s="10"/>
      <c r="O83" s="76">
        <v>195</v>
      </c>
    </row>
    <row r="84" spans="3:15" x14ac:dyDescent="0.3">
      <c r="C84" s="82" t="s">
        <v>107</v>
      </c>
      <c r="D84" s="63">
        <v>12</v>
      </c>
      <c r="E84" s="63">
        <v>714</v>
      </c>
      <c r="F84" s="63">
        <v>1.78</v>
      </c>
      <c r="G84" s="63">
        <v>6</v>
      </c>
      <c r="H84" s="44">
        <f t="shared" si="5"/>
        <v>0</v>
      </c>
      <c r="I84" s="70">
        <v>2</v>
      </c>
      <c r="J84" s="46">
        <f t="shared" si="8"/>
        <v>1270.92</v>
      </c>
      <c r="K84" s="29">
        <f t="shared" si="10"/>
        <v>476</v>
      </c>
      <c r="L84" s="46">
        <f t="shared" si="9"/>
        <v>3</v>
      </c>
      <c r="M84" s="45" t="str">
        <f t="shared" si="11"/>
        <v>MATCH</v>
      </c>
      <c r="N84" s="10"/>
      <c r="O84" s="77">
        <v>476</v>
      </c>
    </row>
    <row r="85" spans="3:15" x14ac:dyDescent="0.3">
      <c r="C85" s="83" t="s">
        <v>108</v>
      </c>
      <c r="D85" s="69">
        <v>12</v>
      </c>
      <c r="E85" s="69">
        <v>714</v>
      </c>
      <c r="F85" s="69">
        <v>0.8</v>
      </c>
      <c r="G85" s="69">
        <v>6</v>
      </c>
      <c r="H85" s="49">
        <f t="shared" ref="H85:H148" si="12">((22/(7*4))*(D85^2)/(1000^2))*J85*$B$24</f>
        <v>0</v>
      </c>
      <c r="I85" s="85">
        <v>2</v>
      </c>
      <c r="J85" s="51">
        <f t="shared" si="8"/>
        <v>571.20000000000005</v>
      </c>
      <c r="K85" s="35">
        <f t="shared" si="10"/>
        <v>204</v>
      </c>
      <c r="L85" s="51">
        <f t="shared" si="9"/>
        <v>7</v>
      </c>
      <c r="M85" s="50" t="str">
        <f t="shared" si="11"/>
        <v>MATCH</v>
      </c>
      <c r="N85" s="11"/>
      <c r="O85" s="80">
        <v>204</v>
      </c>
    </row>
    <row r="86" spans="3:15" x14ac:dyDescent="0.3">
      <c r="C86" s="72" t="s">
        <v>109</v>
      </c>
      <c r="D86" s="55">
        <v>32</v>
      </c>
      <c r="E86" s="55">
        <v>14</v>
      </c>
      <c r="F86" s="55">
        <v>8.49</v>
      </c>
      <c r="G86" s="55">
        <v>9</v>
      </c>
      <c r="H86" s="39">
        <f t="shared" si="12"/>
        <v>0</v>
      </c>
      <c r="I86" s="73">
        <v>2</v>
      </c>
      <c r="J86" s="41">
        <f t="shared" si="8"/>
        <v>118.86</v>
      </c>
      <c r="K86" s="23">
        <f t="shared" si="10"/>
        <v>28</v>
      </c>
      <c r="L86" s="41">
        <f t="shared" si="9"/>
        <v>1</v>
      </c>
      <c r="M86" s="40" t="str">
        <f t="shared" si="11"/>
        <v>MATCH</v>
      </c>
      <c r="N86" s="9"/>
      <c r="O86" s="74">
        <v>28</v>
      </c>
    </row>
    <row r="87" spans="3:15" x14ac:dyDescent="0.3">
      <c r="C87" s="75" t="s">
        <v>110</v>
      </c>
      <c r="D87" s="57">
        <v>32</v>
      </c>
      <c r="E87" s="57">
        <v>14</v>
      </c>
      <c r="F87" s="57">
        <v>8.4499999999999993</v>
      </c>
      <c r="G87" s="57">
        <v>9</v>
      </c>
      <c r="H87" s="44">
        <f t="shared" si="12"/>
        <v>0</v>
      </c>
      <c r="I87" s="71">
        <v>2</v>
      </c>
      <c r="J87" s="46">
        <f t="shared" si="8"/>
        <v>118.29999999999998</v>
      </c>
      <c r="K87" s="29">
        <f t="shared" si="10"/>
        <v>28</v>
      </c>
      <c r="L87" s="46">
        <f t="shared" si="9"/>
        <v>1</v>
      </c>
      <c r="M87" s="45" t="str">
        <f t="shared" si="11"/>
        <v>MATCH</v>
      </c>
      <c r="N87" s="10"/>
      <c r="O87" s="76">
        <v>28</v>
      </c>
    </row>
    <row r="88" spans="3:15" x14ac:dyDescent="0.3">
      <c r="C88" s="75" t="s">
        <v>111</v>
      </c>
      <c r="D88" s="57">
        <v>25</v>
      </c>
      <c r="E88" s="57">
        <v>14</v>
      </c>
      <c r="F88" s="57">
        <v>4.3099999999999996</v>
      </c>
      <c r="G88" s="57">
        <v>9</v>
      </c>
      <c r="H88" s="44">
        <f t="shared" si="12"/>
        <v>0</v>
      </c>
      <c r="I88" s="70">
        <v>2</v>
      </c>
      <c r="J88" s="46">
        <f t="shared" si="8"/>
        <v>60.339999999999996</v>
      </c>
      <c r="K88" s="29">
        <f t="shared" si="10"/>
        <v>14</v>
      </c>
      <c r="L88" s="46">
        <f t="shared" si="9"/>
        <v>2</v>
      </c>
      <c r="M88" s="45" t="str">
        <f t="shared" si="11"/>
        <v>MATCH</v>
      </c>
      <c r="N88" s="10"/>
      <c r="O88" s="77">
        <v>14</v>
      </c>
    </row>
    <row r="89" spans="3:15" x14ac:dyDescent="0.3">
      <c r="C89" s="75" t="s">
        <v>112</v>
      </c>
      <c r="D89" s="57">
        <v>32</v>
      </c>
      <c r="E89" s="57">
        <v>14</v>
      </c>
      <c r="F89" s="57">
        <v>12</v>
      </c>
      <c r="G89" s="57">
        <v>12</v>
      </c>
      <c r="H89" s="44">
        <f t="shared" si="12"/>
        <v>0</v>
      </c>
      <c r="I89" s="71">
        <v>2</v>
      </c>
      <c r="J89" s="46">
        <f t="shared" si="8"/>
        <v>168</v>
      </c>
      <c r="K89" s="29">
        <f t="shared" si="10"/>
        <v>28</v>
      </c>
      <c r="L89" s="46">
        <f t="shared" si="9"/>
        <v>1</v>
      </c>
      <c r="M89" s="45" t="str">
        <f t="shared" si="11"/>
        <v>MATCH</v>
      </c>
      <c r="N89" s="10"/>
      <c r="O89" s="76">
        <v>28</v>
      </c>
    </row>
    <row r="90" spans="3:15" x14ac:dyDescent="0.3">
      <c r="C90" s="75" t="s">
        <v>113</v>
      </c>
      <c r="D90" s="57">
        <v>32</v>
      </c>
      <c r="E90" s="57">
        <v>14</v>
      </c>
      <c r="F90" s="57">
        <v>6.21</v>
      </c>
      <c r="G90" s="57">
        <v>7.5</v>
      </c>
      <c r="H90" s="44">
        <f t="shared" si="12"/>
        <v>0</v>
      </c>
      <c r="I90" s="70">
        <v>2</v>
      </c>
      <c r="J90" s="46">
        <f t="shared" si="8"/>
        <v>86.94</v>
      </c>
      <c r="K90" s="29">
        <f t="shared" si="10"/>
        <v>28</v>
      </c>
      <c r="L90" s="46">
        <f t="shared" si="9"/>
        <v>1</v>
      </c>
      <c r="M90" s="45" t="str">
        <f t="shared" si="11"/>
        <v>MATCH</v>
      </c>
      <c r="N90" s="10"/>
      <c r="O90" s="77">
        <v>28</v>
      </c>
    </row>
    <row r="91" spans="3:15" x14ac:dyDescent="0.3">
      <c r="C91" s="75" t="s">
        <v>114</v>
      </c>
      <c r="D91" s="57">
        <v>25</v>
      </c>
      <c r="E91" s="57">
        <v>14</v>
      </c>
      <c r="F91" s="57">
        <v>3</v>
      </c>
      <c r="G91" s="57">
        <v>6</v>
      </c>
      <c r="H91" s="44">
        <f t="shared" si="12"/>
        <v>0</v>
      </c>
      <c r="I91" s="71">
        <v>2</v>
      </c>
      <c r="J91" s="46">
        <f t="shared" si="8"/>
        <v>42</v>
      </c>
      <c r="K91" s="29">
        <f t="shared" si="10"/>
        <v>14</v>
      </c>
      <c r="L91" s="46">
        <f t="shared" si="9"/>
        <v>2</v>
      </c>
      <c r="M91" s="45" t="str">
        <f t="shared" si="11"/>
        <v>MATCH</v>
      </c>
      <c r="N91" s="10"/>
      <c r="O91" s="76">
        <v>14</v>
      </c>
    </row>
    <row r="92" spans="3:15" x14ac:dyDescent="0.3">
      <c r="C92" s="75" t="s">
        <v>115</v>
      </c>
      <c r="D92" s="57">
        <v>10</v>
      </c>
      <c r="E92" s="57">
        <v>49</v>
      </c>
      <c r="F92" s="57">
        <v>2.72</v>
      </c>
      <c r="G92" s="57">
        <v>6</v>
      </c>
      <c r="H92" s="44">
        <f t="shared" si="12"/>
        <v>0</v>
      </c>
      <c r="I92" s="70">
        <v>2</v>
      </c>
      <c r="J92" s="46">
        <f t="shared" si="8"/>
        <v>133.28</v>
      </c>
      <c r="K92" s="29">
        <f t="shared" si="10"/>
        <v>49</v>
      </c>
      <c r="L92" s="46">
        <f t="shared" si="9"/>
        <v>2</v>
      </c>
      <c r="M92" s="45" t="str">
        <f t="shared" si="11"/>
        <v>MATCH</v>
      </c>
      <c r="N92" s="10"/>
      <c r="O92" s="77">
        <v>49</v>
      </c>
    </row>
    <row r="93" spans="3:15" x14ac:dyDescent="0.3">
      <c r="C93" s="75" t="s">
        <v>116</v>
      </c>
      <c r="D93" s="57">
        <v>10</v>
      </c>
      <c r="E93" s="57">
        <v>98</v>
      </c>
      <c r="F93" s="57">
        <v>2.04</v>
      </c>
      <c r="G93" s="57">
        <v>6</v>
      </c>
      <c r="H93" s="44">
        <f t="shared" si="12"/>
        <v>0</v>
      </c>
      <c r="I93" s="71">
        <v>2</v>
      </c>
      <c r="J93" s="46">
        <f t="shared" si="8"/>
        <v>199.92000000000002</v>
      </c>
      <c r="K93" s="29">
        <f t="shared" si="10"/>
        <v>98</v>
      </c>
      <c r="L93" s="46">
        <f t="shared" si="9"/>
        <v>2</v>
      </c>
      <c r="M93" s="45" t="str">
        <f t="shared" si="11"/>
        <v>MATCH</v>
      </c>
      <c r="N93" s="10"/>
      <c r="O93" s="76">
        <v>98</v>
      </c>
    </row>
    <row r="94" spans="3:15" x14ac:dyDescent="0.3">
      <c r="C94" s="75" t="s">
        <v>117</v>
      </c>
      <c r="D94" s="57">
        <v>10</v>
      </c>
      <c r="E94" s="57">
        <v>98</v>
      </c>
      <c r="F94" s="57">
        <v>0.77</v>
      </c>
      <c r="G94" s="57">
        <v>6</v>
      </c>
      <c r="H94" s="44">
        <f t="shared" si="12"/>
        <v>0</v>
      </c>
      <c r="I94" s="70">
        <v>2</v>
      </c>
      <c r="J94" s="46">
        <f t="shared" si="8"/>
        <v>75.460000000000008</v>
      </c>
      <c r="K94" s="29">
        <f t="shared" si="10"/>
        <v>28</v>
      </c>
      <c r="L94" s="46">
        <f t="shared" si="9"/>
        <v>7</v>
      </c>
      <c r="M94" s="45" t="str">
        <f t="shared" si="11"/>
        <v>MATCH</v>
      </c>
      <c r="N94" s="10"/>
      <c r="O94" s="77">
        <v>28</v>
      </c>
    </row>
    <row r="95" spans="3:15" x14ac:dyDescent="0.3">
      <c r="C95" s="75" t="s">
        <v>118</v>
      </c>
      <c r="D95" s="57">
        <v>12</v>
      </c>
      <c r="E95" s="57">
        <v>136</v>
      </c>
      <c r="F95" s="57">
        <v>2.77</v>
      </c>
      <c r="G95" s="57">
        <v>6</v>
      </c>
      <c r="H95" s="44">
        <f t="shared" si="12"/>
        <v>0</v>
      </c>
      <c r="I95" s="71">
        <v>2</v>
      </c>
      <c r="J95" s="46">
        <f t="shared" si="8"/>
        <v>376.72</v>
      </c>
      <c r="K95" s="29">
        <f t="shared" si="10"/>
        <v>136</v>
      </c>
      <c r="L95" s="46">
        <f t="shared" si="9"/>
        <v>2</v>
      </c>
      <c r="M95" s="45" t="str">
        <f t="shared" si="11"/>
        <v>MATCH</v>
      </c>
      <c r="N95" s="10"/>
      <c r="O95" s="76">
        <v>136</v>
      </c>
    </row>
    <row r="96" spans="3:15" x14ac:dyDescent="0.3">
      <c r="C96" s="75" t="s">
        <v>119</v>
      </c>
      <c r="D96" s="57">
        <v>12</v>
      </c>
      <c r="E96" s="57">
        <v>272</v>
      </c>
      <c r="F96" s="57">
        <v>2.08</v>
      </c>
      <c r="G96" s="57">
        <v>6</v>
      </c>
      <c r="H96" s="44">
        <f t="shared" si="12"/>
        <v>0</v>
      </c>
      <c r="I96" s="70">
        <v>2</v>
      </c>
      <c r="J96" s="46">
        <f t="shared" si="8"/>
        <v>565.76</v>
      </c>
      <c r="K96" s="29">
        <f t="shared" si="10"/>
        <v>272</v>
      </c>
      <c r="L96" s="46">
        <f t="shared" si="9"/>
        <v>2</v>
      </c>
      <c r="M96" s="45" t="str">
        <f t="shared" si="11"/>
        <v>MATCH</v>
      </c>
      <c r="N96" s="10"/>
      <c r="O96" s="77">
        <v>272</v>
      </c>
    </row>
    <row r="97" spans="3:15" x14ac:dyDescent="0.3">
      <c r="C97" s="75" t="s">
        <v>120</v>
      </c>
      <c r="D97" s="57">
        <v>12</v>
      </c>
      <c r="E97" s="57">
        <v>272</v>
      </c>
      <c r="F97" s="57">
        <v>0.8</v>
      </c>
      <c r="G97" s="57">
        <v>6</v>
      </c>
      <c r="H97" s="44">
        <f t="shared" si="12"/>
        <v>0</v>
      </c>
      <c r="I97" s="71">
        <v>2</v>
      </c>
      <c r="J97" s="46">
        <f t="shared" si="8"/>
        <v>217.60000000000002</v>
      </c>
      <c r="K97" s="29">
        <f t="shared" si="10"/>
        <v>78</v>
      </c>
      <c r="L97" s="46">
        <f t="shared" si="9"/>
        <v>7</v>
      </c>
      <c r="M97" s="45" t="str">
        <f t="shared" si="11"/>
        <v>MATCH</v>
      </c>
      <c r="N97" s="10"/>
      <c r="O97" s="76">
        <v>78</v>
      </c>
    </row>
    <row r="98" spans="3:15" x14ac:dyDescent="0.3">
      <c r="C98" s="75" t="s">
        <v>121</v>
      </c>
      <c r="D98" s="57">
        <v>12</v>
      </c>
      <c r="E98" s="57">
        <v>33</v>
      </c>
      <c r="F98" s="57">
        <v>2.75</v>
      </c>
      <c r="G98" s="57">
        <v>6</v>
      </c>
      <c r="H98" s="44">
        <f t="shared" si="12"/>
        <v>0</v>
      </c>
      <c r="I98" s="70">
        <v>2</v>
      </c>
      <c r="J98" s="46">
        <f t="shared" si="8"/>
        <v>90.75</v>
      </c>
      <c r="K98" s="29">
        <f t="shared" si="10"/>
        <v>33</v>
      </c>
      <c r="L98" s="46">
        <f t="shared" si="9"/>
        <v>2</v>
      </c>
      <c r="M98" s="45" t="str">
        <f t="shared" si="11"/>
        <v>MATCH</v>
      </c>
      <c r="N98" s="10"/>
      <c r="O98" s="77">
        <v>33</v>
      </c>
    </row>
    <row r="99" spans="3:15" x14ac:dyDescent="0.3">
      <c r="C99" s="75" t="s">
        <v>122</v>
      </c>
      <c r="D99" s="57">
        <v>12</v>
      </c>
      <c r="E99" s="57">
        <v>66</v>
      </c>
      <c r="F99" s="57">
        <v>1.95</v>
      </c>
      <c r="G99" s="57">
        <v>6</v>
      </c>
      <c r="H99" s="44">
        <f t="shared" si="12"/>
        <v>0</v>
      </c>
      <c r="I99" s="71">
        <v>2</v>
      </c>
      <c r="J99" s="46">
        <f t="shared" si="8"/>
        <v>128.69999999999999</v>
      </c>
      <c r="K99" s="29">
        <f t="shared" si="10"/>
        <v>44</v>
      </c>
      <c r="L99" s="46">
        <f t="shared" si="9"/>
        <v>3</v>
      </c>
      <c r="M99" s="45" t="str">
        <f t="shared" si="11"/>
        <v>MATCH</v>
      </c>
      <c r="N99" s="10"/>
      <c r="O99" s="76">
        <v>44</v>
      </c>
    </row>
    <row r="100" spans="3:15" x14ac:dyDescent="0.3">
      <c r="C100" s="78" t="s">
        <v>123</v>
      </c>
      <c r="D100" s="59">
        <v>12</v>
      </c>
      <c r="E100" s="59">
        <v>66</v>
      </c>
      <c r="F100" s="59">
        <v>0.8</v>
      </c>
      <c r="G100" s="59">
        <v>6</v>
      </c>
      <c r="H100" s="49">
        <f t="shared" si="12"/>
        <v>0</v>
      </c>
      <c r="I100" s="79">
        <v>2</v>
      </c>
      <c r="J100" s="51">
        <f t="shared" si="8"/>
        <v>52.800000000000004</v>
      </c>
      <c r="K100" s="35">
        <f t="shared" si="10"/>
        <v>19</v>
      </c>
      <c r="L100" s="51">
        <f t="shared" si="9"/>
        <v>7</v>
      </c>
      <c r="M100" s="50" t="str">
        <f t="shared" si="11"/>
        <v>MATCH</v>
      </c>
      <c r="N100" s="11"/>
      <c r="O100" s="84">
        <v>19</v>
      </c>
    </row>
    <row r="101" spans="3:15" x14ac:dyDescent="0.3">
      <c r="C101" s="81" t="s">
        <v>124</v>
      </c>
      <c r="D101" s="61">
        <v>32</v>
      </c>
      <c r="E101" s="61">
        <v>14</v>
      </c>
      <c r="F101" s="61">
        <v>10.5</v>
      </c>
      <c r="G101" s="61">
        <v>10.5</v>
      </c>
      <c r="H101" s="39">
        <f t="shared" si="12"/>
        <v>0</v>
      </c>
      <c r="I101" s="73">
        <v>1</v>
      </c>
      <c r="J101" s="41">
        <f t="shared" si="8"/>
        <v>147</v>
      </c>
      <c r="K101" s="23">
        <f t="shared" si="10"/>
        <v>14</v>
      </c>
      <c r="L101" s="41">
        <f t="shared" si="9"/>
        <v>1</v>
      </c>
      <c r="M101" s="40" t="str">
        <f t="shared" si="11"/>
        <v>MATCH</v>
      </c>
      <c r="N101" s="9"/>
      <c r="O101" s="74">
        <v>14</v>
      </c>
    </row>
    <row r="102" spans="3:15" x14ac:dyDescent="0.3">
      <c r="C102" s="82" t="s">
        <v>125</v>
      </c>
      <c r="D102" s="63">
        <v>25</v>
      </c>
      <c r="E102" s="63">
        <v>14</v>
      </c>
      <c r="F102" s="63">
        <v>8.31</v>
      </c>
      <c r="G102" s="63">
        <v>9</v>
      </c>
      <c r="H102" s="44">
        <f t="shared" si="12"/>
        <v>0</v>
      </c>
      <c r="I102" s="71">
        <v>1</v>
      </c>
      <c r="J102" s="46">
        <f t="shared" si="8"/>
        <v>116.34</v>
      </c>
      <c r="K102" s="29">
        <f t="shared" si="10"/>
        <v>14</v>
      </c>
      <c r="L102" s="46">
        <f t="shared" si="9"/>
        <v>1</v>
      </c>
      <c r="M102" s="45" t="str">
        <f t="shared" si="11"/>
        <v>MATCH</v>
      </c>
      <c r="N102" s="10"/>
      <c r="O102" s="76">
        <v>14</v>
      </c>
    </row>
    <row r="103" spans="3:15" x14ac:dyDescent="0.3">
      <c r="C103" s="82" t="s">
        <v>126</v>
      </c>
      <c r="D103" s="63">
        <v>32</v>
      </c>
      <c r="E103" s="63">
        <v>14</v>
      </c>
      <c r="F103" s="63">
        <v>12</v>
      </c>
      <c r="G103" s="63">
        <v>12</v>
      </c>
      <c r="H103" s="44">
        <f t="shared" si="12"/>
        <v>0</v>
      </c>
      <c r="I103" s="70">
        <v>1</v>
      </c>
      <c r="J103" s="46">
        <f t="shared" si="8"/>
        <v>168</v>
      </c>
      <c r="K103" s="29">
        <f t="shared" si="10"/>
        <v>14</v>
      </c>
      <c r="L103" s="46">
        <f t="shared" si="9"/>
        <v>1</v>
      </c>
      <c r="M103" s="45" t="str">
        <f t="shared" si="11"/>
        <v>MATCH</v>
      </c>
      <c r="N103" s="10"/>
      <c r="O103" s="77">
        <v>14</v>
      </c>
    </row>
    <row r="104" spans="3:15" x14ac:dyDescent="0.3">
      <c r="C104" s="82" t="s">
        <v>127</v>
      </c>
      <c r="D104" s="63">
        <v>25</v>
      </c>
      <c r="E104" s="63">
        <v>14</v>
      </c>
      <c r="F104" s="63">
        <v>7.06</v>
      </c>
      <c r="G104" s="63">
        <v>7.5</v>
      </c>
      <c r="H104" s="44">
        <f t="shared" si="12"/>
        <v>0</v>
      </c>
      <c r="I104" s="71">
        <v>1</v>
      </c>
      <c r="J104" s="46">
        <f t="shared" si="8"/>
        <v>98.839999999999989</v>
      </c>
      <c r="K104" s="29">
        <f t="shared" si="10"/>
        <v>14</v>
      </c>
      <c r="L104" s="46">
        <f t="shared" si="9"/>
        <v>1</v>
      </c>
      <c r="M104" s="45" t="str">
        <f t="shared" si="11"/>
        <v>MATCH</v>
      </c>
      <c r="N104" s="10"/>
      <c r="O104" s="76">
        <v>14</v>
      </c>
    </row>
    <row r="105" spans="3:15" x14ac:dyDescent="0.3">
      <c r="C105" s="82" t="s">
        <v>128</v>
      </c>
      <c r="D105" s="63">
        <v>12</v>
      </c>
      <c r="E105" s="63">
        <v>63</v>
      </c>
      <c r="F105" s="63">
        <v>2.75</v>
      </c>
      <c r="G105" s="63">
        <v>6</v>
      </c>
      <c r="H105" s="44">
        <f t="shared" si="12"/>
        <v>0</v>
      </c>
      <c r="I105" s="70">
        <v>1</v>
      </c>
      <c r="J105" s="46">
        <f t="shared" si="8"/>
        <v>173.25</v>
      </c>
      <c r="K105" s="29">
        <f t="shared" si="10"/>
        <v>32</v>
      </c>
      <c r="L105" s="46">
        <f t="shared" si="9"/>
        <v>2</v>
      </c>
      <c r="M105" s="45" t="str">
        <f t="shared" si="11"/>
        <v>MATCH</v>
      </c>
      <c r="N105" s="10"/>
      <c r="O105" s="77">
        <v>32</v>
      </c>
    </row>
    <row r="106" spans="3:15" x14ac:dyDescent="0.3">
      <c r="C106" s="82" t="s">
        <v>129</v>
      </c>
      <c r="D106" s="63">
        <v>12</v>
      </c>
      <c r="E106" s="63">
        <v>126</v>
      </c>
      <c r="F106" s="63">
        <v>2.0699999999999998</v>
      </c>
      <c r="G106" s="63">
        <v>6</v>
      </c>
      <c r="H106" s="44">
        <f t="shared" si="12"/>
        <v>0</v>
      </c>
      <c r="I106" s="71">
        <v>1</v>
      </c>
      <c r="J106" s="46">
        <f t="shared" si="8"/>
        <v>260.82</v>
      </c>
      <c r="K106" s="29">
        <f t="shared" si="10"/>
        <v>63</v>
      </c>
      <c r="L106" s="46">
        <f t="shared" si="9"/>
        <v>2</v>
      </c>
      <c r="M106" s="45" t="str">
        <f t="shared" si="11"/>
        <v>MATCH</v>
      </c>
      <c r="N106" s="10"/>
      <c r="O106" s="76">
        <v>63</v>
      </c>
    </row>
    <row r="107" spans="3:15" x14ac:dyDescent="0.3">
      <c r="C107" s="82" t="s">
        <v>130</v>
      </c>
      <c r="D107" s="63">
        <v>12</v>
      </c>
      <c r="E107" s="63">
        <v>126</v>
      </c>
      <c r="F107" s="63">
        <v>0.8</v>
      </c>
      <c r="G107" s="63">
        <v>6</v>
      </c>
      <c r="H107" s="44">
        <f t="shared" si="12"/>
        <v>0</v>
      </c>
      <c r="I107" s="70">
        <v>1</v>
      </c>
      <c r="J107" s="46">
        <f t="shared" si="8"/>
        <v>100.80000000000001</v>
      </c>
      <c r="K107" s="29">
        <f t="shared" si="10"/>
        <v>18</v>
      </c>
      <c r="L107" s="46">
        <f t="shared" si="9"/>
        <v>7</v>
      </c>
      <c r="M107" s="45" t="str">
        <f t="shared" si="11"/>
        <v>MATCH</v>
      </c>
      <c r="N107" s="10"/>
      <c r="O107" s="77">
        <v>18</v>
      </c>
    </row>
    <row r="108" spans="3:15" x14ac:dyDescent="0.3">
      <c r="C108" s="82" t="s">
        <v>131</v>
      </c>
      <c r="D108" s="63">
        <v>16</v>
      </c>
      <c r="E108" s="63">
        <v>55</v>
      </c>
      <c r="F108" s="63">
        <v>2.83</v>
      </c>
      <c r="G108" s="63">
        <v>6</v>
      </c>
      <c r="H108" s="44">
        <f t="shared" si="12"/>
        <v>0</v>
      </c>
      <c r="I108" s="71">
        <v>1</v>
      </c>
      <c r="J108" s="46">
        <f t="shared" si="8"/>
        <v>155.65</v>
      </c>
      <c r="K108" s="29">
        <f t="shared" si="10"/>
        <v>28</v>
      </c>
      <c r="L108" s="46">
        <f t="shared" si="9"/>
        <v>2</v>
      </c>
      <c r="M108" s="45" t="str">
        <f t="shared" si="11"/>
        <v>MATCH</v>
      </c>
      <c r="N108" s="10"/>
      <c r="O108" s="76">
        <v>28</v>
      </c>
    </row>
    <row r="109" spans="3:15" x14ac:dyDescent="0.3">
      <c r="C109" s="82" t="s">
        <v>132</v>
      </c>
      <c r="D109" s="63">
        <v>16</v>
      </c>
      <c r="E109" s="63">
        <v>110</v>
      </c>
      <c r="F109" s="63">
        <v>3.05</v>
      </c>
      <c r="G109" s="63">
        <v>7.5</v>
      </c>
      <c r="H109" s="44">
        <f t="shared" si="12"/>
        <v>0</v>
      </c>
      <c r="I109" s="70">
        <v>1</v>
      </c>
      <c r="J109" s="46">
        <f t="shared" si="8"/>
        <v>335.5</v>
      </c>
      <c r="K109" s="29">
        <f t="shared" si="10"/>
        <v>55</v>
      </c>
      <c r="L109" s="46">
        <f t="shared" si="9"/>
        <v>2</v>
      </c>
      <c r="M109" s="45" t="str">
        <f t="shared" si="11"/>
        <v>MATCH</v>
      </c>
      <c r="N109" s="10"/>
      <c r="O109" s="77">
        <v>55</v>
      </c>
    </row>
    <row r="110" spans="3:15" x14ac:dyDescent="0.3">
      <c r="C110" s="82" t="s">
        <v>133</v>
      </c>
      <c r="D110" s="63">
        <v>16</v>
      </c>
      <c r="E110" s="63">
        <v>110</v>
      </c>
      <c r="F110" s="63">
        <v>0.86</v>
      </c>
      <c r="G110" s="63">
        <v>6</v>
      </c>
      <c r="H110" s="44">
        <f t="shared" si="12"/>
        <v>0</v>
      </c>
      <c r="I110" s="71">
        <v>1</v>
      </c>
      <c r="J110" s="46">
        <f t="shared" si="8"/>
        <v>94.6</v>
      </c>
      <c r="K110" s="29">
        <f t="shared" si="10"/>
        <v>19</v>
      </c>
      <c r="L110" s="46">
        <f t="shared" si="9"/>
        <v>6</v>
      </c>
      <c r="M110" s="45" t="str">
        <f t="shared" si="11"/>
        <v>MATCH</v>
      </c>
      <c r="N110" s="10"/>
      <c r="O110" s="76">
        <v>19</v>
      </c>
    </row>
    <row r="111" spans="3:15" x14ac:dyDescent="0.3">
      <c r="C111" s="82" t="s">
        <v>134</v>
      </c>
      <c r="D111" s="63">
        <v>16</v>
      </c>
      <c r="E111" s="63">
        <v>55</v>
      </c>
      <c r="F111" s="63">
        <v>2.8</v>
      </c>
      <c r="G111" s="63">
        <v>6</v>
      </c>
      <c r="H111" s="44">
        <f t="shared" si="12"/>
        <v>0</v>
      </c>
      <c r="I111" s="70">
        <v>1</v>
      </c>
      <c r="J111" s="46">
        <f t="shared" si="8"/>
        <v>154</v>
      </c>
      <c r="K111" s="29">
        <f t="shared" si="10"/>
        <v>28</v>
      </c>
      <c r="L111" s="46">
        <f t="shared" si="9"/>
        <v>2</v>
      </c>
      <c r="M111" s="45" t="str">
        <f t="shared" si="11"/>
        <v>MATCH</v>
      </c>
      <c r="N111" s="10"/>
      <c r="O111" s="77">
        <v>28</v>
      </c>
    </row>
    <row r="112" spans="3:15" x14ac:dyDescent="0.3">
      <c r="C112" s="82" t="s">
        <v>135</v>
      </c>
      <c r="D112" s="63">
        <v>16</v>
      </c>
      <c r="E112" s="63">
        <v>110</v>
      </c>
      <c r="F112" s="63">
        <v>1.85</v>
      </c>
      <c r="G112" s="63">
        <v>6</v>
      </c>
      <c r="H112" s="44">
        <f t="shared" si="12"/>
        <v>0</v>
      </c>
      <c r="I112" s="71">
        <v>1</v>
      </c>
      <c r="J112" s="46">
        <f t="shared" si="8"/>
        <v>203.5</v>
      </c>
      <c r="K112" s="29">
        <f t="shared" si="10"/>
        <v>37</v>
      </c>
      <c r="L112" s="46">
        <f t="shared" si="9"/>
        <v>3</v>
      </c>
      <c r="M112" s="45" t="str">
        <f t="shared" si="11"/>
        <v>MATCH</v>
      </c>
      <c r="N112" s="10"/>
      <c r="O112" s="76">
        <v>37</v>
      </c>
    </row>
    <row r="113" spans="3:15" x14ac:dyDescent="0.3">
      <c r="C113" s="82" t="s">
        <v>136</v>
      </c>
      <c r="D113" s="63">
        <v>12</v>
      </c>
      <c r="E113" s="63">
        <v>28</v>
      </c>
      <c r="F113" s="63">
        <v>2.72</v>
      </c>
      <c r="G113" s="63">
        <v>6</v>
      </c>
      <c r="H113" s="44">
        <f t="shared" si="12"/>
        <v>0</v>
      </c>
      <c r="I113" s="70">
        <v>1</v>
      </c>
      <c r="J113" s="46">
        <f t="shared" si="8"/>
        <v>76.160000000000011</v>
      </c>
      <c r="K113" s="29">
        <f t="shared" si="10"/>
        <v>14</v>
      </c>
      <c r="L113" s="46">
        <f t="shared" si="9"/>
        <v>2</v>
      </c>
      <c r="M113" s="45" t="str">
        <f t="shared" si="11"/>
        <v>MATCH</v>
      </c>
      <c r="N113" s="10"/>
      <c r="O113" s="77">
        <v>14</v>
      </c>
    </row>
    <row r="114" spans="3:15" x14ac:dyDescent="0.3">
      <c r="C114" s="83" t="s">
        <v>137</v>
      </c>
      <c r="D114" s="69">
        <v>12</v>
      </c>
      <c r="E114" s="69">
        <v>56</v>
      </c>
      <c r="F114" s="69">
        <v>1.77</v>
      </c>
      <c r="G114" s="69">
        <v>6</v>
      </c>
      <c r="H114" s="49">
        <f t="shared" si="12"/>
        <v>0</v>
      </c>
      <c r="I114" s="85">
        <v>1</v>
      </c>
      <c r="J114" s="51">
        <f t="shared" si="8"/>
        <v>99.12</v>
      </c>
      <c r="K114" s="35">
        <f t="shared" si="10"/>
        <v>19</v>
      </c>
      <c r="L114" s="51">
        <f t="shared" si="9"/>
        <v>3</v>
      </c>
      <c r="M114" s="50" t="str">
        <f t="shared" si="11"/>
        <v>MATCH</v>
      </c>
      <c r="N114" s="11"/>
      <c r="O114" s="80">
        <v>19</v>
      </c>
    </row>
    <row r="115" spans="3:15" x14ac:dyDescent="0.3">
      <c r="C115" s="72" t="s">
        <v>138</v>
      </c>
      <c r="D115" s="55">
        <v>32</v>
      </c>
      <c r="E115" s="55">
        <v>14</v>
      </c>
      <c r="F115" s="55">
        <v>7</v>
      </c>
      <c r="G115" s="55">
        <v>7.5</v>
      </c>
      <c r="H115" s="39">
        <f t="shared" si="12"/>
        <v>0</v>
      </c>
      <c r="I115" s="73">
        <v>1</v>
      </c>
      <c r="J115" s="41">
        <f t="shared" si="8"/>
        <v>98</v>
      </c>
      <c r="K115" s="23">
        <f t="shared" si="10"/>
        <v>14</v>
      </c>
      <c r="L115" s="41">
        <f t="shared" si="9"/>
        <v>1</v>
      </c>
      <c r="M115" s="40" t="str">
        <f t="shared" si="11"/>
        <v>MATCH</v>
      </c>
      <c r="N115" s="9"/>
      <c r="O115" s="74">
        <v>14</v>
      </c>
    </row>
    <row r="116" spans="3:15" x14ac:dyDescent="0.3">
      <c r="C116" s="75" t="s">
        <v>139</v>
      </c>
      <c r="D116" s="57">
        <v>25</v>
      </c>
      <c r="E116" s="57">
        <v>10</v>
      </c>
      <c r="F116" s="57">
        <v>11.95</v>
      </c>
      <c r="G116" s="57">
        <v>12</v>
      </c>
      <c r="H116" s="44">
        <f t="shared" si="12"/>
        <v>0</v>
      </c>
      <c r="I116" s="71">
        <v>1</v>
      </c>
      <c r="J116" s="46">
        <f t="shared" si="8"/>
        <v>119.5</v>
      </c>
      <c r="K116" s="29">
        <f t="shared" si="10"/>
        <v>10</v>
      </c>
      <c r="L116" s="46">
        <f t="shared" si="9"/>
        <v>1</v>
      </c>
      <c r="M116" s="45" t="str">
        <f t="shared" si="11"/>
        <v>MATCH</v>
      </c>
      <c r="N116" s="10"/>
      <c r="O116" s="76">
        <v>10</v>
      </c>
    </row>
    <row r="117" spans="3:15" x14ac:dyDescent="0.3">
      <c r="C117" s="75" t="s">
        <v>140</v>
      </c>
      <c r="D117" s="57">
        <v>32</v>
      </c>
      <c r="E117" s="57">
        <v>14</v>
      </c>
      <c r="F117" s="57">
        <v>8.31</v>
      </c>
      <c r="G117" s="57">
        <v>9</v>
      </c>
      <c r="H117" s="44">
        <f t="shared" si="12"/>
        <v>0</v>
      </c>
      <c r="I117" s="70">
        <v>1</v>
      </c>
      <c r="J117" s="46">
        <f t="shared" si="8"/>
        <v>116.34</v>
      </c>
      <c r="K117" s="29">
        <f t="shared" si="10"/>
        <v>14</v>
      </c>
      <c r="L117" s="46">
        <f t="shared" si="9"/>
        <v>1</v>
      </c>
      <c r="M117" s="45" t="str">
        <f t="shared" si="11"/>
        <v>MATCH</v>
      </c>
      <c r="N117" s="10"/>
      <c r="O117" s="77">
        <v>14</v>
      </c>
    </row>
    <row r="118" spans="3:15" x14ac:dyDescent="0.3">
      <c r="C118" s="75" t="s">
        <v>141</v>
      </c>
      <c r="D118" s="57">
        <v>25</v>
      </c>
      <c r="E118" s="57">
        <v>10</v>
      </c>
      <c r="F118" s="57">
        <v>11.06</v>
      </c>
      <c r="G118" s="57">
        <v>12</v>
      </c>
      <c r="H118" s="44">
        <f t="shared" si="12"/>
        <v>0</v>
      </c>
      <c r="I118" s="71">
        <v>1</v>
      </c>
      <c r="J118" s="46">
        <f t="shared" si="8"/>
        <v>110.60000000000001</v>
      </c>
      <c r="K118" s="29">
        <f t="shared" si="10"/>
        <v>10</v>
      </c>
      <c r="L118" s="46">
        <f t="shared" si="9"/>
        <v>1</v>
      </c>
      <c r="M118" s="45" t="str">
        <f t="shared" si="11"/>
        <v>MATCH</v>
      </c>
      <c r="N118" s="10"/>
      <c r="O118" s="76">
        <v>10</v>
      </c>
    </row>
    <row r="119" spans="3:15" x14ac:dyDescent="0.3">
      <c r="C119" s="75" t="s">
        <v>142</v>
      </c>
      <c r="D119" s="57">
        <v>25</v>
      </c>
      <c r="E119" s="57">
        <v>4</v>
      </c>
      <c r="F119" s="57">
        <v>8.31</v>
      </c>
      <c r="G119" s="57">
        <v>9</v>
      </c>
      <c r="H119" s="44">
        <f t="shared" si="12"/>
        <v>0</v>
      </c>
      <c r="I119" s="70">
        <v>1</v>
      </c>
      <c r="J119" s="46">
        <f t="shared" si="8"/>
        <v>33.24</v>
      </c>
      <c r="K119" s="29">
        <f t="shared" si="10"/>
        <v>4</v>
      </c>
      <c r="L119" s="46">
        <f t="shared" si="9"/>
        <v>1</v>
      </c>
      <c r="M119" s="45" t="str">
        <f t="shared" si="11"/>
        <v>MATCH</v>
      </c>
      <c r="N119" s="10"/>
      <c r="O119" s="77">
        <v>4</v>
      </c>
    </row>
    <row r="120" spans="3:15" x14ac:dyDescent="0.3">
      <c r="C120" s="75" t="s">
        <v>143</v>
      </c>
      <c r="D120" s="57">
        <v>25</v>
      </c>
      <c r="E120" s="57">
        <v>4</v>
      </c>
      <c r="F120" s="57">
        <v>7.11</v>
      </c>
      <c r="G120" s="57">
        <v>7.5</v>
      </c>
      <c r="H120" s="44">
        <f t="shared" si="12"/>
        <v>0</v>
      </c>
      <c r="I120" s="71">
        <v>1</v>
      </c>
      <c r="J120" s="46">
        <f t="shared" si="8"/>
        <v>28.44</v>
      </c>
      <c r="K120" s="29">
        <f t="shared" si="10"/>
        <v>4</v>
      </c>
      <c r="L120" s="46">
        <f t="shared" si="9"/>
        <v>1</v>
      </c>
      <c r="M120" s="45" t="str">
        <f t="shared" si="11"/>
        <v>MATCH</v>
      </c>
      <c r="N120" s="10"/>
      <c r="O120" s="76">
        <v>4</v>
      </c>
    </row>
    <row r="121" spans="3:15" x14ac:dyDescent="0.3">
      <c r="C121" s="75" t="s">
        <v>144</v>
      </c>
      <c r="D121" s="57">
        <v>25</v>
      </c>
      <c r="E121" s="57">
        <v>10</v>
      </c>
      <c r="F121" s="57">
        <v>1.36</v>
      </c>
      <c r="G121" s="57">
        <v>6</v>
      </c>
      <c r="H121" s="44">
        <f t="shared" si="12"/>
        <v>0</v>
      </c>
      <c r="I121" s="70">
        <v>1</v>
      </c>
      <c r="J121" s="46">
        <f t="shared" si="8"/>
        <v>13.600000000000001</v>
      </c>
      <c r="K121" s="29">
        <f t="shared" si="10"/>
        <v>3</v>
      </c>
      <c r="L121" s="46">
        <f t="shared" si="9"/>
        <v>4</v>
      </c>
      <c r="M121" s="45" t="str">
        <f t="shared" si="11"/>
        <v>MATCH</v>
      </c>
      <c r="N121" s="10"/>
      <c r="O121" s="77">
        <v>3</v>
      </c>
    </row>
    <row r="122" spans="3:15" x14ac:dyDescent="0.3">
      <c r="C122" s="75" t="s">
        <v>145</v>
      </c>
      <c r="D122" s="57">
        <v>12</v>
      </c>
      <c r="E122" s="57">
        <v>63</v>
      </c>
      <c r="F122" s="57">
        <v>2.75</v>
      </c>
      <c r="G122" s="57">
        <v>6</v>
      </c>
      <c r="H122" s="44">
        <f t="shared" si="12"/>
        <v>0</v>
      </c>
      <c r="I122" s="71">
        <v>1</v>
      </c>
      <c r="J122" s="46">
        <f t="shared" si="8"/>
        <v>173.25</v>
      </c>
      <c r="K122" s="29">
        <f t="shared" si="10"/>
        <v>32</v>
      </c>
      <c r="L122" s="46">
        <f t="shared" si="9"/>
        <v>2</v>
      </c>
      <c r="M122" s="45" t="str">
        <f t="shared" si="11"/>
        <v>MATCH</v>
      </c>
      <c r="N122" s="10"/>
      <c r="O122" s="76">
        <v>32</v>
      </c>
    </row>
    <row r="123" spans="3:15" x14ac:dyDescent="0.3">
      <c r="C123" s="75" t="s">
        <v>146</v>
      </c>
      <c r="D123" s="57">
        <v>12</v>
      </c>
      <c r="E123" s="57">
        <v>126</v>
      </c>
      <c r="F123" s="57">
        <v>2.0699999999999998</v>
      </c>
      <c r="G123" s="57">
        <v>6</v>
      </c>
      <c r="H123" s="44">
        <f t="shared" si="12"/>
        <v>0</v>
      </c>
      <c r="I123" s="70">
        <v>1</v>
      </c>
      <c r="J123" s="46">
        <f t="shared" si="8"/>
        <v>260.82</v>
      </c>
      <c r="K123" s="29">
        <f t="shared" si="10"/>
        <v>63</v>
      </c>
      <c r="L123" s="46">
        <f t="shared" si="9"/>
        <v>2</v>
      </c>
      <c r="M123" s="45" t="str">
        <f t="shared" si="11"/>
        <v>MATCH</v>
      </c>
      <c r="N123" s="10"/>
      <c r="O123" s="77">
        <v>63</v>
      </c>
    </row>
    <row r="124" spans="3:15" x14ac:dyDescent="0.3">
      <c r="C124" s="75" t="s">
        <v>147</v>
      </c>
      <c r="D124" s="57">
        <v>12</v>
      </c>
      <c r="E124" s="57">
        <v>126</v>
      </c>
      <c r="F124" s="57">
        <v>0.8</v>
      </c>
      <c r="G124" s="57">
        <v>6</v>
      </c>
      <c r="H124" s="44">
        <f t="shared" si="12"/>
        <v>0</v>
      </c>
      <c r="I124" s="71">
        <v>1</v>
      </c>
      <c r="J124" s="46">
        <f t="shared" si="8"/>
        <v>100.80000000000001</v>
      </c>
      <c r="K124" s="29">
        <f t="shared" si="10"/>
        <v>18</v>
      </c>
      <c r="L124" s="46">
        <f t="shared" si="9"/>
        <v>7</v>
      </c>
      <c r="M124" s="45" t="str">
        <f t="shared" si="11"/>
        <v>MATCH</v>
      </c>
      <c r="N124" s="10"/>
      <c r="O124" s="76">
        <v>18</v>
      </c>
    </row>
    <row r="125" spans="3:15" x14ac:dyDescent="0.3">
      <c r="C125" s="75" t="s">
        <v>148</v>
      </c>
      <c r="D125" s="57">
        <v>12</v>
      </c>
      <c r="E125" s="57">
        <v>61</v>
      </c>
      <c r="F125" s="57">
        <v>2.75</v>
      </c>
      <c r="G125" s="57">
        <v>6</v>
      </c>
      <c r="H125" s="44">
        <f t="shared" si="12"/>
        <v>0</v>
      </c>
      <c r="I125" s="70">
        <v>1</v>
      </c>
      <c r="J125" s="46">
        <f t="shared" si="8"/>
        <v>167.75</v>
      </c>
      <c r="K125" s="29">
        <f t="shared" si="10"/>
        <v>31</v>
      </c>
      <c r="L125" s="46">
        <f t="shared" si="9"/>
        <v>2</v>
      </c>
      <c r="M125" s="45" t="str">
        <f t="shared" si="11"/>
        <v>MATCH</v>
      </c>
      <c r="N125" s="10"/>
      <c r="O125" s="77">
        <v>31</v>
      </c>
    </row>
    <row r="126" spans="3:15" x14ac:dyDescent="0.3">
      <c r="C126" s="75" t="s">
        <v>149</v>
      </c>
      <c r="D126" s="57">
        <v>12</v>
      </c>
      <c r="E126" s="57">
        <v>122</v>
      </c>
      <c r="F126" s="57">
        <v>1.95</v>
      </c>
      <c r="G126" s="57">
        <v>6</v>
      </c>
      <c r="H126" s="44">
        <f t="shared" si="12"/>
        <v>0</v>
      </c>
      <c r="I126" s="71">
        <v>1</v>
      </c>
      <c r="J126" s="46">
        <f t="shared" si="8"/>
        <v>237.9</v>
      </c>
      <c r="K126" s="29">
        <f t="shared" si="10"/>
        <v>41</v>
      </c>
      <c r="L126" s="46">
        <f t="shared" si="9"/>
        <v>3</v>
      </c>
      <c r="M126" s="45" t="str">
        <f t="shared" si="11"/>
        <v>MATCH</v>
      </c>
      <c r="N126" s="10"/>
      <c r="O126" s="76">
        <v>41</v>
      </c>
    </row>
    <row r="127" spans="3:15" x14ac:dyDescent="0.3">
      <c r="C127" s="75" t="s">
        <v>150</v>
      </c>
      <c r="D127" s="57">
        <v>12</v>
      </c>
      <c r="E127" s="57">
        <v>122</v>
      </c>
      <c r="F127" s="57">
        <v>0.8</v>
      </c>
      <c r="G127" s="57">
        <v>6</v>
      </c>
      <c r="H127" s="44">
        <f t="shared" si="12"/>
        <v>0</v>
      </c>
      <c r="I127" s="70">
        <v>1</v>
      </c>
      <c r="J127" s="46">
        <f t="shared" si="8"/>
        <v>97.600000000000009</v>
      </c>
      <c r="K127" s="29">
        <f t="shared" si="10"/>
        <v>18</v>
      </c>
      <c r="L127" s="46">
        <f t="shared" si="9"/>
        <v>7</v>
      </c>
      <c r="M127" s="45" t="str">
        <f t="shared" si="11"/>
        <v>MATCH</v>
      </c>
      <c r="N127" s="10"/>
      <c r="O127" s="77">
        <v>18</v>
      </c>
    </row>
    <row r="128" spans="3:15" x14ac:dyDescent="0.3">
      <c r="C128" s="75" t="s">
        <v>151</v>
      </c>
      <c r="D128" s="57">
        <v>10</v>
      </c>
      <c r="E128" s="57">
        <v>28</v>
      </c>
      <c r="F128" s="57">
        <v>2.7</v>
      </c>
      <c r="G128" s="57">
        <v>6</v>
      </c>
      <c r="H128" s="44">
        <f t="shared" si="12"/>
        <v>0</v>
      </c>
      <c r="I128" s="71">
        <v>1</v>
      </c>
      <c r="J128" s="46">
        <f t="shared" si="8"/>
        <v>75.600000000000009</v>
      </c>
      <c r="K128" s="29">
        <f t="shared" si="10"/>
        <v>14</v>
      </c>
      <c r="L128" s="46">
        <f t="shared" si="9"/>
        <v>2</v>
      </c>
      <c r="M128" s="45" t="str">
        <f t="shared" si="11"/>
        <v>MATCH</v>
      </c>
      <c r="N128" s="10"/>
      <c r="O128" s="76">
        <v>14</v>
      </c>
    </row>
    <row r="129" spans="3:15" x14ac:dyDescent="0.3">
      <c r="C129" s="78" t="s">
        <v>152</v>
      </c>
      <c r="D129" s="59">
        <v>10</v>
      </c>
      <c r="E129" s="59">
        <v>56</v>
      </c>
      <c r="F129" s="59">
        <v>1.75</v>
      </c>
      <c r="G129" s="59">
        <v>6</v>
      </c>
      <c r="H129" s="49">
        <f t="shared" si="12"/>
        <v>0</v>
      </c>
      <c r="I129" s="79">
        <v>1</v>
      </c>
      <c r="J129" s="51">
        <f t="shared" si="8"/>
        <v>98</v>
      </c>
      <c r="K129" s="35">
        <f t="shared" si="10"/>
        <v>19</v>
      </c>
      <c r="L129" s="51">
        <f t="shared" si="9"/>
        <v>3</v>
      </c>
      <c r="M129" s="50" t="str">
        <f t="shared" si="11"/>
        <v>MATCH</v>
      </c>
      <c r="N129" s="11"/>
      <c r="O129" s="84">
        <v>19</v>
      </c>
    </row>
    <row r="130" spans="3:15" x14ac:dyDescent="0.3">
      <c r="C130" s="81" t="s">
        <v>153</v>
      </c>
      <c r="D130" s="61">
        <v>32</v>
      </c>
      <c r="E130" s="61">
        <v>14</v>
      </c>
      <c r="F130" s="61">
        <v>12</v>
      </c>
      <c r="G130" s="61">
        <v>12</v>
      </c>
      <c r="H130" s="39">
        <f t="shared" si="12"/>
        <v>0</v>
      </c>
      <c r="I130" s="73">
        <v>1</v>
      </c>
      <c r="J130" s="41">
        <f t="shared" si="8"/>
        <v>168</v>
      </c>
      <c r="K130" s="23">
        <f t="shared" si="10"/>
        <v>14</v>
      </c>
      <c r="L130" s="41">
        <f t="shared" si="9"/>
        <v>1</v>
      </c>
      <c r="M130" s="40" t="str">
        <f t="shared" si="11"/>
        <v>MATCH</v>
      </c>
      <c r="N130" s="9"/>
      <c r="O130" s="74">
        <v>14</v>
      </c>
    </row>
    <row r="131" spans="3:15" x14ac:dyDescent="0.3">
      <c r="C131" s="82" t="s">
        <v>154</v>
      </c>
      <c r="D131" s="63">
        <v>25</v>
      </c>
      <c r="E131" s="63">
        <v>14</v>
      </c>
      <c r="F131" s="63">
        <v>7.37</v>
      </c>
      <c r="G131" s="63">
        <v>7.5</v>
      </c>
      <c r="H131" s="44">
        <f t="shared" si="12"/>
        <v>0</v>
      </c>
      <c r="I131" s="71">
        <v>1</v>
      </c>
      <c r="J131" s="46">
        <f t="shared" si="8"/>
        <v>103.18</v>
      </c>
      <c r="K131" s="29">
        <f t="shared" si="10"/>
        <v>14</v>
      </c>
      <c r="L131" s="46">
        <f t="shared" si="9"/>
        <v>1</v>
      </c>
      <c r="M131" s="45" t="str">
        <f t="shared" si="11"/>
        <v>MATCH</v>
      </c>
      <c r="N131" s="10"/>
      <c r="O131" s="76">
        <v>14</v>
      </c>
    </row>
    <row r="132" spans="3:15" x14ac:dyDescent="0.3">
      <c r="C132" s="82" t="s">
        <v>155</v>
      </c>
      <c r="D132" s="63">
        <v>32</v>
      </c>
      <c r="E132" s="63">
        <v>14</v>
      </c>
      <c r="F132" s="63">
        <v>10.52</v>
      </c>
      <c r="G132" s="63">
        <v>12</v>
      </c>
      <c r="H132" s="44">
        <f t="shared" si="12"/>
        <v>0</v>
      </c>
      <c r="I132" s="70">
        <v>1</v>
      </c>
      <c r="J132" s="46">
        <f t="shared" si="8"/>
        <v>147.28</v>
      </c>
      <c r="K132" s="29">
        <f t="shared" si="10"/>
        <v>14</v>
      </c>
      <c r="L132" s="46">
        <f t="shared" si="9"/>
        <v>1</v>
      </c>
      <c r="M132" s="45" t="str">
        <f t="shared" si="11"/>
        <v>MATCH</v>
      </c>
      <c r="N132" s="10"/>
      <c r="O132" s="77">
        <v>14</v>
      </c>
    </row>
    <row r="133" spans="3:15" x14ac:dyDescent="0.3">
      <c r="C133" s="82" t="s">
        <v>156</v>
      </c>
      <c r="D133" s="63">
        <v>25</v>
      </c>
      <c r="E133" s="63">
        <v>14</v>
      </c>
      <c r="F133" s="63">
        <v>8.8699999999999992</v>
      </c>
      <c r="G133" s="63">
        <v>9</v>
      </c>
      <c r="H133" s="44">
        <f t="shared" si="12"/>
        <v>0</v>
      </c>
      <c r="I133" s="71">
        <v>1</v>
      </c>
      <c r="J133" s="46">
        <f t="shared" ref="J133:J196" si="13">E133*F133</f>
        <v>124.17999999999999</v>
      </c>
      <c r="K133" s="29">
        <f t="shared" si="10"/>
        <v>14</v>
      </c>
      <c r="L133" s="46">
        <f t="shared" ref="L133:L196" si="14">ROUNDDOWN(G133/F133, 0)</f>
        <v>1</v>
      </c>
      <c r="M133" s="45" t="str">
        <f t="shared" si="11"/>
        <v>MATCH</v>
      </c>
      <c r="N133" s="10"/>
      <c r="O133" s="76">
        <v>14</v>
      </c>
    </row>
    <row r="134" spans="3:15" x14ac:dyDescent="0.3">
      <c r="C134" s="82" t="s">
        <v>157</v>
      </c>
      <c r="D134" s="63">
        <v>12</v>
      </c>
      <c r="E134" s="63">
        <v>142</v>
      </c>
      <c r="F134" s="63">
        <v>3.43</v>
      </c>
      <c r="G134" s="63">
        <v>7.5</v>
      </c>
      <c r="H134" s="44">
        <f t="shared" si="12"/>
        <v>0</v>
      </c>
      <c r="I134" s="70">
        <v>1</v>
      </c>
      <c r="J134" s="46">
        <f t="shared" si="13"/>
        <v>487.06</v>
      </c>
      <c r="K134" s="29">
        <f t="shared" ref="K134:K197" si="15">IF(G134=0,0,ROUNDUP((E134/L134)*I134,0))</f>
        <v>71</v>
      </c>
      <c r="L134" s="46">
        <f t="shared" si="14"/>
        <v>2</v>
      </c>
      <c r="M134" s="45" t="str">
        <f t="shared" ref="M134:M197" si="16">IF(K134=O134, "MATCH", "RECHECK")</f>
        <v>MATCH</v>
      </c>
      <c r="N134" s="10"/>
      <c r="O134" s="77">
        <v>71</v>
      </c>
    </row>
    <row r="135" spans="3:15" x14ac:dyDescent="0.3">
      <c r="C135" s="82" t="s">
        <v>158</v>
      </c>
      <c r="D135" s="63">
        <v>12</v>
      </c>
      <c r="E135" s="63">
        <v>128</v>
      </c>
      <c r="F135" s="63">
        <v>2.75</v>
      </c>
      <c r="G135" s="63">
        <v>6</v>
      </c>
      <c r="H135" s="44">
        <f t="shared" si="12"/>
        <v>0</v>
      </c>
      <c r="I135" s="71">
        <v>1</v>
      </c>
      <c r="J135" s="46">
        <f t="shared" si="13"/>
        <v>352</v>
      </c>
      <c r="K135" s="29">
        <f t="shared" si="15"/>
        <v>64</v>
      </c>
      <c r="L135" s="46">
        <f t="shared" si="14"/>
        <v>2</v>
      </c>
      <c r="M135" s="45" t="str">
        <f t="shared" si="16"/>
        <v>MATCH</v>
      </c>
      <c r="N135" s="10"/>
      <c r="O135" s="76">
        <v>64</v>
      </c>
    </row>
    <row r="136" spans="3:15" x14ac:dyDescent="0.3">
      <c r="C136" s="82" t="s">
        <v>159</v>
      </c>
      <c r="D136" s="63">
        <v>12</v>
      </c>
      <c r="E136" s="63">
        <v>192</v>
      </c>
      <c r="F136" s="63">
        <v>0.8</v>
      </c>
      <c r="G136" s="63">
        <v>6</v>
      </c>
      <c r="H136" s="44">
        <f t="shared" si="12"/>
        <v>0</v>
      </c>
      <c r="I136" s="70">
        <v>1</v>
      </c>
      <c r="J136" s="46">
        <f t="shared" si="13"/>
        <v>153.60000000000002</v>
      </c>
      <c r="K136" s="29">
        <f t="shared" si="15"/>
        <v>28</v>
      </c>
      <c r="L136" s="46">
        <f t="shared" si="14"/>
        <v>7</v>
      </c>
      <c r="M136" s="45" t="str">
        <f t="shared" si="16"/>
        <v>MATCH</v>
      </c>
      <c r="N136" s="10"/>
      <c r="O136" s="77">
        <v>28</v>
      </c>
    </row>
    <row r="137" spans="3:15" x14ac:dyDescent="0.3">
      <c r="C137" s="82" t="s">
        <v>160</v>
      </c>
      <c r="D137" s="63">
        <v>12</v>
      </c>
      <c r="E137" s="63">
        <v>66</v>
      </c>
      <c r="F137" s="63">
        <v>1.95</v>
      </c>
      <c r="G137" s="63">
        <v>6</v>
      </c>
      <c r="H137" s="44">
        <f t="shared" si="12"/>
        <v>0</v>
      </c>
      <c r="I137" s="71">
        <v>1</v>
      </c>
      <c r="J137" s="46">
        <f t="shared" si="13"/>
        <v>128.69999999999999</v>
      </c>
      <c r="K137" s="29">
        <f t="shared" si="15"/>
        <v>22</v>
      </c>
      <c r="L137" s="46">
        <f t="shared" si="14"/>
        <v>3</v>
      </c>
      <c r="M137" s="45" t="str">
        <f t="shared" si="16"/>
        <v>MATCH</v>
      </c>
      <c r="N137" s="10"/>
      <c r="O137" s="76">
        <v>22</v>
      </c>
    </row>
    <row r="138" spans="3:15" x14ac:dyDescent="0.3">
      <c r="C138" s="82" t="s">
        <v>161</v>
      </c>
      <c r="D138" s="63">
        <v>10</v>
      </c>
      <c r="E138" s="63">
        <v>28</v>
      </c>
      <c r="F138" s="63">
        <v>2.7</v>
      </c>
      <c r="G138" s="63">
        <v>6</v>
      </c>
      <c r="H138" s="44">
        <f t="shared" si="12"/>
        <v>0</v>
      </c>
      <c r="I138" s="70">
        <v>1</v>
      </c>
      <c r="J138" s="46">
        <f t="shared" si="13"/>
        <v>75.600000000000009</v>
      </c>
      <c r="K138" s="29">
        <f t="shared" si="15"/>
        <v>14</v>
      </c>
      <c r="L138" s="46">
        <f t="shared" si="14"/>
        <v>2</v>
      </c>
      <c r="M138" s="45" t="str">
        <f t="shared" si="16"/>
        <v>MATCH</v>
      </c>
      <c r="N138" s="10"/>
      <c r="O138" s="77">
        <v>14</v>
      </c>
    </row>
    <row r="139" spans="3:15" x14ac:dyDescent="0.3">
      <c r="C139" s="82" t="s">
        <v>162</v>
      </c>
      <c r="D139" s="63">
        <v>10</v>
      </c>
      <c r="E139" s="63">
        <v>56</v>
      </c>
      <c r="F139" s="63">
        <v>2.0299999999999998</v>
      </c>
      <c r="G139" s="63">
        <v>6</v>
      </c>
      <c r="H139" s="44">
        <f t="shared" si="12"/>
        <v>0</v>
      </c>
      <c r="I139" s="71">
        <v>1</v>
      </c>
      <c r="J139" s="46">
        <f t="shared" si="13"/>
        <v>113.67999999999999</v>
      </c>
      <c r="K139" s="29">
        <f t="shared" si="15"/>
        <v>28</v>
      </c>
      <c r="L139" s="46">
        <f t="shared" si="14"/>
        <v>2</v>
      </c>
      <c r="M139" s="45" t="str">
        <f t="shared" si="16"/>
        <v>MATCH</v>
      </c>
      <c r="N139" s="10"/>
      <c r="O139" s="76">
        <v>28</v>
      </c>
    </row>
    <row r="140" spans="3:15" x14ac:dyDescent="0.3">
      <c r="C140" s="83" t="s">
        <v>163</v>
      </c>
      <c r="D140" s="69">
        <v>10</v>
      </c>
      <c r="E140" s="69">
        <v>56</v>
      </c>
      <c r="F140" s="69">
        <v>0.77</v>
      </c>
      <c r="G140" s="69">
        <v>6</v>
      </c>
      <c r="H140" s="49">
        <f t="shared" si="12"/>
        <v>0</v>
      </c>
      <c r="I140" s="79">
        <v>1</v>
      </c>
      <c r="J140" s="51">
        <f t="shared" si="13"/>
        <v>43.120000000000005</v>
      </c>
      <c r="K140" s="35">
        <f t="shared" si="15"/>
        <v>8</v>
      </c>
      <c r="L140" s="51">
        <f t="shared" si="14"/>
        <v>7</v>
      </c>
      <c r="M140" s="50" t="str">
        <f t="shared" si="16"/>
        <v>MATCH</v>
      </c>
      <c r="N140" s="11"/>
      <c r="O140" s="84">
        <v>8</v>
      </c>
    </row>
    <row r="141" spans="3:15" x14ac:dyDescent="0.3">
      <c r="C141" s="72" t="s">
        <v>164</v>
      </c>
      <c r="D141" s="55">
        <v>32</v>
      </c>
      <c r="E141" s="55">
        <v>14</v>
      </c>
      <c r="F141" s="55">
        <v>7.06</v>
      </c>
      <c r="G141" s="55">
        <v>7.5</v>
      </c>
      <c r="H141" s="39">
        <f t="shared" si="12"/>
        <v>0</v>
      </c>
      <c r="I141" s="73">
        <v>2</v>
      </c>
      <c r="J141" s="41">
        <f t="shared" si="13"/>
        <v>98.839999999999989</v>
      </c>
      <c r="K141" s="23">
        <f t="shared" si="15"/>
        <v>28</v>
      </c>
      <c r="L141" s="41">
        <f t="shared" si="14"/>
        <v>1</v>
      </c>
      <c r="M141" s="40" t="str">
        <f t="shared" si="16"/>
        <v>MATCH</v>
      </c>
      <c r="N141" s="9"/>
      <c r="O141" s="74">
        <v>28</v>
      </c>
    </row>
    <row r="142" spans="3:15" x14ac:dyDescent="0.3">
      <c r="C142" s="75" t="s">
        <v>165</v>
      </c>
      <c r="D142" s="57">
        <v>25</v>
      </c>
      <c r="E142" s="57">
        <v>10</v>
      </c>
      <c r="F142" s="57">
        <v>11.95</v>
      </c>
      <c r="G142" s="57">
        <v>12</v>
      </c>
      <c r="H142" s="44">
        <f t="shared" si="12"/>
        <v>0</v>
      </c>
      <c r="I142" s="71">
        <v>2</v>
      </c>
      <c r="J142" s="46">
        <f t="shared" si="13"/>
        <v>119.5</v>
      </c>
      <c r="K142" s="29">
        <f t="shared" si="15"/>
        <v>20</v>
      </c>
      <c r="L142" s="46">
        <f t="shared" si="14"/>
        <v>1</v>
      </c>
      <c r="M142" s="45" t="str">
        <f t="shared" si="16"/>
        <v>MATCH</v>
      </c>
      <c r="N142" s="10"/>
      <c r="O142" s="76">
        <v>20</v>
      </c>
    </row>
    <row r="143" spans="3:15" x14ac:dyDescent="0.3">
      <c r="C143" s="75" t="s">
        <v>166</v>
      </c>
      <c r="D143" s="57">
        <v>32</v>
      </c>
      <c r="E143" s="57">
        <v>14</v>
      </c>
      <c r="F143" s="57">
        <v>8.31</v>
      </c>
      <c r="G143" s="57">
        <v>9</v>
      </c>
      <c r="H143" s="44">
        <f t="shared" si="12"/>
        <v>0</v>
      </c>
      <c r="I143" s="70">
        <v>2</v>
      </c>
      <c r="J143" s="46">
        <f t="shared" si="13"/>
        <v>116.34</v>
      </c>
      <c r="K143" s="29">
        <f t="shared" si="15"/>
        <v>28</v>
      </c>
      <c r="L143" s="46">
        <f t="shared" si="14"/>
        <v>1</v>
      </c>
      <c r="M143" s="45" t="str">
        <f t="shared" si="16"/>
        <v>MATCH</v>
      </c>
      <c r="N143" s="10"/>
      <c r="O143" s="77">
        <v>28</v>
      </c>
    </row>
    <row r="144" spans="3:15" x14ac:dyDescent="0.3">
      <c r="C144" s="75" t="s">
        <v>167</v>
      </c>
      <c r="D144" s="57">
        <v>25</v>
      </c>
      <c r="E144" s="57">
        <v>10</v>
      </c>
      <c r="F144" s="57">
        <v>11.06</v>
      </c>
      <c r="G144" s="57">
        <v>12</v>
      </c>
      <c r="H144" s="44">
        <f t="shared" si="12"/>
        <v>0</v>
      </c>
      <c r="I144" s="71">
        <v>2</v>
      </c>
      <c r="J144" s="46">
        <f t="shared" si="13"/>
        <v>110.60000000000001</v>
      </c>
      <c r="K144" s="29">
        <f t="shared" si="15"/>
        <v>20</v>
      </c>
      <c r="L144" s="46">
        <f t="shared" si="14"/>
        <v>1</v>
      </c>
      <c r="M144" s="45" t="str">
        <f t="shared" si="16"/>
        <v>MATCH</v>
      </c>
      <c r="N144" s="10"/>
      <c r="O144" s="76">
        <v>20</v>
      </c>
    </row>
    <row r="145" spans="3:15" x14ac:dyDescent="0.3">
      <c r="C145" s="75" t="s">
        <v>168</v>
      </c>
      <c r="D145" s="57">
        <v>25</v>
      </c>
      <c r="E145" s="57">
        <v>4</v>
      </c>
      <c r="F145" s="57">
        <v>4.3099999999999996</v>
      </c>
      <c r="G145" s="57">
        <v>6</v>
      </c>
      <c r="H145" s="44">
        <f t="shared" si="12"/>
        <v>0</v>
      </c>
      <c r="I145" s="70">
        <v>2</v>
      </c>
      <c r="J145" s="46">
        <f t="shared" si="13"/>
        <v>17.239999999999998</v>
      </c>
      <c r="K145" s="29">
        <f t="shared" si="15"/>
        <v>8</v>
      </c>
      <c r="L145" s="46">
        <f t="shared" si="14"/>
        <v>1</v>
      </c>
      <c r="M145" s="45" t="str">
        <f t="shared" si="16"/>
        <v>MATCH</v>
      </c>
      <c r="N145" s="10"/>
      <c r="O145" s="77">
        <v>8</v>
      </c>
    </row>
    <row r="146" spans="3:15" x14ac:dyDescent="0.3">
      <c r="C146" s="75" t="s">
        <v>169</v>
      </c>
      <c r="D146" s="57">
        <v>25</v>
      </c>
      <c r="E146" s="57">
        <v>4</v>
      </c>
      <c r="F146" s="57">
        <v>3</v>
      </c>
      <c r="G146" s="57">
        <v>6</v>
      </c>
      <c r="H146" s="44">
        <f t="shared" si="12"/>
        <v>0</v>
      </c>
      <c r="I146" s="71">
        <v>2</v>
      </c>
      <c r="J146" s="46">
        <f t="shared" si="13"/>
        <v>12</v>
      </c>
      <c r="K146" s="29">
        <f t="shared" si="15"/>
        <v>4</v>
      </c>
      <c r="L146" s="46">
        <f t="shared" si="14"/>
        <v>2</v>
      </c>
      <c r="M146" s="45" t="str">
        <f t="shared" si="16"/>
        <v>MATCH</v>
      </c>
      <c r="N146" s="10"/>
      <c r="O146" s="76">
        <v>4</v>
      </c>
    </row>
    <row r="147" spans="3:15" x14ac:dyDescent="0.3">
      <c r="C147" s="75" t="s">
        <v>170</v>
      </c>
      <c r="D147" s="57">
        <v>25</v>
      </c>
      <c r="E147" s="57">
        <v>10</v>
      </c>
      <c r="F147" s="57">
        <v>1.86</v>
      </c>
      <c r="G147" s="57">
        <v>6</v>
      </c>
      <c r="H147" s="44">
        <f t="shared" si="12"/>
        <v>0</v>
      </c>
      <c r="I147" s="70">
        <v>2</v>
      </c>
      <c r="J147" s="46">
        <f t="shared" si="13"/>
        <v>18.600000000000001</v>
      </c>
      <c r="K147" s="29">
        <f t="shared" si="15"/>
        <v>7</v>
      </c>
      <c r="L147" s="46">
        <f t="shared" si="14"/>
        <v>3</v>
      </c>
      <c r="M147" s="45" t="str">
        <f t="shared" si="16"/>
        <v>MATCH</v>
      </c>
      <c r="N147" s="10"/>
      <c r="O147" s="77">
        <v>7</v>
      </c>
    </row>
    <row r="148" spans="3:15" x14ac:dyDescent="0.3">
      <c r="C148" s="75" t="s">
        <v>171</v>
      </c>
      <c r="D148" s="57">
        <v>16</v>
      </c>
      <c r="E148" s="57">
        <v>20</v>
      </c>
      <c r="F148" s="57">
        <v>4.3099999999999996</v>
      </c>
      <c r="G148" s="57">
        <v>6</v>
      </c>
      <c r="H148" s="44">
        <f t="shared" si="12"/>
        <v>0</v>
      </c>
      <c r="I148" s="71">
        <v>2</v>
      </c>
      <c r="J148" s="46">
        <f t="shared" si="13"/>
        <v>86.199999999999989</v>
      </c>
      <c r="K148" s="29">
        <f t="shared" si="15"/>
        <v>40</v>
      </c>
      <c r="L148" s="46">
        <f t="shared" si="14"/>
        <v>1</v>
      </c>
      <c r="M148" s="45" t="str">
        <f t="shared" si="16"/>
        <v>MATCH</v>
      </c>
      <c r="N148" s="10"/>
      <c r="O148" s="76">
        <v>40</v>
      </c>
    </row>
    <row r="149" spans="3:15" x14ac:dyDescent="0.3">
      <c r="C149" s="75" t="s">
        <v>172</v>
      </c>
      <c r="D149" s="57">
        <v>10</v>
      </c>
      <c r="E149" s="57">
        <v>47</v>
      </c>
      <c r="F149" s="57">
        <v>2.72</v>
      </c>
      <c r="G149" s="57">
        <v>6</v>
      </c>
      <c r="H149" s="44">
        <f t="shared" ref="H149:H212" si="17">((22/(7*4))*(D149^2)/(1000^2))*J149*$B$24</f>
        <v>0</v>
      </c>
      <c r="I149" s="70">
        <v>2</v>
      </c>
      <c r="J149" s="46">
        <f t="shared" si="13"/>
        <v>127.84</v>
      </c>
      <c r="K149" s="29">
        <f t="shared" si="15"/>
        <v>47</v>
      </c>
      <c r="L149" s="46">
        <f t="shared" si="14"/>
        <v>2</v>
      </c>
      <c r="M149" s="45" t="str">
        <f t="shared" si="16"/>
        <v>MATCH</v>
      </c>
      <c r="N149" s="10"/>
      <c r="O149" s="77">
        <v>47</v>
      </c>
    </row>
    <row r="150" spans="3:15" x14ac:dyDescent="0.3">
      <c r="C150" s="75" t="s">
        <v>173</v>
      </c>
      <c r="D150" s="57">
        <v>10</v>
      </c>
      <c r="E150" s="57">
        <v>94</v>
      </c>
      <c r="F150" s="57">
        <v>2.04</v>
      </c>
      <c r="G150" s="57">
        <v>6</v>
      </c>
      <c r="H150" s="44">
        <f t="shared" si="17"/>
        <v>0</v>
      </c>
      <c r="I150" s="71">
        <v>2</v>
      </c>
      <c r="J150" s="46">
        <f t="shared" si="13"/>
        <v>191.76</v>
      </c>
      <c r="K150" s="29">
        <f t="shared" si="15"/>
        <v>94</v>
      </c>
      <c r="L150" s="46">
        <f t="shared" si="14"/>
        <v>2</v>
      </c>
      <c r="M150" s="45" t="str">
        <f t="shared" si="16"/>
        <v>MATCH</v>
      </c>
      <c r="N150" s="10"/>
      <c r="O150" s="76">
        <v>94</v>
      </c>
    </row>
    <row r="151" spans="3:15" x14ac:dyDescent="0.3">
      <c r="C151" s="75" t="s">
        <v>174</v>
      </c>
      <c r="D151" s="57">
        <v>10</v>
      </c>
      <c r="E151" s="57">
        <v>94</v>
      </c>
      <c r="F151" s="57">
        <v>0.77</v>
      </c>
      <c r="G151" s="57">
        <v>6</v>
      </c>
      <c r="H151" s="44">
        <f t="shared" si="17"/>
        <v>0</v>
      </c>
      <c r="I151" s="70">
        <v>2</v>
      </c>
      <c r="J151" s="46">
        <f t="shared" si="13"/>
        <v>72.38</v>
      </c>
      <c r="K151" s="29">
        <f t="shared" si="15"/>
        <v>27</v>
      </c>
      <c r="L151" s="46">
        <f t="shared" si="14"/>
        <v>7</v>
      </c>
      <c r="M151" s="45" t="str">
        <f t="shared" si="16"/>
        <v>MATCH</v>
      </c>
      <c r="N151" s="10"/>
      <c r="O151" s="77">
        <v>27</v>
      </c>
    </row>
    <row r="152" spans="3:15" x14ac:dyDescent="0.3">
      <c r="C152" s="75" t="s">
        <v>175</v>
      </c>
      <c r="D152" s="57">
        <v>12</v>
      </c>
      <c r="E152" s="57">
        <v>33</v>
      </c>
      <c r="F152" s="57">
        <v>2.75</v>
      </c>
      <c r="G152" s="57">
        <v>6</v>
      </c>
      <c r="H152" s="44">
        <f t="shared" si="17"/>
        <v>0</v>
      </c>
      <c r="I152" s="71">
        <v>2</v>
      </c>
      <c r="J152" s="46">
        <f t="shared" si="13"/>
        <v>90.75</v>
      </c>
      <c r="K152" s="29">
        <f t="shared" si="15"/>
        <v>33</v>
      </c>
      <c r="L152" s="46">
        <f t="shared" si="14"/>
        <v>2</v>
      </c>
      <c r="M152" s="45" t="str">
        <f t="shared" si="16"/>
        <v>MATCH</v>
      </c>
      <c r="N152" s="10"/>
      <c r="O152" s="76">
        <v>33</v>
      </c>
    </row>
    <row r="153" spans="3:15" x14ac:dyDescent="0.3">
      <c r="C153" s="75" t="s">
        <v>176</v>
      </c>
      <c r="D153" s="57">
        <v>12</v>
      </c>
      <c r="E153" s="57">
        <v>66</v>
      </c>
      <c r="F153" s="57">
        <v>1.95</v>
      </c>
      <c r="G153" s="57">
        <v>6</v>
      </c>
      <c r="H153" s="44">
        <f t="shared" si="17"/>
        <v>0</v>
      </c>
      <c r="I153" s="70">
        <v>2</v>
      </c>
      <c r="J153" s="46">
        <f t="shared" si="13"/>
        <v>128.69999999999999</v>
      </c>
      <c r="K153" s="29">
        <f t="shared" si="15"/>
        <v>44</v>
      </c>
      <c r="L153" s="46">
        <f t="shared" si="14"/>
        <v>3</v>
      </c>
      <c r="M153" s="45" t="str">
        <f t="shared" si="16"/>
        <v>MATCH</v>
      </c>
      <c r="N153" s="10"/>
      <c r="O153" s="77">
        <v>44</v>
      </c>
    </row>
    <row r="154" spans="3:15" x14ac:dyDescent="0.3">
      <c r="C154" s="75" t="s">
        <v>177</v>
      </c>
      <c r="D154" s="57">
        <v>12</v>
      </c>
      <c r="E154" s="57">
        <v>66</v>
      </c>
      <c r="F154" s="57">
        <v>0.8</v>
      </c>
      <c r="G154" s="57">
        <v>6</v>
      </c>
      <c r="H154" s="44">
        <f t="shared" si="17"/>
        <v>0</v>
      </c>
      <c r="I154" s="71">
        <v>2</v>
      </c>
      <c r="J154" s="46">
        <f t="shared" si="13"/>
        <v>52.800000000000004</v>
      </c>
      <c r="K154" s="29">
        <f t="shared" si="15"/>
        <v>19</v>
      </c>
      <c r="L154" s="46">
        <f t="shared" si="14"/>
        <v>7</v>
      </c>
      <c r="M154" s="45" t="str">
        <f t="shared" si="16"/>
        <v>MATCH</v>
      </c>
      <c r="N154" s="10"/>
      <c r="O154" s="76">
        <v>19</v>
      </c>
    </row>
    <row r="155" spans="3:15" x14ac:dyDescent="0.3">
      <c r="C155" s="75" t="s">
        <v>178</v>
      </c>
      <c r="D155" s="57">
        <v>10</v>
      </c>
      <c r="E155" s="57">
        <v>41</v>
      </c>
      <c r="F155" s="57">
        <v>2.75</v>
      </c>
      <c r="G155" s="57">
        <v>6</v>
      </c>
      <c r="H155" s="44">
        <f t="shared" si="17"/>
        <v>0</v>
      </c>
      <c r="I155" s="70">
        <v>2</v>
      </c>
      <c r="J155" s="46">
        <f t="shared" si="13"/>
        <v>112.75</v>
      </c>
      <c r="K155" s="29">
        <f t="shared" si="15"/>
        <v>41</v>
      </c>
      <c r="L155" s="46">
        <f t="shared" si="14"/>
        <v>2</v>
      </c>
      <c r="M155" s="45" t="str">
        <f t="shared" si="16"/>
        <v>MATCH</v>
      </c>
      <c r="N155" s="10"/>
      <c r="O155" s="77">
        <v>41</v>
      </c>
    </row>
    <row r="156" spans="3:15" x14ac:dyDescent="0.3">
      <c r="C156" s="75" t="s">
        <v>179</v>
      </c>
      <c r="D156" s="57">
        <v>10</v>
      </c>
      <c r="E156" s="57">
        <v>82</v>
      </c>
      <c r="F156" s="57">
        <v>1.75</v>
      </c>
      <c r="G156" s="57">
        <v>6</v>
      </c>
      <c r="H156" s="44">
        <f t="shared" si="17"/>
        <v>0</v>
      </c>
      <c r="I156" s="71">
        <v>2</v>
      </c>
      <c r="J156" s="46">
        <f t="shared" si="13"/>
        <v>143.5</v>
      </c>
      <c r="K156" s="29">
        <f t="shared" si="15"/>
        <v>55</v>
      </c>
      <c r="L156" s="46">
        <f t="shared" si="14"/>
        <v>3</v>
      </c>
      <c r="M156" s="45" t="str">
        <f t="shared" si="16"/>
        <v>MATCH</v>
      </c>
      <c r="N156" s="10"/>
      <c r="O156" s="76">
        <v>55</v>
      </c>
    </row>
    <row r="157" spans="3:15" x14ac:dyDescent="0.3">
      <c r="C157" s="75" t="s">
        <v>180</v>
      </c>
      <c r="D157" s="57">
        <v>10</v>
      </c>
      <c r="E157" s="57">
        <v>41</v>
      </c>
      <c r="F157" s="57">
        <v>2.7</v>
      </c>
      <c r="G157" s="57">
        <v>6</v>
      </c>
      <c r="H157" s="44">
        <f t="shared" si="17"/>
        <v>0</v>
      </c>
      <c r="I157" s="70">
        <v>2</v>
      </c>
      <c r="J157" s="46">
        <f t="shared" si="13"/>
        <v>110.7</v>
      </c>
      <c r="K157" s="29">
        <f t="shared" si="15"/>
        <v>41</v>
      </c>
      <c r="L157" s="46">
        <f t="shared" si="14"/>
        <v>2</v>
      </c>
      <c r="M157" s="45" t="str">
        <f t="shared" si="16"/>
        <v>MATCH</v>
      </c>
      <c r="N157" s="10"/>
      <c r="O157" s="77">
        <v>41</v>
      </c>
    </row>
    <row r="158" spans="3:15" x14ac:dyDescent="0.3">
      <c r="C158" s="75" t="s">
        <v>181</v>
      </c>
      <c r="D158" s="57">
        <v>10</v>
      </c>
      <c r="E158" s="57">
        <v>82</v>
      </c>
      <c r="F158" s="57">
        <v>1.75</v>
      </c>
      <c r="G158" s="57">
        <v>6</v>
      </c>
      <c r="H158" s="44">
        <f t="shared" si="17"/>
        <v>0</v>
      </c>
      <c r="I158" s="71">
        <v>2</v>
      </c>
      <c r="J158" s="46">
        <f t="shared" si="13"/>
        <v>143.5</v>
      </c>
      <c r="K158" s="29">
        <f t="shared" si="15"/>
        <v>55</v>
      </c>
      <c r="L158" s="46">
        <f t="shared" si="14"/>
        <v>3</v>
      </c>
      <c r="M158" s="45" t="str">
        <f t="shared" si="16"/>
        <v>MATCH</v>
      </c>
      <c r="N158" s="10"/>
      <c r="O158" s="76">
        <v>55</v>
      </c>
    </row>
    <row r="159" spans="3:15" x14ac:dyDescent="0.3">
      <c r="C159" s="75" t="s">
        <v>182</v>
      </c>
      <c r="D159" s="57">
        <v>10</v>
      </c>
      <c r="E159" s="57">
        <v>30</v>
      </c>
      <c r="F159" s="57">
        <v>1.4</v>
      </c>
      <c r="G159" s="57">
        <v>6</v>
      </c>
      <c r="H159" s="44">
        <f t="shared" si="17"/>
        <v>0</v>
      </c>
      <c r="I159" s="70">
        <v>2</v>
      </c>
      <c r="J159" s="46">
        <f t="shared" si="13"/>
        <v>42</v>
      </c>
      <c r="K159" s="29">
        <f t="shared" si="15"/>
        <v>15</v>
      </c>
      <c r="L159" s="46">
        <f t="shared" si="14"/>
        <v>4</v>
      </c>
      <c r="M159" s="45" t="str">
        <f t="shared" si="16"/>
        <v>MATCH</v>
      </c>
      <c r="N159" s="10"/>
      <c r="O159" s="77">
        <v>15</v>
      </c>
    </row>
    <row r="160" spans="3:15" x14ac:dyDescent="0.3">
      <c r="C160" s="78" t="s">
        <v>183</v>
      </c>
      <c r="D160" s="59">
        <v>10</v>
      </c>
      <c r="E160" s="59">
        <v>60</v>
      </c>
      <c r="F160" s="59">
        <v>0.95</v>
      </c>
      <c r="G160" s="59">
        <v>6</v>
      </c>
      <c r="H160" s="49">
        <f t="shared" si="17"/>
        <v>0</v>
      </c>
      <c r="I160" s="85">
        <v>2</v>
      </c>
      <c r="J160" s="51">
        <f t="shared" si="13"/>
        <v>57</v>
      </c>
      <c r="K160" s="35">
        <f t="shared" si="15"/>
        <v>20</v>
      </c>
      <c r="L160" s="51">
        <f t="shared" si="14"/>
        <v>6</v>
      </c>
      <c r="M160" s="50" t="str">
        <f t="shared" si="16"/>
        <v>MATCH</v>
      </c>
      <c r="N160" s="11"/>
      <c r="O160" s="80">
        <v>20</v>
      </c>
    </row>
    <row r="161" spans="3:15" x14ac:dyDescent="0.3">
      <c r="C161" s="81" t="s">
        <v>184</v>
      </c>
      <c r="D161" s="61">
        <v>32</v>
      </c>
      <c r="E161" s="61">
        <v>10</v>
      </c>
      <c r="F161" s="61">
        <v>10.5</v>
      </c>
      <c r="G161" s="61">
        <v>10.5</v>
      </c>
      <c r="H161" s="39">
        <f t="shared" si="17"/>
        <v>0</v>
      </c>
      <c r="I161" s="73">
        <v>1</v>
      </c>
      <c r="J161" s="41">
        <f t="shared" si="13"/>
        <v>105</v>
      </c>
      <c r="K161" s="23">
        <f t="shared" si="15"/>
        <v>10</v>
      </c>
      <c r="L161" s="41">
        <f t="shared" si="14"/>
        <v>1</v>
      </c>
      <c r="M161" s="40" t="str">
        <f t="shared" si="16"/>
        <v>MATCH</v>
      </c>
      <c r="N161" s="9"/>
      <c r="O161" s="74">
        <v>10</v>
      </c>
    </row>
    <row r="162" spans="3:15" x14ac:dyDescent="0.3">
      <c r="C162" s="82" t="s">
        <v>185</v>
      </c>
      <c r="D162" s="63">
        <v>25</v>
      </c>
      <c r="E162" s="63">
        <v>10</v>
      </c>
      <c r="F162" s="63">
        <v>8.8699999999999992</v>
      </c>
      <c r="G162" s="63">
        <v>9</v>
      </c>
      <c r="H162" s="44">
        <f t="shared" si="17"/>
        <v>0</v>
      </c>
      <c r="I162" s="71">
        <v>1</v>
      </c>
      <c r="J162" s="46">
        <f t="shared" si="13"/>
        <v>88.699999999999989</v>
      </c>
      <c r="K162" s="29">
        <f t="shared" si="15"/>
        <v>10</v>
      </c>
      <c r="L162" s="46">
        <f t="shared" si="14"/>
        <v>1</v>
      </c>
      <c r="M162" s="45" t="str">
        <f t="shared" si="16"/>
        <v>MATCH</v>
      </c>
      <c r="N162" s="10"/>
      <c r="O162" s="76">
        <v>10</v>
      </c>
    </row>
    <row r="163" spans="3:15" x14ac:dyDescent="0.3">
      <c r="C163" s="82" t="s">
        <v>186</v>
      </c>
      <c r="D163" s="63">
        <v>32</v>
      </c>
      <c r="E163" s="63">
        <v>10</v>
      </c>
      <c r="F163" s="63">
        <v>12</v>
      </c>
      <c r="G163" s="63">
        <v>12</v>
      </c>
      <c r="H163" s="44">
        <f t="shared" si="17"/>
        <v>0</v>
      </c>
      <c r="I163" s="70">
        <v>1</v>
      </c>
      <c r="J163" s="46">
        <f t="shared" si="13"/>
        <v>120</v>
      </c>
      <c r="K163" s="29">
        <f t="shared" si="15"/>
        <v>10</v>
      </c>
      <c r="L163" s="46">
        <f t="shared" si="14"/>
        <v>1</v>
      </c>
      <c r="M163" s="45" t="str">
        <f t="shared" si="16"/>
        <v>MATCH</v>
      </c>
      <c r="N163" s="10"/>
      <c r="O163" s="77">
        <v>10</v>
      </c>
    </row>
    <row r="164" spans="3:15" x14ac:dyDescent="0.3">
      <c r="C164" s="82" t="s">
        <v>187</v>
      </c>
      <c r="D164" s="63">
        <v>25</v>
      </c>
      <c r="E164" s="63">
        <v>10</v>
      </c>
      <c r="F164" s="63">
        <v>7.37</v>
      </c>
      <c r="G164" s="63">
        <v>7.5</v>
      </c>
      <c r="H164" s="44">
        <f t="shared" si="17"/>
        <v>0</v>
      </c>
      <c r="I164" s="71">
        <v>1</v>
      </c>
      <c r="J164" s="46">
        <f t="shared" si="13"/>
        <v>73.7</v>
      </c>
      <c r="K164" s="29">
        <f t="shared" si="15"/>
        <v>10</v>
      </c>
      <c r="L164" s="46">
        <f t="shared" si="14"/>
        <v>1</v>
      </c>
      <c r="M164" s="45" t="str">
        <f t="shared" si="16"/>
        <v>MATCH</v>
      </c>
      <c r="N164" s="10"/>
      <c r="O164" s="76">
        <v>10</v>
      </c>
    </row>
    <row r="165" spans="3:15" x14ac:dyDescent="0.3">
      <c r="C165" s="82" t="s">
        <v>188</v>
      </c>
      <c r="D165" s="63">
        <v>32</v>
      </c>
      <c r="E165" s="63">
        <v>8</v>
      </c>
      <c r="F165" s="63">
        <v>5.97</v>
      </c>
      <c r="G165" s="63">
        <v>6</v>
      </c>
      <c r="H165" s="44">
        <f t="shared" si="17"/>
        <v>0</v>
      </c>
      <c r="I165" s="70">
        <v>1</v>
      </c>
      <c r="J165" s="46">
        <f t="shared" si="13"/>
        <v>47.76</v>
      </c>
      <c r="K165" s="29">
        <f t="shared" si="15"/>
        <v>8</v>
      </c>
      <c r="L165" s="46">
        <f t="shared" si="14"/>
        <v>1</v>
      </c>
      <c r="M165" s="45" t="str">
        <f t="shared" si="16"/>
        <v>MATCH</v>
      </c>
      <c r="N165" s="10"/>
      <c r="O165" s="77">
        <v>8</v>
      </c>
    </row>
    <row r="166" spans="3:15" x14ac:dyDescent="0.3">
      <c r="C166" s="82" t="s">
        <v>189</v>
      </c>
      <c r="D166" s="63">
        <v>16</v>
      </c>
      <c r="E166" s="63">
        <v>20</v>
      </c>
      <c r="F166" s="63">
        <v>4.3099999999999996</v>
      </c>
      <c r="G166" s="63">
        <v>6</v>
      </c>
      <c r="H166" s="44">
        <f t="shared" si="17"/>
        <v>0</v>
      </c>
      <c r="I166" s="71">
        <v>1</v>
      </c>
      <c r="J166" s="46">
        <f t="shared" si="13"/>
        <v>86.199999999999989</v>
      </c>
      <c r="K166" s="29">
        <f t="shared" si="15"/>
        <v>20</v>
      </c>
      <c r="L166" s="46">
        <f t="shared" si="14"/>
        <v>1</v>
      </c>
      <c r="M166" s="45" t="str">
        <f t="shared" si="16"/>
        <v>MATCH</v>
      </c>
      <c r="N166" s="10"/>
      <c r="O166" s="76">
        <v>20</v>
      </c>
    </row>
    <row r="167" spans="3:15" x14ac:dyDescent="0.3">
      <c r="C167" s="82" t="s">
        <v>190</v>
      </c>
      <c r="D167" s="63">
        <v>12</v>
      </c>
      <c r="E167" s="63">
        <v>96</v>
      </c>
      <c r="F167" s="63">
        <v>2.75</v>
      </c>
      <c r="G167" s="63">
        <v>6</v>
      </c>
      <c r="H167" s="44">
        <f t="shared" si="17"/>
        <v>0</v>
      </c>
      <c r="I167" s="70">
        <v>1</v>
      </c>
      <c r="J167" s="46">
        <f t="shared" si="13"/>
        <v>264</v>
      </c>
      <c r="K167" s="29">
        <f t="shared" si="15"/>
        <v>48</v>
      </c>
      <c r="L167" s="46">
        <f t="shared" si="14"/>
        <v>2</v>
      </c>
      <c r="M167" s="45" t="str">
        <f t="shared" si="16"/>
        <v>MATCH</v>
      </c>
      <c r="N167" s="10"/>
      <c r="O167" s="77">
        <v>48</v>
      </c>
    </row>
    <row r="168" spans="3:15" x14ac:dyDescent="0.3">
      <c r="C168" s="82" t="s">
        <v>191</v>
      </c>
      <c r="D168" s="63">
        <v>12</v>
      </c>
      <c r="E168" s="63">
        <v>126</v>
      </c>
      <c r="F168" s="63">
        <v>2.0699999999999998</v>
      </c>
      <c r="G168" s="63">
        <v>6</v>
      </c>
      <c r="H168" s="44">
        <f t="shared" si="17"/>
        <v>0</v>
      </c>
      <c r="I168" s="71">
        <v>1</v>
      </c>
      <c r="J168" s="46">
        <f t="shared" si="13"/>
        <v>260.82</v>
      </c>
      <c r="K168" s="29">
        <f t="shared" si="15"/>
        <v>63</v>
      </c>
      <c r="L168" s="46">
        <f t="shared" si="14"/>
        <v>2</v>
      </c>
      <c r="M168" s="45" t="str">
        <f t="shared" si="16"/>
        <v>MATCH</v>
      </c>
      <c r="N168" s="10"/>
      <c r="O168" s="76">
        <v>63</v>
      </c>
    </row>
    <row r="169" spans="3:15" x14ac:dyDescent="0.3">
      <c r="C169" s="82" t="s">
        <v>192</v>
      </c>
      <c r="D169" s="63">
        <v>12</v>
      </c>
      <c r="E169" s="63">
        <v>126</v>
      </c>
      <c r="F169" s="63">
        <v>0.8</v>
      </c>
      <c r="G169" s="63">
        <v>6</v>
      </c>
      <c r="H169" s="44">
        <f t="shared" si="17"/>
        <v>0</v>
      </c>
      <c r="I169" s="70">
        <v>1</v>
      </c>
      <c r="J169" s="46">
        <f t="shared" si="13"/>
        <v>100.80000000000001</v>
      </c>
      <c r="K169" s="29">
        <f t="shared" si="15"/>
        <v>18</v>
      </c>
      <c r="L169" s="46">
        <f t="shared" si="14"/>
        <v>7</v>
      </c>
      <c r="M169" s="45" t="str">
        <f t="shared" si="16"/>
        <v>MATCH</v>
      </c>
      <c r="N169" s="10"/>
      <c r="O169" s="77">
        <v>18</v>
      </c>
    </row>
    <row r="170" spans="3:15" x14ac:dyDescent="0.3">
      <c r="C170" s="82" t="s">
        <v>193</v>
      </c>
      <c r="D170" s="63">
        <v>12</v>
      </c>
      <c r="E170" s="63">
        <v>66</v>
      </c>
      <c r="F170" s="63">
        <v>1.8</v>
      </c>
      <c r="G170" s="63">
        <v>6</v>
      </c>
      <c r="H170" s="44">
        <f t="shared" si="17"/>
        <v>0</v>
      </c>
      <c r="I170" s="71">
        <v>1</v>
      </c>
      <c r="J170" s="46">
        <f t="shared" si="13"/>
        <v>118.8</v>
      </c>
      <c r="K170" s="29">
        <f t="shared" si="15"/>
        <v>22</v>
      </c>
      <c r="L170" s="46">
        <f t="shared" si="14"/>
        <v>3</v>
      </c>
      <c r="M170" s="45" t="str">
        <f t="shared" si="16"/>
        <v>MATCH</v>
      </c>
      <c r="N170" s="10"/>
      <c r="O170" s="76">
        <v>22</v>
      </c>
    </row>
    <row r="171" spans="3:15" x14ac:dyDescent="0.3">
      <c r="C171" s="82" t="s">
        <v>194</v>
      </c>
      <c r="D171" s="63">
        <v>12</v>
      </c>
      <c r="E171" s="63">
        <v>41</v>
      </c>
      <c r="F171" s="63">
        <v>2.72</v>
      </c>
      <c r="G171" s="63">
        <v>6</v>
      </c>
      <c r="H171" s="44">
        <f t="shared" si="17"/>
        <v>0</v>
      </c>
      <c r="I171" s="70">
        <v>1</v>
      </c>
      <c r="J171" s="46">
        <f t="shared" si="13"/>
        <v>111.52000000000001</v>
      </c>
      <c r="K171" s="29">
        <f t="shared" si="15"/>
        <v>21</v>
      </c>
      <c r="L171" s="46">
        <f t="shared" si="14"/>
        <v>2</v>
      </c>
      <c r="M171" s="45" t="str">
        <f t="shared" si="16"/>
        <v>MATCH</v>
      </c>
      <c r="N171" s="10"/>
      <c r="O171" s="77">
        <v>21</v>
      </c>
    </row>
    <row r="172" spans="3:15" x14ac:dyDescent="0.3">
      <c r="C172" s="82" t="s">
        <v>195</v>
      </c>
      <c r="D172" s="63">
        <v>12</v>
      </c>
      <c r="E172" s="63">
        <v>82</v>
      </c>
      <c r="F172" s="63">
        <v>1.75</v>
      </c>
      <c r="G172" s="63">
        <v>6</v>
      </c>
      <c r="H172" s="44">
        <f t="shared" si="17"/>
        <v>0</v>
      </c>
      <c r="I172" s="71">
        <v>1</v>
      </c>
      <c r="J172" s="46">
        <f t="shared" si="13"/>
        <v>143.5</v>
      </c>
      <c r="K172" s="29">
        <f t="shared" si="15"/>
        <v>28</v>
      </c>
      <c r="L172" s="46">
        <f t="shared" si="14"/>
        <v>3</v>
      </c>
      <c r="M172" s="45" t="str">
        <f t="shared" si="16"/>
        <v>MATCH</v>
      </c>
      <c r="N172" s="10"/>
      <c r="O172" s="76">
        <v>28</v>
      </c>
    </row>
    <row r="173" spans="3:15" x14ac:dyDescent="0.3">
      <c r="C173" s="82" t="s">
        <v>196</v>
      </c>
      <c r="D173" s="63">
        <v>10</v>
      </c>
      <c r="E173" s="63">
        <v>41</v>
      </c>
      <c r="F173" s="63">
        <v>2.7</v>
      </c>
      <c r="G173" s="63">
        <v>6</v>
      </c>
      <c r="H173" s="44">
        <f t="shared" si="17"/>
        <v>0</v>
      </c>
      <c r="I173" s="70">
        <v>1</v>
      </c>
      <c r="J173" s="46">
        <f t="shared" si="13"/>
        <v>110.7</v>
      </c>
      <c r="K173" s="29">
        <f t="shared" si="15"/>
        <v>21</v>
      </c>
      <c r="L173" s="46">
        <f t="shared" si="14"/>
        <v>2</v>
      </c>
      <c r="M173" s="45" t="str">
        <f t="shared" si="16"/>
        <v>MATCH</v>
      </c>
      <c r="N173" s="10"/>
      <c r="O173" s="77">
        <v>21</v>
      </c>
    </row>
    <row r="174" spans="3:15" x14ac:dyDescent="0.3">
      <c r="C174" s="82" t="s">
        <v>197</v>
      </c>
      <c r="D174" s="63">
        <v>10</v>
      </c>
      <c r="E174" s="63">
        <v>82</v>
      </c>
      <c r="F174" s="63">
        <v>1.75</v>
      </c>
      <c r="G174" s="63">
        <v>6</v>
      </c>
      <c r="H174" s="44">
        <f t="shared" si="17"/>
        <v>0</v>
      </c>
      <c r="I174" s="71">
        <v>1</v>
      </c>
      <c r="J174" s="46">
        <f t="shared" si="13"/>
        <v>143.5</v>
      </c>
      <c r="K174" s="29">
        <f t="shared" si="15"/>
        <v>28</v>
      </c>
      <c r="L174" s="46">
        <f t="shared" si="14"/>
        <v>3</v>
      </c>
      <c r="M174" s="45" t="str">
        <f t="shared" si="16"/>
        <v>MATCH</v>
      </c>
      <c r="N174" s="10"/>
      <c r="O174" s="76">
        <v>28</v>
      </c>
    </row>
    <row r="175" spans="3:15" x14ac:dyDescent="0.3">
      <c r="C175" s="82" t="s">
        <v>198</v>
      </c>
      <c r="D175" s="63">
        <v>10</v>
      </c>
      <c r="E175" s="63">
        <v>40</v>
      </c>
      <c r="F175" s="63">
        <v>1.4</v>
      </c>
      <c r="G175" s="63">
        <v>6</v>
      </c>
      <c r="H175" s="44">
        <f t="shared" si="17"/>
        <v>0</v>
      </c>
      <c r="I175" s="70">
        <v>1</v>
      </c>
      <c r="J175" s="46">
        <f t="shared" si="13"/>
        <v>56</v>
      </c>
      <c r="K175" s="29">
        <f t="shared" si="15"/>
        <v>10</v>
      </c>
      <c r="L175" s="46">
        <f t="shared" si="14"/>
        <v>4</v>
      </c>
      <c r="M175" s="45" t="str">
        <f t="shared" si="16"/>
        <v>MATCH</v>
      </c>
      <c r="N175" s="10"/>
      <c r="O175" s="77">
        <v>10</v>
      </c>
    </row>
    <row r="176" spans="3:15" x14ac:dyDescent="0.3">
      <c r="C176" s="83" t="s">
        <v>199</v>
      </c>
      <c r="D176" s="69">
        <v>10</v>
      </c>
      <c r="E176" s="69">
        <v>80</v>
      </c>
      <c r="F176" s="69">
        <v>0.93</v>
      </c>
      <c r="G176" s="69">
        <v>6</v>
      </c>
      <c r="H176" s="49">
        <f t="shared" si="17"/>
        <v>0</v>
      </c>
      <c r="I176" s="85">
        <v>1</v>
      </c>
      <c r="J176" s="51">
        <f t="shared" si="13"/>
        <v>74.400000000000006</v>
      </c>
      <c r="K176" s="35">
        <f t="shared" si="15"/>
        <v>14</v>
      </c>
      <c r="L176" s="51">
        <f t="shared" si="14"/>
        <v>6</v>
      </c>
      <c r="M176" s="50" t="str">
        <f t="shared" si="16"/>
        <v>MATCH</v>
      </c>
      <c r="N176" s="11"/>
      <c r="O176" s="80">
        <v>14</v>
      </c>
    </row>
    <row r="177" spans="3:15" x14ac:dyDescent="0.3">
      <c r="C177" s="75" t="s">
        <v>200</v>
      </c>
      <c r="D177" s="57">
        <v>32</v>
      </c>
      <c r="E177" s="57">
        <v>14</v>
      </c>
      <c r="F177" s="57">
        <v>7</v>
      </c>
      <c r="G177" s="57">
        <v>7.5</v>
      </c>
      <c r="H177" s="44">
        <f t="shared" si="17"/>
        <v>0</v>
      </c>
      <c r="I177" s="70">
        <v>1</v>
      </c>
      <c r="J177" s="46">
        <f t="shared" si="13"/>
        <v>98</v>
      </c>
      <c r="K177" s="29">
        <f t="shared" si="15"/>
        <v>14</v>
      </c>
      <c r="L177" s="46">
        <f t="shared" si="14"/>
        <v>1</v>
      </c>
      <c r="M177" s="45" t="str">
        <f t="shared" si="16"/>
        <v>MATCH</v>
      </c>
      <c r="N177" s="10"/>
      <c r="O177" s="77">
        <v>14</v>
      </c>
    </row>
    <row r="178" spans="3:15" x14ac:dyDescent="0.3">
      <c r="C178" s="75" t="s">
        <v>201</v>
      </c>
      <c r="D178" s="57">
        <v>25</v>
      </c>
      <c r="E178" s="57">
        <v>10</v>
      </c>
      <c r="F178" s="57">
        <v>11.95</v>
      </c>
      <c r="G178" s="57">
        <v>12</v>
      </c>
      <c r="H178" s="44">
        <f t="shared" si="17"/>
        <v>0</v>
      </c>
      <c r="I178" s="71">
        <v>1</v>
      </c>
      <c r="J178" s="46">
        <f t="shared" si="13"/>
        <v>119.5</v>
      </c>
      <c r="K178" s="29">
        <f t="shared" si="15"/>
        <v>10</v>
      </c>
      <c r="L178" s="46">
        <f t="shared" si="14"/>
        <v>1</v>
      </c>
      <c r="M178" s="45" t="str">
        <f t="shared" si="16"/>
        <v>MATCH</v>
      </c>
      <c r="N178" s="10"/>
      <c r="O178" s="76">
        <v>10</v>
      </c>
    </row>
    <row r="179" spans="3:15" x14ac:dyDescent="0.3">
      <c r="C179" s="75" t="s">
        <v>202</v>
      </c>
      <c r="D179" s="57">
        <v>32</v>
      </c>
      <c r="E179" s="57">
        <v>14</v>
      </c>
      <c r="F179" s="57">
        <v>8.33</v>
      </c>
      <c r="G179" s="57">
        <v>9</v>
      </c>
      <c r="H179" s="44">
        <f t="shared" si="17"/>
        <v>0</v>
      </c>
      <c r="I179" s="70">
        <v>1</v>
      </c>
      <c r="J179" s="46">
        <f t="shared" si="13"/>
        <v>116.62</v>
      </c>
      <c r="K179" s="29">
        <f t="shared" si="15"/>
        <v>14</v>
      </c>
      <c r="L179" s="46">
        <f t="shared" si="14"/>
        <v>1</v>
      </c>
      <c r="M179" s="45" t="str">
        <f t="shared" si="16"/>
        <v>MATCH</v>
      </c>
      <c r="N179" s="10"/>
      <c r="O179" s="77">
        <v>14</v>
      </c>
    </row>
    <row r="180" spans="3:15" x14ac:dyDescent="0.3">
      <c r="C180" s="75" t="s">
        <v>203</v>
      </c>
      <c r="D180" s="57">
        <v>25</v>
      </c>
      <c r="E180" s="57">
        <v>10</v>
      </c>
      <c r="F180" s="57">
        <v>11.06</v>
      </c>
      <c r="G180" s="57">
        <v>12</v>
      </c>
      <c r="H180" s="44">
        <f t="shared" si="17"/>
        <v>0</v>
      </c>
      <c r="I180" s="71">
        <v>1</v>
      </c>
      <c r="J180" s="46">
        <f t="shared" si="13"/>
        <v>110.60000000000001</v>
      </c>
      <c r="K180" s="29">
        <f t="shared" si="15"/>
        <v>10</v>
      </c>
      <c r="L180" s="46">
        <f t="shared" si="14"/>
        <v>1</v>
      </c>
      <c r="M180" s="45" t="str">
        <f t="shared" si="16"/>
        <v>MATCH</v>
      </c>
      <c r="N180" s="10"/>
      <c r="O180" s="76">
        <v>10</v>
      </c>
    </row>
    <row r="181" spans="3:15" x14ac:dyDescent="0.3">
      <c r="C181" s="75" t="s">
        <v>204</v>
      </c>
      <c r="D181" s="57">
        <v>25</v>
      </c>
      <c r="E181" s="57">
        <v>4</v>
      </c>
      <c r="F181" s="57">
        <v>8.31</v>
      </c>
      <c r="G181" s="57">
        <v>9</v>
      </c>
      <c r="H181" s="44">
        <f t="shared" si="17"/>
        <v>0</v>
      </c>
      <c r="I181" s="70">
        <v>1</v>
      </c>
      <c r="J181" s="46">
        <f t="shared" si="13"/>
        <v>33.24</v>
      </c>
      <c r="K181" s="29">
        <f t="shared" si="15"/>
        <v>4</v>
      </c>
      <c r="L181" s="46">
        <f t="shared" si="14"/>
        <v>1</v>
      </c>
      <c r="M181" s="45" t="str">
        <f t="shared" si="16"/>
        <v>MATCH</v>
      </c>
      <c r="N181" s="10"/>
      <c r="O181" s="77">
        <v>4</v>
      </c>
    </row>
    <row r="182" spans="3:15" x14ac:dyDescent="0.3">
      <c r="C182" s="75" t="s">
        <v>205</v>
      </c>
      <c r="D182" s="57">
        <v>25</v>
      </c>
      <c r="E182" s="57">
        <v>4</v>
      </c>
      <c r="F182" s="57">
        <v>7.06</v>
      </c>
      <c r="G182" s="57">
        <v>7.5</v>
      </c>
      <c r="H182" s="44">
        <f t="shared" si="17"/>
        <v>0</v>
      </c>
      <c r="I182" s="71">
        <v>1</v>
      </c>
      <c r="J182" s="46">
        <f t="shared" si="13"/>
        <v>28.24</v>
      </c>
      <c r="K182" s="29">
        <f t="shared" si="15"/>
        <v>4</v>
      </c>
      <c r="L182" s="46">
        <f t="shared" si="14"/>
        <v>1</v>
      </c>
      <c r="M182" s="45" t="str">
        <f t="shared" si="16"/>
        <v>MATCH</v>
      </c>
      <c r="N182" s="10"/>
      <c r="O182" s="76">
        <v>4</v>
      </c>
    </row>
    <row r="183" spans="3:15" x14ac:dyDescent="0.3">
      <c r="C183" s="75" t="s">
        <v>206</v>
      </c>
      <c r="D183" s="57">
        <v>16</v>
      </c>
      <c r="E183" s="57">
        <v>12</v>
      </c>
      <c r="F183" s="57">
        <v>4.3099999999999996</v>
      </c>
      <c r="G183" s="57">
        <v>6</v>
      </c>
      <c r="H183" s="44">
        <f t="shared" si="17"/>
        <v>0</v>
      </c>
      <c r="I183" s="70">
        <v>1</v>
      </c>
      <c r="J183" s="46">
        <f t="shared" si="13"/>
        <v>51.72</v>
      </c>
      <c r="K183" s="29">
        <f t="shared" si="15"/>
        <v>12</v>
      </c>
      <c r="L183" s="46">
        <f t="shared" si="14"/>
        <v>1</v>
      </c>
      <c r="M183" s="45" t="str">
        <f t="shared" si="16"/>
        <v>MATCH</v>
      </c>
      <c r="N183" s="10"/>
      <c r="O183" s="77">
        <v>12</v>
      </c>
    </row>
    <row r="184" spans="3:15" x14ac:dyDescent="0.3">
      <c r="C184" s="75" t="s">
        <v>207</v>
      </c>
      <c r="D184" s="57">
        <v>12</v>
      </c>
      <c r="E184" s="57">
        <v>112</v>
      </c>
      <c r="F184" s="57">
        <v>2.75</v>
      </c>
      <c r="G184" s="57">
        <v>6</v>
      </c>
      <c r="H184" s="44">
        <f t="shared" si="17"/>
        <v>0</v>
      </c>
      <c r="I184" s="71">
        <v>1</v>
      </c>
      <c r="J184" s="46">
        <f t="shared" si="13"/>
        <v>308</v>
      </c>
      <c r="K184" s="29">
        <f t="shared" si="15"/>
        <v>56</v>
      </c>
      <c r="L184" s="46">
        <f t="shared" si="14"/>
        <v>2</v>
      </c>
      <c r="M184" s="45" t="str">
        <f t="shared" si="16"/>
        <v>MATCH</v>
      </c>
      <c r="N184" s="10"/>
      <c r="O184" s="76">
        <v>56</v>
      </c>
    </row>
    <row r="185" spans="3:15" x14ac:dyDescent="0.3">
      <c r="C185" s="75" t="s">
        <v>208</v>
      </c>
      <c r="D185" s="57">
        <v>12</v>
      </c>
      <c r="E185" s="57">
        <v>76</v>
      </c>
      <c r="F185" s="57">
        <v>2.0699999999999998</v>
      </c>
      <c r="G185" s="57">
        <v>6</v>
      </c>
      <c r="H185" s="44">
        <f t="shared" si="17"/>
        <v>0</v>
      </c>
      <c r="I185" s="70">
        <v>1</v>
      </c>
      <c r="J185" s="46">
        <f t="shared" si="13"/>
        <v>157.32</v>
      </c>
      <c r="K185" s="29">
        <f t="shared" si="15"/>
        <v>38</v>
      </c>
      <c r="L185" s="46">
        <f t="shared" si="14"/>
        <v>2</v>
      </c>
      <c r="M185" s="45" t="str">
        <f t="shared" si="16"/>
        <v>MATCH</v>
      </c>
      <c r="N185" s="10"/>
      <c r="O185" s="77">
        <v>38</v>
      </c>
    </row>
    <row r="186" spans="3:15" x14ac:dyDescent="0.3">
      <c r="C186" s="75" t="s">
        <v>209</v>
      </c>
      <c r="D186" s="57">
        <v>12</v>
      </c>
      <c r="E186" s="57">
        <v>224</v>
      </c>
      <c r="F186" s="57">
        <v>0.8</v>
      </c>
      <c r="G186" s="57">
        <v>6</v>
      </c>
      <c r="H186" s="44">
        <f t="shared" si="17"/>
        <v>0</v>
      </c>
      <c r="I186" s="71">
        <v>1</v>
      </c>
      <c r="J186" s="46">
        <f t="shared" si="13"/>
        <v>179.20000000000002</v>
      </c>
      <c r="K186" s="29">
        <f t="shared" si="15"/>
        <v>32</v>
      </c>
      <c r="L186" s="46">
        <f t="shared" si="14"/>
        <v>7</v>
      </c>
      <c r="M186" s="45" t="str">
        <f t="shared" si="16"/>
        <v>MATCH</v>
      </c>
      <c r="N186" s="10"/>
      <c r="O186" s="76">
        <v>32</v>
      </c>
    </row>
    <row r="187" spans="3:15" x14ac:dyDescent="0.3">
      <c r="C187" s="75" t="s">
        <v>210</v>
      </c>
      <c r="D187" s="57">
        <v>12</v>
      </c>
      <c r="E187" s="57">
        <v>148</v>
      </c>
      <c r="F187" s="57">
        <v>1.95</v>
      </c>
      <c r="G187" s="57">
        <v>6</v>
      </c>
      <c r="H187" s="44">
        <f t="shared" si="17"/>
        <v>0</v>
      </c>
      <c r="I187" s="70">
        <v>1</v>
      </c>
      <c r="J187" s="46">
        <f t="shared" si="13"/>
        <v>288.59999999999997</v>
      </c>
      <c r="K187" s="29">
        <f t="shared" si="15"/>
        <v>50</v>
      </c>
      <c r="L187" s="46">
        <f t="shared" si="14"/>
        <v>3</v>
      </c>
      <c r="M187" s="45" t="str">
        <f t="shared" si="16"/>
        <v>MATCH</v>
      </c>
      <c r="N187" s="10"/>
      <c r="O187" s="77">
        <v>50</v>
      </c>
    </row>
    <row r="188" spans="3:15" x14ac:dyDescent="0.3">
      <c r="C188" s="75" t="s">
        <v>211</v>
      </c>
      <c r="D188" s="57">
        <v>10</v>
      </c>
      <c r="E188" s="57">
        <v>28</v>
      </c>
      <c r="F188" s="57">
        <v>2.7</v>
      </c>
      <c r="G188" s="57">
        <v>6</v>
      </c>
      <c r="H188" s="44">
        <f t="shared" si="17"/>
        <v>0</v>
      </c>
      <c r="I188" s="71">
        <v>1</v>
      </c>
      <c r="J188" s="46">
        <f t="shared" si="13"/>
        <v>75.600000000000009</v>
      </c>
      <c r="K188" s="29">
        <f t="shared" si="15"/>
        <v>14</v>
      </c>
      <c r="L188" s="46">
        <f t="shared" si="14"/>
        <v>2</v>
      </c>
      <c r="M188" s="45" t="str">
        <f t="shared" si="16"/>
        <v>MATCH</v>
      </c>
      <c r="N188" s="10"/>
      <c r="O188" s="76">
        <v>14</v>
      </c>
    </row>
    <row r="189" spans="3:15" x14ac:dyDescent="0.3">
      <c r="C189" s="75" t="s">
        <v>212</v>
      </c>
      <c r="D189" s="57">
        <v>10</v>
      </c>
      <c r="E189" s="57">
        <v>56</v>
      </c>
      <c r="F189" s="57">
        <v>1.74</v>
      </c>
      <c r="G189" s="57">
        <v>6</v>
      </c>
      <c r="H189" s="44">
        <f t="shared" si="17"/>
        <v>0</v>
      </c>
      <c r="I189" s="70">
        <v>1</v>
      </c>
      <c r="J189" s="46">
        <f t="shared" si="13"/>
        <v>97.44</v>
      </c>
      <c r="K189" s="29">
        <f t="shared" si="15"/>
        <v>19</v>
      </c>
      <c r="L189" s="46">
        <f t="shared" si="14"/>
        <v>3</v>
      </c>
      <c r="M189" s="45" t="str">
        <f t="shared" si="16"/>
        <v>MATCH</v>
      </c>
      <c r="N189" s="10"/>
      <c r="O189" s="77">
        <v>19</v>
      </c>
    </row>
    <row r="190" spans="3:15" x14ac:dyDescent="0.3">
      <c r="C190" s="75" t="s">
        <v>213</v>
      </c>
      <c r="D190" s="57">
        <v>10</v>
      </c>
      <c r="E190" s="57">
        <v>40</v>
      </c>
      <c r="F190" s="57">
        <v>1.4</v>
      </c>
      <c r="G190" s="57">
        <v>6</v>
      </c>
      <c r="H190" s="44">
        <f t="shared" si="17"/>
        <v>0</v>
      </c>
      <c r="I190" s="71">
        <v>1</v>
      </c>
      <c r="J190" s="46">
        <f t="shared" si="13"/>
        <v>56</v>
      </c>
      <c r="K190" s="29">
        <f t="shared" si="15"/>
        <v>10</v>
      </c>
      <c r="L190" s="46">
        <f t="shared" si="14"/>
        <v>4</v>
      </c>
      <c r="M190" s="45" t="str">
        <f t="shared" si="16"/>
        <v>MATCH</v>
      </c>
      <c r="N190" s="10"/>
      <c r="O190" s="76">
        <v>10</v>
      </c>
    </row>
    <row r="191" spans="3:15" x14ac:dyDescent="0.3">
      <c r="C191" s="78" t="s">
        <v>214</v>
      </c>
      <c r="D191" s="59">
        <v>10</v>
      </c>
      <c r="E191" s="59">
        <v>80</v>
      </c>
      <c r="F191" s="59">
        <v>1.02</v>
      </c>
      <c r="G191" s="59">
        <v>6</v>
      </c>
      <c r="H191" s="49">
        <f t="shared" si="17"/>
        <v>0</v>
      </c>
      <c r="I191" s="79">
        <v>1</v>
      </c>
      <c r="J191" s="51">
        <f t="shared" si="13"/>
        <v>81.599999999999994</v>
      </c>
      <c r="K191" s="35">
        <f t="shared" si="15"/>
        <v>16</v>
      </c>
      <c r="L191" s="51">
        <f t="shared" si="14"/>
        <v>5</v>
      </c>
      <c r="M191" s="50" t="str">
        <f t="shared" si="16"/>
        <v>MATCH</v>
      </c>
      <c r="N191" s="11"/>
      <c r="O191" s="84">
        <v>16</v>
      </c>
    </row>
    <row r="192" spans="3:15" x14ac:dyDescent="0.3">
      <c r="C192" s="81" t="s">
        <v>215</v>
      </c>
      <c r="D192" s="61">
        <v>32</v>
      </c>
      <c r="E192" s="61">
        <v>10</v>
      </c>
      <c r="F192" s="61">
        <v>7.06</v>
      </c>
      <c r="G192" s="61">
        <v>12</v>
      </c>
      <c r="H192" s="39">
        <f t="shared" si="17"/>
        <v>0</v>
      </c>
      <c r="I192" s="73">
        <v>1</v>
      </c>
      <c r="J192" s="41">
        <f t="shared" si="13"/>
        <v>70.599999999999994</v>
      </c>
      <c r="K192" s="23">
        <f t="shared" si="15"/>
        <v>10</v>
      </c>
      <c r="L192" s="41">
        <f t="shared" si="14"/>
        <v>1</v>
      </c>
      <c r="M192" s="40" t="str">
        <f t="shared" si="16"/>
        <v>MATCH</v>
      </c>
      <c r="N192" s="9"/>
      <c r="O192" s="74">
        <v>10</v>
      </c>
    </row>
    <row r="193" spans="3:15" x14ac:dyDescent="0.3">
      <c r="C193" s="82" t="s">
        <v>216</v>
      </c>
      <c r="D193" s="63">
        <v>25</v>
      </c>
      <c r="E193" s="63">
        <v>10</v>
      </c>
      <c r="F193" s="63">
        <v>11.95</v>
      </c>
      <c r="G193" s="63">
        <v>12</v>
      </c>
      <c r="H193" s="44">
        <f t="shared" si="17"/>
        <v>0</v>
      </c>
      <c r="I193" s="71">
        <v>1</v>
      </c>
      <c r="J193" s="46">
        <f t="shared" si="13"/>
        <v>119.5</v>
      </c>
      <c r="K193" s="29">
        <f t="shared" si="15"/>
        <v>10</v>
      </c>
      <c r="L193" s="46">
        <f t="shared" si="14"/>
        <v>1</v>
      </c>
      <c r="M193" s="45" t="str">
        <f t="shared" si="16"/>
        <v>MATCH</v>
      </c>
      <c r="N193" s="10"/>
      <c r="O193" s="76">
        <v>10</v>
      </c>
    </row>
    <row r="194" spans="3:15" x14ac:dyDescent="0.3">
      <c r="C194" s="82" t="s">
        <v>217</v>
      </c>
      <c r="D194" s="63">
        <v>32</v>
      </c>
      <c r="E194" s="63">
        <v>10</v>
      </c>
      <c r="F194" s="63">
        <v>8.2100000000000009</v>
      </c>
      <c r="G194" s="63">
        <v>9</v>
      </c>
      <c r="H194" s="44">
        <f t="shared" si="17"/>
        <v>0</v>
      </c>
      <c r="I194" s="70">
        <v>1</v>
      </c>
      <c r="J194" s="46">
        <f t="shared" si="13"/>
        <v>82.100000000000009</v>
      </c>
      <c r="K194" s="29">
        <f t="shared" si="15"/>
        <v>10</v>
      </c>
      <c r="L194" s="46">
        <f t="shared" si="14"/>
        <v>1</v>
      </c>
      <c r="M194" s="45" t="str">
        <f t="shared" si="16"/>
        <v>MATCH</v>
      </c>
      <c r="N194" s="10"/>
      <c r="O194" s="77">
        <v>10</v>
      </c>
    </row>
    <row r="195" spans="3:15" x14ac:dyDescent="0.3">
      <c r="C195" s="82" t="s">
        <v>218</v>
      </c>
      <c r="D195" s="63">
        <v>25</v>
      </c>
      <c r="E195" s="63">
        <v>10</v>
      </c>
      <c r="F195" s="63">
        <v>11.14</v>
      </c>
      <c r="G195" s="63">
        <v>12</v>
      </c>
      <c r="H195" s="44">
        <f t="shared" si="17"/>
        <v>0</v>
      </c>
      <c r="I195" s="71">
        <v>1</v>
      </c>
      <c r="J195" s="46">
        <f t="shared" si="13"/>
        <v>111.4</v>
      </c>
      <c r="K195" s="29">
        <f t="shared" si="15"/>
        <v>10</v>
      </c>
      <c r="L195" s="46">
        <f t="shared" si="14"/>
        <v>1</v>
      </c>
      <c r="M195" s="45" t="str">
        <f t="shared" si="16"/>
        <v>MATCH</v>
      </c>
      <c r="N195" s="10"/>
      <c r="O195" s="76">
        <v>10</v>
      </c>
    </row>
    <row r="196" spans="3:15" x14ac:dyDescent="0.3">
      <c r="C196" s="82" t="s">
        <v>219</v>
      </c>
      <c r="D196" s="63">
        <v>25</v>
      </c>
      <c r="E196" s="63">
        <v>10</v>
      </c>
      <c r="F196" s="63">
        <v>1.86</v>
      </c>
      <c r="G196" s="63">
        <v>6</v>
      </c>
      <c r="H196" s="44">
        <f t="shared" si="17"/>
        <v>0</v>
      </c>
      <c r="I196" s="70">
        <v>1</v>
      </c>
      <c r="J196" s="46">
        <f t="shared" si="13"/>
        <v>18.600000000000001</v>
      </c>
      <c r="K196" s="29">
        <f t="shared" si="15"/>
        <v>4</v>
      </c>
      <c r="L196" s="46">
        <f t="shared" si="14"/>
        <v>3</v>
      </c>
      <c r="M196" s="45" t="str">
        <f t="shared" si="16"/>
        <v>MATCH</v>
      </c>
      <c r="N196" s="10"/>
      <c r="O196" s="77">
        <v>4</v>
      </c>
    </row>
    <row r="197" spans="3:15" x14ac:dyDescent="0.3">
      <c r="C197" s="82" t="s">
        <v>220</v>
      </c>
      <c r="D197" s="63">
        <v>16</v>
      </c>
      <c r="E197" s="63">
        <v>20</v>
      </c>
      <c r="F197" s="63">
        <v>4.3099999999999996</v>
      </c>
      <c r="G197" s="63">
        <v>9</v>
      </c>
      <c r="H197" s="44">
        <f t="shared" si="17"/>
        <v>0</v>
      </c>
      <c r="I197" s="71">
        <v>1</v>
      </c>
      <c r="J197" s="46">
        <f t="shared" ref="J197:J260" si="18">E197*F197</f>
        <v>86.199999999999989</v>
      </c>
      <c r="K197" s="29">
        <f t="shared" si="15"/>
        <v>10</v>
      </c>
      <c r="L197" s="46">
        <f t="shared" ref="L197:L260" si="19">ROUNDDOWN(G197/F197, 0)</f>
        <v>2</v>
      </c>
      <c r="M197" s="45" t="str">
        <f t="shared" si="16"/>
        <v>MATCH</v>
      </c>
      <c r="N197" s="10"/>
      <c r="O197" s="76">
        <v>10</v>
      </c>
    </row>
    <row r="198" spans="3:15" x14ac:dyDescent="0.3">
      <c r="C198" s="82" t="s">
        <v>221</v>
      </c>
      <c r="D198" s="63">
        <v>12</v>
      </c>
      <c r="E198" s="63">
        <v>137</v>
      </c>
      <c r="F198" s="63">
        <v>2.75</v>
      </c>
      <c r="G198" s="63">
        <v>6</v>
      </c>
      <c r="H198" s="44">
        <f t="shared" si="17"/>
        <v>0</v>
      </c>
      <c r="I198" s="70">
        <v>1</v>
      </c>
      <c r="J198" s="46">
        <f t="shared" si="18"/>
        <v>376.75</v>
      </c>
      <c r="K198" s="29">
        <f t="shared" ref="K198:K261" si="20">IF(G198=0,0,ROUNDUP((E198/L198)*I198,0))</f>
        <v>69</v>
      </c>
      <c r="L198" s="46">
        <f t="shared" si="19"/>
        <v>2</v>
      </c>
      <c r="M198" s="45" t="str">
        <f t="shared" ref="M198:M261" si="21">IF(K198=O198, "MATCH", "RECHECK")</f>
        <v>MATCH</v>
      </c>
      <c r="N198" s="10"/>
      <c r="O198" s="77">
        <v>69</v>
      </c>
    </row>
    <row r="199" spans="3:15" x14ac:dyDescent="0.3">
      <c r="C199" s="82" t="s">
        <v>222</v>
      </c>
      <c r="D199" s="63">
        <v>12</v>
      </c>
      <c r="E199" s="63">
        <v>126</v>
      </c>
      <c r="F199" s="63">
        <v>2.0699999999999998</v>
      </c>
      <c r="G199" s="63">
        <v>6</v>
      </c>
      <c r="H199" s="44">
        <f t="shared" si="17"/>
        <v>0</v>
      </c>
      <c r="I199" s="71">
        <v>1</v>
      </c>
      <c r="J199" s="46">
        <f t="shared" si="18"/>
        <v>260.82</v>
      </c>
      <c r="K199" s="29">
        <f t="shared" si="20"/>
        <v>63</v>
      </c>
      <c r="L199" s="46">
        <f t="shared" si="19"/>
        <v>2</v>
      </c>
      <c r="M199" s="45" t="str">
        <f t="shared" si="21"/>
        <v>MATCH</v>
      </c>
      <c r="N199" s="10"/>
      <c r="O199" s="76">
        <v>63</v>
      </c>
    </row>
    <row r="200" spans="3:15" x14ac:dyDescent="0.3">
      <c r="C200" s="82" t="s">
        <v>223</v>
      </c>
      <c r="D200" s="63">
        <v>12</v>
      </c>
      <c r="E200" s="63">
        <v>211</v>
      </c>
      <c r="F200" s="63">
        <v>0.8</v>
      </c>
      <c r="G200" s="63">
        <v>6</v>
      </c>
      <c r="H200" s="44">
        <f t="shared" si="17"/>
        <v>0</v>
      </c>
      <c r="I200" s="70">
        <v>1</v>
      </c>
      <c r="J200" s="46">
        <f t="shared" si="18"/>
        <v>168.8</v>
      </c>
      <c r="K200" s="29">
        <f t="shared" si="20"/>
        <v>31</v>
      </c>
      <c r="L200" s="46">
        <f t="shared" si="19"/>
        <v>7</v>
      </c>
      <c r="M200" s="45" t="str">
        <f t="shared" si="21"/>
        <v>MATCH</v>
      </c>
      <c r="N200" s="10"/>
      <c r="O200" s="77">
        <v>31</v>
      </c>
    </row>
    <row r="201" spans="3:15" x14ac:dyDescent="0.3">
      <c r="C201" s="82" t="s">
        <v>224</v>
      </c>
      <c r="D201" s="63">
        <v>12</v>
      </c>
      <c r="E201" s="63">
        <v>170</v>
      </c>
      <c r="F201" s="63">
        <v>0.9</v>
      </c>
      <c r="G201" s="63">
        <v>6</v>
      </c>
      <c r="H201" s="44">
        <f t="shared" si="17"/>
        <v>0</v>
      </c>
      <c r="I201" s="71">
        <v>1</v>
      </c>
      <c r="J201" s="46">
        <f t="shared" si="18"/>
        <v>153</v>
      </c>
      <c r="K201" s="29">
        <f t="shared" si="20"/>
        <v>29</v>
      </c>
      <c r="L201" s="46">
        <f t="shared" si="19"/>
        <v>6</v>
      </c>
      <c r="M201" s="45" t="str">
        <f t="shared" si="21"/>
        <v>MATCH</v>
      </c>
      <c r="N201" s="10"/>
      <c r="O201" s="76">
        <v>29</v>
      </c>
    </row>
    <row r="202" spans="3:15" x14ac:dyDescent="0.3">
      <c r="C202" s="82" t="s">
        <v>225</v>
      </c>
      <c r="D202" s="63">
        <v>10</v>
      </c>
      <c r="E202" s="63">
        <v>28</v>
      </c>
      <c r="F202" s="63">
        <v>2.72</v>
      </c>
      <c r="G202" s="63">
        <v>6</v>
      </c>
      <c r="H202" s="44">
        <f t="shared" si="17"/>
        <v>0</v>
      </c>
      <c r="I202" s="70">
        <v>1</v>
      </c>
      <c r="J202" s="46">
        <f t="shared" si="18"/>
        <v>76.160000000000011</v>
      </c>
      <c r="K202" s="29">
        <f t="shared" si="20"/>
        <v>14</v>
      </c>
      <c r="L202" s="46">
        <f t="shared" si="19"/>
        <v>2</v>
      </c>
      <c r="M202" s="45" t="str">
        <f t="shared" si="21"/>
        <v>MATCH</v>
      </c>
      <c r="N202" s="10"/>
      <c r="O202" s="77">
        <v>14</v>
      </c>
    </row>
    <row r="203" spans="3:15" x14ac:dyDescent="0.3">
      <c r="C203" s="82" t="s">
        <v>226</v>
      </c>
      <c r="D203" s="63">
        <v>10</v>
      </c>
      <c r="E203" s="63">
        <v>56</v>
      </c>
      <c r="F203" s="63">
        <v>1.752</v>
      </c>
      <c r="G203" s="63">
        <v>6</v>
      </c>
      <c r="H203" s="44">
        <f t="shared" si="17"/>
        <v>0</v>
      </c>
      <c r="I203" s="71">
        <v>1</v>
      </c>
      <c r="J203" s="46">
        <f t="shared" si="18"/>
        <v>98.111999999999995</v>
      </c>
      <c r="K203" s="29">
        <f t="shared" si="20"/>
        <v>19</v>
      </c>
      <c r="L203" s="46">
        <f t="shared" si="19"/>
        <v>3</v>
      </c>
      <c r="M203" s="45" t="str">
        <f t="shared" si="21"/>
        <v>MATCH</v>
      </c>
      <c r="N203" s="10"/>
      <c r="O203" s="76">
        <v>19</v>
      </c>
    </row>
    <row r="204" spans="3:15" x14ac:dyDescent="0.3">
      <c r="C204" s="82" t="s">
        <v>227</v>
      </c>
      <c r="D204" s="63">
        <v>10</v>
      </c>
      <c r="E204" s="63">
        <v>21</v>
      </c>
      <c r="F204" s="63">
        <v>1.4</v>
      </c>
      <c r="G204" s="63">
        <v>6</v>
      </c>
      <c r="H204" s="44">
        <f t="shared" si="17"/>
        <v>0</v>
      </c>
      <c r="I204" s="70">
        <v>1</v>
      </c>
      <c r="J204" s="46">
        <f t="shared" si="18"/>
        <v>29.4</v>
      </c>
      <c r="K204" s="29">
        <f t="shared" si="20"/>
        <v>6</v>
      </c>
      <c r="L204" s="46">
        <f t="shared" si="19"/>
        <v>4</v>
      </c>
      <c r="M204" s="45" t="str">
        <f t="shared" si="21"/>
        <v>MATCH</v>
      </c>
      <c r="N204" s="10"/>
      <c r="O204" s="77">
        <v>6</v>
      </c>
    </row>
    <row r="205" spans="3:15" x14ac:dyDescent="0.3">
      <c r="C205" s="83" t="s">
        <v>228</v>
      </c>
      <c r="D205" s="69">
        <v>10</v>
      </c>
      <c r="E205" s="69">
        <v>21</v>
      </c>
      <c r="F205" s="69">
        <v>0.95</v>
      </c>
      <c r="G205" s="69">
        <v>6</v>
      </c>
      <c r="H205" s="49">
        <f t="shared" si="17"/>
        <v>0</v>
      </c>
      <c r="I205" s="85">
        <v>1</v>
      </c>
      <c r="J205" s="51">
        <f t="shared" si="18"/>
        <v>19.95</v>
      </c>
      <c r="K205" s="35">
        <f t="shared" si="20"/>
        <v>4</v>
      </c>
      <c r="L205" s="51">
        <f t="shared" si="19"/>
        <v>6</v>
      </c>
      <c r="M205" s="50" t="str">
        <f t="shared" si="21"/>
        <v>MATCH</v>
      </c>
      <c r="N205" s="11"/>
      <c r="O205" s="80">
        <v>4</v>
      </c>
    </row>
    <row r="206" spans="3:15" x14ac:dyDescent="0.3">
      <c r="C206" s="72" t="s">
        <v>229</v>
      </c>
      <c r="D206" s="55">
        <v>32</v>
      </c>
      <c r="E206" s="55">
        <v>10</v>
      </c>
      <c r="F206" s="55">
        <v>7</v>
      </c>
      <c r="G206" s="55">
        <v>7.5</v>
      </c>
      <c r="H206" s="39">
        <f t="shared" si="17"/>
        <v>0</v>
      </c>
      <c r="I206" s="73">
        <v>1</v>
      </c>
      <c r="J206" s="41">
        <f t="shared" si="18"/>
        <v>70</v>
      </c>
      <c r="K206" s="23">
        <f t="shared" si="20"/>
        <v>10</v>
      </c>
      <c r="L206" s="41">
        <f t="shared" si="19"/>
        <v>1</v>
      </c>
      <c r="M206" s="40" t="str">
        <f t="shared" si="21"/>
        <v>MATCH</v>
      </c>
      <c r="N206" s="9"/>
      <c r="O206" s="74">
        <v>10</v>
      </c>
    </row>
    <row r="207" spans="3:15" x14ac:dyDescent="0.3">
      <c r="C207" s="75" t="s">
        <v>230</v>
      </c>
      <c r="D207" s="57">
        <v>25</v>
      </c>
      <c r="E207" s="57">
        <v>10</v>
      </c>
      <c r="F207" s="57">
        <v>11.95</v>
      </c>
      <c r="G207" s="57">
        <v>12</v>
      </c>
      <c r="H207" s="44">
        <f t="shared" si="17"/>
        <v>0</v>
      </c>
      <c r="I207" s="71">
        <v>1</v>
      </c>
      <c r="J207" s="46">
        <f t="shared" si="18"/>
        <v>119.5</v>
      </c>
      <c r="K207" s="29">
        <f t="shared" si="20"/>
        <v>10</v>
      </c>
      <c r="L207" s="46">
        <f t="shared" si="19"/>
        <v>1</v>
      </c>
      <c r="M207" s="45" t="str">
        <f t="shared" si="21"/>
        <v>MATCH</v>
      </c>
      <c r="N207" s="10"/>
      <c r="O207" s="76">
        <v>10</v>
      </c>
    </row>
    <row r="208" spans="3:15" x14ac:dyDescent="0.3">
      <c r="C208" s="75" t="s">
        <v>231</v>
      </c>
      <c r="D208" s="57">
        <v>32</v>
      </c>
      <c r="E208" s="57">
        <v>10</v>
      </c>
      <c r="F208" s="57">
        <v>8.31</v>
      </c>
      <c r="G208" s="57">
        <v>9</v>
      </c>
      <c r="H208" s="44">
        <f t="shared" si="17"/>
        <v>0</v>
      </c>
      <c r="I208" s="70">
        <v>1</v>
      </c>
      <c r="J208" s="46">
        <f t="shared" si="18"/>
        <v>83.100000000000009</v>
      </c>
      <c r="K208" s="29">
        <f t="shared" si="20"/>
        <v>10</v>
      </c>
      <c r="L208" s="46">
        <f t="shared" si="19"/>
        <v>1</v>
      </c>
      <c r="M208" s="45" t="str">
        <f t="shared" si="21"/>
        <v>MATCH</v>
      </c>
      <c r="N208" s="10"/>
      <c r="O208" s="77">
        <v>10</v>
      </c>
    </row>
    <row r="209" spans="3:15" x14ac:dyDescent="0.3">
      <c r="C209" s="75" t="s">
        <v>232</v>
      </c>
      <c r="D209" s="57">
        <v>25</v>
      </c>
      <c r="E209" s="57">
        <v>10</v>
      </c>
      <c r="F209" s="57">
        <v>11.06</v>
      </c>
      <c r="G209" s="57">
        <v>12</v>
      </c>
      <c r="H209" s="44">
        <f t="shared" si="17"/>
        <v>0</v>
      </c>
      <c r="I209" s="71">
        <v>1</v>
      </c>
      <c r="J209" s="46">
        <f t="shared" si="18"/>
        <v>110.60000000000001</v>
      </c>
      <c r="K209" s="29">
        <f t="shared" si="20"/>
        <v>10</v>
      </c>
      <c r="L209" s="46">
        <f t="shared" si="19"/>
        <v>1</v>
      </c>
      <c r="M209" s="45" t="str">
        <f t="shared" si="21"/>
        <v>MATCH</v>
      </c>
      <c r="N209" s="10"/>
      <c r="O209" s="76">
        <v>10</v>
      </c>
    </row>
    <row r="210" spans="3:15" x14ac:dyDescent="0.3">
      <c r="C210" s="75" t="s">
        <v>233</v>
      </c>
      <c r="D210" s="57">
        <v>32</v>
      </c>
      <c r="E210" s="57">
        <v>4</v>
      </c>
      <c r="F210" s="57">
        <v>5.97</v>
      </c>
      <c r="G210" s="57">
        <v>6</v>
      </c>
      <c r="H210" s="44">
        <f t="shared" si="17"/>
        <v>0</v>
      </c>
      <c r="I210" s="70">
        <v>1</v>
      </c>
      <c r="J210" s="46">
        <f t="shared" si="18"/>
        <v>23.88</v>
      </c>
      <c r="K210" s="29">
        <f t="shared" si="20"/>
        <v>4</v>
      </c>
      <c r="L210" s="46">
        <f t="shared" si="19"/>
        <v>1</v>
      </c>
      <c r="M210" s="45" t="str">
        <f t="shared" si="21"/>
        <v>MATCH</v>
      </c>
      <c r="N210" s="10"/>
      <c r="O210" s="77">
        <v>4</v>
      </c>
    </row>
    <row r="211" spans="3:15" x14ac:dyDescent="0.3">
      <c r="C211" s="75" t="s">
        <v>234</v>
      </c>
      <c r="D211" s="57">
        <v>16</v>
      </c>
      <c r="E211" s="57">
        <v>12</v>
      </c>
      <c r="F211" s="57">
        <v>4.3099999999999996</v>
      </c>
      <c r="G211" s="57">
        <v>6</v>
      </c>
      <c r="H211" s="44">
        <f t="shared" si="17"/>
        <v>0</v>
      </c>
      <c r="I211" s="71">
        <v>1</v>
      </c>
      <c r="J211" s="46">
        <f t="shared" si="18"/>
        <v>51.72</v>
      </c>
      <c r="K211" s="29">
        <f t="shared" si="20"/>
        <v>12</v>
      </c>
      <c r="L211" s="46">
        <f t="shared" si="19"/>
        <v>1</v>
      </c>
      <c r="M211" s="45" t="str">
        <f t="shared" si="21"/>
        <v>MATCH</v>
      </c>
      <c r="N211" s="10"/>
      <c r="O211" s="76">
        <v>12</v>
      </c>
    </row>
    <row r="212" spans="3:15" x14ac:dyDescent="0.3">
      <c r="C212" s="75" t="s">
        <v>235</v>
      </c>
      <c r="D212" s="57">
        <v>12</v>
      </c>
      <c r="E212" s="57">
        <v>121</v>
      </c>
      <c r="F212" s="57">
        <v>2.75</v>
      </c>
      <c r="G212" s="57">
        <v>6</v>
      </c>
      <c r="H212" s="44">
        <f t="shared" si="17"/>
        <v>0</v>
      </c>
      <c r="I212" s="70">
        <v>1</v>
      </c>
      <c r="J212" s="46">
        <f t="shared" si="18"/>
        <v>332.75</v>
      </c>
      <c r="K212" s="29">
        <f t="shared" si="20"/>
        <v>61</v>
      </c>
      <c r="L212" s="46">
        <f t="shared" si="19"/>
        <v>2</v>
      </c>
      <c r="M212" s="45" t="str">
        <f t="shared" si="21"/>
        <v>MATCH</v>
      </c>
      <c r="N212" s="10"/>
      <c r="O212" s="77">
        <v>61</v>
      </c>
    </row>
    <row r="213" spans="3:15" x14ac:dyDescent="0.3">
      <c r="C213" s="75" t="s">
        <v>236</v>
      </c>
      <c r="D213" s="57">
        <v>12</v>
      </c>
      <c r="E213" s="57">
        <v>76</v>
      </c>
      <c r="F213" s="57">
        <v>1.96</v>
      </c>
      <c r="G213" s="57">
        <v>6</v>
      </c>
      <c r="H213" s="44">
        <f t="shared" ref="H213:H252" si="22">((22/(7*4))*(D213^2)/(1000^2))*J213*$B$24</f>
        <v>0</v>
      </c>
      <c r="I213" s="71">
        <v>1</v>
      </c>
      <c r="J213" s="46">
        <f t="shared" si="18"/>
        <v>148.96</v>
      </c>
      <c r="K213" s="29">
        <f t="shared" si="20"/>
        <v>26</v>
      </c>
      <c r="L213" s="46">
        <f t="shared" si="19"/>
        <v>3</v>
      </c>
      <c r="M213" s="45" t="str">
        <f t="shared" si="21"/>
        <v>MATCH</v>
      </c>
      <c r="N213" s="10"/>
      <c r="O213" s="76">
        <v>26</v>
      </c>
    </row>
    <row r="214" spans="3:15" x14ac:dyDescent="0.3">
      <c r="C214" s="75" t="s">
        <v>237</v>
      </c>
      <c r="D214" s="57">
        <v>12</v>
      </c>
      <c r="E214" s="57">
        <v>38</v>
      </c>
      <c r="F214" s="57">
        <v>2.0499999999999998</v>
      </c>
      <c r="G214" s="57">
        <v>7.5</v>
      </c>
      <c r="H214" s="44">
        <f t="shared" si="22"/>
        <v>0</v>
      </c>
      <c r="I214" s="70">
        <v>1</v>
      </c>
      <c r="J214" s="46">
        <f t="shared" si="18"/>
        <v>77.899999999999991</v>
      </c>
      <c r="K214" s="29">
        <f t="shared" si="20"/>
        <v>13</v>
      </c>
      <c r="L214" s="46">
        <f t="shared" si="19"/>
        <v>3</v>
      </c>
      <c r="M214" s="45" t="str">
        <f t="shared" si="21"/>
        <v>MATCH</v>
      </c>
      <c r="N214" s="10"/>
      <c r="O214" s="77">
        <v>13</v>
      </c>
    </row>
    <row r="215" spans="3:15" x14ac:dyDescent="0.3">
      <c r="C215" s="75" t="s">
        <v>238</v>
      </c>
      <c r="D215" s="57">
        <v>10</v>
      </c>
      <c r="E215" s="57">
        <v>56</v>
      </c>
      <c r="F215" s="57">
        <v>1.78</v>
      </c>
      <c r="G215" s="57">
        <v>6</v>
      </c>
      <c r="H215" s="44">
        <f t="shared" si="22"/>
        <v>0</v>
      </c>
      <c r="I215" s="71">
        <v>1</v>
      </c>
      <c r="J215" s="46">
        <f t="shared" si="18"/>
        <v>99.68</v>
      </c>
      <c r="K215" s="29">
        <f t="shared" si="20"/>
        <v>19</v>
      </c>
      <c r="L215" s="46">
        <f t="shared" si="19"/>
        <v>3</v>
      </c>
      <c r="M215" s="45" t="str">
        <f t="shared" si="21"/>
        <v>MATCH</v>
      </c>
      <c r="N215" s="10"/>
      <c r="O215" s="76">
        <v>19</v>
      </c>
    </row>
    <row r="216" spans="3:15" x14ac:dyDescent="0.3">
      <c r="C216" s="75" t="s">
        <v>239</v>
      </c>
      <c r="D216" s="57">
        <v>10</v>
      </c>
      <c r="E216" s="57">
        <v>28</v>
      </c>
      <c r="F216" s="57">
        <v>2.72</v>
      </c>
      <c r="G216" s="57">
        <v>6</v>
      </c>
      <c r="H216" s="44">
        <f t="shared" si="22"/>
        <v>0</v>
      </c>
      <c r="I216" s="70">
        <v>1</v>
      </c>
      <c r="J216" s="46">
        <f t="shared" si="18"/>
        <v>76.160000000000011</v>
      </c>
      <c r="K216" s="29">
        <f t="shared" si="20"/>
        <v>14</v>
      </c>
      <c r="L216" s="46">
        <f t="shared" si="19"/>
        <v>2</v>
      </c>
      <c r="M216" s="45" t="str">
        <f t="shared" si="21"/>
        <v>MATCH</v>
      </c>
      <c r="N216" s="10"/>
      <c r="O216" s="77">
        <v>14</v>
      </c>
    </row>
    <row r="217" spans="3:15" x14ac:dyDescent="0.3">
      <c r="C217" s="75" t="s">
        <v>240</v>
      </c>
      <c r="D217" s="57">
        <v>10</v>
      </c>
      <c r="E217" s="57">
        <v>56</v>
      </c>
      <c r="F217" s="57">
        <v>1.75</v>
      </c>
      <c r="G217" s="57">
        <v>6</v>
      </c>
      <c r="H217" s="44">
        <f t="shared" si="22"/>
        <v>0</v>
      </c>
      <c r="I217" s="71">
        <v>1</v>
      </c>
      <c r="J217" s="46">
        <f t="shared" si="18"/>
        <v>98</v>
      </c>
      <c r="K217" s="29">
        <f t="shared" si="20"/>
        <v>19</v>
      </c>
      <c r="L217" s="46">
        <f t="shared" si="19"/>
        <v>3</v>
      </c>
      <c r="M217" s="45" t="str">
        <f t="shared" si="21"/>
        <v>RECHECK</v>
      </c>
      <c r="N217" s="10"/>
      <c r="O217" s="76">
        <v>14</v>
      </c>
    </row>
    <row r="218" spans="3:15" x14ac:dyDescent="0.3">
      <c r="C218" s="75" t="s">
        <v>241</v>
      </c>
      <c r="D218" s="57">
        <v>10</v>
      </c>
      <c r="E218" s="57">
        <v>21</v>
      </c>
      <c r="F218" s="57">
        <v>1.4</v>
      </c>
      <c r="G218" s="57">
        <v>6</v>
      </c>
      <c r="H218" s="44">
        <f t="shared" si="22"/>
        <v>0</v>
      </c>
      <c r="I218" s="70">
        <v>1</v>
      </c>
      <c r="J218" s="46">
        <f t="shared" si="18"/>
        <v>29.4</v>
      </c>
      <c r="K218" s="29">
        <f t="shared" si="20"/>
        <v>6</v>
      </c>
      <c r="L218" s="46">
        <f t="shared" si="19"/>
        <v>4</v>
      </c>
      <c r="M218" s="45" t="str">
        <f t="shared" si="21"/>
        <v>MATCH</v>
      </c>
      <c r="N218" s="10"/>
      <c r="O218" s="77">
        <v>6</v>
      </c>
    </row>
    <row r="219" spans="3:15" x14ac:dyDescent="0.3">
      <c r="C219" s="78" t="s">
        <v>242</v>
      </c>
      <c r="D219" s="59">
        <v>10</v>
      </c>
      <c r="E219" s="59">
        <v>42</v>
      </c>
      <c r="F219" s="59">
        <v>1.02</v>
      </c>
      <c r="G219" s="59">
        <v>6</v>
      </c>
      <c r="H219" s="49">
        <f t="shared" si="22"/>
        <v>0</v>
      </c>
      <c r="I219" s="85">
        <v>1</v>
      </c>
      <c r="J219" s="51">
        <f t="shared" si="18"/>
        <v>42.84</v>
      </c>
      <c r="K219" s="35">
        <f t="shared" si="20"/>
        <v>9</v>
      </c>
      <c r="L219" s="51">
        <f t="shared" si="19"/>
        <v>5</v>
      </c>
      <c r="M219" s="50" t="str">
        <f t="shared" si="21"/>
        <v>MATCH</v>
      </c>
      <c r="N219" s="11"/>
      <c r="O219" s="80">
        <v>9</v>
      </c>
    </row>
    <row r="220" spans="3:15" x14ac:dyDescent="0.3">
      <c r="C220" s="81" t="s">
        <v>243</v>
      </c>
      <c r="D220" s="61">
        <v>32</v>
      </c>
      <c r="E220" s="61">
        <v>14</v>
      </c>
      <c r="F220" s="61">
        <v>10.5</v>
      </c>
      <c r="G220" s="61">
        <v>12</v>
      </c>
      <c r="H220" s="39">
        <f t="shared" si="22"/>
        <v>0</v>
      </c>
      <c r="I220" s="73">
        <v>1</v>
      </c>
      <c r="J220" s="41">
        <f t="shared" si="18"/>
        <v>147</v>
      </c>
      <c r="K220" s="23">
        <f t="shared" si="20"/>
        <v>14</v>
      </c>
      <c r="L220" s="41">
        <f t="shared" si="19"/>
        <v>1</v>
      </c>
      <c r="M220" s="40" t="str">
        <f t="shared" si="21"/>
        <v>MATCH</v>
      </c>
      <c r="N220" s="9"/>
      <c r="O220" s="74">
        <v>14</v>
      </c>
    </row>
    <row r="221" spans="3:15" x14ac:dyDescent="0.3">
      <c r="C221" s="82" t="s">
        <v>244</v>
      </c>
      <c r="D221" s="63">
        <v>25</v>
      </c>
      <c r="E221" s="63">
        <v>9</v>
      </c>
      <c r="F221" s="63">
        <v>8.8699999999999992</v>
      </c>
      <c r="G221" s="63">
        <v>9</v>
      </c>
      <c r="H221" s="44">
        <f t="shared" si="22"/>
        <v>0</v>
      </c>
      <c r="I221" s="71">
        <v>1</v>
      </c>
      <c r="J221" s="46">
        <f t="shared" si="18"/>
        <v>79.83</v>
      </c>
      <c r="K221" s="29">
        <f t="shared" si="20"/>
        <v>9</v>
      </c>
      <c r="L221" s="46">
        <f t="shared" si="19"/>
        <v>1</v>
      </c>
      <c r="M221" s="45" t="str">
        <f t="shared" si="21"/>
        <v>MATCH</v>
      </c>
      <c r="N221" s="10"/>
      <c r="O221" s="76">
        <v>9</v>
      </c>
    </row>
    <row r="222" spans="3:15" x14ac:dyDescent="0.3">
      <c r="C222" s="82" t="s">
        <v>245</v>
      </c>
      <c r="D222" s="63">
        <v>32</v>
      </c>
      <c r="E222" s="63">
        <v>14</v>
      </c>
      <c r="F222" s="63">
        <v>12</v>
      </c>
      <c r="G222" s="63">
        <v>12</v>
      </c>
      <c r="H222" s="44">
        <f t="shared" si="22"/>
        <v>0</v>
      </c>
      <c r="I222" s="70">
        <v>1</v>
      </c>
      <c r="J222" s="46">
        <f t="shared" si="18"/>
        <v>168</v>
      </c>
      <c r="K222" s="29">
        <f t="shared" si="20"/>
        <v>14</v>
      </c>
      <c r="L222" s="46">
        <f t="shared" si="19"/>
        <v>1</v>
      </c>
      <c r="M222" s="45" t="str">
        <f t="shared" si="21"/>
        <v>MATCH</v>
      </c>
      <c r="N222" s="10"/>
      <c r="O222" s="77">
        <v>14</v>
      </c>
    </row>
    <row r="223" spans="3:15" x14ac:dyDescent="0.3">
      <c r="C223" s="82" t="s">
        <v>246</v>
      </c>
      <c r="D223" s="63">
        <v>25</v>
      </c>
      <c r="E223" s="63">
        <v>9</v>
      </c>
      <c r="F223" s="63">
        <v>7.37</v>
      </c>
      <c r="G223" s="63">
        <v>7.5</v>
      </c>
      <c r="H223" s="44">
        <f t="shared" si="22"/>
        <v>0</v>
      </c>
      <c r="I223" s="71">
        <v>1</v>
      </c>
      <c r="J223" s="46">
        <f t="shared" si="18"/>
        <v>66.33</v>
      </c>
      <c r="K223" s="29">
        <f t="shared" si="20"/>
        <v>9</v>
      </c>
      <c r="L223" s="46">
        <f t="shared" si="19"/>
        <v>1</v>
      </c>
      <c r="M223" s="45" t="str">
        <f t="shared" si="21"/>
        <v>MATCH</v>
      </c>
      <c r="N223" s="10"/>
      <c r="O223" s="76">
        <v>9</v>
      </c>
    </row>
    <row r="224" spans="3:15" x14ac:dyDescent="0.3">
      <c r="C224" s="82" t="s">
        <v>247</v>
      </c>
      <c r="D224" s="63">
        <v>25</v>
      </c>
      <c r="E224" s="63">
        <v>5</v>
      </c>
      <c r="F224" s="63">
        <v>4.3099999999999996</v>
      </c>
      <c r="G224" s="63">
        <v>6</v>
      </c>
      <c r="H224" s="44">
        <f t="shared" si="22"/>
        <v>0</v>
      </c>
      <c r="I224" s="70">
        <v>1</v>
      </c>
      <c r="J224" s="46">
        <f t="shared" si="18"/>
        <v>21.549999999999997</v>
      </c>
      <c r="K224" s="29">
        <f t="shared" si="20"/>
        <v>5</v>
      </c>
      <c r="L224" s="46">
        <f t="shared" si="19"/>
        <v>1</v>
      </c>
      <c r="M224" s="45" t="str">
        <f t="shared" si="21"/>
        <v>MATCH</v>
      </c>
      <c r="N224" s="10"/>
      <c r="O224" s="77">
        <v>5</v>
      </c>
    </row>
    <row r="225" spans="3:15" x14ac:dyDescent="0.3">
      <c r="C225" s="82" t="s">
        <v>248</v>
      </c>
      <c r="D225" s="63">
        <v>25</v>
      </c>
      <c r="E225" s="63">
        <v>5</v>
      </c>
      <c r="F225" s="63">
        <v>3</v>
      </c>
      <c r="G225" s="63">
        <v>6</v>
      </c>
      <c r="H225" s="44">
        <f t="shared" si="22"/>
        <v>0</v>
      </c>
      <c r="I225" s="71">
        <v>1</v>
      </c>
      <c r="J225" s="46">
        <f t="shared" si="18"/>
        <v>15</v>
      </c>
      <c r="K225" s="29">
        <f t="shared" si="20"/>
        <v>3</v>
      </c>
      <c r="L225" s="46">
        <f t="shared" si="19"/>
        <v>2</v>
      </c>
      <c r="M225" s="45" t="str">
        <f t="shared" si="21"/>
        <v>MATCH</v>
      </c>
      <c r="N225" s="10"/>
      <c r="O225" s="76">
        <v>3</v>
      </c>
    </row>
    <row r="226" spans="3:15" x14ac:dyDescent="0.3">
      <c r="C226" s="82" t="s">
        <v>249</v>
      </c>
      <c r="D226" s="63">
        <v>12</v>
      </c>
      <c r="E226" s="63">
        <v>108</v>
      </c>
      <c r="F226" s="63">
        <v>2.75</v>
      </c>
      <c r="G226" s="63">
        <v>6</v>
      </c>
      <c r="H226" s="44">
        <f t="shared" si="22"/>
        <v>0</v>
      </c>
      <c r="I226" s="70">
        <v>1</v>
      </c>
      <c r="J226" s="46">
        <f t="shared" si="18"/>
        <v>297</v>
      </c>
      <c r="K226" s="29">
        <f t="shared" si="20"/>
        <v>54</v>
      </c>
      <c r="L226" s="46">
        <f t="shared" si="19"/>
        <v>2</v>
      </c>
      <c r="M226" s="45" t="str">
        <f t="shared" si="21"/>
        <v>MATCH</v>
      </c>
      <c r="N226" s="10"/>
      <c r="O226" s="77">
        <v>54</v>
      </c>
    </row>
    <row r="227" spans="3:15" x14ac:dyDescent="0.3">
      <c r="C227" s="82" t="s">
        <v>250</v>
      </c>
      <c r="D227" s="63">
        <v>12</v>
      </c>
      <c r="E227" s="63">
        <v>150</v>
      </c>
      <c r="F227" s="63">
        <v>2.0699999999999998</v>
      </c>
      <c r="G227" s="63">
        <v>6</v>
      </c>
      <c r="H227" s="44">
        <f t="shared" si="22"/>
        <v>0</v>
      </c>
      <c r="I227" s="71">
        <v>1</v>
      </c>
      <c r="J227" s="46">
        <f t="shared" si="18"/>
        <v>310.5</v>
      </c>
      <c r="K227" s="29">
        <f t="shared" si="20"/>
        <v>75</v>
      </c>
      <c r="L227" s="46">
        <f t="shared" si="19"/>
        <v>2</v>
      </c>
      <c r="M227" s="45" t="str">
        <f t="shared" si="21"/>
        <v>MATCH</v>
      </c>
      <c r="N227" s="10"/>
      <c r="O227" s="76">
        <v>75</v>
      </c>
    </row>
    <row r="228" spans="3:15" x14ac:dyDescent="0.3">
      <c r="C228" s="82" t="s">
        <v>251</v>
      </c>
      <c r="D228" s="63">
        <v>12</v>
      </c>
      <c r="E228" s="63">
        <v>216</v>
      </c>
      <c r="F228" s="63">
        <v>0.8</v>
      </c>
      <c r="G228" s="63">
        <v>6</v>
      </c>
      <c r="H228" s="44">
        <f t="shared" si="22"/>
        <v>0</v>
      </c>
      <c r="I228" s="70">
        <v>1</v>
      </c>
      <c r="J228" s="46">
        <f t="shared" si="18"/>
        <v>172.8</v>
      </c>
      <c r="K228" s="29">
        <f t="shared" si="20"/>
        <v>31</v>
      </c>
      <c r="L228" s="46">
        <f t="shared" si="19"/>
        <v>7</v>
      </c>
      <c r="M228" s="45" t="str">
        <f t="shared" si="21"/>
        <v>MATCH</v>
      </c>
      <c r="N228" s="10"/>
      <c r="O228" s="77">
        <v>31</v>
      </c>
    </row>
    <row r="229" spans="3:15" x14ac:dyDescent="0.3">
      <c r="C229" s="82" t="s">
        <v>252</v>
      </c>
      <c r="D229" s="63">
        <v>12</v>
      </c>
      <c r="E229" s="63">
        <v>33</v>
      </c>
      <c r="F229" s="63">
        <v>1.95</v>
      </c>
      <c r="G229" s="63">
        <v>6</v>
      </c>
      <c r="H229" s="44">
        <f t="shared" si="22"/>
        <v>0</v>
      </c>
      <c r="I229" s="71">
        <v>1</v>
      </c>
      <c r="J229" s="46">
        <f t="shared" si="18"/>
        <v>64.349999999999994</v>
      </c>
      <c r="K229" s="29">
        <f t="shared" si="20"/>
        <v>11</v>
      </c>
      <c r="L229" s="46">
        <f t="shared" si="19"/>
        <v>3</v>
      </c>
      <c r="M229" s="45" t="str">
        <f t="shared" si="21"/>
        <v>MATCH</v>
      </c>
      <c r="N229" s="10"/>
      <c r="O229" s="76">
        <v>11</v>
      </c>
    </row>
    <row r="230" spans="3:15" x14ac:dyDescent="0.3">
      <c r="C230" s="82" t="s">
        <v>253</v>
      </c>
      <c r="D230" s="63">
        <v>10</v>
      </c>
      <c r="E230" s="63">
        <v>28</v>
      </c>
      <c r="F230" s="63">
        <v>2.72</v>
      </c>
      <c r="G230" s="63">
        <v>6</v>
      </c>
      <c r="H230" s="44">
        <f t="shared" si="22"/>
        <v>0</v>
      </c>
      <c r="I230" s="70">
        <v>1</v>
      </c>
      <c r="J230" s="46">
        <f t="shared" si="18"/>
        <v>76.160000000000011</v>
      </c>
      <c r="K230" s="29">
        <f t="shared" si="20"/>
        <v>14</v>
      </c>
      <c r="L230" s="46">
        <f t="shared" si="19"/>
        <v>2</v>
      </c>
      <c r="M230" s="45" t="str">
        <f t="shared" si="21"/>
        <v>MATCH</v>
      </c>
      <c r="N230" s="10"/>
      <c r="O230" s="77">
        <v>14</v>
      </c>
    </row>
    <row r="231" spans="3:15" x14ac:dyDescent="0.3">
      <c r="C231" s="82" t="s">
        <v>254</v>
      </c>
      <c r="D231" s="63">
        <v>10</v>
      </c>
      <c r="E231" s="63">
        <v>56</v>
      </c>
      <c r="F231" s="63">
        <v>2.12</v>
      </c>
      <c r="G231" s="63">
        <v>6</v>
      </c>
      <c r="H231" s="44">
        <f t="shared" si="22"/>
        <v>0</v>
      </c>
      <c r="I231" s="71">
        <v>1</v>
      </c>
      <c r="J231" s="46">
        <f t="shared" si="18"/>
        <v>118.72</v>
      </c>
      <c r="K231" s="29">
        <f t="shared" si="20"/>
        <v>28</v>
      </c>
      <c r="L231" s="46">
        <f t="shared" si="19"/>
        <v>2</v>
      </c>
      <c r="M231" s="45" t="str">
        <f t="shared" si="21"/>
        <v>MATCH</v>
      </c>
      <c r="N231" s="10"/>
      <c r="O231" s="76">
        <v>28</v>
      </c>
    </row>
    <row r="232" spans="3:15" x14ac:dyDescent="0.3">
      <c r="C232" s="83" t="s">
        <v>255</v>
      </c>
      <c r="D232" s="69">
        <v>10</v>
      </c>
      <c r="E232" s="69">
        <v>28</v>
      </c>
      <c r="F232" s="69">
        <v>2.0099999999999998</v>
      </c>
      <c r="G232" s="69">
        <v>6</v>
      </c>
      <c r="H232" s="49">
        <f t="shared" si="22"/>
        <v>0</v>
      </c>
      <c r="I232" s="79">
        <v>1</v>
      </c>
      <c r="J232" s="51">
        <f t="shared" si="18"/>
        <v>56.279999999999994</v>
      </c>
      <c r="K232" s="35">
        <f t="shared" si="20"/>
        <v>14</v>
      </c>
      <c r="L232" s="51">
        <f t="shared" si="19"/>
        <v>2</v>
      </c>
      <c r="M232" s="50" t="str">
        <f t="shared" si="21"/>
        <v>MATCH</v>
      </c>
      <c r="N232" s="11"/>
      <c r="O232" s="84">
        <v>14</v>
      </c>
    </row>
    <row r="233" spans="3:15" x14ac:dyDescent="0.3">
      <c r="C233" s="86" t="s">
        <v>285</v>
      </c>
      <c r="D233" s="87">
        <v>32</v>
      </c>
      <c r="E233" s="87">
        <v>14</v>
      </c>
      <c r="F233" s="40">
        <v>11.06</v>
      </c>
      <c r="G233" s="40">
        <v>12</v>
      </c>
      <c r="H233" s="39">
        <f t="shared" si="22"/>
        <v>0</v>
      </c>
      <c r="I233" s="73">
        <v>1</v>
      </c>
      <c r="J233" s="41">
        <f t="shared" si="18"/>
        <v>154.84</v>
      </c>
      <c r="K233" s="23">
        <f t="shared" si="20"/>
        <v>14</v>
      </c>
      <c r="L233" s="41">
        <f t="shared" si="19"/>
        <v>1</v>
      </c>
      <c r="M233" s="40" t="str">
        <f t="shared" si="21"/>
        <v>MATCH</v>
      </c>
      <c r="N233" s="9"/>
      <c r="O233" s="74">
        <v>14</v>
      </c>
    </row>
    <row r="234" spans="3:15" x14ac:dyDescent="0.3">
      <c r="C234" s="88" t="s">
        <v>286</v>
      </c>
      <c r="D234" s="65">
        <v>25</v>
      </c>
      <c r="E234" s="65">
        <v>10</v>
      </c>
      <c r="F234" s="65">
        <v>9.2100000000000009</v>
      </c>
      <c r="G234" s="45">
        <v>10.5</v>
      </c>
      <c r="H234" s="44">
        <f t="shared" si="22"/>
        <v>0</v>
      </c>
      <c r="I234" s="71">
        <v>1</v>
      </c>
      <c r="J234" s="46">
        <f t="shared" si="18"/>
        <v>92.100000000000009</v>
      </c>
      <c r="K234" s="29">
        <f t="shared" si="20"/>
        <v>10</v>
      </c>
      <c r="L234" s="46">
        <f t="shared" si="19"/>
        <v>1</v>
      </c>
      <c r="M234" s="45" t="str">
        <f t="shared" si="21"/>
        <v>MATCH</v>
      </c>
      <c r="N234" s="10"/>
      <c r="O234" s="76">
        <v>10</v>
      </c>
    </row>
    <row r="235" spans="3:15" x14ac:dyDescent="0.3">
      <c r="C235" s="89" t="s">
        <v>287</v>
      </c>
      <c r="D235" s="65">
        <v>32</v>
      </c>
      <c r="E235" s="65">
        <v>14</v>
      </c>
      <c r="F235" s="65">
        <v>12</v>
      </c>
      <c r="G235" s="65">
        <v>12</v>
      </c>
      <c r="H235" s="44">
        <f t="shared" si="22"/>
        <v>0</v>
      </c>
      <c r="I235" s="70">
        <v>1</v>
      </c>
      <c r="J235" s="46">
        <f t="shared" si="18"/>
        <v>168</v>
      </c>
      <c r="K235" s="29">
        <f t="shared" si="20"/>
        <v>14</v>
      </c>
      <c r="L235" s="46">
        <f t="shared" si="19"/>
        <v>1</v>
      </c>
      <c r="M235" s="45" t="str">
        <f t="shared" si="21"/>
        <v>MATCH</v>
      </c>
      <c r="N235" s="10"/>
      <c r="O235" s="77">
        <v>14</v>
      </c>
    </row>
    <row r="236" spans="3:15" x14ac:dyDescent="0.3">
      <c r="C236" s="88" t="s">
        <v>288</v>
      </c>
      <c r="D236" s="65">
        <v>25</v>
      </c>
      <c r="E236" s="65">
        <v>10</v>
      </c>
      <c r="F236" s="65">
        <v>7.37</v>
      </c>
      <c r="G236" s="65">
        <v>7.5</v>
      </c>
      <c r="H236" s="44">
        <f t="shared" si="22"/>
        <v>0</v>
      </c>
      <c r="I236" s="71">
        <v>1</v>
      </c>
      <c r="J236" s="46">
        <f t="shared" si="18"/>
        <v>73.7</v>
      </c>
      <c r="K236" s="29">
        <f t="shared" si="20"/>
        <v>10</v>
      </c>
      <c r="L236" s="46">
        <f t="shared" si="19"/>
        <v>1</v>
      </c>
      <c r="M236" s="45" t="str">
        <f t="shared" si="21"/>
        <v>MATCH</v>
      </c>
      <c r="N236" s="10"/>
      <c r="O236" s="76">
        <v>10</v>
      </c>
    </row>
    <row r="237" spans="3:15" x14ac:dyDescent="0.3">
      <c r="C237" s="89" t="s">
        <v>289</v>
      </c>
      <c r="D237" s="65">
        <v>25</v>
      </c>
      <c r="E237" s="65">
        <v>4</v>
      </c>
      <c r="F237" s="65">
        <v>4.3099999999999996</v>
      </c>
      <c r="G237" s="65">
        <v>6</v>
      </c>
      <c r="H237" s="44">
        <f t="shared" si="22"/>
        <v>0</v>
      </c>
      <c r="I237" s="70">
        <v>1</v>
      </c>
      <c r="J237" s="46">
        <f t="shared" si="18"/>
        <v>17.239999999999998</v>
      </c>
      <c r="K237" s="29">
        <f t="shared" si="20"/>
        <v>4</v>
      </c>
      <c r="L237" s="46">
        <f t="shared" si="19"/>
        <v>1</v>
      </c>
      <c r="M237" s="45" t="str">
        <f t="shared" si="21"/>
        <v>MATCH</v>
      </c>
      <c r="N237" s="10"/>
      <c r="O237" s="77">
        <v>4</v>
      </c>
    </row>
    <row r="238" spans="3:15" x14ac:dyDescent="0.3">
      <c r="C238" s="88" t="s">
        <v>290</v>
      </c>
      <c r="D238" s="65">
        <v>25</v>
      </c>
      <c r="E238" s="65">
        <v>4</v>
      </c>
      <c r="F238" s="65">
        <v>3.06</v>
      </c>
      <c r="G238" s="65">
        <v>6</v>
      </c>
      <c r="H238" s="44">
        <f t="shared" si="22"/>
        <v>0</v>
      </c>
      <c r="I238" s="71">
        <v>1</v>
      </c>
      <c r="J238" s="46">
        <f t="shared" si="18"/>
        <v>12.24</v>
      </c>
      <c r="K238" s="29">
        <f t="shared" si="20"/>
        <v>4</v>
      </c>
      <c r="L238" s="46">
        <f t="shared" si="19"/>
        <v>1</v>
      </c>
      <c r="M238" s="45" t="str">
        <f t="shared" si="21"/>
        <v>MATCH</v>
      </c>
      <c r="N238" s="10"/>
      <c r="O238" s="76">
        <v>4</v>
      </c>
    </row>
    <row r="239" spans="3:15" x14ac:dyDescent="0.3">
      <c r="C239" s="89" t="s">
        <v>291</v>
      </c>
      <c r="D239" s="65">
        <v>12</v>
      </c>
      <c r="E239" s="65">
        <v>176</v>
      </c>
      <c r="F239" s="65">
        <v>2.75</v>
      </c>
      <c r="G239" s="65">
        <v>6</v>
      </c>
      <c r="H239" s="44">
        <f t="shared" si="22"/>
        <v>0</v>
      </c>
      <c r="I239" s="70">
        <v>1</v>
      </c>
      <c r="J239" s="46">
        <f t="shared" si="18"/>
        <v>484</v>
      </c>
      <c r="K239" s="29">
        <f t="shared" si="20"/>
        <v>88</v>
      </c>
      <c r="L239" s="46">
        <f t="shared" si="19"/>
        <v>2</v>
      </c>
      <c r="M239" s="45" t="str">
        <f t="shared" si="21"/>
        <v>MATCH</v>
      </c>
      <c r="N239" s="10"/>
      <c r="O239" s="77">
        <v>88</v>
      </c>
    </row>
    <row r="240" spans="3:15" x14ac:dyDescent="0.3">
      <c r="C240" s="88" t="s">
        <v>292</v>
      </c>
      <c r="D240" s="65">
        <v>12</v>
      </c>
      <c r="E240" s="65">
        <v>203</v>
      </c>
      <c r="F240" s="65">
        <v>2.0699999999999998</v>
      </c>
      <c r="G240" s="65">
        <v>6</v>
      </c>
      <c r="H240" s="44">
        <f t="shared" si="22"/>
        <v>0</v>
      </c>
      <c r="I240" s="71">
        <v>1</v>
      </c>
      <c r="J240" s="46">
        <f t="shared" si="18"/>
        <v>420.21</v>
      </c>
      <c r="K240" s="29">
        <f t="shared" si="20"/>
        <v>102</v>
      </c>
      <c r="L240" s="46">
        <f t="shared" si="19"/>
        <v>2</v>
      </c>
      <c r="M240" s="45" t="str">
        <f t="shared" si="21"/>
        <v>MATCH</v>
      </c>
      <c r="N240" s="10"/>
      <c r="O240" s="76">
        <v>102</v>
      </c>
    </row>
    <row r="241" spans="3:15" x14ac:dyDescent="0.3">
      <c r="C241" s="89" t="s">
        <v>293</v>
      </c>
      <c r="D241" s="65">
        <v>12</v>
      </c>
      <c r="E241" s="65">
        <v>176</v>
      </c>
      <c r="F241" s="65">
        <v>0.8</v>
      </c>
      <c r="G241" s="65">
        <v>6</v>
      </c>
      <c r="H241" s="44">
        <f t="shared" si="22"/>
        <v>0</v>
      </c>
      <c r="I241" s="70">
        <v>1</v>
      </c>
      <c r="J241" s="46">
        <f t="shared" si="18"/>
        <v>140.80000000000001</v>
      </c>
      <c r="K241" s="29">
        <f t="shared" si="20"/>
        <v>26</v>
      </c>
      <c r="L241" s="46">
        <f t="shared" si="19"/>
        <v>7</v>
      </c>
      <c r="M241" s="45" t="str">
        <f t="shared" si="21"/>
        <v>MATCH</v>
      </c>
      <c r="N241" s="10"/>
      <c r="O241" s="77">
        <v>26</v>
      </c>
    </row>
    <row r="242" spans="3:15" x14ac:dyDescent="0.3">
      <c r="C242" s="88" t="s">
        <v>294</v>
      </c>
      <c r="D242" s="65">
        <v>12</v>
      </c>
      <c r="E242" s="65">
        <v>66</v>
      </c>
      <c r="F242" s="65">
        <v>1.95</v>
      </c>
      <c r="G242" s="65">
        <v>6</v>
      </c>
      <c r="H242" s="44">
        <f t="shared" si="22"/>
        <v>0</v>
      </c>
      <c r="I242" s="71">
        <v>1</v>
      </c>
      <c r="J242" s="46">
        <f t="shared" si="18"/>
        <v>128.69999999999999</v>
      </c>
      <c r="K242" s="29">
        <f t="shared" si="20"/>
        <v>22</v>
      </c>
      <c r="L242" s="46">
        <f t="shared" si="19"/>
        <v>3</v>
      </c>
      <c r="M242" s="45" t="str">
        <f t="shared" si="21"/>
        <v>MATCH</v>
      </c>
      <c r="N242" s="10"/>
      <c r="O242" s="76">
        <v>22</v>
      </c>
    </row>
    <row r="243" spans="3:15" x14ac:dyDescent="0.3">
      <c r="C243" s="89" t="s">
        <v>295</v>
      </c>
      <c r="D243" s="65">
        <v>12</v>
      </c>
      <c r="E243" s="65">
        <v>82</v>
      </c>
      <c r="F243" s="65">
        <v>1.78</v>
      </c>
      <c r="G243" s="65">
        <v>6</v>
      </c>
      <c r="H243" s="44">
        <f t="shared" si="22"/>
        <v>0</v>
      </c>
      <c r="I243" s="70">
        <v>1</v>
      </c>
      <c r="J243" s="46">
        <f t="shared" si="18"/>
        <v>145.96</v>
      </c>
      <c r="K243" s="29">
        <f t="shared" si="20"/>
        <v>28</v>
      </c>
      <c r="L243" s="46">
        <f t="shared" si="19"/>
        <v>3</v>
      </c>
      <c r="M243" s="45" t="str">
        <f t="shared" si="21"/>
        <v>MATCH</v>
      </c>
      <c r="N243" s="10"/>
      <c r="O243" s="77">
        <v>28</v>
      </c>
    </row>
    <row r="244" spans="3:15" x14ac:dyDescent="0.3">
      <c r="C244" s="90" t="s">
        <v>296</v>
      </c>
      <c r="D244" s="67">
        <v>12</v>
      </c>
      <c r="E244" s="67">
        <v>41</v>
      </c>
      <c r="F244" s="50">
        <v>2.27</v>
      </c>
      <c r="G244" s="50">
        <v>6</v>
      </c>
      <c r="H244" s="49">
        <f t="shared" si="22"/>
        <v>0</v>
      </c>
      <c r="I244" s="85">
        <v>1</v>
      </c>
      <c r="J244" s="51">
        <f t="shared" si="18"/>
        <v>93.070000000000007</v>
      </c>
      <c r="K244" s="35">
        <f t="shared" si="20"/>
        <v>21</v>
      </c>
      <c r="L244" s="51">
        <f t="shared" si="19"/>
        <v>2</v>
      </c>
      <c r="M244" s="50" t="str">
        <f t="shared" si="21"/>
        <v>MATCH</v>
      </c>
      <c r="N244" s="11"/>
      <c r="O244" s="80">
        <v>21</v>
      </c>
    </row>
    <row r="245" spans="3:15" x14ac:dyDescent="0.3">
      <c r="C245" s="86" t="s">
        <v>297</v>
      </c>
      <c r="D245" s="87">
        <v>32</v>
      </c>
      <c r="E245" s="87">
        <v>10</v>
      </c>
      <c r="F245" s="87">
        <v>4.21</v>
      </c>
      <c r="G245" s="87">
        <v>6</v>
      </c>
      <c r="H245" s="39">
        <f t="shared" si="22"/>
        <v>0</v>
      </c>
      <c r="I245" s="73">
        <v>1</v>
      </c>
      <c r="J245" s="41">
        <f t="shared" si="18"/>
        <v>42.1</v>
      </c>
      <c r="K245" s="23">
        <f t="shared" si="20"/>
        <v>10</v>
      </c>
      <c r="L245" s="41">
        <f t="shared" si="19"/>
        <v>1</v>
      </c>
      <c r="M245" s="40" t="str">
        <f t="shared" si="21"/>
        <v>MATCH</v>
      </c>
      <c r="N245" s="9"/>
      <c r="O245" s="74">
        <v>10</v>
      </c>
    </row>
    <row r="246" spans="3:15" x14ac:dyDescent="0.3">
      <c r="C246" s="88" t="s">
        <v>298</v>
      </c>
      <c r="D246" s="65">
        <v>32</v>
      </c>
      <c r="E246" s="65">
        <v>10</v>
      </c>
      <c r="F246" s="65">
        <v>10.210000000000001</v>
      </c>
      <c r="G246" s="65">
        <v>10.5</v>
      </c>
      <c r="H246" s="44">
        <f t="shared" si="22"/>
        <v>0</v>
      </c>
      <c r="I246" s="71">
        <v>1</v>
      </c>
      <c r="J246" s="46">
        <f t="shared" si="18"/>
        <v>102.10000000000001</v>
      </c>
      <c r="K246" s="29">
        <f t="shared" si="20"/>
        <v>10</v>
      </c>
      <c r="L246" s="46">
        <f t="shared" si="19"/>
        <v>1</v>
      </c>
      <c r="M246" s="45" t="str">
        <f t="shared" si="21"/>
        <v>MATCH</v>
      </c>
      <c r="N246" s="10"/>
      <c r="O246" s="76">
        <v>10</v>
      </c>
    </row>
    <row r="247" spans="3:15" x14ac:dyDescent="0.3">
      <c r="C247" s="89" t="s">
        <v>299</v>
      </c>
      <c r="D247" s="65">
        <v>32</v>
      </c>
      <c r="E247" s="65">
        <v>10</v>
      </c>
      <c r="F247" s="65">
        <v>8.51</v>
      </c>
      <c r="G247" s="65">
        <v>9</v>
      </c>
      <c r="H247" s="44">
        <f t="shared" si="22"/>
        <v>0</v>
      </c>
      <c r="I247" s="70">
        <v>1</v>
      </c>
      <c r="J247" s="46">
        <f t="shared" si="18"/>
        <v>85.1</v>
      </c>
      <c r="K247" s="29">
        <f t="shared" si="20"/>
        <v>10</v>
      </c>
      <c r="L247" s="46">
        <f t="shared" si="19"/>
        <v>1</v>
      </c>
      <c r="M247" s="45" t="str">
        <f t="shared" si="21"/>
        <v>MATCH</v>
      </c>
      <c r="N247" s="10"/>
      <c r="O247" s="77">
        <v>10</v>
      </c>
    </row>
    <row r="248" spans="3:15" x14ac:dyDescent="0.3">
      <c r="C248" s="88" t="s">
        <v>300</v>
      </c>
      <c r="D248" s="65">
        <v>32</v>
      </c>
      <c r="E248" s="65">
        <v>10</v>
      </c>
      <c r="F248" s="65">
        <v>11.36</v>
      </c>
      <c r="G248" s="65">
        <v>12</v>
      </c>
      <c r="H248" s="44">
        <f t="shared" si="22"/>
        <v>0</v>
      </c>
      <c r="I248" s="71">
        <v>1</v>
      </c>
      <c r="J248" s="46">
        <f t="shared" si="18"/>
        <v>113.6</v>
      </c>
      <c r="K248" s="29">
        <f t="shared" si="20"/>
        <v>10</v>
      </c>
      <c r="L248" s="46">
        <f t="shared" si="19"/>
        <v>1</v>
      </c>
      <c r="M248" s="45" t="str">
        <f t="shared" si="21"/>
        <v>MATCH</v>
      </c>
      <c r="N248" s="10"/>
      <c r="O248" s="76">
        <v>10</v>
      </c>
    </row>
    <row r="249" spans="3:15" x14ac:dyDescent="0.3">
      <c r="C249" s="89" t="s">
        <v>301</v>
      </c>
      <c r="D249" s="65">
        <v>32</v>
      </c>
      <c r="E249" s="65">
        <v>4</v>
      </c>
      <c r="F249" s="65">
        <v>8.51</v>
      </c>
      <c r="G249" s="65">
        <v>9</v>
      </c>
      <c r="H249" s="44">
        <f t="shared" si="22"/>
        <v>0</v>
      </c>
      <c r="I249" s="70">
        <v>1</v>
      </c>
      <c r="J249" s="46">
        <f t="shared" si="18"/>
        <v>34.04</v>
      </c>
      <c r="K249" s="29">
        <f t="shared" si="20"/>
        <v>4</v>
      </c>
      <c r="L249" s="46">
        <f t="shared" si="19"/>
        <v>1</v>
      </c>
      <c r="M249" s="45" t="str">
        <f t="shared" si="21"/>
        <v>MATCH</v>
      </c>
      <c r="N249" s="10"/>
      <c r="O249" s="77">
        <v>4</v>
      </c>
    </row>
    <row r="250" spans="3:15" x14ac:dyDescent="0.3">
      <c r="C250" s="88" t="s">
        <v>302</v>
      </c>
      <c r="D250" s="65">
        <v>32</v>
      </c>
      <c r="E250" s="65">
        <v>4</v>
      </c>
      <c r="F250" s="65">
        <v>7.36</v>
      </c>
      <c r="G250" s="65">
        <v>7.5</v>
      </c>
      <c r="H250" s="44">
        <f t="shared" si="22"/>
        <v>0</v>
      </c>
      <c r="I250" s="71">
        <v>1</v>
      </c>
      <c r="J250" s="46">
        <f t="shared" si="18"/>
        <v>29.44</v>
      </c>
      <c r="K250" s="29">
        <f t="shared" si="20"/>
        <v>4</v>
      </c>
      <c r="L250" s="46">
        <f t="shared" si="19"/>
        <v>1</v>
      </c>
      <c r="M250" s="45" t="str">
        <f t="shared" si="21"/>
        <v>MATCH</v>
      </c>
      <c r="N250" s="10"/>
      <c r="O250" s="76">
        <v>4</v>
      </c>
    </row>
    <row r="251" spans="3:15" x14ac:dyDescent="0.3">
      <c r="C251" s="89" t="s">
        <v>303</v>
      </c>
      <c r="D251" s="65">
        <v>32</v>
      </c>
      <c r="E251" s="65">
        <v>4</v>
      </c>
      <c r="F251" s="65">
        <v>12</v>
      </c>
      <c r="G251" s="65">
        <v>12</v>
      </c>
      <c r="H251" s="44">
        <f t="shared" si="22"/>
        <v>0</v>
      </c>
      <c r="I251" s="70">
        <v>1</v>
      </c>
      <c r="J251" s="46">
        <f t="shared" si="18"/>
        <v>48</v>
      </c>
      <c r="K251" s="29">
        <f t="shared" si="20"/>
        <v>4</v>
      </c>
      <c r="L251" s="46">
        <f t="shared" si="19"/>
        <v>1</v>
      </c>
      <c r="M251" s="45" t="str">
        <f t="shared" si="21"/>
        <v>MATCH</v>
      </c>
      <c r="N251" s="10"/>
      <c r="O251" s="77">
        <v>4</v>
      </c>
    </row>
    <row r="252" spans="3:15" x14ac:dyDescent="0.3">
      <c r="C252" s="88" t="s">
        <v>304</v>
      </c>
      <c r="D252" s="65">
        <v>32</v>
      </c>
      <c r="E252" s="65">
        <v>4</v>
      </c>
      <c r="F252" s="65">
        <v>3.36</v>
      </c>
      <c r="G252" s="65">
        <v>8.5</v>
      </c>
      <c r="H252" s="44">
        <f t="shared" si="22"/>
        <v>0</v>
      </c>
      <c r="I252" s="71">
        <v>1</v>
      </c>
      <c r="J252" s="46">
        <f t="shared" si="18"/>
        <v>13.44</v>
      </c>
      <c r="K252" s="29">
        <f t="shared" si="20"/>
        <v>2</v>
      </c>
      <c r="L252" s="46">
        <f t="shared" si="19"/>
        <v>2</v>
      </c>
      <c r="M252" s="45" t="str">
        <f t="shared" si="21"/>
        <v>MATCH</v>
      </c>
      <c r="N252" s="10"/>
      <c r="O252" s="76">
        <v>2</v>
      </c>
    </row>
    <row r="253" spans="3:15" x14ac:dyDescent="0.3">
      <c r="C253" s="89" t="s">
        <v>305</v>
      </c>
      <c r="D253" s="65">
        <v>32</v>
      </c>
      <c r="E253" s="65">
        <v>4</v>
      </c>
      <c r="F253" s="65">
        <v>6</v>
      </c>
      <c r="G253" s="65">
        <v>6</v>
      </c>
      <c r="H253" s="44">
        <f>((22/(7*4))*(D253^2)/(1000^2))*J253*$B$24</f>
        <v>0</v>
      </c>
      <c r="I253" s="70">
        <v>1</v>
      </c>
      <c r="J253" s="46">
        <f t="shared" si="18"/>
        <v>24</v>
      </c>
      <c r="K253" s="29">
        <f t="shared" si="20"/>
        <v>4</v>
      </c>
      <c r="L253" s="46">
        <f t="shared" si="19"/>
        <v>1</v>
      </c>
      <c r="M253" s="45" t="str">
        <f t="shared" si="21"/>
        <v>MATCH</v>
      </c>
      <c r="N253" s="10"/>
      <c r="O253" s="77">
        <v>4</v>
      </c>
    </row>
    <row r="254" spans="3:15" x14ac:dyDescent="0.3">
      <c r="C254" s="88" t="s">
        <v>306</v>
      </c>
      <c r="D254" s="65">
        <v>10</v>
      </c>
      <c r="E254" s="65">
        <v>63</v>
      </c>
      <c r="F254" s="65">
        <v>2.72</v>
      </c>
      <c r="G254" s="65">
        <v>6</v>
      </c>
      <c r="H254" s="44">
        <f>((22/(7*4))*(D254^2)/(1000^2))*J254*$B$24</f>
        <v>0</v>
      </c>
      <c r="I254" s="71">
        <v>1</v>
      </c>
      <c r="J254" s="46">
        <f t="shared" si="18"/>
        <v>171.36</v>
      </c>
      <c r="K254" s="29">
        <f t="shared" si="20"/>
        <v>32</v>
      </c>
      <c r="L254" s="46">
        <f t="shared" si="19"/>
        <v>2</v>
      </c>
      <c r="M254" s="45" t="str">
        <f t="shared" si="21"/>
        <v>MATCH</v>
      </c>
      <c r="N254" s="10"/>
      <c r="O254" s="76">
        <v>32</v>
      </c>
    </row>
    <row r="255" spans="3:15" x14ac:dyDescent="0.3">
      <c r="C255" s="89" t="s">
        <v>307</v>
      </c>
      <c r="D255" s="65">
        <v>10</v>
      </c>
      <c r="E255" s="65">
        <v>126</v>
      </c>
      <c r="F255" s="65">
        <v>1.82</v>
      </c>
      <c r="G255" s="65">
        <v>6</v>
      </c>
      <c r="H255" s="44">
        <f>((22/(7*4))*(D254^2)/(1000^2))*J255*$B$24</f>
        <v>0</v>
      </c>
      <c r="I255" s="70">
        <v>1</v>
      </c>
      <c r="J255" s="46">
        <f t="shared" si="18"/>
        <v>229.32000000000002</v>
      </c>
      <c r="K255" s="29">
        <f t="shared" si="20"/>
        <v>42</v>
      </c>
      <c r="L255" s="46">
        <f t="shared" si="19"/>
        <v>3</v>
      </c>
      <c r="M255" s="45" t="str">
        <f t="shared" si="21"/>
        <v>MATCH</v>
      </c>
      <c r="N255" s="10"/>
      <c r="O255" s="77">
        <v>42</v>
      </c>
    </row>
    <row r="256" spans="3:15" x14ac:dyDescent="0.3">
      <c r="C256" s="88" t="s">
        <v>308</v>
      </c>
      <c r="D256" s="65">
        <v>10</v>
      </c>
      <c r="E256" s="65">
        <v>63</v>
      </c>
      <c r="F256" s="65">
        <v>2.02</v>
      </c>
      <c r="G256" s="65">
        <v>6</v>
      </c>
      <c r="H256" s="44">
        <f>((22/(7*4))*(D255^2)/(1000^2))*J256*$B$24</f>
        <v>0</v>
      </c>
      <c r="I256" s="71">
        <v>1</v>
      </c>
      <c r="J256" s="46">
        <f t="shared" si="18"/>
        <v>127.26</v>
      </c>
      <c r="K256" s="29">
        <f t="shared" si="20"/>
        <v>32</v>
      </c>
      <c r="L256" s="46">
        <f t="shared" si="19"/>
        <v>2</v>
      </c>
      <c r="M256" s="45" t="str">
        <f t="shared" si="21"/>
        <v>MATCH</v>
      </c>
      <c r="N256" s="10"/>
      <c r="O256" s="76">
        <v>32</v>
      </c>
    </row>
    <row r="257" spans="3:15" x14ac:dyDescent="0.3">
      <c r="C257" s="89" t="s">
        <v>309</v>
      </c>
      <c r="D257" s="65">
        <v>10</v>
      </c>
      <c r="E257" s="65">
        <v>252</v>
      </c>
      <c r="F257" s="65">
        <v>0.77</v>
      </c>
      <c r="G257" s="65">
        <v>6</v>
      </c>
      <c r="H257" s="44">
        <f>((22/(7*4))*(D256^2)/(1000^2))*J257*$B$24</f>
        <v>0</v>
      </c>
      <c r="I257" s="70">
        <v>1</v>
      </c>
      <c r="J257" s="46">
        <f t="shared" si="18"/>
        <v>194.04</v>
      </c>
      <c r="K257" s="29">
        <f t="shared" si="20"/>
        <v>36</v>
      </c>
      <c r="L257" s="46">
        <f t="shared" si="19"/>
        <v>7</v>
      </c>
      <c r="M257" s="45" t="str">
        <f t="shared" si="21"/>
        <v>MATCH</v>
      </c>
      <c r="N257" s="10"/>
      <c r="O257" s="77">
        <v>36</v>
      </c>
    </row>
    <row r="258" spans="3:15" x14ac:dyDescent="0.3">
      <c r="C258" s="88" t="s">
        <v>310</v>
      </c>
      <c r="D258" s="65">
        <v>12</v>
      </c>
      <c r="E258" s="65">
        <v>195</v>
      </c>
      <c r="F258" s="65">
        <v>2.77</v>
      </c>
      <c r="G258" s="65">
        <v>7.5</v>
      </c>
      <c r="H258" s="44">
        <f>((22/(7*4))*(D257^2)/(1000^2))*J258*$B$24</f>
        <v>0</v>
      </c>
      <c r="I258" s="71">
        <v>1</v>
      </c>
      <c r="J258" s="46">
        <f t="shared" si="18"/>
        <v>540.15</v>
      </c>
      <c r="K258" s="29">
        <f t="shared" si="20"/>
        <v>98</v>
      </c>
      <c r="L258" s="46">
        <f t="shared" si="19"/>
        <v>2</v>
      </c>
      <c r="M258" s="45" t="str">
        <f t="shared" si="21"/>
        <v>MATCH</v>
      </c>
      <c r="N258" s="10"/>
      <c r="O258" s="76">
        <v>98</v>
      </c>
    </row>
    <row r="259" spans="3:15" x14ac:dyDescent="0.3">
      <c r="C259" s="89" t="s">
        <v>311</v>
      </c>
      <c r="D259" s="65">
        <v>12</v>
      </c>
      <c r="E259" s="65">
        <v>324</v>
      </c>
      <c r="F259" s="65">
        <v>2.08</v>
      </c>
      <c r="G259" s="65">
        <v>6</v>
      </c>
      <c r="H259" s="44">
        <f>((22/(7*4))*(D258^2)/(1000^2))*J259*$B$24</f>
        <v>0</v>
      </c>
      <c r="I259" s="70">
        <v>1</v>
      </c>
      <c r="J259" s="46">
        <f t="shared" si="18"/>
        <v>673.92000000000007</v>
      </c>
      <c r="K259" s="29">
        <f t="shared" si="20"/>
        <v>162</v>
      </c>
      <c r="L259" s="46">
        <f t="shared" si="19"/>
        <v>2</v>
      </c>
      <c r="M259" s="45" t="str">
        <f t="shared" si="21"/>
        <v>MATCH</v>
      </c>
      <c r="N259" s="10"/>
      <c r="O259" s="77">
        <v>162</v>
      </c>
    </row>
    <row r="260" spans="3:15" x14ac:dyDescent="0.3">
      <c r="C260" s="88" t="s">
        <v>312</v>
      </c>
      <c r="D260" s="65">
        <v>12</v>
      </c>
      <c r="E260" s="65">
        <v>324</v>
      </c>
      <c r="F260" s="65">
        <v>0.8</v>
      </c>
      <c r="G260" s="65">
        <v>6</v>
      </c>
      <c r="H260" s="44">
        <f>((22/(7*4))*(D258^2)/(1000^2))*J260*$B$24</f>
        <v>0</v>
      </c>
      <c r="I260" s="71">
        <v>1</v>
      </c>
      <c r="J260" s="46">
        <f t="shared" si="18"/>
        <v>259.2</v>
      </c>
      <c r="K260" s="29">
        <f t="shared" si="20"/>
        <v>47</v>
      </c>
      <c r="L260" s="46">
        <f t="shared" si="19"/>
        <v>7</v>
      </c>
      <c r="M260" s="45" t="str">
        <f t="shared" si="21"/>
        <v>MATCH</v>
      </c>
      <c r="N260" s="10"/>
      <c r="O260" s="76">
        <v>47</v>
      </c>
    </row>
    <row r="261" spans="3:15" x14ac:dyDescent="0.3">
      <c r="C261" s="91" t="s">
        <v>313</v>
      </c>
      <c r="D261" s="67">
        <v>12</v>
      </c>
      <c r="E261" s="67">
        <v>66</v>
      </c>
      <c r="F261" s="67">
        <v>1.66</v>
      </c>
      <c r="G261" s="67">
        <v>6</v>
      </c>
      <c r="H261" s="49">
        <f>((22/(7*4))*(D259^2)/(1000^2))*J261*$B$24</f>
        <v>0</v>
      </c>
      <c r="I261" s="79">
        <v>1</v>
      </c>
      <c r="J261" s="51">
        <f t="shared" ref="J261:J288" si="23">E261*F261</f>
        <v>109.55999999999999</v>
      </c>
      <c r="K261" s="35">
        <f t="shared" si="20"/>
        <v>22</v>
      </c>
      <c r="L261" s="51">
        <f t="shared" ref="L261:L288" si="24">ROUNDDOWN(G261/F261, 0)</f>
        <v>3</v>
      </c>
      <c r="M261" s="50" t="str">
        <f t="shared" si="21"/>
        <v>MATCH</v>
      </c>
      <c r="N261" s="11"/>
      <c r="O261" s="84">
        <v>22</v>
      </c>
    </row>
    <row r="262" spans="3:15" x14ac:dyDescent="0.3">
      <c r="C262" s="72" t="s">
        <v>256</v>
      </c>
      <c r="D262" s="55">
        <v>32</v>
      </c>
      <c r="E262" s="55">
        <v>18</v>
      </c>
      <c r="F262" s="55">
        <v>4.2300000000000004</v>
      </c>
      <c r="G262" s="55">
        <v>6</v>
      </c>
      <c r="H262" s="39">
        <f t="shared" ref="H262:H288" si="25">((22/(7*4))*(D262^2)/(1000^2))*J262*$B$24</f>
        <v>0</v>
      </c>
      <c r="I262" s="73">
        <v>1</v>
      </c>
      <c r="J262" s="41">
        <f t="shared" si="23"/>
        <v>76.140000000000015</v>
      </c>
      <c r="K262" s="23">
        <f t="shared" ref="K262:K325" si="26">IF(G262=0,0,ROUNDUP((E262/L262)*I262,0))</f>
        <v>18</v>
      </c>
      <c r="L262" s="41">
        <f t="shared" si="24"/>
        <v>1</v>
      </c>
      <c r="M262" s="40" t="str">
        <f t="shared" ref="M262:M325" si="27">IF(K262=O262, "MATCH", "RECHECK")</f>
        <v>MATCH</v>
      </c>
      <c r="N262" s="9"/>
      <c r="O262" s="74">
        <v>18</v>
      </c>
    </row>
    <row r="263" spans="3:15" x14ac:dyDescent="0.3">
      <c r="C263" s="75" t="s">
        <v>257</v>
      </c>
      <c r="D263" s="57">
        <v>32</v>
      </c>
      <c r="E263" s="57">
        <v>18</v>
      </c>
      <c r="F263" s="57">
        <v>12</v>
      </c>
      <c r="G263" s="57">
        <v>12</v>
      </c>
      <c r="H263" s="44">
        <f t="shared" si="25"/>
        <v>0</v>
      </c>
      <c r="I263" s="71">
        <v>1</v>
      </c>
      <c r="J263" s="46">
        <f t="shared" si="23"/>
        <v>216</v>
      </c>
      <c r="K263" s="29">
        <f t="shared" si="26"/>
        <v>18</v>
      </c>
      <c r="L263" s="46">
        <f t="shared" si="24"/>
        <v>1</v>
      </c>
      <c r="M263" s="45" t="str">
        <f t="shared" si="27"/>
        <v>MATCH</v>
      </c>
      <c r="N263" s="10"/>
      <c r="O263" s="76">
        <v>18</v>
      </c>
    </row>
    <row r="264" spans="3:15" x14ac:dyDescent="0.3">
      <c r="C264" s="75" t="s">
        <v>258</v>
      </c>
      <c r="D264" s="57">
        <v>25</v>
      </c>
      <c r="E264" s="57">
        <v>10</v>
      </c>
      <c r="F264" s="57">
        <v>4.3099999999999996</v>
      </c>
      <c r="G264" s="57">
        <v>6</v>
      </c>
      <c r="H264" s="44">
        <f t="shared" si="25"/>
        <v>0</v>
      </c>
      <c r="I264" s="70">
        <v>1</v>
      </c>
      <c r="J264" s="46">
        <f t="shared" si="23"/>
        <v>43.099999999999994</v>
      </c>
      <c r="K264" s="29">
        <f t="shared" si="26"/>
        <v>10</v>
      </c>
      <c r="L264" s="46">
        <f t="shared" si="24"/>
        <v>1</v>
      </c>
      <c r="M264" s="45" t="str">
        <f t="shared" si="27"/>
        <v>MATCH</v>
      </c>
      <c r="N264" s="10"/>
      <c r="O264" s="77">
        <v>10</v>
      </c>
    </row>
    <row r="265" spans="3:15" x14ac:dyDescent="0.3">
      <c r="C265" s="75" t="s">
        <v>259</v>
      </c>
      <c r="D265" s="57">
        <v>32</v>
      </c>
      <c r="E265" s="57">
        <v>18</v>
      </c>
      <c r="F265" s="57">
        <v>8.5299999999999994</v>
      </c>
      <c r="G265" s="57">
        <v>9</v>
      </c>
      <c r="H265" s="44">
        <f t="shared" si="25"/>
        <v>0</v>
      </c>
      <c r="I265" s="71">
        <v>1</v>
      </c>
      <c r="J265" s="46">
        <f t="shared" si="23"/>
        <v>153.54</v>
      </c>
      <c r="K265" s="29">
        <f t="shared" si="26"/>
        <v>18</v>
      </c>
      <c r="L265" s="46">
        <f t="shared" si="24"/>
        <v>1</v>
      </c>
      <c r="M265" s="45" t="str">
        <f t="shared" si="27"/>
        <v>MATCH</v>
      </c>
      <c r="N265" s="10"/>
      <c r="O265" s="76">
        <v>18</v>
      </c>
    </row>
    <row r="266" spans="3:15" x14ac:dyDescent="0.3">
      <c r="C266" s="75" t="s">
        <v>260</v>
      </c>
      <c r="D266" s="57">
        <v>32</v>
      </c>
      <c r="E266" s="57">
        <v>10</v>
      </c>
      <c r="F266" s="57">
        <v>9.6999999999999993</v>
      </c>
      <c r="G266" s="57">
        <v>10.5</v>
      </c>
      <c r="H266" s="44">
        <f t="shared" si="25"/>
        <v>0</v>
      </c>
      <c r="I266" s="70">
        <v>1</v>
      </c>
      <c r="J266" s="46">
        <f t="shared" si="23"/>
        <v>97</v>
      </c>
      <c r="K266" s="29">
        <f t="shared" si="26"/>
        <v>10</v>
      </c>
      <c r="L266" s="46">
        <f t="shared" si="24"/>
        <v>1</v>
      </c>
      <c r="M266" s="45" t="str">
        <f t="shared" si="27"/>
        <v>MATCH</v>
      </c>
      <c r="N266" s="10"/>
      <c r="O266" s="77">
        <v>10</v>
      </c>
    </row>
    <row r="267" spans="3:15" x14ac:dyDescent="0.3">
      <c r="C267" s="75" t="s">
        <v>261</v>
      </c>
      <c r="D267" s="57">
        <v>25</v>
      </c>
      <c r="E267" s="57">
        <v>10</v>
      </c>
      <c r="F267" s="57">
        <v>3</v>
      </c>
      <c r="G267" s="57">
        <v>6</v>
      </c>
      <c r="H267" s="44">
        <f t="shared" si="25"/>
        <v>0</v>
      </c>
      <c r="I267" s="71">
        <v>1</v>
      </c>
      <c r="J267" s="46">
        <f t="shared" si="23"/>
        <v>30</v>
      </c>
      <c r="K267" s="29">
        <f t="shared" si="26"/>
        <v>5</v>
      </c>
      <c r="L267" s="46">
        <f t="shared" si="24"/>
        <v>2</v>
      </c>
      <c r="M267" s="45" t="str">
        <f t="shared" si="27"/>
        <v>MATCH</v>
      </c>
      <c r="N267" s="10"/>
      <c r="O267" s="76">
        <v>5</v>
      </c>
    </row>
    <row r="268" spans="3:15" x14ac:dyDescent="0.3">
      <c r="C268" s="75" t="s">
        <v>262</v>
      </c>
      <c r="D268" s="57">
        <v>32</v>
      </c>
      <c r="E268" s="57">
        <v>8</v>
      </c>
      <c r="F268" s="57">
        <v>7.36</v>
      </c>
      <c r="G268" s="57">
        <v>7.5</v>
      </c>
      <c r="H268" s="44">
        <f t="shared" si="25"/>
        <v>0</v>
      </c>
      <c r="I268" s="70">
        <v>1</v>
      </c>
      <c r="J268" s="46">
        <f t="shared" si="23"/>
        <v>58.88</v>
      </c>
      <c r="K268" s="29">
        <f t="shared" si="26"/>
        <v>8</v>
      </c>
      <c r="L268" s="46">
        <f t="shared" si="24"/>
        <v>1</v>
      </c>
      <c r="M268" s="45" t="str">
        <f t="shared" si="27"/>
        <v>MATCH</v>
      </c>
      <c r="N268" s="10"/>
      <c r="O268" s="77">
        <v>8</v>
      </c>
    </row>
    <row r="269" spans="3:15" x14ac:dyDescent="0.3">
      <c r="C269" s="75" t="s">
        <v>263</v>
      </c>
      <c r="D269" s="57">
        <v>12</v>
      </c>
      <c r="E269" s="57">
        <v>121</v>
      </c>
      <c r="F269" s="57">
        <v>2.75</v>
      </c>
      <c r="G269" s="57">
        <v>6</v>
      </c>
      <c r="H269" s="44">
        <f t="shared" si="25"/>
        <v>0</v>
      </c>
      <c r="I269" s="71">
        <v>1</v>
      </c>
      <c r="J269" s="46">
        <f t="shared" si="23"/>
        <v>332.75</v>
      </c>
      <c r="K269" s="29">
        <f t="shared" si="26"/>
        <v>61</v>
      </c>
      <c r="L269" s="46">
        <f t="shared" si="24"/>
        <v>2</v>
      </c>
      <c r="M269" s="45" t="str">
        <f t="shared" si="27"/>
        <v>MATCH</v>
      </c>
      <c r="N269" s="10"/>
      <c r="O269" s="76">
        <v>61</v>
      </c>
    </row>
    <row r="270" spans="3:15" x14ac:dyDescent="0.3">
      <c r="C270" s="75" t="s">
        <v>264</v>
      </c>
      <c r="D270" s="57">
        <v>12</v>
      </c>
      <c r="E270" s="57">
        <v>186</v>
      </c>
      <c r="F270" s="57">
        <v>2.0699999999999998</v>
      </c>
      <c r="G270" s="57">
        <v>6</v>
      </c>
      <c r="H270" s="44">
        <f t="shared" si="25"/>
        <v>0</v>
      </c>
      <c r="I270" s="70">
        <v>1</v>
      </c>
      <c r="J270" s="46">
        <f t="shared" si="23"/>
        <v>385.02</v>
      </c>
      <c r="K270" s="29">
        <f t="shared" si="26"/>
        <v>93</v>
      </c>
      <c r="L270" s="46">
        <f t="shared" si="24"/>
        <v>2</v>
      </c>
      <c r="M270" s="45" t="str">
        <f t="shared" si="27"/>
        <v>MATCH</v>
      </c>
      <c r="N270" s="10"/>
      <c r="O270" s="77">
        <v>93</v>
      </c>
    </row>
    <row r="271" spans="3:15" x14ac:dyDescent="0.3">
      <c r="C271" s="75" t="s">
        <v>265</v>
      </c>
      <c r="D271" s="57">
        <v>12</v>
      </c>
      <c r="E271" s="57">
        <v>186</v>
      </c>
      <c r="F271" s="57">
        <v>0.8</v>
      </c>
      <c r="G271" s="57">
        <v>6</v>
      </c>
      <c r="H271" s="44">
        <f t="shared" si="25"/>
        <v>0</v>
      </c>
      <c r="I271" s="71">
        <v>1</v>
      </c>
      <c r="J271" s="46">
        <f t="shared" si="23"/>
        <v>148.80000000000001</v>
      </c>
      <c r="K271" s="29">
        <f t="shared" si="26"/>
        <v>27</v>
      </c>
      <c r="L271" s="46">
        <f t="shared" si="24"/>
        <v>7</v>
      </c>
      <c r="M271" s="45" t="str">
        <f t="shared" si="27"/>
        <v>MATCH</v>
      </c>
      <c r="N271" s="10"/>
      <c r="O271" s="76">
        <v>27</v>
      </c>
    </row>
    <row r="272" spans="3:15" x14ac:dyDescent="0.3">
      <c r="C272" s="75" t="s">
        <v>266</v>
      </c>
      <c r="D272" s="57">
        <v>16</v>
      </c>
      <c r="E272" s="57">
        <v>110</v>
      </c>
      <c r="F272" s="57">
        <v>2.83</v>
      </c>
      <c r="G272" s="57">
        <v>6</v>
      </c>
      <c r="H272" s="44">
        <f t="shared" si="25"/>
        <v>0</v>
      </c>
      <c r="I272" s="70">
        <v>1</v>
      </c>
      <c r="J272" s="46">
        <f t="shared" si="23"/>
        <v>311.3</v>
      </c>
      <c r="K272" s="29">
        <f t="shared" si="26"/>
        <v>55</v>
      </c>
      <c r="L272" s="46">
        <f t="shared" si="24"/>
        <v>2</v>
      </c>
      <c r="M272" s="45" t="str">
        <f t="shared" si="27"/>
        <v>MATCH</v>
      </c>
      <c r="N272" s="10"/>
      <c r="O272" s="77">
        <v>55</v>
      </c>
    </row>
    <row r="273" spans="3:15" x14ac:dyDescent="0.3">
      <c r="C273" s="75" t="s">
        <v>267</v>
      </c>
      <c r="D273" s="57">
        <v>16</v>
      </c>
      <c r="E273" s="57">
        <v>220</v>
      </c>
      <c r="F273" s="57">
        <v>2.15</v>
      </c>
      <c r="G273" s="57">
        <v>9</v>
      </c>
      <c r="H273" s="44">
        <f t="shared" si="25"/>
        <v>0</v>
      </c>
      <c r="I273" s="71">
        <v>1</v>
      </c>
      <c r="J273" s="46">
        <f t="shared" si="23"/>
        <v>473</v>
      </c>
      <c r="K273" s="29">
        <f t="shared" si="26"/>
        <v>55</v>
      </c>
      <c r="L273" s="46">
        <f t="shared" si="24"/>
        <v>4</v>
      </c>
      <c r="M273" s="45" t="str">
        <f t="shared" si="27"/>
        <v>MATCH</v>
      </c>
      <c r="N273" s="10"/>
      <c r="O273" s="76">
        <v>55</v>
      </c>
    </row>
    <row r="274" spans="3:15" x14ac:dyDescent="0.3">
      <c r="C274" s="75" t="s">
        <v>268</v>
      </c>
      <c r="D274" s="57">
        <v>16</v>
      </c>
      <c r="E274" s="57">
        <v>220</v>
      </c>
      <c r="F274" s="57">
        <v>0.86</v>
      </c>
      <c r="G274" s="57">
        <v>6</v>
      </c>
      <c r="H274" s="44">
        <f t="shared" si="25"/>
        <v>0</v>
      </c>
      <c r="I274" s="70">
        <v>1</v>
      </c>
      <c r="J274" s="46">
        <f t="shared" si="23"/>
        <v>189.2</v>
      </c>
      <c r="K274" s="29">
        <f t="shared" si="26"/>
        <v>37</v>
      </c>
      <c r="L274" s="46">
        <f t="shared" si="24"/>
        <v>6</v>
      </c>
      <c r="M274" s="45" t="str">
        <f t="shared" si="27"/>
        <v>MATCH</v>
      </c>
      <c r="N274" s="10"/>
      <c r="O274" s="77">
        <v>37</v>
      </c>
    </row>
    <row r="275" spans="3:15" x14ac:dyDescent="0.3">
      <c r="C275" s="78" t="s">
        <v>269</v>
      </c>
      <c r="D275" s="59">
        <v>12</v>
      </c>
      <c r="E275" s="59">
        <v>56</v>
      </c>
      <c r="F275" s="59">
        <v>1.78</v>
      </c>
      <c r="G275" s="59">
        <v>6</v>
      </c>
      <c r="H275" s="49">
        <f t="shared" si="25"/>
        <v>0</v>
      </c>
      <c r="I275" s="85">
        <v>1</v>
      </c>
      <c r="J275" s="51">
        <f t="shared" si="23"/>
        <v>99.68</v>
      </c>
      <c r="K275" s="35">
        <f t="shared" si="26"/>
        <v>19</v>
      </c>
      <c r="L275" s="51">
        <f t="shared" si="24"/>
        <v>3</v>
      </c>
      <c r="M275" s="50" t="str">
        <f t="shared" si="27"/>
        <v>MATCH</v>
      </c>
      <c r="N275" s="11"/>
      <c r="O275" s="80">
        <v>19</v>
      </c>
    </row>
    <row r="276" spans="3:15" x14ac:dyDescent="0.3">
      <c r="C276" s="86" t="s">
        <v>314</v>
      </c>
      <c r="D276" s="38">
        <v>32</v>
      </c>
      <c r="E276" s="38">
        <v>14</v>
      </c>
      <c r="F276" s="38">
        <v>8.5</v>
      </c>
      <c r="G276" s="38">
        <v>9</v>
      </c>
      <c r="H276" s="39">
        <f t="shared" si="25"/>
        <v>0</v>
      </c>
      <c r="I276" s="73">
        <v>3</v>
      </c>
      <c r="J276" s="41">
        <f t="shared" si="23"/>
        <v>119</v>
      </c>
      <c r="K276" s="23">
        <f t="shared" si="26"/>
        <v>42</v>
      </c>
      <c r="L276" s="41">
        <f t="shared" si="24"/>
        <v>1</v>
      </c>
      <c r="M276" s="40" t="str">
        <f t="shared" si="27"/>
        <v>RECHECK</v>
      </c>
      <c r="N276" s="9"/>
      <c r="O276" s="74">
        <v>14</v>
      </c>
    </row>
    <row r="277" spans="3:15" x14ac:dyDescent="0.3">
      <c r="C277" s="88" t="s">
        <v>315</v>
      </c>
      <c r="D277" s="43">
        <v>32</v>
      </c>
      <c r="E277" s="43">
        <v>14</v>
      </c>
      <c r="F277" s="43">
        <v>7.95</v>
      </c>
      <c r="G277" s="43">
        <v>9</v>
      </c>
      <c r="H277" s="44">
        <f t="shared" si="25"/>
        <v>0</v>
      </c>
      <c r="I277" s="71">
        <v>3</v>
      </c>
      <c r="J277" s="46">
        <f t="shared" si="23"/>
        <v>111.3</v>
      </c>
      <c r="K277" s="29">
        <f t="shared" si="26"/>
        <v>42</v>
      </c>
      <c r="L277" s="46">
        <f t="shared" si="24"/>
        <v>1</v>
      </c>
      <c r="M277" s="45" t="str">
        <f t="shared" si="27"/>
        <v>RECHECK</v>
      </c>
      <c r="N277" s="10"/>
      <c r="O277" s="76">
        <v>14</v>
      </c>
    </row>
    <row r="278" spans="3:15" x14ac:dyDescent="0.3">
      <c r="C278" s="89" t="s">
        <v>316</v>
      </c>
      <c r="D278" s="43">
        <v>20</v>
      </c>
      <c r="E278" s="43">
        <v>10</v>
      </c>
      <c r="F278" s="43">
        <v>7.15</v>
      </c>
      <c r="G278" s="43">
        <v>7.5</v>
      </c>
      <c r="H278" s="44">
        <f t="shared" si="25"/>
        <v>0</v>
      </c>
      <c r="I278" s="70">
        <v>3</v>
      </c>
      <c r="J278" s="46">
        <f t="shared" si="23"/>
        <v>71.5</v>
      </c>
      <c r="K278" s="29">
        <f t="shared" si="26"/>
        <v>30</v>
      </c>
      <c r="L278" s="46">
        <f t="shared" si="24"/>
        <v>1</v>
      </c>
      <c r="M278" s="45" t="str">
        <f t="shared" si="27"/>
        <v>RECHECK</v>
      </c>
      <c r="N278" s="10"/>
      <c r="O278" s="77">
        <v>10</v>
      </c>
    </row>
    <row r="279" spans="3:15" x14ac:dyDescent="0.3">
      <c r="C279" s="88" t="s">
        <v>317</v>
      </c>
      <c r="D279" s="43">
        <v>32</v>
      </c>
      <c r="E279" s="43">
        <v>14</v>
      </c>
      <c r="F279" s="43">
        <v>4.21</v>
      </c>
      <c r="G279" s="43">
        <v>9</v>
      </c>
      <c r="H279" s="44">
        <f t="shared" si="25"/>
        <v>0</v>
      </c>
      <c r="I279" s="71">
        <v>3</v>
      </c>
      <c r="J279" s="46">
        <f t="shared" si="23"/>
        <v>58.94</v>
      </c>
      <c r="K279" s="29">
        <f t="shared" si="26"/>
        <v>21</v>
      </c>
      <c r="L279" s="46">
        <f t="shared" si="24"/>
        <v>2</v>
      </c>
      <c r="M279" s="45" t="str">
        <f t="shared" si="27"/>
        <v>RECHECK</v>
      </c>
      <c r="N279" s="10"/>
      <c r="O279" s="76">
        <v>7</v>
      </c>
    </row>
    <row r="280" spans="3:15" x14ac:dyDescent="0.3">
      <c r="C280" s="89" t="s">
        <v>318</v>
      </c>
      <c r="D280" s="43">
        <v>32</v>
      </c>
      <c r="E280" s="43">
        <v>14</v>
      </c>
      <c r="F280" s="43">
        <v>10.199999999999999</v>
      </c>
      <c r="G280" s="43">
        <v>10.5</v>
      </c>
      <c r="H280" s="44">
        <f t="shared" si="25"/>
        <v>0</v>
      </c>
      <c r="I280" s="70">
        <v>3</v>
      </c>
      <c r="J280" s="46">
        <f t="shared" si="23"/>
        <v>142.79999999999998</v>
      </c>
      <c r="K280" s="29">
        <f t="shared" si="26"/>
        <v>42</v>
      </c>
      <c r="L280" s="46">
        <f t="shared" si="24"/>
        <v>1</v>
      </c>
      <c r="M280" s="45" t="str">
        <f t="shared" si="27"/>
        <v>RECHECK</v>
      </c>
      <c r="N280" s="10"/>
      <c r="O280" s="77">
        <v>14</v>
      </c>
    </row>
    <row r="281" spans="3:15" x14ac:dyDescent="0.3">
      <c r="C281" s="88" t="s">
        <v>319</v>
      </c>
      <c r="D281" s="43">
        <v>32</v>
      </c>
      <c r="E281" s="43">
        <v>14</v>
      </c>
      <c r="F281" s="43">
        <v>5.45</v>
      </c>
      <c r="G281" s="43">
        <v>6</v>
      </c>
      <c r="H281" s="44">
        <f t="shared" si="25"/>
        <v>0</v>
      </c>
      <c r="I281" s="71">
        <v>3</v>
      </c>
      <c r="J281" s="46">
        <f t="shared" si="23"/>
        <v>76.3</v>
      </c>
      <c r="K281" s="29">
        <f t="shared" si="26"/>
        <v>42</v>
      </c>
      <c r="L281" s="46">
        <f t="shared" si="24"/>
        <v>1</v>
      </c>
      <c r="M281" s="45" t="str">
        <f t="shared" si="27"/>
        <v>RECHECK</v>
      </c>
      <c r="N281" s="10"/>
      <c r="O281" s="76">
        <v>14</v>
      </c>
    </row>
    <row r="282" spans="3:15" x14ac:dyDescent="0.3">
      <c r="C282" s="89" t="s">
        <v>320</v>
      </c>
      <c r="D282" s="43">
        <v>20</v>
      </c>
      <c r="E282" s="43">
        <v>10</v>
      </c>
      <c r="F282" s="43">
        <v>5.65</v>
      </c>
      <c r="G282" s="43">
        <v>6</v>
      </c>
      <c r="H282" s="44">
        <f t="shared" si="25"/>
        <v>0</v>
      </c>
      <c r="I282" s="70">
        <v>3</v>
      </c>
      <c r="J282" s="46">
        <f t="shared" si="23"/>
        <v>56.5</v>
      </c>
      <c r="K282" s="29">
        <f t="shared" si="26"/>
        <v>30</v>
      </c>
      <c r="L282" s="46">
        <f t="shared" si="24"/>
        <v>1</v>
      </c>
      <c r="M282" s="45" t="str">
        <f t="shared" si="27"/>
        <v>RECHECK</v>
      </c>
      <c r="N282" s="10"/>
      <c r="O282" s="77">
        <v>10</v>
      </c>
    </row>
    <row r="283" spans="3:15" x14ac:dyDescent="0.3">
      <c r="C283" s="88" t="s">
        <v>321</v>
      </c>
      <c r="D283" s="43">
        <v>10</v>
      </c>
      <c r="E283" s="43">
        <v>214</v>
      </c>
      <c r="F283" s="43">
        <v>2.12</v>
      </c>
      <c r="G283" s="43">
        <v>7.5</v>
      </c>
      <c r="H283" s="44">
        <f t="shared" si="25"/>
        <v>0</v>
      </c>
      <c r="I283" s="71">
        <v>3</v>
      </c>
      <c r="J283" s="46">
        <f t="shared" si="23"/>
        <v>453.68</v>
      </c>
      <c r="K283" s="29">
        <f t="shared" si="26"/>
        <v>214</v>
      </c>
      <c r="L283" s="46">
        <f t="shared" si="24"/>
        <v>3</v>
      </c>
      <c r="M283" s="45" t="str">
        <f t="shared" si="27"/>
        <v>MATCH</v>
      </c>
      <c r="N283" s="10"/>
      <c r="O283" s="76">
        <v>214</v>
      </c>
    </row>
    <row r="284" spans="3:15" x14ac:dyDescent="0.3">
      <c r="C284" s="89" t="s">
        <v>322</v>
      </c>
      <c r="D284" s="43">
        <v>10</v>
      </c>
      <c r="E284" s="43">
        <v>428</v>
      </c>
      <c r="F284" s="43">
        <v>1.61</v>
      </c>
      <c r="G284" s="43">
        <v>7.5</v>
      </c>
      <c r="H284" s="44">
        <f t="shared" si="25"/>
        <v>0</v>
      </c>
      <c r="I284" s="70">
        <v>3</v>
      </c>
      <c r="J284" s="46">
        <f t="shared" si="23"/>
        <v>689.08</v>
      </c>
      <c r="K284" s="29">
        <f t="shared" si="26"/>
        <v>321</v>
      </c>
      <c r="L284" s="46">
        <f t="shared" si="24"/>
        <v>4</v>
      </c>
      <c r="M284" s="45" t="str">
        <f t="shared" si="27"/>
        <v>MATCH</v>
      </c>
      <c r="N284" s="10"/>
      <c r="O284" s="77">
        <v>321</v>
      </c>
    </row>
    <row r="285" spans="3:15" x14ac:dyDescent="0.3">
      <c r="C285" s="88" t="s">
        <v>323</v>
      </c>
      <c r="D285" s="43">
        <v>10</v>
      </c>
      <c r="E285" s="43">
        <v>428</v>
      </c>
      <c r="F285" s="43">
        <v>0.62</v>
      </c>
      <c r="G285" s="43">
        <v>6</v>
      </c>
      <c r="H285" s="44">
        <f t="shared" si="25"/>
        <v>0</v>
      </c>
      <c r="I285" s="71">
        <v>3</v>
      </c>
      <c r="J285" s="46">
        <f t="shared" si="23"/>
        <v>265.36</v>
      </c>
      <c r="K285" s="29">
        <f t="shared" si="26"/>
        <v>143</v>
      </c>
      <c r="L285" s="46">
        <f t="shared" si="24"/>
        <v>9</v>
      </c>
      <c r="M285" s="45" t="str">
        <f t="shared" si="27"/>
        <v>MATCH</v>
      </c>
      <c r="N285" s="10"/>
      <c r="O285" s="76">
        <v>143</v>
      </c>
    </row>
    <row r="286" spans="3:15" x14ac:dyDescent="0.3">
      <c r="C286" s="89" t="s">
        <v>324</v>
      </c>
      <c r="D286" s="43">
        <v>10</v>
      </c>
      <c r="E286" s="43">
        <v>82</v>
      </c>
      <c r="F286" s="43">
        <v>1.38</v>
      </c>
      <c r="G286" s="43">
        <v>6</v>
      </c>
      <c r="H286" s="44">
        <f t="shared" si="25"/>
        <v>0</v>
      </c>
      <c r="I286" s="70">
        <v>3</v>
      </c>
      <c r="J286" s="46">
        <f t="shared" si="23"/>
        <v>113.16</v>
      </c>
      <c r="K286" s="29">
        <f t="shared" si="26"/>
        <v>62</v>
      </c>
      <c r="L286" s="46">
        <f t="shared" si="24"/>
        <v>4</v>
      </c>
      <c r="M286" s="45" t="str">
        <f t="shared" si="27"/>
        <v>MATCH</v>
      </c>
      <c r="N286" s="10"/>
      <c r="O286" s="77">
        <v>62</v>
      </c>
    </row>
    <row r="287" spans="3:15" x14ac:dyDescent="0.3">
      <c r="C287" s="88" t="s">
        <v>325</v>
      </c>
      <c r="D287" s="43">
        <v>10</v>
      </c>
      <c r="E287" s="43">
        <v>41</v>
      </c>
      <c r="F287" s="43">
        <v>1.32</v>
      </c>
      <c r="G287" s="43">
        <v>6</v>
      </c>
      <c r="H287" s="44">
        <f t="shared" si="25"/>
        <v>0</v>
      </c>
      <c r="I287" s="71">
        <v>3</v>
      </c>
      <c r="J287" s="46">
        <f t="shared" si="23"/>
        <v>54.120000000000005</v>
      </c>
      <c r="K287" s="29">
        <f t="shared" si="26"/>
        <v>31</v>
      </c>
      <c r="L287" s="46">
        <f t="shared" si="24"/>
        <v>4</v>
      </c>
      <c r="M287" s="45" t="str">
        <f t="shared" si="27"/>
        <v>MATCH</v>
      </c>
      <c r="N287" s="10"/>
      <c r="O287" s="76">
        <v>31</v>
      </c>
    </row>
    <row r="288" spans="3:15" x14ac:dyDescent="0.3">
      <c r="C288" s="91" t="s">
        <v>326</v>
      </c>
      <c r="D288" s="48">
        <v>10</v>
      </c>
      <c r="E288" s="48">
        <v>41</v>
      </c>
      <c r="F288" s="48">
        <v>0.9</v>
      </c>
      <c r="G288" s="48">
        <v>6</v>
      </c>
      <c r="H288" s="49">
        <f t="shared" si="25"/>
        <v>0</v>
      </c>
      <c r="I288" s="79">
        <v>3</v>
      </c>
      <c r="J288" s="51">
        <f t="shared" si="23"/>
        <v>36.9</v>
      </c>
      <c r="K288" s="35">
        <f t="shared" si="26"/>
        <v>21</v>
      </c>
      <c r="L288" s="51">
        <f t="shared" si="24"/>
        <v>6</v>
      </c>
      <c r="M288" s="50" t="str">
        <f t="shared" si="27"/>
        <v>MATCH</v>
      </c>
      <c r="N288" s="11"/>
      <c r="O288" s="84">
        <v>21</v>
      </c>
    </row>
    <row r="289" spans="3:15" x14ac:dyDescent="0.3">
      <c r="C289" s="86" t="s">
        <v>327</v>
      </c>
      <c r="D289" s="20">
        <v>32</v>
      </c>
      <c r="E289" s="20">
        <v>14</v>
      </c>
      <c r="F289" s="20">
        <v>7</v>
      </c>
      <c r="G289" s="20">
        <v>7.5</v>
      </c>
      <c r="H289" s="21">
        <f>((22/(7*4))*(D289^2)/(1000^2))*J289*$B$24</f>
        <v>0</v>
      </c>
      <c r="I289" s="73">
        <v>1</v>
      </c>
      <c r="J289" s="22">
        <f>E289*F289</f>
        <v>98</v>
      </c>
      <c r="K289" s="23">
        <f t="shared" si="26"/>
        <v>14</v>
      </c>
      <c r="L289" s="41">
        <f>ROUNDDOWN(G289/F289, 0)</f>
        <v>1</v>
      </c>
      <c r="M289" s="40" t="str">
        <f t="shared" si="27"/>
        <v>MATCH</v>
      </c>
      <c r="N289" s="9"/>
      <c r="O289" s="74">
        <v>14</v>
      </c>
    </row>
    <row r="290" spans="3:15" x14ac:dyDescent="0.3">
      <c r="C290" s="88" t="s">
        <v>328</v>
      </c>
      <c r="D290" s="26">
        <v>25</v>
      </c>
      <c r="E290" s="26">
        <v>10</v>
      </c>
      <c r="F290" s="26">
        <v>11.95</v>
      </c>
      <c r="G290" s="26">
        <v>12</v>
      </c>
      <c r="H290" s="27">
        <f t="shared" ref="H290:H304" si="28">((22/(7*4))*(D290^2)/(1000^2))*J290*$B$24</f>
        <v>0</v>
      </c>
      <c r="I290" s="71">
        <v>1</v>
      </c>
      <c r="J290" s="28">
        <f t="shared" ref="J290:J303" si="29">E290*F290</f>
        <v>119.5</v>
      </c>
      <c r="K290" s="29">
        <f t="shared" si="26"/>
        <v>10</v>
      </c>
      <c r="L290" s="46">
        <f t="shared" ref="L290:L327" si="30">ROUNDDOWN(G290/F290, 0)</f>
        <v>1</v>
      </c>
      <c r="M290" s="45" t="str">
        <f t="shared" si="27"/>
        <v>MATCH</v>
      </c>
      <c r="N290" s="10"/>
      <c r="O290" s="76">
        <v>10</v>
      </c>
    </row>
    <row r="291" spans="3:15" x14ac:dyDescent="0.3">
      <c r="C291" s="89" t="s">
        <v>329</v>
      </c>
      <c r="D291" s="26">
        <v>25</v>
      </c>
      <c r="E291" s="26">
        <v>10</v>
      </c>
      <c r="F291" s="26">
        <v>1.86</v>
      </c>
      <c r="G291" s="26">
        <v>7.5</v>
      </c>
      <c r="H291" s="27">
        <f t="shared" si="28"/>
        <v>0</v>
      </c>
      <c r="I291" s="70">
        <v>1</v>
      </c>
      <c r="J291" s="28">
        <f t="shared" si="29"/>
        <v>18.600000000000001</v>
      </c>
      <c r="K291" s="29">
        <f t="shared" si="26"/>
        <v>3</v>
      </c>
      <c r="L291" s="46">
        <f t="shared" si="30"/>
        <v>4</v>
      </c>
      <c r="M291" s="45" t="str">
        <f t="shared" si="27"/>
        <v>MATCH</v>
      </c>
      <c r="N291" s="10"/>
      <c r="O291" s="77">
        <v>3</v>
      </c>
    </row>
    <row r="292" spans="3:15" x14ac:dyDescent="0.3">
      <c r="C292" s="88" t="s">
        <v>330</v>
      </c>
      <c r="D292" s="26">
        <v>32</v>
      </c>
      <c r="E292" s="26">
        <v>14</v>
      </c>
      <c r="F292" s="26">
        <v>8.2899999999999991</v>
      </c>
      <c r="G292" s="26">
        <v>9</v>
      </c>
      <c r="H292" s="27">
        <f t="shared" si="28"/>
        <v>0</v>
      </c>
      <c r="I292" s="71">
        <v>1</v>
      </c>
      <c r="J292" s="28">
        <f t="shared" si="29"/>
        <v>116.05999999999999</v>
      </c>
      <c r="K292" s="29">
        <f t="shared" si="26"/>
        <v>14</v>
      </c>
      <c r="L292" s="46">
        <f t="shared" si="30"/>
        <v>1</v>
      </c>
      <c r="M292" s="45" t="str">
        <f t="shared" si="27"/>
        <v>MATCH</v>
      </c>
      <c r="N292" s="10"/>
      <c r="O292" s="76">
        <v>14</v>
      </c>
    </row>
    <row r="293" spans="3:15" x14ac:dyDescent="0.3">
      <c r="C293" s="89" t="s">
        <v>331</v>
      </c>
      <c r="D293" s="26">
        <v>25</v>
      </c>
      <c r="E293" s="26">
        <v>10</v>
      </c>
      <c r="F293" s="26">
        <v>11.02</v>
      </c>
      <c r="G293" s="26">
        <v>12</v>
      </c>
      <c r="H293" s="27">
        <f t="shared" si="28"/>
        <v>0</v>
      </c>
      <c r="I293" s="70">
        <v>1</v>
      </c>
      <c r="J293" s="28">
        <f t="shared" si="29"/>
        <v>110.19999999999999</v>
      </c>
      <c r="K293" s="29">
        <f t="shared" si="26"/>
        <v>10</v>
      </c>
      <c r="L293" s="46">
        <f t="shared" si="30"/>
        <v>1</v>
      </c>
      <c r="M293" s="45" t="str">
        <f t="shared" si="27"/>
        <v>MATCH</v>
      </c>
      <c r="N293" s="10"/>
      <c r="O293" s="77">
        <v>10</v>
      </c>
    </row>
    <row r="294" spans="3:15" x14ac:dyDescent="0.3">
      <c r="C294" s="88" t="s">
        <v>332</v>
      </c>
      <c r="D294" s="26">
        <v>25</v>
      </c>
      <c r="E294" s="26">
        <v>4</v>
      </c>
      <c r="F294" s="26">
        <v>8.31</v>
      </c>
      <c r="G294" s="26">
        <v>9</v>
      </c>
      <c r="H294" s="27">
        <f t="shared" si="28"/>
        <v>0</v>
      </c>
      <c r="I294" s="71">
        <v>1</v>
      </c>
      <c r="J294" s="28">
        <f t="shared" si="29"/>
        <v>33.24</v>
      </c>
      <c r="K294" s="29">
        <f t="shared" si="26"/>
        <v>4</v>
      </c>
      <c r="L294" s="46">
        <f t="shared" si="30"/>
        <v>1</v>
      </c>
      <c r="M294" s="45" t="str">
        <f t="shared" si="27"/>
        <v>MATCH</v>
      </c>
      <c r="N294" s="10"/>
      <c r="O294" s="76">
        <v>4</v>
      </c>
    </row>
    <row r="295" spans="3:15" x14ac:dyDescent="0.3">
      <c r="C295" s="89" t="s">
        <v>333</v>
      </c>
      <c r="D295" s="26">
        <v>25</v>
      </c>
      <c r="E295" s="26">
        <v>4</v>
      </c>
      <c r="F295" s="26">
        <v>7.03</v>
      </c>
      <c r="G295" s="26">
        <v>7.5</v>
      </c>
      <c r="H295" s="27">
        <f t="shared" si="28"/>
        <v>0</v>
      </c>
      <c r="I295" s="70">
        <v>1</v>
      </c>
      <c r="J295" s="28">
        <f t="shared" si="29"/>
        <v>28.12</v>
      </c>
      <c r="K295" s="29">
        <f t="shared" si="26"/>
        <v>4</v>
      </c>
      <c r="L295" s="46">
        <f t="shared" si="30"/>
        <v>1</v>
      </c>
      <c r="M295" s="45" t="str">
        <f t="shared" si="27"/>
        <v>MATCH</v>
      </c>
      <c r="N295" s="10"/>
      <c r="O295" s="77">
        <v>4</v>
      </c>
    </row>
    <row r="296" spans="3:15" x14ac:dyDescent="0.3">
      <c r="C296" s="88" t="s">
        <v>334</v>
      </c>
      <c r="D296" s="26">
        <v>16</v>
      </c>
      <c r="E296" s="26">
        <v>20</v>
      </c>
      <c r="F296" s="26">
        <v>4.2549999999999999</v>
      </c>
      <c r="G296" s="26">
        <v>6</v>
      </c>
      <c r="H296" s="27">
        <f t="shared" si="28"/>
        <v>0</v>
      </c>
      <c r="I296" s="71">
        <v>1</v>
      </c>
      <c r="J296" s="28">
        <f t="shared" si="29"/>
        <v>85.1</v>
      </c>
      <c r="K296" s="29">
        <f t="shared" si="26"/>
        <v>20</v>
      </c>
      <c r="L296" s="46">
        <f t="shared" si="30"/>
        <v>1</v>
      </c>
      <c r="M296" s="45" t="str">
        <f t="shared" si="27"/>
        <v>MATCH</v>
      </c>
      <c r="N296" s="10"/>
      <c r="O296" s="76">
        <v>20</v>
      </c>
    </row>
    <row r="297" spans="3:15" x14ac:dyDescent="0.3">
      <c r="C297" s="89" t="s">
        <v>335</v>
      </c>
      <c r="D297" s="26">
        <v>10</v>
      </c>
      <c r="E297" s="26">
        <v>201</v>
      </c>
      <c r="F297" s="26">
        <v>2.12</v>
      </c>
      <c r="G297" s="26">
        <v>6</v>
      </c>
      <c r="H297" s="27">
        <f t="shared" si="28"/>
        <v>0</v>
      </c>
      <c r="I297" s="70">
        <v>1</v>
      </c>
      <c r="J297" s="28">
        <f t="shared" si="29"/>
        <v>426.12</v>
      </c>
      <c r="K297" s="29">
        <f t="shared" si="26"/>
        <v>101</v>
      </c>
      <c r="L297" s="46">
        <f t="shared" si="30"/>
        <v>2</v>
      </c>
      <c r="M297" s="45" t="str">
        <f t="shared" si="27"/>
        <v>MATCH</v>
      </c>
      <c r="N297" s="10"/>
      <c r="O297" s="77">
        <v>101</v>
      </c>
    </row>
    <row r="298" spans="3:15" x14ac:dyDescent="0.3">
      <c r="C298" s="88" t="s">
        <v>336</v>
      </c>
      <c r="D298" s="26">
        <v>10</v>
      </c>
      <c r="E298" s="26">
        <v>126</v>
      </c>
      <c r="F298" s="26">
        <v>1.61</v>
      </c>
      <c r="G298" s="26">
        <v>7.5</v>
      </c>
      <c r="H298" s="27">
        <f t="shared" si="28"/>
        <v>0</v>
      </c>
      <c r="I298" s="71">
        <v>1</v>
      </c>
      <c r="J298" s="28">
        <f t="shared" si="29"/>
        <v>202.86</v>
      </c>
      <c r="K298" s="29">
        <f t="shared" si="26"/>
        <v>32</v>
      </c>
      <c r="L298" s="46">
        <f t="shared" si="30"/>
        <v>4</v>
      </c>
      <c r="M298" s="45" t="str">
        <f t="shared" si="27"/>
        <v>MATCH</v>
      </c>
      <c r="N298" s="10"/>
      <c r="O298" s="76">
        <v>32</v>
      </c>
    </row>
    <row r="299" spans="3:15" x14ac:dyDescent="0.3">
      <c r="C299" s="89" t="s">
        <v>337</v>
      </c>
      <c r="D299" s="26">
        <v>10</v>
      </c>
      <c r="E299" s="26">
        <v>126</v>
      </c>
      <c r="F299" s="26">
        <v>0.62</v>
      </c>
      <c r="G299" s="26">
        <v>6</v>
      </c>
      <c r="H299" s="27">
        <f t="shared" si="28"/>
        <v>0</v>
      </c>
      <c r="I299" s="70">
        <v>1</v>
      </c>
      <c r="J299" s="28">
        <f t="shared" si="29"/>
        <v>78.12</v>
      </c>
      <c r="K299" s="29">
        <f t="shared" si="26"/>
        <v>14</v>
      </c>
      <c r="L299" s="46">
        <f t="shared" si="30"/>
        <v>9</v>
      </c>
      <c r="M299" s="45" t="str">
        <f t="shared" si="27"/>
        <v>MATCH</v>
      </c>
      <c r="N299" s="10"/>
      <c r="O299" s="77">
        <v>14</v>
      </c>
    </row>
    <row r="300" spans="3:15" x14ac:dyDescent="0.3">
      <c r="C300" s="88" t="s">
        <v>338</v>
      </c>
      <c r="D300" s="26">
        <v>10</v>
      </c>
      <c r="E300" s="26">
        <v>56</v>
      </c>
      <c r="F300" s="26">
        <v>1.6</v>
      </c>
      <c r="G300" s="26">
        <v>7.5</v>
      </c>
      <c r="H300" s="27">
        <f t="shared" si="28"/>
        <v>0</v>
      </c>
      <c r="I300" s="71">
        <v>1</v>
      </c>
      <c r="J300" s="28">
        <f t="shared" si="29"/>
        <v>89.600000000000009</v>
      </c>
      <c r="K300" s="29">
        <f t="shared" si="26"/>
        <v>14</v>
      </c>
      <c r="L300" s="46">
        <f t="shared" si="30"/>
        <v>4</v>
      </c>
      <c r="M300" s="45" t="str">
        <f t="shared" si="27"/>
        <v>MATCH</v>
      </c>
      <c r="N300" s="10"/>
      <c r="O300" s="76">
        <v>14</v>
      </c>
    </row>
    <row r="301" spans="3:15" x14ac:dyDescent="0.3">
      <c r="C301" s="89" t="s">
        <v>339</v>
      </c>
      <c r="D301" s="26">
        <v>10</v>
      </c>
      <c r="E301" s="26">
        <v>166</v>
      </c>
      <c r="F301" s="26">
        <v>0.62</v>
      </c>
      <c r="G301" s="26">
        <v>7.5</v>
      </c>
      <c r="H301" s="27">
        <f t="shared" si="28"/>
        <v>0</v>
      </c>
      <c r="I301" s="70">
        <v>1</v>
      </c>
      <c r="J301" s="28">
        <f t="shared" si="29"/>
        <v>102.92</v>
      </c>
      <c r="K301" s="29">
        <f t="shared" si="26"/>
        <v>14</v>
      </c>
      <c r="L301" s="46">
        <f t="shared" si="30"/>
        <v>12</v>
      </c>
      <c r="M301" s="45" t="str">
        <f t="shared" si="27"/>
        <v>MATCH</v>
      </c>
      <c r="N301" s="10"/>
      <c r="O301" s="77">
        <v>14</v>
      </c>
    </row>
    <row r="302" spans="3:15" x14ac:dyDescent="0.3">
      <c r="C302" s="88" t="s">
        <v>340</v>
      </c>
      <c r="D302" s="26">
        <v>10</v>
      </c>
      <c r="E302" s="26">
        <v>110</v>
      </c>
      <c r="F302" s="26">
        <v>1.39</v>
      </c>
      <c r="G302" s="26">
        <v>7.5</v>
      </c>
      <c r="H302" s="27">
        <f t="shared" si="28"/>
        <v>0</v>
      </c>
      <c r="I302" s="71">
        <v>1</v>
      </c>
      <c r="J302" s="28">
        <f t="shared" si="29"/>
        <v>152.89999999999998</v>
      </c>
      <c r="K302" s="29">
        <f t="shared" si="26"/>
        <v>22</v>
      </c>
      <c r="L302" s="46">
        <f t="shared" si="30"/>
        <v>5</v>
      </c>
      <c r="M302" s="45" t="str">
        <f t="shared" si="27"/>
        <v>MATCH</v>
      </c>
      <c r="N302" s="10"/>
      <c r="O302" s="76">
        <v>22</v>
      </c>
    </row>
    <row r="303" spans="3:15" x14ac:dyDescent="0.3">
      <c r="C303" s="89" t="s">
        <v>341</v>
      </c>
      <c r="D303" s="26">
        <v>10</v>
      </c>
      <c r="E303" s="26">
        <v>40</v>
      </c>
      <c r="F303" s="26">
        <v>1.4</v>
      </c>
      <c r="G303" s="26">
        <v>6</v>
      </c>
      <c r="H303" s="27">
        <f t="shared" si="28"/>
        <v>0</v>
      </c>
      <c r="I303" s="70">
        <v>1</v>
      </c>
      <c r="J303" s="28">
        <f t="shared" si="29"/>
        <v>56</v>
      </c>
      <c r="K303" s="29">
        <f t="shared" si="26"/>
        <v>10</v>
      </c>
      <c r="L303" s="46">
        <f t="shared" si="30"/>
        <v>4</v>
      </c>
      <c r="M303" s="45" t="str">
        <f t="shared" si="27"/>
        <v>MATCH</v>
      </c>
      <c r="N303" s="10"/>
      <c r="O303" s="77">
        <v>10</v>
      </c>
    </row>
    <row r="304" spans="3:15" x14ac:dyDescent="0.3">
      <c r="C304" s="90" t="s">
        <v>342</v>
      </c>
      <c r="D304" s="32">
        <v>10</v>
      </c>
      <c r="E304" s="32">
        <v>80</v>
      </c>
      <c r="F304" s="32">
        <v>0.95</v>
      </c>
      <c r="G304" s="32">
        <v>6</v>
      </c>
      <c r="H304" s="33">
        <f t="shared" si="28"/>
        <v>0</v>
      </c>
      <c r="I304" s="85">
        <v>1</v>
      </c>
      <c r="J304" s="34">
        <f>E304*F304</f>
        <v>76</v>
      </c>
      <c r="K304" s="35">
        <f t="shared" si="26"/>
        <v>14</v>
      </c>
      <c r="L304" s="51">
        <f t="shared" si="30"/>
        <v>6</v>
      </c>
      <c r="M304" s="50" t="str">
        <f t="shared" si="27"/>
        <v>MATCH</v>
      </c>
      <c r="N304" s="11"/>
      <c r="O304" s="80">
        <v>14</v>
      </c>
    </row>
    <row r="305" spans="3:15" x14ac:dyDescent="0.3">
      <c r="C305" s="86" t="s">
        <v>343</v>
      </c>
      <c r="D305" s="38">
        <v>32</v>
      </c>
      <c r="E305" s="38">
        <v>14</v>
      </c>
      <c r="F305" s="38">
        <v>7</v>
      </c>
      <c r="G305" s="38">
        <v>9</v>
      </c>
      <c r="H305" s="39">
        <f>((22/(7*4))*(D305^2)/(1000^2))*J305*$B$24</f>
        <v>0</v>
      </c>
      <c r="I305" s="73">
        <v>1</v>
      </c>
      <c r="J305" s="41">
        <f t="shared" ref="J305:J327" si="31">E305*F305</f>
        <v>98</v>
      </c>
      <c r="K305" s="23">
        <f t="shared" si="26"/>
        <v>14</v>
      </c>
      <c r="L305" s="41">
        <f t="shared" si="30"/>
        <v>1</v>
      </c>
      <c r="M305" s="40" t="str">
        <f t="shared" si="27"/>
        <v>MATCH</v>
      </c>
      <c r="N305" s="9"/>
      <c r="O305" s="74">
        <v>14</v>
      </c>
    </row>
    <row r="306" spans="3:15" x14ac:dyDescent="0.3">
      <c r="C306" s="88" t="s">
        <v>344</v>
      </c>
      <c r="D306" s="43">
        <v>25</v>
      </c>
      <c r="E306" s="43">
        <v>6</v>
      </c>
      <c r="F306" s="43">
        <v>11.95</v>
      </c>
      <c r="G306" s="43">
        <v>12</v>
      </c>
      <c r="H306" s="44">
        <f t="shared" ref="H306:H327" si="32">((22/(7*4))*(D306^2)/(1000^2))*J306*$B$24</f>
        <v>0</v>
      </c>
      <c r="I306" s="71">
        <v>1</v>
      </c>
      <c r="J306" s="46">
        <f t="shared" si="31"/>
        <v>71.699999999999989</v>
      </c>
      <c r="K306" s="29">
        <f t="shared" si="26"/>
        <v>6</v>
      </c>
      <c r="L306" s="46">
        <f t="shared" si="30"/>
        <v>1</v>
      </c>
      <c r="M306" s="45" t="str">
        <f t="shared" si="27"/>
        <v>MATCH</v>
      </c>
      <c r="N306" s="10"/>
      <c r="O306" s="76">
        <v>6</v>
      </c>
    </row>
    <row r="307" spans="3:15" x14ac:dyDescent="0.3">
      <c r="C307" s="89" t="s">
        <v>345</v>
      </c>
      <c r="D307" s="43">
        <v>32</v>
      </c>
      <c r="E307" s="43">
        <v>14</v>
      </c>
      <c r="F307" s="43">
        <v>8.31</v>
      </c>
      <c r="G307" s="43">
        <v>9</v>
      </c>
      <c r="H307" s="44">
        <f t="shared" si="32"/>
        <v>0</v>
      </c>
      <c r="I307" s="70">
        <v>1</v>
      </c>
      <c r="J307" s="46">
        <f t="shared" si="31"/>
        <v>116.34</v>
      </c>
      <c r="K307" s="29">
        <f t="shared" si="26"/>
        <v>14</v>
      </c>
      <c r="L307" s="46">
        <f t="shared" si="30"/>
        <v>1</v>
      </c>
      <c r="M307" s="45" t="str">
        <f t="shared" si="27"/>
        <v>MATCH</v>
      </c>
      <c r="N307" s="10"/>
      <c r="O307" s="77">
        <v>14</v>
      </c>
    </row>
    <row r="308" spans="3:15" x14ac:dyDescent="0.3">
      <c r="C308" s="88" t="s">
        <v>346</v>
      </c>
      <c r="D308" s="43">
        <v>25</v>
      </c>
      <c r="E308" s="43">
        <v>6</v>
      </c>
      <c r="F308" s="43">
        <v>11.11</v>
      </c>
      <c r="G308" s="43">
        <v>12</v>
      </c>
      <c r="H308" s="44">
        <f t="shared" si="32"/>
        <v>0</v>
      </c>
      <c r="I308" s="71">
        <v>1</v>
      </c>
      <c r="J308" s="46">
        <f t="shared" si="31"/>
        <v>66.66</v>
      </c>
      <c r="K308" s="29">
        <f t="shared" si="26"/>
        <v>6</v>
      </c>
      <c r="L308" s="46">
        <f t="shared" si="30"/>
        <v>1</v>
      </c>
      <c r="M308" s="45" t="str">
        <f t="shared" si="27"/>
        <v>MATCH</v>
      </c>
      <c r="N308" s="10"/>
      <c r="O308" s="76">
        <v>6</v>
      </c>
    </row>
    <row r="309" spans="3:15" x14ac:dyDescent="0.3">
      <c r="C309" s="89" t="s">
        <v>347</v>
      </c>
      <c r="D309" s="43">
        <v>25</v>
      </c>
      <c r="E309" s="43">
        <v>8</v>
      </c>
      <c r="F309" s="43">
        <v>8.31</v>
      </c>
      <c r="G309" s="43">
        <v>9</v>
      </c>
      <c r="H309" s="44">
        <f t="shared" si="32"/>
        <v>0</v>
      </c>
      <c r="I309" s="70">
        <v>1</v>
      </c>
      <c r="J309" s="46">
        <f t="shared" si="31"/>
        <v>66.48</v>
      </c>
      <c r="K309" s="29">
        <f t="shared" si="26"/>
        <v>8</v>
      </c>
      <c r="L309" s="46">
        <f t="shared" si="30"/>
        <v>1</v>
      </c>
      <c r="M309" s="45" t="str">
        <f t="shared" si="27"/>
        <v>MATCH</v>
      </c>
      <c r="N309" s="10"/>
      <c r="O309" s="77">
        <v>8</v>
      </c>
    </row>
    <row r="310" spans="3:15" x14ac:dyDescent="0.3">
      <c r="C310" s="88" t="s">
        <v>348</v>
      </c>
      <c r="D310" s="43">
        <v>25</v>
      </c>
      <c r="E310" s="43">
        <v>8</v>
      </c>
      <c r="F310" s="43">
        <v>7.06</v>
      </c>
      <c r="G310" s="43">
        <v>7.5</v>
      </c>
      <c r="H310" s="44">
        <f t="shared" si="32"/>
        <v>0</v>
      </c>
      <c r="I310" s="71">
        <v>1</v>
      </c>
      <c r="J310" s="46">
        <f t="shared" si="31"/>
        <v>56.48</v>
      </c>
      <c r="K310" s="29">
        <f t="shared" si="26"/>
        <v>8</v>
      </c>
      <c r="L310" s="46">
        <f t="shared" si="30"/>
        <v>1</v>
      </c>
      <c r="M310" s="45" t="str">
        <f t="shared" si="27"/>
        <v>MATCH</v>
      </c>
      <c r="N310" s="10"/>
      <c r="O310" s="76">
        <v>8</v>
      </c>
    </row>
    <row r="311" spans="3:15" x14ac:dyDescent="0.3">
      <c r="C311" s="89" t="s">
        <v>349</v>
      </c>
      <c r="D311" s="43">
        <v>25</v>
      </c>
      <c r="E311" s="43">
        <v>6</v>
      </c>
      <c r="F311" s="43">
        <v>1.66</v>
      </c>
      <c r="G311" s="43">
        <v>6</v>
      </c>
      <c r="H311" s="44">
        <f t="shared" si="32"/>
        <v>0</v>
      </c>
      <c r="I311" s="70">
        <v>1</v>
      </c>
      <c r="J311" s="46">
        <f t="shared" si="31"/>
        <v>9.9599999999999991</v>
      </c>
      <c r="K311" s="29">
        <f t="shared" si="26"/>
        <v>2</v>
      </c>
      <c r="L311" s="46">
        <f t="shared" si="30"/>
        <v>3</v>
      </c>
      <c r="M311" s="45" t="str">
        <f t="shared" si="27"/>
        <v>MATCH</v>
      </c>
      <c r="N311" s="10"/>
      <c r="O311" s="77">
        <v>2</v>
      </c>
    </row>
    <row r="312" spans="3:15" x14ac:dyDescent="0.3">
      <c r="C312" s="88" t="s">
        <v>350</v>
      </c>
      <c r="D312" s="43">
        <v>16</v>
      </c>
      <c r="E312" s="43">
        <v>12</v>
      </c>
      <c r="F312" s="43">
        <v>4.08</v>
      </c>
      <c r="G312" s="43">
        <v>9</v>
      </c>
      <c r="H312" s="44">
        <f t="shared" si="32"/>
        <v>0</v>
      </c>
      <c r="I312" s="71">
        <v>1</v>
      </c>
      <c r="J312" s="46">
        <f t="shared" si="31"/>
        <v>48.96</v>
      </c>
      <c r="K312" s="29">
        <f t="shared" si="26"/>
        <v>6</v>
      </c>
      <c r="L312" s="46">
        <f t="shared" si="30"/>
        <v>2</v>
      </c>
      <c r="M312" s="45" t="str">
        <f t="shared" si="27"/>
        <v>MATCH</v>
      </c>
      <c r="N312" s="10"/>
      <c r="O312" s="76">
        <v>6</v>
      </c>
    </row>
    <row r="313" spans="3:15" x14ac:dyDescent="0.3">
      <c r="C313" s="89" t="s">
        <v>351</v>
      </c>
      <c r="D313" s="43">
        <v>10</v>
      </c>
      <c r="E313" s="43">
        <v>200</v>
      </c>
      <c r="F313" s="43">
        <v>2.12</v>
      </c>
      <c r="G313" s="43">
        <v>7.5</v>
      </c>
      <c r="H313" s="44">
        <f t="shared" si="32"/>
        <v>0</v>
      </c>
      <c r="I313" s="70">
        <v>1</v>
      </c>
      <c r="J313" s="46">
        <f t="shared" si="31"/>
        <v>424</v>
      </c>
      <c r="K313" s="29">
        <f t="shared" si="26"/>
        <v>67</v>
      </c>
      <c r="L313" s="46">
        <f t="shared" si="30"/>
        <v>3</v>
      </c>
      <c r="M313" s="45" t="str">
        <f t="shared" si="27"/>
        <v>MATCH</v>
      </c>
      <c r="N313" s="10"/>
      <c r="O313" s="77">
        <v>67</v>
      </c>
    </row>
    <row r="314" spans="3:15" x14ac:dyDescent="0.3">
      <c r="C314" s="88" t="s">
        <v>352</v>
      </c>
      <c r="D314" s="43">
        <v>10</v>
      </c>
      <c r="E314" s="43">
        <v>126</v>
      </c>
      <c r="F314" s="43">
        <v>1.61</v>
      </c>
      <c r="G314" s="43">
        <v>7.5</v>
      </c>
      <c r="H314" s="44">
        <f t="shared" si="32"/>
        <v>0</v>
      </c>
      <c r="I314" s="71">
        <v>1</v>
      </c>
      <c r="J314" s="46">
        <f t="shared" si="31"/>
        <v>202.86</v>
      </c>
      <c r="K314" s="29">
        <f t="shared" si="26"/>
        <v>32</v>
      </c>
      <c r="L314" s="46">
        <f t="shared" si="30"/>
        <v>4</v>
      </c>
      <c r="M314" s="45" t="str">
        <f t="shared" si="27"/>
        <v>MATCH</v>
      </c>
      <c r="N314" s="10"/>
      <c r="O314" s="76">
        <v>32</v>
      </c>
    </row>
    <row r="315" spans="3:15" x14ac:dyDescent="0.3">
      <c r="C315" s="89" t="s">
        <v>353</v>
      </c>
      <c r="D315" s="43">
        <v>10</v>
      </c>
      <c r="E315" s="43">
        <v>318</v>
      </c>
      <c r="F315" s="43">
        <v>0.62</v>
      </c>
      <c r="G315" s="43">
        <v>6</v>
      </c>
      <c r="H315" s="44">
        <f t="shared" si="32"/>
        <v>0</v>
      </c>
      <c r="I315" s="70">
        <v>1</v>
      </c>
      <c r="J315" s="46">
        <f t="shared" si="31"/>
        <v>197.16</v>
      </c>
      <c r="K315" s="29">
        <f t="shared" si="26"/>
        <v>36</v>
      </c>
      <c r="L315" s="46">
        <f t="shared" si="30"/>
        <v>9</v>
      </c>
      <c r="M315" s="45" t="str">
        <f t="shared" si="27"/>
        <v>MATCH</v>
      </c>
      <c r="N315" s="10"/>
      <c r="O315" s="77">
        <v>36</v>
      </c>
    </row>
    <row r="316" spans="3:15" x14ac:dyDescent="0.3">
      <c r="C316" s="88" t="s">
        <v>354</v>
      </c>
      <c r="D316" s="43">
        <v>10</v>
      </c>
      <c r="E316" s="43">
        <v>192</v>
      </c>
      <c r="F316" s="43">
        <v>1.6</v>
      </c>
      <c r="G316" s="43">
        <v>7.5</v>
      </c>
      <c r="H316" s="44">
        <f t="shared" si="32"/>
        <v>0</v>
      </c>
      <c r="I316" s="71">
        <v>1</v>
      </c>
      <c r="J316" s="46">
        <f t="shared" si="31"/>
        <v>307.20000000000005</v>
      </c>
      <c r="K316" s="29">
        <f t="shared" si="26"/>
        <v>48</v>
      </c>
      <c r="L316" s="46">
        <f t="shared" si="30"/>
        <v>4</v>
      </c>
      <c r="M316" s="45" t="str">
        <f t="shared" si="27"/>
        <v>MATCH</v>
      </c>
      <c r="N316" s="10"/>
      <c r="O316" s="76">
        <v>48</v>
      </c>
    </row>
    <row r="317" spans="3:15" x14ac:dyDescent="0.3">
      <c r="C317" s="89" t="s">
        <v>355</v>
      </c>
      <c r="D317" s="43">
        <v>10</v>
      </c>
      <c r="E317" s="43">
        <v>82</v>
      </c>
      <c r="F317" s="43">
        <v>1.67</v>
      </c>
      <c r="G317" s="43">
        <v>7.5</v>
      </c>
      <c r="H317" s="44">
        <f t="shared" si="32"/>
        <v>0</v>
      </c>
      <c r="I317" s="70">
        <v>1</v>
      </c>
      <c r="J317" s="46">
        <f t="shared" si="31"/>
        <v>136.94</v>
      </c>
      <c r="K317" s="29">
        <f t="shared" si="26"/>
        <v>21</v>
      </c>
      <c r="L317" s="46">
        <f t="shared" si="30"/>
        <v>4</v>
      </c>
      <c r="M317" s="45" t="str">
        <f t="shared" si="27"/>
        <v>MATCH</v>
      </c>
      <c r="N317" s="10"/>
      <c r="O317" s="77">
        <v>21</v>
      </c>
    </row>
    <row r="318" spans="3:15" x14ac:dyDescent="0.3">
      <c r="C318" s="88" t="s">
        <v>356</v>
      </c>
      <c r="D318" s="43">
        <v>10</v>
      </c>
      <c r="E318" s="43">
        <v>40</v>
      </c>
      <c r="F318" s="43">
        <v>1.4</v>
      </c>
      <c r="G318" s="43">
        <v>6</v>
      </c>
      <c r="H318" s="44">
        <f t="shared" si="32"/>
        <v>0</v>
      </c>
      <c r="I318" s="71">
        <v>1</v>
      </c>
      <c r="J318" s="46">
        <f t="shared" si="31"/>
        <v>56</v>
      </c>
      <c r="K318" s="29">
        <f t="shared" si="26"/>
        <v>10</v>
      </c>
      <c r="L318" s="46">
        <f t="shared" si="30"/>
        <v>4</v>
      </c>
      <c r="M318" s="45" t="str">
        <f t="shared" si="27"/>
        <v>MATCH</v>
      </c>
      <c r="N318" s="10"/>
      <c r="O318" s="76">
        <v>10</v>
      </c>
    </row>
    <row r="319" spans="3:15" x14ac:dyDescent="0.3">
      <c r="C319" s="91" t="s">
        <v>357</v>
      </c>
      <c r="D319" s="48">
        <v>10</v>
      </c>
      <c r="E319" s="48">
        <v>80</v>
      </c>
      <c r="F319" s="48">
        <v>1.02</v>
      </c>
      <c r="G319" s="48">
        <v>6</v>
      </c>
      <c r="H319" s="49">
        <f t="shared" si="32"/>
        <v>0</v>
      </c>
      <c r="I319" s="79">
        <v>1</v>
      </c>
      <c r="J319" s="51">
        <f t="shared" si="31"/>
        <v>81.599999999999994</v>
      </c>
      <c r="K319" s="35">
        <f t="shared" si="26"/>
        <v>16</v>
      </c>
      <c r="L319" s="51">
        <f t="shared" si="30"/>
        <v>5</v>
      </c>
      <c r="M319" s="50" t="str">
        <f t="shared" si="27"/>
        <v>MATCH</v>
      </c>
      <c r="N319" s="11"/>
      <c r="O319" s="84">
        <v>16</v>
      </c>
    </row>
    <row r="320" spans="3:15" x14ac:dyDescent="0.3">
      <c r="C320" s="86" t="s">
        <v>358</v>
      </c>
      <c r="D320" s="38">
        <v>32</v>
      </c>
      <c r="E320" s="38">
        <v>14</v>
      </c>
      <c r="F320" s="38">
        <v>7</v>
      </c>
      <c r="G320" s="38">
        <v>7.5</v>
      </c>
      <c r="H320" s="39">
        <f t="shared" si="32"/>
        <v>0</v>
      </c>
      <c r="I320" s="73">
        <v>1</v>
      </c>
      <c r="J320" s="41">
        <f t="shared" si="31"/>
        <v>98</v>
      </c>
      <c r="K320" s="23">
        <f t="shared" si="26"/>
        <v>14</v>
      </c>
      <c r="L320" s="41">
        <f t="shared" si="30"/>
        <v>1</v>
      </c>
      <c r="M320" s="40" t="str">
        <f t="shared" si="27"/>
        <v>MATCH</v>
      </c>
      <c r="N320" s="9"/>
      <c r="O320" s="74">
        <v>14</v>
      </c>
    </row>
    <row r="321" spans="3:15" x14ac:dyDescent="0.3">
      <c r="C321" s="88" t="s">
        <v>359</v>
      </c>
      <c r="D321" s="43">
        <v>25</v>
      </c>
      <c r="E321" s="43">
        <v>10</v>
      </c>
      <c r="F321" s="43">
        <v>11.95</v>
      </c>
      <c r="G321" s="43">
        <v>12</v>
      </c>
      <c r="H321" s="44">
        <f t="shared" si="32"/>
        <v>0</v>
      </c>
      <c r="I321" s="71">
        <v>1</v>
      </c>
      <c r="J321" s="46">
        <f t="shared" si="31"/>
        <v>119.5</v>
      </c>
      <c r="K321" s="29">
        <f t="shared" si="26"/>
        <v>10</v>
      </c>
      <c r="L321" s="46">
        <f t="shared" si="30"/>
        <v>1</v>
      </c>
      <c r="M321" s="45" t="str">
        <f t="shared" si="27"/>
        <v>MATCH</v>
      </c>
      <c r="N321" s="10"/>
      <c r="O321" s="76">
        <v>10</v>
      </c>
    </row>
    <row r="322" spans="3:15" x14ac:dyDescent="0.3">
      <c r="C322" s="89" t="s">
        <v>360</v>
      </c>
      <c r="D322" s="43">
        <v>32</v>
      </c>
      <c r="E322" s="43">
        <v>14</v>
      </c>
      <c r="F322" s="43">
        <v>8.31</v>
      </c>
      <c r="G322" s="43">
        <v>9</v>
      </c>
      <c r="H322" s="44">
        <f t="shared" si="32"/>
        <v>0</v>
      </c>
      <c r="I322" s="70">
        <v>1</v>
      </c>
      <c r="J322" s="46">
        <f t="shared" si="31"/>
        <v>116.34</v>
      </c>
      <c r="K322" s="29">
        <f t="shared" si="26"/>
        <v>14</v>
      </c>
      <c r="L322" s="46">
        <f t="shared" si="30"/>
        <v>1</v>
      </c>
      <c r="M322" s="45" t="str">
        <f t="shared" si="27"/>
        <v>MATCH</v>
      </c>
      <c r="N322" s="10"/>
      <c r="O322" s="77">
        <v>14</v>
      </c>
    </row>
    <row r="323" spans="3:15" x14ac:dyDescent="0.3">
      <c r="C323" s="88" t="s">
        <v>361</v>
      </c>
      <c r="D323" s="43">
        <v>25</v>
      </c>
      <c r="E323" s="43">
        <v>10</v>
      </c>
      <c r="F323" s="43">
        <v>11.06</v>
      </c>
      <c r="G323" s="43">
        <v>12</v>
      </c>
      <c r="H323" s="44">
        <f t="shared" si="32"/>
        <v>0</v>
      </c>
      <c r="I323" s="71">
        <v>1</v>
      </c>
      <c r="J323" s="46">
        <f t="shared" si="31"/>
        <v>110.60000000000001</v>
      </c>
      <c r="K323" s="29">
        <f t="shared" si="26"/>
        <v>10</v>
      </c>
      <c r="L323" s="46">
        <f t="shared" si="30"/>
        <v>1</v>
      </c>
      <c r="M323" s="45" t="str">
        <f t="shared" si="27"/>
        <v>MATCH</v>
      </c>
      <c r="N323" s="10"/>
      <c r="O323" s="76">
        <v>10</v>
      </c>
    </row>
    <row r="324" spans="3:15" x14ac:dyDescent="0.3">
      <c r="C324" s="89" t="s">
        <v>362</v>
      </c>
      <c r="D324" s="43">
        <v>25</v>
      </c>
      <c r="E324" s="43">
        <v>4</v>
      </c>
      <c r="F324" s="43">
        <v>8.31</v>
      </c>
      <c r="G324" s="43">
        <v>9</v>
      </c>
      <c r="H324" s="44">
        <f t="shared" si="32"/>
        <v>0</v>
      </c>
      <c r="I324" s="70">
        <v>1</v>
      </c>
      <c r="J324" s="46">
        <f t="shared" si="31"/>
        <v>33.24</v>
      </c>
      <c r="K324" s="29">
        <f t="shared" si="26"/>
        <v>4</v>
      </c>
      <c r="L324" s="46">
        <f t="shared" si="30"/>
        <v>1</v>
      </c>
      <c r="M324" s="45" t="str">
        <f t="shared" si="27"/>
        <v>MATCH</v>
      </c>
      <c r="N324" s="10"/>
      <c r="O324" s="77">
        <v>4</v>
      </c>
    </row>
    <row r="325" spans="3:15" x14ac:dyDescent="0.3">
      <c r="C325" s="88" t="s">
        <v>363</v>
      </c>
      <c r="D325" s="43">
        <v>25</v>
      </c>
      <c r="E325" s="43">
        <v>4</v>
      </c>
      <c r="F325" s="43">
        <v>7.06</v>
      </c>
      <c r="G325" s="43">
        <v>7.5</v>
      </c>
      <c r="H325" s="44">
        <f t="shared" si="32"/>
        <v>0</v>
      </c>
      <c r="I325" s="71">
        <v>1</v>
      </c>
      <c r="J325" s="46">
        <f t="shared" si="31"/>
        <v>28.24</v>
      </c>
      <c r="K325" s="29">
        <f t="shared" si="26"/>
        <v>4</v>
      </c>
      <c r="L325" s="46">
        <f t="shared" si="30"/>
        <v>1</v>
      </c>
      <c r="M325" s="45" t="str">
        <f t="shared" si="27"/>
        <v>MATCH</v>
      </c>
      <c r="N325" s="10"/>
      <c r="O325" s="76">
        <v>4</v>
      </c>
    </row>
    <row r="326" spans="3:15" x14ac:dyDescent="0.3">
      <c r="C326" s="89" t="s">
        <v>364</v>
      </c>
      <c r="D326" s="43">
        <v>16</v>
      </c>
      <c r="E326" s="43">
        <v>12</v>
      </c>
      <c r="F326" s="43">
        <v>4.08</v>
      </c>
      <c r="G326" s="43">
        <v>6</v>
      </c>
      <c r="H326" s="44">
        <f t="shared" si="32"/>
        <v>0</v>
      </c>
      <c r="I326" s="70">
        <v>1</v>
      </c>
      <c r="J326" s="46">
        <f t="shared" si="31"/>
        <v>48.96</v>
      </c>
      <c r="K326" s="29">
        <f t="shared" ref="K326:K327" si="33">IF(G326=0,0,ROUNDUP((E326/L326)*I326,0))</f>
        <v>12</v>
      </c>
      <c r="L326" s="46">
        <f t="shared" si="30"/>
        <v>1</v>
      </c>
      <c r="M326" s="45" t="str">
        <f t="shared" ref="M326:M327" si="34">IF(K326=O326, "MATCH", "RECHECK")</f>
        <v>MATCH</v>
      </c>
      <c r="N326" s="10"/>
      <c r="O326" s="77">
        <v>12</v>
      </c>
    </row>
    <row r="327" spans="3:15" x14ac:dyDescent="0.3">
      <c r="C327" s="90" t="s">
        <v>365</v>
      </c>
      <c r="D327" s="48">
        <v>25</v>
      </c>
      <c r="E327" s="48">
        <v>4</v>
      </c>
      <c r="F327" s="48">
        <v>1.66</v>
      </c>
      <c r="G327" s="48">
        <v>7.5</v>
      </c>
      <c r="H327" s="49">
        <f t="shared" si="32"/>
        <v>0</v>
      </c>
      <c r="I327" s="85">
        <v>1</v>
      </c>
      <c r="J327" s="51">
        <f t="shared" si="31"/>
        <v>6.64</v>
      </c>
      <c r="K327" s="35">
        <f t="shared" si="33"/>
        <v>1</v>
      </c>
      <c r="L327" s="51">
        <f t="shared" si="30"/>
        <v>4</v>
      </c>
      <c r="M327" s="50" t="str">
        <f t="shared" si="34"/>
        <v>MATCH</v>
      </c>
      <c r="N327" s="11"/>
      <c r="O327" s="80">
        <v>1</v>
      </c>
    </row>
    <row r="328" spans="3:15" x14ac:dyDescent="0.3">
      <c r="C328" s="17"/>
      <c r="D328" s="17"/>
      <c r="E328" s="17"/>
      <c r="F328" s="17"/>
      <c r="G328" s="18"/>
      <c r="H328" s="17"/>
      <c r="I328" s="17"/>
      <c r="J328" s="17"/>
      <c r="K328" s="17"/>
      <c r="L328" s="17"/>
      <c r="M328" s="17"/>
    </row>
  </sheetData>
  <conditionalFormatting sqref="M5:M327">
    <cfRule type="containsText" dxfId="3" priority="1" operator="containsText" text="recheck">
      <formula>NOT(ISERROR(SEARCH("recheck",M5)))</formula>
    </cfRule>
    <cfRule type="containsText" dxfId="2" priority="2" operator="containsText" text="match">
      <formula>NOT(ISERROR(SEARCH("match",M5)))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BA42-983E-460D-8565-BA69BBDAE90A}">
  <dimension ref="C2:M344"/>
  <sheetViews>
    <sheetView workbookViewId="0">
      <selection activeCell="O12" sqref="O12"/>
    </sheetView>
  </sheetViews>
  <sheetFormatPr defaultRowHeight="14.4" x14ac:dyDescent="0.3"/>
  <sheetData>
    <row r="2" spans="3:12" ht="28.8" x14ac:dyDescent="0.3">
      <c r="D2" s="16" t="s">
        <v>28</v>
      </c>
      <c r="E2" s="17"/>
      <c r="F2" s="17"/>
      <c r="G2" s="17"/>
      <c r="H2" s="18"/>
      <c r="I2" s="17"/>
      <c r="J2" s="17"/>
      <c r="K2" s="17"/>
      <c r="L2" s="17"/>
    </row>
    <row r="3" spans="3:12" ht="72" x14ac:dyDescent="0.3">
      <c r="D3" s="17" t="s">
        <v>31</v>
      </c>
      <c r="E3" s="17" t="s">
        <v>22</v>
      </c>
      <c r="F3" s="16" t="s">
        <v>23</v>
      </c>
      <c r="G3" s="16" t="s">
        <v>24</v>
      </c>
      <c r="H3" s="18" t="s">
        <v>26</v>
      </c>
      <c r="I3" s="17"/>
      <c r="J3" s="16" t="s">
        <v>27</v>
      </c>
      <c r="K3" s="16" t="s">
        <v>25</v>
      </c>
      <c r="L3" s="16" t="s">
        <v>34</v>
      </c>
    </row>
    <row r="4" spans="3:12" x14ac:dyDescent="0.3">
      <c r="C4" t="s">
        <v>29</v>
      </c>
      <c r="D4" s="19">
        <v>32</v>
      </c>
      <c r="E4" s="20">
        <v>14</v>
      </c>
      <c r="F4" s="20">
        <v>7</v>
      </c>
      <c r="G4" s="20">
        <v>7.5</v>
      </c>
      <c r="H4" s="21">
        <f>((22/(7*4))*(D4^2)/(1000^2))*J4*solver!$B$24</f>
        <v>618.95680000000004</v>
      </c>
      <c r="I4" s="20"/>
      <c r="J4" s="22">
        <f t="shared" ref="J4:J67" si="0">E4*F4</f>
        <v>98</v>
      </c>
      <c r="K4" s="23">
        <f t="shared" ref="K4:K67" si="1">IF(G4=0,0,ROUNDUP(E4/L4,0))</f>
        <v>14</v>
      </c>
      <c r="L4" s="24">
        <f t="shared" ref="L4:L67" si="2">ROUNDDOWN(G4/F4, 0)</f>
        <v>1</v>
      </c>
    </row>
    <row r="5" spans="3:12" x14ac:dyDescent="0.3">
      <c r="D5" s="25">
        <v>25</v>
      </c>
      <c r="E5" s="26">
        <v>10</v>
      </c>
      <c r="F5" s="26">
        <v>11.95</v>
      </c>
      <c r="G5" s="26">
        <v>12</v>
      </c>
      <c r="H5" s="27">
        <f>((22/(7*4))*(D5^2)/(1000^2))*J5*solver!$B$24</f>
        <v>460.66183035714289</v>
      </c>
      <c r="I5" s="26"/>
      <c r="J5" s="28">
        <f t="shared" si="0"/>
        <v>119.5</v>
      </c>
      <c r="K5" s="29">
        <f t="shared" si="1"/>
        <v>10</v>
      </c>
      <c r="L5" s="30">
        <f t="shared" si="2"/>
        <v>1</v>
      </c>
    </row>
    <row r="6" spans="3:12" x14ac:dyDescent="0.3">
      <c r="D6" s="25">
        <v>25</v>
      </c>
      <c r="E6" s="26">
        <v>10</v>
      </c>
      <c r="F6" s="26">
        <v>1.86</v>
      </c>
      <c r="G6" s="26">
        <v>7.5</v>
      </c>
      <c r="H6" s="27">
        <f>((22/(7*4))*(D6^2)/(1000^2))*J6*solver!$B$24</f>
        <v>71.701339285714297</v>
      </c>
      <c r="I6" s="26"/>
      <c r="J6" s="28">
        <f t="shared" si="0"/>
        <v>18.600000000000001</v>
      </c>
      <c r="K6" s="29">
        <f t="shared" si="1"/>
        <v>3</v>
      </c>
      <c r="L6" s="30">
        <f t="shared" si="2"/>
        <v>4</v>
      </c>
    </row>
    <row r="7" spans="3:12" x14ac:dyDescent="0.3">
      <c r="D7" s="25">
        <v>32</v>
      </c>
      <c r="E7" s="26">
        <v>14</v>
      </c>
      <c r="F7" s="26">
        <v>8.2899999999999991</v>
      </c>
      <c r="G7" s="26">
        <v>9</v>
      </c>
      <c r="H7" s="27">
        <f>((22/(7*4))*(D7^2)/(1000^2))*J7*solver!$B$24</f>
        <v>733.02169599999991</v>
      </c>
      <c r="I7" s="26"/>
      <c r="J7" s="28">
        <f t="shared" si="0"/>
        <v>116.05999999999999</v>
      </c>
      <c r="K7" s="29">
        <f t="shared" si="1"/>
        <v>14</v>
      </c>
      <c r="L7" s="30">
        <f t="shared" si="2"/>
        <v>1</v>
      </c>
    </row>
    <row r="8" spans="3:12" x14ac:dyDescent="0.3">
      <c r="D8" s="25">
        <v>25</v>
      </c>
      <c r="E8" s="26">
        <v>10</v>
      </c>
      <c r="F8" s="26">
        <v>11.02</v>
      </c>
      <c r="G8" s="26">
        <v>12</v>
      </c>
      <c r="H8" s="27">
        <f>((22/(7*4))*(D8^2)/(1000^2))*J8*solver!$B$24</f>
        <v>424.81116071428573</v>
      </c>
      <c r="I8" s="26"/>
      <c r="J8" s="28">
        <f t="shared" si="0"/>
        <v>110.19999999999999</v>
      </c>
      <c r="K8" s="29">
        <f t="shared" si="1"/>
        <v>10</v>
      </c>
      <c r="L8" s="30">
        <f t="shared" si="2"/>
        <v>1</v>
      </c>
    </row>
    <row r="9" spans="3:12" x14ac:dyDescent="0.3">
      <c r="D9" s="25">
        <v>25</v>
      </c>
      <c r="E9" s="26">
        <v>4</v>
      </c>
      <c r="F9" s="26">
        <v>8.31</v>
      </c>
      <c r="G9" s="26">
        <v>9</v>
      </c>
      <c r="H9" s="27">
        <f>((22/(7*4))*(D9^2)/(1000^2))*J9*solver!$B$24</f>
        <v>128.13723214285716</v>
      </c>
      <c r="I9" s="26"/>
      <c r="J9" s="28">
        <f t="shared" si="0"/>
        <v>33.24</v>
      </c>
      <c r="K9" s="29">
        <f t="shared" si="1"/>
        <v>4</v>
      </c>
      <c r="L9" s="30">
        <f t="shared" si="2"/>
        <v>1</v>
      </c>
    </row>
    <row r="10" spans="3:12" x14ac:dyDescent="0.3">
      <c r="D10" s="25">
        <v>25</v>
      </c>
      <c r="E10" s="26">
        <v>4</v>
      </c>
      <c r="F10" s="26">
        <v>7.03</v>
      </c>
      <c r="G10" s="26">
        <v>7.5</v>
      </c>
      <c r="H10" s="27">
        <f>((22/(7*4))*(D10^2)/(1000^2))*J10*solver!$B$24</f>
        <v>108.4000892857143</v>
      </c>
      <c r="I10" s="26"/>
      <c r="J10" s="28">
        <f t="shared" si="0"/>
        <v>28.12</v>
      </c>
      <c r="K10" s="29">
        <f t="shared" si="1"/>
        <v>4</v>
      </c>
      <c r="L10" s="30">
        <f t="shared" si="2"/>
        <v>1</v>
      </c>
    </row>
    <row r="11" spans="3:12" x14ac:dyDescent="0.3">
      <c r="D11" s="25">
        <v>16</v>
      </c>
      <c r="E11" s="26">
        <v>20</v>
      </c>
      <c r="F11" s="26">
        <v>4.2549999999999999</v>
      </c>
      <c r="G11" s="26">
        <v>6</v>
      </c>
      <c r="H11" s="27">
        <f>((22/(7*4))*(D11^2)/(1000^2))*J11*solver!$B$24</f>
        <v>134.37046857142857</v>
      </c>
      <c r="I11" s="26"/>
      <c r="J11" s="28">
        <f t="shared" si="0"/>
        <v>85.1</v>
      </c>
      <c r="K11" s="29">
        <f t="shared" si="1"/>
        <v>20</v>
      </c>
      <c r="L11" s="30">
        <f t="shared" si="2"/>
        <v>1</v>
      </c>
    </row>
    <row r="12" spans="3:12" x14ac:dyDescent="0.3">
      <c r="D12" s="25">
        <v>10</v>
      </c>
      <c r="E12" s="26">
        <v>201</v>
      </c>
      <c r="F12" s="26">
        <v>2.12</v>
      </c>
      <c r="G12" s="26">
        <v>6</v>
      </c>
      <c r="H12" s="27">
        <f>((22/(7*4))*(D12^2)/(1000^2))*J12*solver!$B$24</f>
        <v>262.82472857142852</v>
      </c>
      <c r="I12" s="26"/>
      <c r="J12" s="28">
        <f t="shared" si="0"/>
        <v>426.12</v>
      </c>
      <c r="K12" s="29">
        <f t="shared" si="1"/>
        <v>101</v>
      </c>
      <c r="L12" s="30">
        <f t="shared" si="2"/>
        <v>2</v>
      </c>
    </row>
    <row r="13" spans="3:12" x14ac:dyDescent="0.3">
      <c r="D13" s="25">
        <v>10</v>
      </c>
      <c r="E13" s="26">
        <v>126</v>
      </c>
      <c r="F13" s="26">
        <v>1.61</v>
      </c>
      <c r="G13" s="26">
        <v>7.5</v>
      </c>
      <c r="H13" s="27">
        <f>((22/(7*4))*(D13^2)/(1000^2))*J13*solver!$B$24</f>
        <v>125.12115000000001</v>
      </c>
      <c r="I13" s="26"/>
      <c r="J13" s="28">
        <f t="shared" si="0"/>
        <v>202.86</v>
      </c>
      <c r="K13" s="29">
        <f t="shared" si="1"/>
        <v>32</v>
      </c>
      <c r="L13" s="30">
        <f t="shared" si="2"/>
        <v>4</v>
      </c>
    </row>
    <row r="14" spans="3:12" x14ac:dyDescent="0.3">
      <c r="D14" s="25">
        <v>10</v>
      </c>
      <c r="E14" s="26">
        <v>126</v>
      </c>
      <c r="F14" s="26">
        <v>0.62</v>
      </c>
      <c r="G14" s="26">
        <v>6</v>
      </c>
      <c r="H14" s="27">
        <f>((22/(7*4))*(D14^2)/(1000^2))*J14*solver!$B$24</f>
        <v>48.183300000000003</v>
      </c>
      <c r="I14" s="26"/>
      <c r="J14" s="28">
        <f t="shared" si="0"/>
        <v>78.12</v>
      </c>
      <c r="K14" s="29">
        <f t="shared" si="1"/>
        <v>14</v>
      </c>
      <c r="L14" s="30">
        <f t="shared" si="2"/>
        <v>9</v>
      </c>
    </row>
    <row r="15" spans="3:12" x14ac:dyDescent="0.3">
      <c r="D15" s="25">
        <v>10</v>
      </c>
      <c r="E15" s="26">
        <v>56</v>
      </c>
      <c r="F15" s="26">
        <v>1.6</v>
      </c>
      <c r="G15" s="26">
        <v>7.5</v>
      </c>
      <c r="H15" s="27">
        <f>((22/(7*4))*(D15^2)/(1000^2))*J15*solver!$B$24</f>
        <v>55.264000000000003</v>
      </c>
      <c r="I15" s="26"/>
      <c r="J15" s="28">
        <f t="shared" si="0"/>
        <v>89.600000000000009</v>
      </c>
      <c r="K15" s="29">
        <f t="shared" si="1"/>
        <v>14</v>
      </c>
      <c r="L15" s="30">
        <f t="shared" si="2"/>
        <v>4</v>
      </c>
    </row>
    <row r="16" spans="3:12" x14ac:dyDescent="0.3">
      <c r="D16" s="25">
        <v>10</v>
      </c>
      <c r="E16" s="26">
        <v>166</v>
      </c>
      <c r="F16" s="26">
        <v>0.62</v>
      </c>
      <c r="G16" s="26">
        <v>7.5</v>
      </c>
      <c r="H16" s="27">
        <f>((22/(7*4))*(D16^2)/(1000^2))*J16*solver!$B$24</f>
        <v>63.479585714285705</v>
      </c>
      <c r="I16" s="26"/>
      <c r="J16" s="28">
        <f t="shared" si="0"/>
        <v>102.92</v>
      </c>
      <c r="K16" s="29">
        <f t="shared" si="1"/>
        <v>14</v>
      </c>
      <c r="L16" s="30">
        <f t="shared" si="2"/>
        <v>12</v>
      </c>
    </row>
    <row r="17" spans="3:13" x14ac:dyDescent="0.3">
      <c r="D17" s="25">
        <v>10</v>
      </c>
      <c r="E17" s="26">
        <v>110</v>
      </c>
      <c r="F17" s="26">
        <v>1.39</v>
      </c>
      <c r="G17" s="26">
        <v>7.5</v>
      </c>
      <c r="H17" s="27">
        <f>((22/(7*4))*(D17^2)/(1000^2))*J17*solver!$B$24</f>
        <v>94.306535714285687</v>
      </c>
      <c r="I17" s="26"/>
      <c r="J17" s="28">
        <f t="shared" si="0"/>
        <v>152.89999999999998</v>
      </c>
      <c r="K17" s="29">
        <f t="shared" si="1"/>
        <v>22</v>
      </c>
      <c r="L17" s="30">
        <f t="shared" si="2"/>
        <v>5</v>
      </c>
    </row>
    <row r="18" spans="3:13" x14ac:dyDescent="0.3">
      <c r="D18" s="25">
        <v>10</v>
      </c>
      <c r="E18" s="26">
        <v>40</v>
      </c>
      <c r="F18" s="26">
        <v>1.4</v>
      </c>
      <c r="G18" s="26">
        <v>6</v>
      </c>
      <c r="H18" s="27">
        <f>((22/(7*4))*(D18^2)/(1000^2))*J18*solver!$B$24</f>
        <v>34.539999999999992</v>
      </c>
      <c r="I18" s="26"/>
      <c r="J18" s="28">
        <f t="shared" si="0"/>
        <v>56</v>
      </c>
      <c r="K18" s="29">
        <f t="shared" si="1"/>
        <v>10</v>
      </c>
      <c r="L18" s="30">
        <f t="shared" si="2"/>
        <v>4</v>
      </c>
    </row>
    <row r="19" spans="3:13" x14ac:dyDescent="0.3">
      <c r="D19" s="31">
        <v>10</v>
      </c>
      <c r="E19" s="32">
        <v>80</v>
      </c>
      <c r="F19" s="32">
        <v>0.95</v>
      </c>
      <c r="G19" s="32">
        <v>6</v>
      </c>
      <c r="H19" s="33">
        <f>((22/(7*4))*(D19^2)/(1000^2))*J19*solver!$B$24</f>
        <v>46.875714285714281</v>
      </c>
      <c r="I19" s="32"/>
      <c r="J19" s="34">
        <f t="shared" si="0"/>
        <v>76</v>
      </c>
      <c r="K19" s="35">
        <f t="shared" si="1"/>
        <v>14</v>
      </c>
      <c r="L19" s="36">
        <f t="shared" si="2"/>
        <v>6</v>
      </c>
      <c r="M19" t="s">
        <v>35</v>
      </c>
    </row>
    <row r="20" spans="3:13" x14ac:dyDescent="0.3">
      <c r="C20" s="12" t="s">
        <v>30</v>
      </c>
      <c r="D20" s="37">
        <v>32</v>
      </c>
      <c r="E20" s="38">
        <v>14</v>
      </c>
      <c r="F20" s="38">
        <v>7</v>
      </c>
      <c r="G20" s="38">
        <v>9</v>
      </c>
      <c r="H20" s="39">
        <f>((22/(7*4))*(D20^2)/(1000^2))*J20*solver!$B$24</f>
        <v>618.95680000000004</v>
      </c>
      <c r="I20" s="40"/>
      <c r="J20" s="41">
        <f t="shared" si="0"/>
        <v>98</v>
      </c>
      <c r="K20" s="23">
        <f t="shared" si="1"/>
        <v>14</v>
      </c>
      <c r="L20" s="24">
        <f t="shared" si="2"/>
        <v>1</v>
      </c>
    </row>
    <row r="21" spans="3:13" x14ac:dyDescent="0.3">
      <c r="D21" s="42">
        <v>25</v>
      </c>
      <c r="E21" s="43">
        <v>6</v>
      </c>
      <c r="F21" s="43">
        <v>11.95</v>
      </c>
      <c r="G21" s="43">
        <v>12</v>
      </c>
      <c r="H21" s="44">
        <f>((22/(7*4))*(D21^2)/(1000^2))*J21*solver!$B$24</f>
        <v>276.39709821428568</v>
      </c>
      <c r="I21" s="45"/>
      <c r="J21" s="46">
        <f t="shared" si="0"/>
        <v>71.699999999999989</v>
      </c>
      <c r="K21" s="29">
        <f t="shared" si="1"/>
        <v>6</v>
      </c>
      <c r="L21" s="30">
        <f t="shared" si="2"/>
        <v>1</v>
      </c>
    </row>
    <row r="22" spans="3:13" x14ac:dyDescent="0.3">
      <c r="D22" s="42">
        <v>32</v>
      </c>
      <c r="E22" s="43">
        <v>14</v>
      </c>
      <c r="F22" s="43">
        <v>8.31</v>
      </c>
      <c r="G22" s="43">
        <v>9</v>
      </c>
      <c r="H22" s="44">
        <f>((22/(7*4))*(D22^2)/(1000^2))*J22*solver!$B$24</f>
        <v>734.79014400000005</v>
      </c>
      <c r="I22" s="45"/>
      <c r="J22" s="46">
        <f t="shared" si="0"/>
        <v>116.34</v>
      </c>
      <c r="K22" s="29">
        <f t="shared" si="1"/>
        <v>14</v>
      </c>
      <c r="L22" s="30">
        <f t="shared" si="2"/>
        <v>1</v>
      </c>
    </row>
    <row r="23" spans="3:13" x14ac:dyDescent="0.3">
      <c r="D23" s="42">
        <v>25</v>
      </c>
      <c r="E23" s="43">
        <v>6</v>
      </c>
      <c r="F23" s="43">
        <v>11.11</v>
      </c>
      <c r="G23" s="43">
        <v>12</v>
      </c>
      <c r="H23" s="44">
        <f>((22/(7*4))*(D23^2)/(1000^2))*J23*solver!$B$24</f>
        <v>256.96834821428575</v>
      </c>
      <c r="I23" s="45"/>
      <c r="J23" s="46">
        <f t="shared" si="0"/>
        <v>66.66</v>
      </c>
      <c r="K23" s="29">
        <f t="shared" si="1"/>
        <v>6</v>
      </c>
      <c r="L23" s="30">
        <f t="shared" si="2"/>
        <v>1</v>
      </c>
    </row>
    <row r="24" spans="3:13" x14ac:dyDescent="0.3">
      <c r="D24" s="42">
        <v>25</v>
      </c>
      <c r="E24" s="43">
        <v>8</v>
      </c>
      <c r="F24" s="43">
        <v>8.31</v>
      </c>
      <c r="G24" s="43">
        <v>9</v>
      </c>
      <c r="H24" s="44">
        <f>((22/(7*4))*(D24^2)/(1000^2))*J24*solver!$B$24</f>
        <v>256.27446428571432</v>
      </c>
      <c r="I24" s="45"/>
      <c r="J24" s="46">
        <f t="shared" si="0"/>
        <v>66.48</v>
      </c>
      <c r="K24" s="29">
        <f t="shared" si="1"/>
        <v>8</v>
      </c>
      <c r="L24" s="30">
        <f t="shared" si="2"/>
        <v>1</v>
      </c>
    </row>
    <row r="25" spans="3:13" x14ac:dyDescent="0.3">
      <c r="D25" s="42">
        <v>25</v>
      </c>
      <c r="E25" s="43">
        <v>8</v>
      </c>
      <c r="F25" s="43">
        <v>7.06</v>
      </c>
      <c r="G25" s="43">
        <v>7.5</v>
      </c>
      <c r="H25" s="44">
        <f>((22/(7*4))*(D25^2)/(1000^2))*J25*solver!$B$24</f>
        <v>217.72535714285715</v>
      </c>
      <c r="I25" s="45"/>
      <c r="J25" s="46">
        <f t="shared" si="0"/>
        <v>56.48</v>
      </c>
      <c r="K25" s="29">
        <f t="shared" si="1"/>
        <v>8</v>
      </c>
      <c r="L25" s="30">
        <f t="shared" si="2"/>
        <v>1</v>
      </c>
    </row>
    <row r="26" spans="3:13" x14ac:dyDescent="0.3">
      <c r="D26" s="42">
        <v>25</v>
      </c>
      <c r="E26" s="43">
        <v>6</v>
      </c>
      <c r="F26" s="43">
        <v>1.66</v>
      </c>
      <c r="G26" s="43">
        <v>6</v>
      </c>
      <c r="H26" s="44">
        <f>((22/(7*4))*(D26^2)/(1000^2))*J26*solver!$B$24</f>
        <v>38.394910714285714</v>
      </c>
      <c r="I26" s="45"/>
      <c r="J26" s="46">
        <f t="shared" si="0"/>
        <v>9.9599999999999991</v>
      </c>
      <c r="K26" s="29">
        <f t="shared" si="1"/>
        <v>2</v>
      </c>
      <c r="L26" s="30">
        <f t="shared" si="2"/>
        <v>3</v>
      </c>
    </row>
    <row r="27" spans="3:13" x14ac:dyDescent="0.3">
      <c r="D27" s="42">
        <v>16</v>
      </c>
      <c r="E27" s="43">
        <v>12</v>
      </c>
      <c r="F27" s="43">
        <v>4.08</v>
      </c>
      <c r="G27" s="43">
        <v>9</v>
      </c>
      <c r="H27" s="44">
        <f>((22/(7*4))*(D27^2)/(1000^2))*J27*solver!$B$24</f>
        <v>77.306441142857153</v>
      </c>
      <c r="I27" s="45"/>
      <c r="J27" s="46">
        <f t="shared" si="0"/>
        <v>48.96</v>
      </c>
      <c r="K27" s="29">
        <f t="shared" si="1"/>
        <v>6</v>
      </c>
      <c r="L27" s="30">
        <f t="shared" si="2"/>
        <v>2</v>
      </c>
    </row>
    <row r="28" spans="3:13" x14ac:dyDescent="0.3">
      <c r="D28" s="42">
        <v>10</v>
      </c>
      <c r="E28" s="43">
        <v>200</v>
      </c>
      <c r="F28" s="43">
        <v>2.12</v>
      </c>
      <c r="G28" s="43">
        <v>7.5</v>
      </c>
      <c r="H28" s="44">
        <f>((22/(7*4))*(D28^2)/(1000^2))*J28*solver!$B$24</f>
        <v>261.51714285714286</v>
      </c>
      <c r="I28" s="45"/>
      <c r="J28" s="46">
        <f t="shared" si="0"/>
        <v>424</v>
      </c>
      <c r="K28" s="29">
        <f t="shared" si="1"/>
        <v>67</v>
      </c>
      <c r="L28" s="30">
        <f t="shared" si="2"/>
        <v>3</v>
      </c>
    </row>
    <row r="29" spans="3:13" x14ac:dyDescent="0.3">
      <c r="D29" s="42">
        <v>10</v>
      </c>
      <c r="E29" s="43">
        <v>126</v>
      </c>
      <c r="F29" s="43">
        <v>1.61</v>
      </c>
      <c r="G29" s="43">
        <v>7.5</v>
      </c>
      <c r="H29" s="44">
        <f>((22/(7*4))*(D29^2)/(1000^2))*J29*solver!$B$24</f>
        <v>125.12115000000001</v>
      </c>
      <c r="I29" s="45"/>
      <c r="J29" s="46">
        <f t="shared" si="0"/>
        <v>202.86</v>
      </c>
      <c r="K29" s="29">
        <f t="shared" si="1"/>
        <v>32</v>
      </c>
      <c r="L29" s="30">
        <f t="shared" si="2"/>
        <v>4</v>
      </c>
    </row>
    <row r="30" spans="3:13" x14ac:dyDescent="0.3">
      <c r="D30" s="42">
        <v>10</v>
      </c>
      <c r="E30" s="43">
        <v>318</v>
      </c>
      <c r="F30" s="43">
        <v>0.62</v>
      </c>
      <c r="G30" s="43">
        <v>6</v>
      </c>
      <c r="H30" s="44">
        <f>((22/(7*4))*(D30^2)/(1000^2))*J30*solver!$B$24</f>
        <v>121.60547142857142</v>
      </c>
      <c r="I30" s="45"/>
      <c r="J30" s="46">
        <f t="shared" si="0"/>
        <v>197.16</v>
      </c>
      <c r="K30" s="29">
        <f t="shared" si="1"/>
        <v>36</v>
      </c>
      <c r="L30" s="30">
        <f t="shared" si="2"/>
        <v>9</v>
      </c>
    </row>
    <row r="31" spans="3:13" x14ac:dyDescent="0.3">
      <c r="D31" s="42">
        <v>10</v>
      </c>
      <c r="E31" s="43">
        <v>192</v>
      </c>
      <c r="F31" s="43">
        <v>1.6</v>
      </c>
      <c r="G31" s="43">
        <v>7.5</v>
      </c>
      <c r="H31" s="44">
        <f>((22/(7*4))*(D31^2)/(1000^2))*J31*solver!$B$24</f>
        <v>189.47657142857145</v>
      </c>
      <c r="I31" s="45"/>
      <c r="J31" s="46">
        <f t="shared" si="0"/>
        <v>307.20000000000005</v>
      </c>
      <c r="K31" s="29">
        <f t="shared" si="1"/>
        <v>48</v>
      </c>
      <c r="L31" s="30">
        <f t="shared" si="2"/>
        <v>4</v>
      </c>
    </row>
    <row r="32" spans="3:13" x14ac:dyDescent="0.3">
      <c r="D32" s="42">
        <v>10</v>
      </c>
      <c r="E32" s="43">
        <v>82</v>
      </c>
      <c r="F32" s="43">
        <v>1.67</v>
      </c>
      <c r="G32" s="43">
        <v>7.5</v>
      </c>
      <c r="H32" s="44">
        <f>((22/(7*4))*(D32^2)/(1000^2))*J32*solver!$B$24</f>
        <v>84.46263571428571</v>
      </c>
      <c r="I32" s="45"/>
      <c r="J32" s="46">
        <f t="shared" si="0"/>
        <v>136.94</v>
      </c>
      <c r="K32" s="29">
        <f t="shared" si="1"/>
        <v>21</v>
      </c>
      <c r="L32" s="30">
        <f t="shared" si="2"/>
        <v>4</v>
      </c>
    </row>
    <row r="33" spans="3:13" x14ac:dyDescent="0.3">
      <c r="D33" s="42">
        <v>10</v>
      </c>
      <c r="E33" s="43">
        <v>40</v>
      </c>
      <c r="F33" s="43">
        <v>1.4</v>
      </c>
      <c r="G33" s="43">
        <v>6</v>
      </c>
      <c r="H33" s="44">
        <f>((22/(7*4))*(D33^2)/(1000^2))*J33*solver!$B$24</f>
        <v>34.539999999999992</v>
      </c>
      <c r="I33" s="45"/>
      <c r="J33" s="46">
        <f t="shared" si="0"/>
        <v>56</v>
      </c>
      <c r="K33" s="29">
        <f t="shared" si="1"/>
        <v>10</v>
      </c>
      <c r="L33" s="30">
        <f t="shared" si="2"/>
        <v>4</v>
      </c>
    </row>
    <row r="34" spans="3:13" x14ac:dyDescent="0.3">
      <c r="D34" s="47">
        <v>10</v>
      </c>
      <c r="E34" s="48">
        <v>80</v>
      </c>
      <c r="F34" s="48">
        <v>1.02</v>
      </c>
      <c r="G34" s="48">
        <v>6</v>
      </c>
      <c r="H34" s="49">
        <f>((22/(7*4))*(D34^2)/(1000^2))*J34*solver!$B$24</f>
        <v>50.329714285714282</v>
      </c>
      <c r="I34" s="50"/>
      <c r="J34" s="51">
        <f t="shared" si="0"/>
        <v>81.599999999999994</v>
      </c>
      <c r="K34" s="35">
        <f t="shared" si="1"/>
        <v>16</v>
      </c>
      <c r="L34" s="36">
        <f t="shared" si="2"/>
        <v>5</v>
      </c>
      <c r="M34" t="s">
        <v>35</v>
      </c>
    </row>
    <row r="35" spans="3:13" x14ac:dyDescent="0.3">
      <c r="C35" s="12" t="s">
        <v>32</v>
      </c>
      <c r="D35" s="37">
        <v>32</v>
      </c>
      <c r="E35" s="38">
        <v>14</v>
      </c>
      <c r="F35" s="38">
        <v>7</v>
      </c>
      <c r="G35" s="38">
        <v>7.5</v>
      </c>
      <c r="H35" s="39">
        <f>((22/(7*4))*(D35^2)/(1000^2))*J35*solver!$B$24</f>
        <v>618.95680000000004</v>
      </c>
      <c r="I35" s="40"/>
      <c r="J35" s="41">
        <f t="shared" si="0"/>
        <v>98</v>
      </c>
      <c r="K35" s="23">
        <f t="shared" si="1"/>
        <v>14</v>
      </c>
      <c r="L35" s="24">
        <f t="shared" si="2"/>
        <v>1</v>
      </c>
    </row>
    <row r="36" spans="3:13" x14ac:dyDescent="0.3">
      <c r="D36" s="42">
        <v>25</v>
      </c>
      <c r="E36" s="43">
        <v>10</v>
      </c>
      <c r="F36" s="43">
        <v>11.95</v>
      </c>
      <c r="G36" s="43">
        <v>12</v>
      </c>
      <c r="H36" s="44">
        <f>((22/(7*4))*(D36^2)/(1000^2))*J36*solver!$B$24</f>
        <v>460.66183035714289</v>
      </c>
      <c r="I36" s="45"/>
      <c r="J36" s="46">
        <f t="shared" si="0"/>
        <v>119.5</v>
      </c>
      <c r="K36" s="29">
        <f t="shared" si="1"/>
        <v>10</v>
      </c>
      <c r="L36" s="30">
        <f t="shared" si="2"/>
        <v>1</v>
      </c>
    </row>
    <row r="37" spans="3:13" x14ac:dyDescent="0.3">
      <c r="D37" s="42">
        <v>32</v>
      </c>
      <c r="E37" s="43">
        <v>14</v>
      </c>
      <c r="F37" s="43">
        <v>8.31</v>
      </c>
      <c r="G37" s="43">
        <v>9</v>
      </c>
      <c r="H37" s="44">
        <f>((22/(7*4))*(D37^2)/(1000^2))*J37*solver!$B$24</f>
        <v>734.79014400000005</v>
      </c>
      <c r="I37" s="45"/>
      <c r="J37" s="46">
        <f t="shared" si="0"/>
        <v>116.34</v>
      </c>
      <c r="K37" s="29">
        <f t="shared" si="1"/>
        <v>14</v>
      </c>
      <c r="L37" s="30">
        <f t="shared" si="2"/>
        <v>1</v>
      </c>
    </row>
    <row r="38" spans="3:13" x14ac:dyDescent="0.3">
      <c r="D38" s="42">
        <v>25</v>
      </c>
      <c r="E38" s="43">
        <v>10</v>
      </c>
      <c r="F38" s="43">
        <v>11.06</v>
      </c>
      <c r="G38" s="43">
        <v>12</v>
      </c>
      <c r="H38" s="44">
        <f>((22/(7*4))*(D38^2)/(1000^2))*J38*solver!$B$24</f>
        <v>426.35312500000003</v>
      </c>
      <c r="I38" s="45"/>
      <c r="J38" s="46">
        <f t="shared" si="0"/>
        <v>110.60000000000001</v>
      </c>
      <c r="K38" s="29">
        <f t="shared" si="1"/>
        <v>10</v>
      </c>
      <c r="L38" s="30">
        <f t="shared" si="2"/>
        <v>1</v>
      </c>
    </row>
    <row r="39" spans="3:13" x14ac:dyDescent="0.3">
      <c r="D39" s="42">
        <v>25</v>
      </c>
      <c r="E39" s="43">
        <v>4</v>
      </c>
      <c r="F39" s="43">
        <v>8.31</v>
      </c>
      <c r="G39" s="43">
        <v>9</v>
      </c>
      <c r="H39" s="44">
        <f>((22/(7*4))*(D39^2)/(1000^2))*J39*solver!$B$24</f>
        <v>128.13723214285716</v>
      </c>
      <c r="I39" s="45"/>
      <c r="J39" s="46">
        <f t="shared" si="0"/>
        <v>33.24</v>
      </c>
      <c r="K39" s="29">
        <f t="shared" si="1"/>
        <v>4</v>
      </c>
      <c r="L39" s="30">
        <f t="shared" si="2"/>
        <v>1</v>
      </c>
    </row>
    <row r="40" spans="3:13" x14ac:dyDescent="0.3">
      <c r="D40" s="42">
        <v>25</v>
      </c>
      <c r="E40" s="43">
        <v>4</v>
      </c>
      <c r="F40" s="43">
        <v>7.06</v>
      </c>
      <c r="G40" s="43">
        <v>7.5</v>
      </c>
      <c r="H40" s="44">
        <f>((22/(7*4))*(D40^2)/(1000^2))*J40*solver!$B$24</f>
        <v>108.86267857142857</v>
      </c>
      <c r="I40" s="45"/>
      <c r="J40" s="46">
        <f t="shared" si="0"/>
        <v>28.24</v>
      </c>
      <c r="K40" s="29">
        <f t="shared" si="1"/>
        <v>4</v>
      </c>
      <c r="L40" s="30">
        <f t="shared" si="2"/>
        <v>1</v>
      </c>
    </row>
    <row r="41" spans="3:13" x14ac:dyDescent="0.3">
      <c r="D41" s="42">
        <v>16</v>
      </c>
      <c r="E41" s="43">
        <v>12</v>
      </c>
      <c r="F41" s="43">
        <v>4.08</v>
      </c>
      <c r="G41" s="43">
        <v>6</v>
      </c>
      <c r="H41" s="44">
        <f>((22/(7*4))*(D41^2)/(1000^2))*J41*solver!$B$24</f>
        <v>77.306441142857153</v>
      </c>
      <c r="I41" s="45"/>
      <c r="J41" s="46">
        <f t="shared" si="0"/>
        <v>48.96</v>
      </c>
      <c r="K41" s="29">
        <f t="shared" si="1"/>
        <v>12</v>
      </c>
      <c r="L41" s="30">
        <f t="shared" si="2"/>
        <v>1</v>
      </c>
    </row>
    <row r="42" spans="3:13" x14ac:dyDescent="0.3">
      <c r="D42" s="47">
        <v>25</v>
      </c>
      <c r="E42" s="48">
        <v>4</v>
      </c>
      <c r="F42" s="48">
        <v>1.66</v>
      </c>
      <c r="G42" s="48">
        <v>7.5</v>
      </c>
      <c r="H42" s="49">
        <f>((22/(7*4))*(D42^2)/(1000^2))*J42*solver!$B$24</f>
        <v>25.596607142857142</v>
      </c>
      <c r="I42" s="50"/>
      <c r="J42" s="51">
        <f t="shared" si="0"/>
        <v>6.64</v>
      </c>
      <c r="K42" s="35">
        <f t="shared" si="1"/>
        <v>1</v>
      </c>
      <c r="L42" s="36">
        <f t="shared" si="2"/>
        <v>4</v>
      </c>
    </row>
    <row r="43" spans="3:13" x14ac:dyDescent="0.3">
      <c r="C43" s="12" t="s">
        <v>33</v>
      </c>
      <c r="D43" s="37">
        <v>32</v>
      </c>
      <c r="E43" s="38">
        <v>14</v>
      </c>
      <c r="F43" s="38">
        <v>8.5</v>
      </c>
      <c r="G43" s="38">
        <v>9</v>
      </c>
      <c r="H43" s="39">
        <f>((22/(7*4))*(D43^2)/(1000^2))*J43*solver!$B$24</f>
        <v>751.59039999999993</v>
      </c>
      <c r="I43" s="40"/>
      <c r="J43" s="41">
        <f t="shared" si="0"/>
        <v>119</v>
      </c>
      <c r="K43" s="23">
        <f t="shared" si="1"/>
        <v>14</v>
      </c>
      <c r="L43" s="24">
        <f t="shared" si="2"/>
        <v>1</v>
      </c>
    </row>
    <row r="44" spans="3:13" x14ac:dyDescent="0.3">
      <c r="D44" s="42">
        <v>32</v>
      </c>
      <c r="E44" s="43">
        <v>14</v>
      </c>
      <c r="F44" s="43">
        <v>7.95</v>
      </c>
      <c r="G44" s="43">
        <v>9</v>
      </c>
      <c r="H44" s="44">
        <f>((22/(7*4))*(D44^2)/(1000^2))*J44*solver!$B$24</f>
        <v>702.95808</v>
      </c>
      <c r="I44" s="45"/>
      <c r="J44" s="46">
        <f t="shared" si="0"/>
        <v>111.3</v>
      </c>
      <c r="K44" s="29">
        <f t="shared" si="1"/>
        <v>14</v>
      </c>
      <c r="L44" s="30">
        <f t="shared" si="2"/>
        <v>1</v>
      </c>
    </row>
    <row r="45" spans="3:13" x14ac:dyDescent="0.3">
      <c r="D45" s="42">
        <v>20</v>
      </c>
      <c r="E45" s="43">
        <v>10</v>
      </c>
      <c r="F45" s="43">
        <v>7.15</v>
      </c>
      <c r="G45" s="43">
        <v>7.5</v>
      </c>
      <c r="H45" s="44">
        <f>((22/(7*4))*(D45^2)/(1000^2))*J45*solver!$B$24</f>
        <v>176.40071428571426</v>
      </c>
      <c r="I45" s="45"/>
      <c r="J45" s="46">
        <f t="shared" si="0"/>
        <v>71.5</v>
      </c>
      <c r="K45" s="29">
        <f t="shared" si="1"/>
        <v>10</v>
      </c>
      <c r="L45" s="30">
        <f t="shared" si="2"/>
        <v>1</v>
      </c>
    </row>
    <row r="46" spans="3:13" x14ac:dyDescent="0.3">
      <c r="D46" s="42">
        <v>32</v>
      </c>
      <c r="E46" s="43">
        <v>14</v>
      </c>
      <c r="F46" s="43">
        <v>4.21</v>
      </c>
      <c r="G46" s="43">
        <v>9</v>
      </c>
      <c r="H46" s="44">
        <f>((22/(7*4))*(D46^2)/(1000^2))*J46*solver!$B$24</f>
        <v>372.25830400000001</v>
      </c>
      <c r="I46" s="45"/>
      <c r="J46" s="46">
        <f t="shared" si="0"/>
        <v>58.94</v>
      </c>
      <c r="K46" s="29">
        <f t="shared" si="1"/>
        <v>7</v>
      </c>
      <c r="L46" s="30">
        <f t="shared" si="2"/>
        <v>2</v>
      </c>
    </row>
    <row r="47" spans="3:13" x14ac:dyDescent="0.3">
      <c r="D47" s="42">
        <v>32</v>
      </c>
      <c r="E47" s="43">
        <v>14</v>
      </c>
      <c r="F47" s="43">
        <v>10.199999999999999</v>
      </c>
      <c r="G47" s="43">
        <v>10.5</v>
      </c>
      <c r="H47" s="44">
        <f>((22/(7*4))*(D47^2)/(1000^2))*J47*solver!$B$24</f>
        <v>901.90847999999994</v>
      </c>
      <c r="I47" s="45"/>
      <c r="J47" s="46">
        <f t="shared" si="0"/>
        <v>142.79999999999998</v>
      </c>
      <c r="K47" s="29">
        <f t="shared" si="1"/>
        <v>14</v>
      </c>
      <c r="L47" s="30">
        <f t="shared" si="2"/>
        <v>1</v>
      </c>
    </row>
    <row r="48" spans="3:13" x14ac:dyDescent="0.3">
      <c r="D48" s="42">
        <v>32</v>
      </c>
      <c r="E48" s="43">
        <v>14</v>
      </c>
      <c r="F48" s="43">
        <v>5.45</v>
      </c>
      <c r="G48" s="43">
        <v>6</v>
      </c>
      <c r="H48" s="44">
        <f>((22/(7*4))*(D48^2)/(1000^2))*J48*solver!$B$24</f>
        <v>481.90208000000001</v>
      </c>
      <c r="I48" s="45"/>
      <c r="J48" s="46">
        <f t="shared" si="0"/>
        <v>76.3</v>
      </c>
      <c r="K48" s="29">
        <f t="shared" si="1"/>
        <v>14</v>
      </c>
      <c r="L48" s="30">
        <f t="shared" si="2"/>
        <v>1</v>
      </c>
    </row>
    <row r="49" spans="3:12" x14ac:dyDescent="0.3">
      <c r="D49" s="42">
        <v>20</v>
      </c>
      <c r="E49" s="43">
        <v>10</v>
      </c>
      <c r="F49" s="43">
        <v>5.65</v>
      </c>
      <c r="G49" s="43">
        <v>6</v>
      </c>
      <c r="H49" s="44">
        <f>((22/(7*4))*(D49^2)/(1000^2))*J49*solver!$B$24</f>
        <v>139.39357142857142</v>
      </c>
      <c r="I49" s="45"/>
      <c r="J49" s="46">
        <f t="shared" si="0"/>
        <v>56.5</v>
      </c>
      <c r="K49" s="29">
        <f t="shared" si="1"/>
        <v>10</v>
      </c>
      <c r="L49" s="30">
        <f t="shared" si="2"/>
        <v>1</v>
      </c>
    </row>
    <row r="50" spans="3:12" x14ac:dyDescent="0.3">
      <c r="D50" s="42">
        <v>10</v>
      </c>
      <c r="E50" s="43">
        <v>214</v>
      </c>
      <c r="F50" s="43">
        <v>2.12</v>
      </c>
      <c r="G50" s="43">
        <v>7.5</v>
      </c>
      <c r="H50" s="44">
        <f>((22/(7*4))*(D50^2)/(1000^2))*J50*solver!$B$24</f>
        <v>279.82334285714285</v>
      </c>
      <c r="I50" s="45"/>
      <c r="J50" s="46">
        <f t="shared" si="0"/>
        <v>453.68</v>
      </c>
      <c r="K50" s="52">
        <f t="shared" si="1"/>
        <v>72</v>
      </c>
      <c r="L50" s="30">
        <f t="shared" si="2"/>
        <v>3</v>
      </c>
    </row>
    <row r="51" spans="3:12" x14ac:dyDescent="0.3">
      <c r="D51" s="42">
        <v>10</v>
      </c>
      <c r="E51" s="43">
        <v>428</v>
      </c>
      <c r="F51" s="43">
        <v>1.61</v>
      </c>
      <c r="G51" s="43">
        <v>7.5</v>
      </c>
      <c r="H51" s="44">
        <f>((22/(7*4))*(D51^2)/(1000^2))*J51*solver!$B$24</f>
        <v>425.0147</v>
      </c>
      <c r="I51" s="45"/>
      <c r="J51" s="46">
        <f t="shared" si="0"/>
        <v>689.08</v>
      </c>
      <c r="K51" s="52">
        <f t="shared" si="1"/>
        <v>107</v>
      </c>
      <c r="L51" s="30">
        <f t="shared" si="2"/>
        <v>4</v>
      </c>
    </row>
    <row r="52" spans="3:12" x14ac:dyDescent="0.3">
      <c r="D52" s="42">
        <v>10</v>
      </c>
      <c r="E52" s="43">
        <v>428</v>
      </c>
      <c r="F52" s="43">
        <v>0.62</v>
      </c>
      <c r="G52" s="43">
        <v>6</v>
      </c>
      <c r="H52" s="44">
        <f>((22/(7*4))*(D52^2)/(1000^2))*J52*solver!$B$24</f>
        <v>163.67025714285714</v>
      </c>
      <c r="I52" s="45"/>
      <c r="J52" s="46">
        <f t="shared" si="0"/>
        <v>265.36</v>
      </c>
      <c r="K52" s="52">
        <f t="shared" si="1"/>
        <v>48</v>
      </c>
      <c r="L52" s="30">
        <f t="shared" si="2"/>
        <v>9</v>
      </c>
    </row>
    <row r="53" spans="3:12" x14ac:dyDescent="0.3">
      <c r="D53" s="42">
        <v>10</v>
      </c>
      <c r="E53" s="43">
        <v>82</v>
      </c>
      <c r="F53" s="43">
        <v>1.38</v>
      </c>
      <c r="G53" s="43">
        <v>6</v>
      </c>
      <c r="H53" s="44">
        <f>((22/(7*4))*(D53^2)/(1000^2))*J53*solver!$B$24</f>
        <v>69.795471428571418</v>
      </c>
      <c r="I53" s="45"/>
      <c r="J53" s="46">
        <f t="shared" si="0"/>
        <v>113.16</v>
      </c>
      <c r="K53" s="52">
        <f t="shared" si="1"/>
        <v>21</v>
      </c>
      <c r="L53" s="30">
        <f t="shared" si="2"/>
        <v>4</v>
      </c>
    </row>
    <row r="54" spans="3:12" x14ac:dyDescent="0.3">
      <c r="D54" s="42">
        <v>10</v>
      </c>
      <c r="E54" s="43">
        <v>41</v>
      </c>
      <c r="F54" s="43">
        <v>1.32</v>
      </c>
      <c r="G54" s="43">
        <v>6</v>
      </c>
      <c r="H54" s="44">
        <f>((22/(7*4))*(D54^2)/(1000^2))*J54*solver!$B$24</f>
        <v>33.38044285714286</v>
      </c>
      <c r="I54" s="45"/>
      <c r="J54" s="46">
        <f t="shared" si="0"/>
        <v>54.120000000000005</v>
      </c>
      <c r="K54" s="52">
        <f t="shared" si="1"/>
        <v>11</v>
      </c>
      <c r="L54" s="30">
        <f t="shared" si="2"/>
        <v>4</v>
      </c>
    </row>
    <row r="55" spans="3:12" x14ac:dyDescent="0.3">
      <c r="D55" s="47">
        <v>10</v>
      </c>
      <c r="E55" s="48">
        <v>41</v>
      </c>
      <c r="F55" s="48">
        <v>0.9</v>
      </c>
      <c r="G55" s="48">
        <v>6</v>
      </c>
      <c r="H55" s="49">
        <f>((22/(7*4))*(D55^2)/(1000^2))*J55*solver!$B$24</f>
        <v>22.759392857142856</v>
      </c>
      <c r="I55" s="50"/>
      <c r="J55" s="51">
        <f t="shared" si="0"/>
        <v>36.9</v>
      </c>
      <c r="K55" s="53">
        <f t="shared" si="1"/>
        <v>7</v>
      </c>
      <c r="L55" s="36">
        <f t="shared" si="2"/>
        <v>6</v>
      </c>
    </row>
    <row r="56" spans="3:12" x14ac:dyDescent="0.3">
      <c r="C56" t="s">
        <v>36</v>
      </c>
      <c r="D56" s="54">
        <v>32</v>
      </c>
      <c r="E56" s="55">
        <v>14</v>
      </c>
      <c r="F56" s="55">
        <v>7</v>
      </c>
      <c r="G56" s="55">
        <v>7.5</v>
      </c>
      <c r="H56" s="39">
        <f>((22/(7*4))*(D56^2)/(1000^2))*J56*solver!$B$24</f>
        <v>618.95680000000004</v>
      </c>
      <c r="I56" s="40"/>
      <c r="J56" s="41">
        <f t="shared" si="0"/>
        <v>98</v>
      </c>
      <c r="K56" s="23">
        <f t="shared" si="1"/>
        <v>14</v>
      </c>
      <c r="L56" s="24">
        <f t="shared" si="2"/>
        <v>1</v>
      </c>
    </row>
    <row r="57" spans="3:12" x14ac:dyDescent="0.3">
      <c r="D57" s="56">
        <v>32</v>
      </c>
      <c r="E57" s="57">
        <v>14</v>
      </c>
      <c r="F57" s="57">
        <v>7.87</v>
      </c>
      <c r="G57" s="57">
        <v>9</v>
      </c>
      <c r="H57" s="44">
        <f>((22/(7*4))*(D57^2)/(1000^2))*J57*solver!$B$24</f>
        <v>695.88428800000008</v>
      </c>
      <c r="I57" s="45"/>
      <c r="J57" s="46">
        <f t="shared" si="0"/>
        <v>110.18</v>
      </c>
      <c r="K57" s="29">
        <f t="shared" si="1"/>
        <v>14</v>
      </c>
      <c r="L57" s="30">
        <f t="shared" si="2"/>
        <v>1</v>
      </c>
    </row>
    <row r="58" spans="3:12" x14ac:dyDescent="0.3">
      <c r="D58" s="56">
        <v>32</v>
      </c>
      <c r="E58" s="57">
        <v>14</v>
      </c>
      <c r="F58" s="57">
        <v>8.61</v>
      </c>
      <c r="G58" s="57">
        <v>9</v>
      </c>
      <c r="H58" s="44">
        <f>((22/(7*4))*(D58^2)/(1000^2))*J58*solver!$B$24</f>
        <v>761.3168639999999</v>
      </c>
      <c r="I58" s="45"/>
      <c r="J58" s="46">
        <f t="shared" si="0"/>
        <v>120.53999999999999</v>
      </c>
      <c r="K58" s="29">
        <f t="shared" si="1"/>
        <v>14</v>
      </c>
      <c r="L58" s="30">
        <f t="shared" si="2"/>
        <v>1</v>
      </c>
    </row>
    <row r="59" spans="3:12" x14ac:dyDescent="0.3">
      <c r="D59" s="56">
        <v>32</v>
      </c>
      <c r="E59" s="57">
        <v>14</v>
      </c>
      <c r="F59" s="57">
        <v>11.23</v>
      </c>
      <c r="G59" s="57">
        <v>12</v>
      </c>
      <c r="H59" s="44">
        <f>((22/(7*4))*(D59^2)/(1000^2))*J59*solver!$B$24</f>
        <v>992.98355200000003</v>
      </c>
      <c r="I59" s="45"/>
      <c r="J59" s="46">
        <f t="shared" si="0"/>
        <v>157.22</v>
      </c>
      <c r="K59" s="29">
        <f t="shared" si="1"/>
        <v>14</v>
      </c>
      <c r="L59" s="30">
        <f t="shared" si="2"/>
        <v>1</v>
      </c>
    </row>
    <row r="60" spans="3:12" x14ac:dyDescent="0.3">
      <c r="D60" s="56">
        <v>12</v>
      </c>
      <c r="E60" s="57">
        <v>215</v>
      </c>
      <c r="F60" s="57">
        <v>2.75</v>
      </c>
      <c r="G60" s="57">
        <v>6</v>
      </c>
      <c r="H60" s="44">
        <f>((22/(7*4))*(D60^2)/(1000^2))*J60*solver!$B$24</f>
        <v>525.13135714285715</v>
      </c>
      <c r="I60" s="45"/>
      <c r="J60" s="46">
        <f t="shared" si="0"/>
        <v>591.25</v>
      </c>
      <c r="K60" s="29">
        <f t="shared" si="1"/>
        <v>108</v>
      </c>
      <c r="L60" s="30">
        <f t="shared" si="2"/>
        <v>2</v>
      </c>
    </row>
    <row r="61" spans="3:12" x14ac:dyDescent="0.3">
      <c r="D61" s="56">
        <v>12</v>
      </c>
      <c r="E61" s="57">
        <v>186</v>
      </c>
      <c r="F61" s="57">
        <v>2.0699999999999998</v>
      </c>
      <c r="G61" s="57">
        <v>6</v>
      </c>
      <c r="H61" s="44">
        <f>((22/(7*4))*(D61^2)/(1000^2))*J61*solver!$B$24</f>
        <v>341.96376342857138</v>
      </c>
      <c r="I61" s="45"/>
      <c r="J61" s="46">
        <f t="shared" si="0"/>
        <v>385.02</v>
      </c>
      <c r="K61" s="29">
        <f t="shared" si="1"/>
        <v>93</v>
      </c>
      <c r="L61" s="30">
        <f t="shared" si="2"/>
        <v>2</v>
      </c>
    </row>
    <row r="62" spans="3:12" x14ac:dyDescent="0.3">
      <c r="D62" s="56">
        <v>12</v>
      </c>
      <c r="E62" s="57">
        <v>372</v>
      </c>
      <c r="F62" s="57">
        <v>0.8</v>
      </c>
      <c r="G62" s="57">
        <v>6</v>
      </c>
      <c r="H62" s="44">
        <f>((22/(7*4))*(D62^2)/(1000^2))*J62*solver!$B$24</f>
        <v>264.31981714285718</v>
      </c>
      <c r="I62" s="45"/>
      <c r="J62" s="46">
        <f t="shared" si="0"/>
        <v>297.60000000000002</v>
      </c>
      <c r="K62" s="29">
        <f t="shared" si="1"/>
        <v>54</v>
      </c>
      <c r="L62" s="30">
        <f t="shared" si="2"/>
        <v>7</v>
      </c>
    </row>
    <row r="63" spans="3:12" x14ac:dyDescent="0.3">
      <c r="D63" s="56">
        <v>16</v>
      </c>
      <c r="E63" s="57">
        <v>162</v>
      </c>
      <c r="F63" s="57">
        <v>2.83</v>
      </c>
      <c r="G63" s="57">
        <v>6</v>
      </c>
      <c r="H63" s="44">
        <f>((22/(7*4))*(D63^2)/(1000^2))*J63*solver!$B$24</f>
        <v>723.89524114285712</v>
      </c>
      <c r="I63" s="45"/>
      <c r="J63" s="46">
        <f t="shared" si="0"/>
        <v>458.46000000000004</v>
      </c>
      <c r="K63" s="29">
        <f t="shared" si="1"/>
        <v>81</v>
      </c>
      <c r="L63" s="30">
        <f t="shared" si="2"/>
        <v>2</v>
      </c>
    </row>
    <row r="64" spans="3:12" x14ac:dyDescent="0.3">
      <c r="D64" s="56">
        <v>16</v>
      </c>
      <c r="E64" s="57">
        <v>81</v>
      </c>
      <c r="F64" s="57">
        <v>2.15</v>
      </c>
      <c r="G64" s="57">
        <v>6</v>
      </c>
      <c r="H64" s="44">
        <f>((22/(7*4))*(D64^2)/(1000^2))*J64*solver!$B$24</f>
        <v>274.97787428571434</v>
      </c>
      <c r="I64" s="45"/>
      <c r="J64" s="46">
        <f t="shared" si="0"/>
        <v>174.15</v>
      </c>
      <c r="K64" s="29">
        <f t="shared" si="1"/>
        <v>41</v>
      </c>
      <c r="L64" s="30">
        <f t="shared" si="2"/>
        <v>2</v>
      </c>
    </row>
    <row r="65" spans="3:12" x14ac:dyDescent="0.3">
      <c r="D65" s="56">
        <v>16</v>
      </c>
      <c r="E65" s="57">
        <v>81</v>
      </c>
      <c r="F65" s="57">
        <v>0.86</v>
      </c>
      <c r="G65" s="57">
        <v>6</v>
      </c>
      <c r="H65" s="44">
        <f>((22/(7*4))*(D65^2)/(1000^2))*J65*solver!$B$24</f>
        <v>109.99114971428571</v>
      </c>
      <c r="I65" s="45"/>
      <c r="J65" s="46">
        <f t="shared" si="0"/>
        <v>69.66</v>
      </c>
      <c r="K65" s="29">
        <f t="shared" si="1"/>
        <v>14</v>
      </c>
      <c r="L65" s="30">
        <f t="shared" si="2"/>
        <v>6</v>
      </c>
    </row>
    <row r="66" spans="3:12" x14ac:dyDescent="0.3">
      <c r="D66" s="56">
        <v>12</v>
      </c>
      <c r="E66" s="57">
        <v>82</v>
      </c>
      <c r="F66" s="57">
        <v>2.16</v>
      </c>
      <c r="G66" s="57">
        <v>6</v>
      </c>
      <c r="H66" s="44">
        <f>((22/(7*4))*(D66^2)/(1000^2))*J66*solver!$B$24</f>
        <v>157.31292342857142</v>
      </c>
      <c r="I66" s="45"/>
      <c r="J66" s="46">
        <f t="shared" si="0"/>
        <v>177.12</v>
      </c>
      <c r="K66" s="29">
        <f t="shared" si="1"/>
        <v>41</v>
      </c>
      <c r="L66" s="30">
        <f t="shared" si="2"/>
        <v>2</v>
      </c>
    </row>
    <row r="67" spans="3:12" x14ac:dyDescent="0.3">
      <c r="D67" s="58">
        <v>12</v>
      </c>
      <c r="E67" s="59">
        <v>205</v>
      </c>
      <c r="F67" s="59">
        <v>2.0499999999999998</v>
      </c>
      <c r="G67" s="59">
        <v>6</v>
      </c>
      <c r="H67" s="49">
        <f>((22/(7*4))*(D67^2)/(1000^2))*J67*solver!$B$24</f>
        <v>373.25404285714279</v>
      </c>
      <c r="I67" s="50"/>
      <c r="J67" s="51">
        <f t="shared" si="0"/>
        <v>420.24999999999994</v>
      </c>
      <c r="K67" s="35">
        <f t="shared" si="1"/>
        <v>103</v>
      </c>
      <c r="L67" s="36">
        <f t="shared" si="2"/>
        <v>2</v>
      </c>
    </row>
    <row r="68" spans="3:12" x14ac:dyDescent="0.3">
      <c r="C68" t="s">
        <v>37</v>
      </c>
      <c r="D68" s="60">
        <v>32</v>
      </c>
      <c r="E68" s="61">
        <v>14</v>
      </c>
      <c r="F68" s="61">
        <v>8.51</v>
      </c>
      <c r="G68" s="61">
        <v>9</v>
      </c>
      <c r="H68" s="39">
        <f>((22/(7*4))*(D68^2)/(1000^2))*J68*solver!$B$24</f>
        <v>752.47462400000006</v>
      </c>
      <c r="I68" s="40"/>
      <c r="J68" s="41">
        <f t="shared" ref="J68:J131" si="3">E68*F68</f>
        <v>119.14</v>
      </c>
      <c r="K68" s="23">
        <f t="shared" ref="K68:K131" si="4">IF(G68=0,0,ROUNDUP(E68/L68,0))</f>
        <v>14</v>
      </c>
      <c r="L68" s="24">
        <f t="shared" ref="L68:L131" si="5">ROUNDDOWN(G68/F68, 0)</f>
        <v>1</v>
      </c>
    </row>
    <row r="69" spans="3:12" x14ac:dyDescent="0.3">
      <c r="D69" s="62">
        <v>25</v>
      </c>
      <c r="E69" s="63">
        <v>14</v>
      </c>
      <c r="F69" s="63">
        <v>11.26</v>
      </c>
      <c r="G69" s="63">
        <v>12</v>
      </c>
      <c r="H69" s="44">
        <f>((22/(7*4))*(D69^2)/(1000^2))*J69*solver!$B$24</f>
        <v>607.68812500000001</v>
      </c>
      <c r="I69" s="45"/>
      <c r="J69" s="46">
        <f t="shared" si="3"/>
        <v>157.63999999999999</v>
      </c>
      <c r="K69" s="29">
        <f t="shared" si="4"/>
        <v>14</v>
      </c>
      <c r="L69" s="30">
        <f t="shared" si="5"/>
        <v>1</v>
      </c>
    </row>
    <row r="70" spans="3:12" x14ac:dyDescent="0.3">
      <c r="D70" s="62">
        <v>32</v>
      </c>
      <c r="E70" s="63">
        <v>14</v>
      </c>
      <c r="F70" s="63">
        <v>6.96</v>
      </c>
      <c r="G70" s="63">
        <v>7.5</v>
      </c>
      <c r="H70" s="44">
        <f>((22/(7*4))*(D70^2)/(1000^2))*J70*solver!$B$24</f>
        <v>615.41990399999997</v>
      </c>
      <c r="I70" s="45"/>
      <c r="J70" s="46">
        <f t="shared" si="3"/>
        <v>97.44</v>
      </c>
      <c r="K70" s="29">
        <f t="shared" si="4"/>
        <v>14</v>
      </c>
      <c r="L70" s="30">
        <f t="shared" si="5"/>
        <v>1</v>
      </c>
    </row>
    <row r="71" spans="3:12" x14ac:dyDescent="0.3">
      <c r="D71" s="62">
        <v>25</v>
      </c>
      <c r="E71" s="63">
        <v>14</v>
      </c>
      <c r="F71" s="63">
        <v>11.95</v>
      </c>
      <c r="G71" s="63">
        <v>12</v>
      </c>
      <c r="H71" s="44">
        <f>((22/(7*4))*(D71^2)/(1000^2))*J71*solver!$B$24</f>
        <v>644.92656250000005</v>
      </c>
      <c r="I71" s="45"/>
      <c r="J71" s="46">
        <f t="shared" si="3"/>
        <v>167.29999999999998</v>
      </c>
      <c r="K71" s="29">
        <f t="shared" si="4"/>
        <v>14</v>
      </c>
      <c r="L71" s="30">
        <f t="shared" si="5"/>
        <v>1</v>
      </c>
    </row>
    <row r="72" spans="3:12" x14ac:dyDescent="0.3">
      <c r="D72" s="62">
        <v>32</v>
      </c>
      <c r="E72" s="63">
        <v>4</v>
      </c>
      <c r="F72" s="63">
        <v>5.97</v>
      </c>
      <c r="G72" s="63">
        <v>6</v>
      </c>
      <c r="H72" s="44">
        <f>((22/(7*4))*(D72^2)/(1000^2))*J72*solver!$B$24</f>
        <v>150.82335085714286</v>
      </c>
      <c r="I72" s="45"/>
      <c r="J72" s="46">
        <f t="shared" si="3"/>
        <v>23.88</v>
      </c>
      <c r="K72" s="29">
        <f t="shared" si="4"/>
        <v>4</v>
      </c>
      <c r="L72" s="30">
        <f t="shared" si="5"/>
        <v>1</v>
      </c>
    </row>
    <row r="73" spans="3:12" x14ac:dyDescent="0.3">
      <c r="D73" s="62">
        <v>25</v>
      </c>
      <c r="E73" s="63">
        <v>14</v>
      </c>
      <c r="F73" s="63">
        <v>1.36</v>
      </c>
      <c r="G73" s="63">
        <v>6</v>
      </c>
      <c r="H73" s="44">
        <f>((22/(7*4))*(D73^2)/(1000^2))*J73*solver!$B$24</f>
        <v>73.397500000000022</v>
      </c>
      <c r="I73" s="45"/>
      <c r="J73" s="46">
        <f t="shared" si="3"/>
        <v>19.040000000000003</v>
      </c>
      <c r="K73" s="29">
        <f t="shared" si="4"/>
        <v>4</v>
      </c>
      <c r="L73" s="30">
        <f t="shared" si="5"/>
        <v>4</v>
      </c>
    </row>
    <row r="74" spans="3:12" x14ac:dyDescent="0.3">
      <c r="D74" s="62">
        <v>12</v>
      </c>
      <c r="E74" s="63">
        <v>63</v>
      </c>
      <c r="F74" s="63">
        <v>2.75</v>
      </c>
      <c r="G74" s="63">
        <v>6</v>
      </c>
      <c r="H74" s="44">
        <f>((22/(7*4))*(D74^2)/(1000^2))*J74*solver!$B$24</f>
        <v>153.87569999999999</v>
      </c>
      <c r="I74" s="45"/>
      <c r="J74" s="46">
        <f t="shared" si="3"/>
        <v>173.25</v>
      </c>
      <c r="K74" s="29">
        <f t="shared" si="4"/>
        <v>32</v>
      </c>
      <c r="L74" s="30">
        <f t="shared" si="5"/>
        <v>2</v>
      </c>
    </row>
    <row r="75" spans="3:12" x14ac:dyDescent="0.3">
      <c r="D75" s="62">
        <v>12</v>
      </c>
      <c r="E75" s="63">
        <v>63</v>
      </c>
      <c r="F75" s="63">
        <v>2.16</v>
      </c>
      <c r="G75" s="63">
        <v>6</v>
      </c>
      <c r="H75" s="44">
        <f>((22/(7*4))*(D75^2)/(1000^2))*J75*solver!$B$24</f>
        <v>120.862368</v>
      </c>
      <c r="I75" s="45"/>
      <c r="J75" s="46">
        <f t="shared" si="3"/>
        <v>136.08000000000001</v>
      </c>
      <c r="K75" s="29">
        <f t="shared" si="4"/>
        <v>32</v>
      </c>
      <c r="L75" s="30">
        <f t="shared" si="5"/>
        <v>2</v>
      </c>
    </row>
    <row r="76" spans="3:12" x14ac:dyDescent="0.3">
      <c r="D76" s="62">
        <v>12</v>
      </c>
      <c r="E76" s="63">
        <v>63</v>
      </c>
      <c r="F76" s="63">
        <v>0.8</v>
      </c>
      <c r="G76" s="63">
        <v>6</v>
      </c>
      <c r="H76" s="44">
        <f>((22/(7*4))*(D76^2)/(1000^2))*J76*solver!$B$24</f>
        <v>44.763840000000002</v>
      </c>
      <c r="I76" s="45"/>
      <c r="J76" s="46">
        <f t="shared" si="3"/>
        <v>50.400000000000006</v>
      </c>
      <c r="K76" s="29">
        <f t="shared" si="4"/>
        <v>9</v>
      </c>
      <c r="L76" s="30">
        <f t="shared" si="5"/>
        <v>7</v>
      </c>
    </row>
    <row r="77" spans="3:12" x14ac:dyDescent="0.3">
      <c r="D77" s="62">
        <v>12</v>
      </c>
      <c r="E77" s="63">
        <v>55</v>
      </c>
      <c r="F77" s="63">
        <v>2.75</v>
      </c>
      <c r="G77" s="63">
        <v>6</v>
      </c>
      <c r="H77" s="44">
        <f>((22/(7*4))*(D77^2)/(1000^2))*J77*solver!$B$24</f>
        <v>134.33592857142855</v>
      </c>
      <c r="I77" s="45"/>
      <c r="J77" s="46">
        <f t="shared" si="3"/>
        <v>151.25</v>
      </c>
      <c r="K77" s="29">
        <f t="shared" si="4"/>
        <v>28</v>
      </c>
      <c r="L77" s="30">
        <f t="shared" si="5"/>
        <v>2</v>
      </c>
    </row>
    <row r="78" spans="3:12" x14ac:dyDescent="0.3">
      <c r="D78" s="62">
        <v>12</v>
      </c>
      <c r="E78" s="63">
        <v>110</v>
      </c>
      <c r="F78" s="63">
        <v>2.06</v>
      </c>
      <c r="G78" s="63">
        <v>6</v>
      </c>
      <c r="H78" s="44">
        <f>((22/(7*4))*(D78^2)/(1000^2))*J78*solver!$B$24</f>
        <v>201.25964571428568</v>
      </c>
      <c r="I78" s="45"/>
      <c r="J78" s="46">
        <f t="shared" si="3"/>
        <v>226.6</v>
      </c>
      <c r="K78" s="29">
        <f t="shared" si="4"/>
        <v>55</v>
      </c>
      <c r="L78" s="30">
        <f t="shared" si="5"/>
        <v>2</v>
      </c>
    </row>
    <row r="79" spans="3:12" x14ac:dyDescent="0.3">
      <c r="D79" s="62">
        <v>12</v>
      </c>
      <c r="E79" s="63">
        <v>110</v>
      </c>
      <c r="F79" s="63">
        <v>0.52</v>
      </c>
      <c r="G79" s="63">
        <v>6</v>
      </c>
      <c r="H79" s="44">
        <f>((22/(7*4))*(D79^2)/(1000^2))*J79*solver!$B$24</f>
        <v>50.803405714285716</v>
      </c>
      <c r="I79" s="45"/>
      <c r="J79" s="46">
        <f t="shared" si="3"/>
        <v>57.2</v>
      </c>
      <c r="K79" s="29">
        <f t="shared" si="4"/>
        <v>10</v>
      </c>
      <c r="L79" s="30">
        <f t="shared" si="5"/>
        <v>11</v>
      </c>
    </row>
    <row r="80" spans="3:12" x14ac:dyDescent="0.3">
      <c r="D80" s="62">
        <v>10</v>
      </c>
      <c r="E80" s="63">
        <v>110</v>
      </c>
      <c r="F80" s="63">
        <v>2.72</v>
      </c>
      <c r="G80" s="63">
        <v>6</v>
      </c>
      <c r="H80" s="44">
        <f>((22/(7*4))*(D80^2)/(1000^2))*J80*solver!$B$24</f>
        <v>184.54228571428573</v>
      </c>
      <c r="I80" s="45"/>
      <c r="J80" s="46">
        <f t="shared" si="3"/>
        <v>299.20000000000005</v>
      </c>
      <c r="K80" s="29">
        <f t="shared" si="4"/>
        <v>55</v>
      </c>
      <c r="L80" s="30">
        <f t="shared" si="5"/>
        <v>2</v>
      </c>
    </row>
    <row r="81" spans="3:12" x14ac:dyDescent="0.3">
      <c r="D81" s="62">
        <v>10</v>
      </c>
      <c r="E81" s="63">
        <v>220</v>
      </c>
      <c r="F81" s="63">
        <v>2.02</v>
      </c>
      <c r="G81" s="63">
        <v>6</v>
      </c>
      <c r="H81" s="44">
        <f>((22/(7*4))*(D81^2)/(1000^2))*J81*solver!$B$24</f>
        <v>274.09957142857144</v>
      </c>
      <c r="I81" s="45"/>
      <c r="J81" s="46">
        <f t="shared" si="3"/>
        <v>444.4</v>
      </c>
      <c r="K81" s="29">
        <f t="shared" si="4"/>
        <v>110</v>
      </c>
      <c r="L81" s="30">
        <f t="shared" si="5"/>
        <v>2</v>
      </c>
    </row>
    <row r="82" spans="3:12" x14ac:dyDescent="0.3">
      <c r="D82" s="62">
        <v>10</v>
      </c>
      <c r="E82" s="63">
        <v>220</v>
      </c>
      <c r="F82" s="63">
        <v>0.77</v>
      </c>
      <c r="G82" s="63">
        <v>6</v>
      </c>
      <c r="H82" s="44">
        <f>((22/(7*4))*(D82^2)/(1000^2))*J82*solver!$B$24</f>
        <v>104.48349999999999</v>
      </c>
      <c r="I82" s="45"/>
      <c r="J82" s="46">
        <f t="shared" si="3"/>
        <v>169.4</v>
      </c>
      <c r="K82" s="29">
        <f t="shared" si="4"/>
        <v>32</v>
      </c>
      <c r="L82" s="30">
        <f t="shared" si="5"/>
        <v>7</v>
      </c>
    </row>
    <row r="83" spans="3:12" x14ac:dyDescent="0.3">
      <c r="D83" s="47">
        <v>10</v>
      </c>
      <c r="E83" s="48">
        <v>41</v>
      </c>
      <c r="F83" s="48">
        <v>0.9</v>
      </c>
      <c r="G83" s="48">
        <v>6</v>
      </c>
      <c r="H83" s="49">
        <f>((22/(7*4))*(D83^2)/(1000^2))*J83*solver!$B$24</f>
        <v>22.759392857142856</v>
      </c>
      <c r="I83" s="50"/>
      <c r="J83" s="51">
        <f t="shared" si="3"/>
        <v>36.9</v>
      </c>
      <c r="K83" s="35">
        <f t="shared" si="4"/>
        <v>7</v>
      </c>
      <c r="L83" s="36">
        <f t="shared" si="5"/>
        <v>6</v>
      </c>
    </row>
    <row r="84" spans="3:12" x14ac:dyDescent="0.3">
      <c r="C84" s="13" t="s">
        <v>38</v>
      </c>
      <c r="D84" s="64">
        <v>32</v>
      </c>
      <c r="E84" s="65">
        <v>14</v>
      </c>
      <c r="F84" s="45">
        <v>11.06</v>
      </c>
      <c r="G84" s="45">
        <v>12</v>
      </c>
      <c r="H84" s="44">
        <f>((22/(7*4))*(D84^2)/(1000^2))*J84*solver!$B$24</f>
        <v>977.95174400000008</v>
      </c>
      <c r="I84" s="45"/>
      <c r="J84" s="46">
        <f t="shared" si="3"/>
        <v>154.84</v>
      </c>
      <c r="K84" s="29">
        <f t="shared" si="4"/>
        <v>14</v>
      </c>
      <c r="L84" s="30">
        <f t="shared" si="5"/>
        <v>1</v>
      </c>
    </row>
    <row r="85" spans="3:12" x14ac:dyDescent="0.3">
      <c r="D85" s="64">
        <v>25</v>
      </c>
      <c r="E85" s="65">
        <v>10</v>
      </c>
      <c r="F85" s="65">
        <v>9.2100000000000009</v>
      </c>
      <c r="G85" s="45">
        <v>10.5</v>
      </c>
      <c r="H85" s="44">
        <f>((22/(7*4))*(D85^2)/(1000^2))*J85*solver!$B$24</f>
        <v>355.03727678571437</v>
      </c>
      <c r="I85" s="45"/>
      <c r="J85" s="46">
        <f t="shared" si="3"/>
        <v>92.100000000000009</v>
      </c>
      <c r="K85" s="29">
        <f t="shared" si="4"/>
        <v>10</v>
      </c>
      <c r="L85" s="30">
        <f t="shared" si="5"/>
        <v>1</v>
      </c>
    </row>
    <row r="86" spans="3:12" x14ac:dyDescent="0.3">
      <c r="D86" s="64">
        <v>32</v>
      </c>
      <c r="E86" s="65">
        <v>14</v>
      </c>
      <c r="F86" s="65">
        <v>12</v>
      </c>
      <c r="G86" s="65">
        <v>12</v>
      </c>
      <c r="H86" s="44">
        <f>((22/(7*4))*(D86^2)/(1000^2))*J86*solver!$B$24</f>
        <v>1061.0688</v>
      </c>
      <c r="I86" s="45"/>
      <c r="J86" s="46">
        <f t="shared" si="3"/>
        <v>168</v>
      </c>
      <c r="K86" s="29">
        <f t="shared" si="4"/>
        <v>14</v>
      </c>
      <c r="L86" s="30">
        <f t="shared" si="5"/>
        <v>1</v>
      </c>
    </row>
    <row r="87" spans="3:12" x14ac:dyDescent="0.3">
      <c r="D87" s="64">
        <v>25</v>
      </c>
      <c r="E87" s="65">
        <v>10</v>
      </c>
      <c r="F87" s="65">
        <v>7.37</v>
      </c>
      <c r="G87" s="65">
        <v>7.5</v>
      </c>
      <c r="H87" s="44">
        <f>((22/(7*4))*(D87^2)/(1000^2))*J87*solver!$B$24</f>
        <v>284.10691964285718</v>
      </c>
      <c r="I87" s="45"/>
      <c r="J87" s="46">
        <f t="shared" si="3"/>
        <v>73.7</v>
      </c>
      <c r="K87" s="29">
        <f t="shared" si="4"/>
        <v>10</v>
      </c>
      <c r="L87" s="30">
        <f t="shared" si="5"/>
        <v>1</v>
      </c>
    </row>
    <row r="88" spans="3:12" x14ac:dyDescent="0.3">
      <c r="D88" s="64">
        <v>25</v>
      </c>
      <c r="E88" s="65">
        <v>4</v>
      </c>
      <c r="F88" s="65">
        <v>4.3099999999999996</v>
      </c>
      <c r="G88" s="65">
        <v>6</v>
      </c>
      <c r="H88" s="44">
        <f>((22/(7*4))*(D88^2)/(1000^2))*J88*solver!$B$24</f>
        <v>66.458660714285713</v>
      </c>
      <c r="I88" s="45"/>
      <c r="J88" s="46">
        <f t="shared" si="3"/>
        <v>17.239999999999998</v>
      </c>
      <c r="K88" s="29">
        <f t="shared" si="4"/>
        <v>4</v>
      </c>
      <c r="L88" s="30">
        <f t="shared" si="5"/>
        <v>1</v>
      </c>
    </row>
    <row r="89" spans="3:12" x14ac:dyDescent="0.3">
      <c r="D89" s="64">
        <v>25</v>
      </c>
      <c r="E89" s="65">
        <v>4</v>
      </c>
      <c r="F89" s="65">
        <v>3.06</v>
      </c>
      <c r="G89" s="65">
        <v>6</v>
      </c>
      <c r="H89" s="44">
        <f>((22/(7*4))*(D89^2)/(1000^2))*J89*solver!$B$24</f>
        <v>47.184107142857144</v>
      </c>
      <c r="I89" s="45"/>
      <c r="J89" s="46">
        <f t="shared" si="3"/>
        <v>12.24</v>
      </c>
      <c r="K89" s="29">
        <f t="shared" si="4"/>
        <v>4</v>
      </c>
      <c r="L89" s="30">
        <f t="shared" si="5"/>
        <v>1</v>
      </c>
    </row>
    <row r="90" spans="3:12" x14ac:dyDescent="0.3">
      <c r="D90" s="64">
        <v>12</v>
      </c>
      <c r="E90" s="65">
        <v>176</v>
      </c>
      <c r="F90" s="65">
        <v>2.75</v>
      </c>
      <c r="G90" s="65">
        <v>6</v>
      </c>
      <c r="H90" s="44">
        <f>((22/(7*4))*(D90^2)/(1000^2))*J90*solver!$B$24</f>
        <v>429.87497142857143</v>
      </c>
      <c r="I90" s="45"/>
      <c r="J90" s="46">
        <f t="shared" si="3"/>
        <v>484</v>
      </c>
      <c r="K90" s="29">
        <f t="shared" si="4"/>
        <v>88</v>
      </c>
      <c r="L90" s="30">
        <f t="shared" si="5"/>
        <v>2</v>
      </c>
    </row>
    <row r="91" spans="3:12" x14ac:dyDescent="0.3">
      <c r="D91" s="64">
        <v>12</v>
      </c>
      <c r="E91" s="65">
        <v>203</v>
      </c>
      <c r="F91" s="65">
        <v>2.0699999999999998</v>
      </c>
      <c r="G91" s="65">
        <v>6</v>
      </c>
      <c r="H91" s="44">
        <f>((22/(7*4))*(D91^2)/(1000^2))*J91*solver!$B$24</f>
        <v>373.21851599999997</v>
      </c>
      <c r="I91" s="45"/>
      <c r="J91" s="46">
        <f t="shared" si="3"/>
        <v>420.21</v>
      </c>
      <c r="K91" s="29">
        <f t="shared" si="4"/>
        <v>102</v>
      </c>
      <c r="L91" s="30">
        <f t="shared" si="5"/>
        <v>2</v>
      </c>
    </row>
    <row r="92" spans="3:12" x14ac:dyDescent="0.3">
      <c r="D92" s="64">
        <v>12</v>
      </c>
      <c r="E92" s="65">
        <v>176</v>
      </c>
      <c r="F92" s="65">
        <v>0.8</v>
      </c>
      <c r="G92" s="65">
        <v>6</v>
      </c>
      <c r="H92" s="44">
        <f>((22/(7*4))*(D92^2)/(1000^2))*J92*solver!$B$24</f>
        <v>125.05453714285714</v>
      </c>
      <c r="I92" s="45"/>
      <c r="J92" s="46">
        <f t="shared" si="3"/>
        <v>140.80000000000001</v>
      </c>
      <c r="K92" s="29">
        <f t="shared" si="4"/>
        <v>26</v>
      </c>
      <c r="L92" s="30">
        <f t="shared" si="5"/>
        <v>7</v>
      </c>
    </row>
    <row r="93" spans="3:12" x14ac:dyDescent="0.3">
      <c r="D93" s="64">
        <v>12</v>
      </c>
      <c r="E93" s="65">
        <v>66</v>
      </c>
      <c r="F93" s="65">
        <v>1.95</v>
      </c>
      <c r="G93" s="65">
        <v>6</v>
      </c>
      <c r="H93" s="44">
        <f>((22/(7*4))*(D93^2)/(1000^2))*J93*solver!$B$24</f>
        <v>114.30766285714283</v>
      </c>
      <c r="I93" s="45"/>
      <c r="J93" s="46">
        <f t="shared" si="3"/>
        <v>128.69999999999999</v>
      </c>
      <c r="K93" s="29">
        <f t="shared" si="4"/>
        <v>22</v>
      </c>
      <c r="L93" s="30">
        <f t="shared" si="5"/>
        <v>3</v>
      </c>
    </row>
    <row r="94" spans="3:12" x14ac:dyDescent="0.3">
      <c r="D94" s="64">
        <v>12</v>
      </c>
      <c r="E94" s="65">
        <v>82</v>
      </c>
      <c r="F94" s="65">
        <v>1.78</v>
      </c>
      <c r="G94" s="65">
        <v>6</v>
      </c>
      <c r="H94" s="44">
        <f>((22/(7*4))*(D94^2)/(1000^2))*J94*solver!$B$24</f>
        <v>129.63750171428572</v>
      </c>
      <c r="I94" s="45"/>
      <c r="J94" s="46">
        <f t="shared" si="3"/>
        <v>145.96</v>
      </c>
      <c r="K94" s="29">
        <f t="shared" si="4"/>
        <v>28</v>
      </c>
      <c r="L94" s="30">
        <f t="shared" si="5"/>
        <v>3</v>
      </c>
    </row>
    <row r="95" spans="3:12" x14ac:dyDescent="0.3">
      <c r="D95" s="66">
        <v>12</v>
      </c>
      <c r="E95" s="67">
        <v>41</v>
      </c>
      <c r="F95" s="50">
        <v>2.27</v>
      </c>
      <c r="G95" s="50">
        <v>6</v>
      </c>
      <c r="H95" s="49">
        <f>((22/(7*4))*(D95^2)/(1000^2))*J95*solver!$B$24</f>
        <v>82.662114857142868</v>
      </c>
      <c r="I95" s="50"/>
      <c r="J95" s="51">
        <f t="shared" si="3"/>
        <v>93.070000000000007</v>
      </c>
      <c r="K95" s="35">
        <f t="shared" si="4"/>
        <v>21</v>
      </c>
      <c r="L95" s="36">
        <f t="shared" si="5"/>
        <v>2</v>
      </c>
    </row>
    <row r="96" spans="3:12" x14ac:dyDescent="0.3">
      <c r="C96" s="13" t="s">
        <v>39</v>
      </c>
      <c r="D96" s="64">
        <v>32</v>
      </c>
      <c r="E96" s="65">
        <v>10</v>
      </c>
      <c r="F96" s="65">
        <v>4.21</v>
      </c>
      <c r="G96" s="65">
        <v>6</v>
      </c>
      <c r="H96" s="44">
        <f>((22/(7*4))*(D96^2)/(1000^2))*J96*solver!$B$24</f>
        <v>265.89878857142861</v>
      </c>
      <c r="I96" s="45"/>
      <c r="J96" s="46">
        <f t="shared" si="3"/>
        <v>42.1</v>
      </c>
      <c r="K96" s="29">
        <f t="shared" si="4"/>
        <v>10</v>
      </c>
      <c r="L96" s="30">
        <f t="shared" si="5"/>
        <v>1</v>
      </c>
    </row>
    <row r="97" spans="4:12" x14ac:dyDescent="0.3">
      <c r="D97" s="64">
        <v>32</v>
      </c>
      <c r="E97" s="65">
        <v>10</v>
      </c>
      <c r="F97" s="65">
        <v>10.210000000000001</v>
      </c>
      <c r="G97" s="65">
        <v>10.5</v>
      </c>
      <c r="H97" s="44">
        <f>((22/(7*4))*(D97^2)/(1000^2))*J97*solver!$B$24</f>
        <v>644.85193142857145</v>
      </c>
      <c r="I97" s="45"/>
      <c r="J97" s="46">
        <f t="shared" si="3"/>
        <v>102.10000000000001</v>
      </c>
      <c r="K97" s="29">
        <f t="shared" si="4"/>
        <v>10</v>
      </c>
      <c r="L97" s="30">
        <f t="shared" si="5"/>
        <v>1</v>
      </c>
    </row>
    <row r="98" spans="4:12" x14ac:dyDescent="0.3">
      <c r="D98" s="64">
        <v>32</v>
      </c>
      <c r="E98" s="65">
        <v>10</v>
      </c>
      <c r="F98" s="65">
        <v>8.51</v>
      </c>
      <c r="G98" s="65">
        <v>9</v>
      </c>
      <c r="H98" s="44">
        <f>((22/(7*4))*(D98^2)/(1000^2))*J98*solver!$B$24</f>
        <v>537.4818742857143</v>
      </c>
      <c r="I98" s="45"/>
      <c r="J98" s="46">
        <f t="shared" si="3"/>
        <v>85.1</v>
      </c>
      <c r="K98" s="29">
        <f t="shared" si="4"/>
        <v>10</v>
      </c>
      <c r="L98" s="30">
        <f t="shared" si="5"/>
        <v>1</v>
      </c>
    </row>
    <row r="99" spans="4:12" x14ac:dyDescent="0.3">
      <c r="D99" s="64">
        <v>32</v>
      </c>
      <c r="E99" s="65">
        <v>10</v>
      </c>
      <c r="F99" s="65">
        <v>11.36</v>
      </c>
      <c r="G99" s="65">
        <v>12</v>
      </c>
      <c r="H99" s="44">
        <f>((22/(7*4))*(D99^2)/(1000^2))*J99*solver!$B$24</f>
        <v>717.48461714285713</v>
      </c>
      <c r="I99" s="45"/>
      <c r="J99" s="46">
        <f t="shared" si="3"/>
        <v>113.6</v>
      </c>
      <c r="K99" s="29">
        <f t="shared" si="4"/>
        <v>10</v>
      </c>
      <c r="L99" s="30">
        <f t="shared" si="5"/>
        <v>1</v>
      </c>
    </row>
    <row r="100" spans="4:12" x14ac:dyDescent="0.3">
      <c r="D100" s="64">
        <v>32</v>
      </c>
      <c r="E100" s="65">
        <v>4</v>
      </c>
      <c r="F100" s="65">
        <v>8.51</v>
      </c>
      <c r="G100" s="65">
        <v>9</v>
      </c>
      <c r="H100" s="44">
        <f>((22/(7*4))*(D100^2)/(1000^2))*J100*solver!$B$24</f>
        <v>214.99274971428571</v>
      </c>
      <c r="I100" s="45"/>
      <c r="J100" s="46">
        <f t="shared" si="3"/>
        <v>34.04</v>
      </c>
      <c r="K100" s="29">
        <f t="shared" si="4"/>
        <v>4</v>
      </c>
      <c r="L100" s="30">
        <f t="shared" si="5"/>
        <v>1</v>
      </c>
    </row>
    <row r="101" spans="4:12" x14ac:dyDescent="0.3">
      <c r="D101" s="64">
        <v>32</v>
      </c>
      <c r="E101" s="65">
        <v>4</v>
      </c>
      <c r="F101" s="65">
        <v>7.36</v>
      </c>
      <c r="G101" s="65">
        <v>7.5</v>
      </c>
      <c r="H101" s="44">
        <f>((22/(7*4))*(D101^2)/(1000^2))*J101*solver!$B$24</f>
        <v>185.93967542857143</v>
      </c>
      <c r="I101" s="45"/>
      <c r="J101" s="46">
        <f t="shared" si="3"/>
        <v>29.44</v>
      </c>
      <c r="K101" s="29">
        <f t="shared" si="4"/>
        <v>4</v>
      </c>
      <c r="L101" s="30">
        <f t="shared" si="5"/>
        <v>1</v>
      </c>
    </row>
    <row r="102" spans="4:12" x14ac:dyDescent="0.3">
      <c r="D102" s="64">
        <v>32</v>
      </c>
      <c r="E102" s="65">
        <v>4</v>
      </c>
      <c r="F102" s="65">
        <v>12</v>
      </c>
      <c r="G102" s="65">
        <v>12</v>
      </c>
      <c r="H102" s="44">
        <f>((22/(7*4))*(D102^2)/(1000^2))*J102*solver!$B$24</f>
        <v>303.16251428571428</v>
      </c>
      <c r="I102" s="45"/>
      <c r="J102" s="46">
        <f t="shared" si="3"/>
        <v>48</v>
      </c>
      <c r="K102" s="29">
        <f t="shared" si="4"/>
        <v>4</v>
      </c>
      <c r="L102" s="30">
        <f t="shared" si="5"/>
        <v>1</v>
      </c>
    </row>
    <row r="103" spans="4:12" x14ac:dyDescent="0.3">
      <c r="D103" s="64">
        <v>32</v>
      </c>
      <c r="E103" s="65">
        <v>4</v>
      </c>
      <c r="F103" s="65">
        <v>3.36</v>
      </c>
      <c r="G103" s="65">
        <v>8.5</v>
      </c>
      <c r="H103" s="44">
        <f>((22/(7*4))*(D103^2)/(1000^2))*J103*solver!$B$24</f>
        <v>84.885503999999997</v>
      </c>
      <c r="I103" s="45"/>
      <c r="J103" s="46">
        <f t="shared" si="3"/>
        <v>13.44</v>
      </c>
      <c r="K103" s="29">
        <f t="shared" si="4"/>
        <v>2</v>
      </c>
      <c r="L103" s="30">
        <f t="shared" si="5"/>
        <v>2</v>
      </c>
    </row>
    <row r="104" spans="4:12" x14ac:dyDescent="0.3">
      <c r="D104" s="64">
        <v>32</v>
      </c>
      <c r="E104" s="65">
        <v>4</v>
      </c>
      <c r="F104" s="65">
        <v>6</v>
      </c>
      <c r="G104" s="65">
        <v>6</v>
      </c>
      <c r="H104" s="44">
        <f>((22/(7*4))*(D104^2)/(1000^2))*J104*solver!$B$24</f>
        <v>151.58125714285714</v>
      </c>
      <c r="I104" s="45"/>
      <c r="J104" s="46">
        <f t="shared" si="3"/>
        <v>24</v>
      </c>
      <c r="K104" s="29">
        <f t="shared" si="4"/>
        <v>4</v>
      </c>
      <c r="L104" s="30">
        <f t="shared" si="5"/>
        <v>1</v>
      </c>
    </row>
    <row r="105" spans="4:12" x14ac:dyDescent="0.3">
      <c r="D105" s="64">
        <v>10</v>
      </c>
      <c r="E105" s="65">
        <v>63</v>
      </c>
      <c r="F105" s="65">
        <v>2.72</v>
      </c>
      <c r="G105" s="65">
        <v>6</v>
      </c>
      <c r="H105" s="44">
        <f>((22/(7*4))*(D105^2)/(1000^2))*J105*solver!$B$24</f>
        <v>105.69240000000001</v>
      </c>
      <c r="I105" s="45"/>
      <c r="J105" s="46">
        <f t="shared" si="3"/>
        <v>171.36</v>
      </c>
      <c r="K105" s="29">
        <f t="shared" si="4"/>
        <v>32</v>
      </c>
      <c r="L105" s="30">
        <f t="shared" si="5"/>
        <v>2</v>
      </c>
    </row>
    <row r="106" spans="4:12" x14ac:dyDescent="0.3">
      <c r="D106" s="64">
        <v>10</v>
      </c>
      <c r="E106" s="65">
        <v>126</v>
      </c>
      <c r="F106" s="65">
        <v>1.82</v>
      </c>
      <c r="G106" s="65">
        <v>6</v>
      </c>
      <c r="H106" s="44">
        <f>((22/(7*4))*(D105^2)/(1000^2))*J106*solver!$B$24</f>
        <v>141.44129999999998</v>
      </c>
      <c r="I106" s="45"/>
      <c r="J106" s="46">
        <f t="shared" si="3"/>
        <v>229.32000000000002</v>
      </c>
      <c r="K106" s="29">
        <f t="shared" si="4"/>
        <v>42</v>
      </c>
      <c r="L106" s="30">
        <f t="shared" si="5"/>
        <v>3</v>
      </c>
    </row>
    <row r="107" spans="4:12" x14ac:dyDescent="0.3">
      <c r="D107" s="64">
        <v>10</v>
      </c>
      <c r="E107" s="65">
        <v>63</v>
      </c>
      <c r="F107" s="65">
        <v>2.02</v>
      </c>
      <c r="G107" s="65">
        <v>6</v>
      </c>
      <c r="H107" s="44">
        <f>((22/(7*4))*(D106^2)/(1000^2))*J107*solver!$B$24</f>
        <v>78.492149999999995</v>
      </c>
      <c r="I107" s="45"/>
      <c r="J107" s="46">
        <f t="shared" si="3"/>
        <v>127.26</v>
      </c>
      <c r="K107" s="29">
        <f t="shared" si="4"/>
        <v>32</v>
      </c>
      <c r="L107" s="30">
        <f t="shared" si="5"/>
        <v>2</v>
      </c>
    </row>
    <row r="108" spans="4:12" x14ac:dyDescent="0.3">
      <c r="D108" s="64">
        <v>10</v>
      </c>
      <c r="E108" s="65">
        <v>252</v>
      </c>
      <c r="F108" s="65">
        <v>0.77</v>
      </c>
      <c r="G108" s="65">
        <v>6</v>
      </c>
      <c r="H108" s="44">
        <f>((22/(7*4))*(D107^2)/(1000^2))*J108*solver!$B$24</f>
        <v>119.68109999999999</v>
      </c>
      <c r="I108" s="45"/>
      <c r="J108" s="46">
        <f t="shared" si="3"/>
        <v>194.04</v>
      </c>
      <c r="K108" s="29">
        <f t="shared" si="4"/>
        <v>36</v>
      </c>
      <c r="L108" s="30">
        <f t="shared" si="5"/>
        <v>7</v>
      </c>
    </row>
    <row r="109" spans="4:12" x14ac:dyDescent="0.3">
      <c r="D109" s="64">
        <v>12</v>
      </c>
      <c r="E109" s="65">
        <v>195</v>
      </c>
      <c r="F109" s="65">
        <v>2.77</v>
      </c>
      <c r="G109" s="65">
        <v>7.5</v>
      </c>
      <c r="H109" s="44">
        <f>((22/(7*4))*(D108^2)/(1000^2))*J109*solver!$B$24</f>
        <v>333.15680357142855</v>
      </c>
      <c r="I109" s="45"/>
      <c r="J109" s="46">
        <f t="shared" si="3"/>
        <v>540.15</v>
      </c>
      <c r="K109" s="29">
        <f t="shared" si="4"/>
        <v>98</v>
      </c>
      <c r="L109" s="30">
        <f t="shared" si="5"/>
        <v>2</v>
      </c>
    </row>
    <row r="110" spans="4:12" x14ac:dyDescent="0.3">
      <c r="D110" s="64">
        <v>12</v>
      </c>
      <c r="E110" s="65">
        <v>324</v>
      </c>
      <c r="F110" s="65">
        <v>2.08</v>
      </c>
      <c r="G110" s="65">
        <v>6</v>
      </c>
      <c r="H110" s="44">
        <f>((22/(7*4))*(D109^2)/(1000^2))*J110*solver!$B$24</f>
        <v>598.55648914285712</v>
      </c>
      <c r="I110" s="45"/>
      <c r="J110" s="46">
        <f t="shared" si="3"/>
        <v>673.92000000000007</v>
      </c>
      <c r="K110" s="29">
        <f t="shared" si="4"/>
        <v>162</v>
      </c>
      <c r="L110" s="30">
        <f t="shared" si="5"/>
        <v>2</v>
      </c>
    </row>
    <row r="111" spans="4:12" x14ac:dyDescent="0.3">
      <c r="D111" s="64">
        <v>12</v>
      </c>
      <c r="E111" s="65">
        <v>324</v>
      </c>
      <c r="F111" s="65">
        <v>0.8</v>
      </c>
      <c r="G111" s="65">
        <v>6</v>
      </c>
      <c r="H111" s="44">
        <f>((22/(7*4))*(D109^2)/(1000^2))*J111*solver!$B$24</f>
        <v>230.21403428571426</v>
      </c>
      <c r="I111" s="45"/>
      <c r="J111" s="46">
        <f t="shared" si="3"/>
        <v>259.2</v>
      </c>
      <c r="K111" s="29">
        <f t="shared" si="4"/>
        <v>47</v>
      </c>
      <c r="L111" s="30">
        <f t="shared" si="5"/>
        <v>7</v>
      </c>
    </row>
    <row r="112" spans="4:12" x14ac:dyDescent="0.3">
      <c r="D112" s="64">
        <v>12</v>
      </c>
      <c r="E112" s="65">
        <v>66</v>
      </c>
      <c r="F112" s="65">
        <v>1.66</v>
      </c>
      <c r="G112" s="65">
        <v>6</v>
      </c>
      <c r="H112" s="44">
        <f>((22/(7*4))*(D110^2)/(1000^2))*J112*solver!$B$24</f>
        <v>97.308061714285685</v>
      </c>
      <c r="I112" s="45"/>
      <c r="J112" s="46">
        <f t="shared" si="3"/>
        <v>109.55999999999999</v>
      </c>
      <c r="K112" s="29">
        <f t="shared" si="4"/>
        <v>22</v>
      </c>
      <c r="L112" s="30">
        <f t="shared" si="5"/>
        <v>3</v>
      </c>
    </row>
    <row r="113" spans="3:12" x14ac:dyDescent="0.3">
      <c r="C113" s="14" t="s">
        <v>40</v>
      </c>
      <c r="D113" s="60">
        <v>32</v>
      </c>
      <c r="E113" s="61">
        <v>14</v>
      </c>
      <c r="F113" s="61">
        <v>8.51</v>
      </c>
      <c r="G113" s="61">
        <v>9</v>
      </c>
      <c r="H113" s="39">
        <f>((22/(7*4))*(D111^2)/(1000^2))*J113*solver!$B$24</f>
        <v>105.816744</v>
      </c>
      <c r="I113" s="40"/>
      <c r="J113" s="41">
        <f t="shared" si="3"/>
        <v>119.14</v>
      </c>
      <c r="K113" s="23">
        <f t="shared" si="4"/>
        <v>14</v>
      </c>
      <c r="L113" s="24">
        <f t="shared" si="5"/>
        <v>1</v>
      </c>
    </row>
    <row r="114" spans="3:12" x14ac:dyDescent="0.3">
      <c r="C114" s="14" t="s">
        <v>41</v>
      </c>
      <c r="D114" s="62">
        <v>25</v>
      </c>
      <c r="E114" s="63">
        <v>14</v>
      </c>
      <c r="F114" s="63">
        <v>11.26</v>
      </c>
      <c r="G114" s="63">
        <v>12</v>
      </c>
      <c r="H114" s="44">
        <f>((22/(7*4))*(D112^2)/(1000^2))*J114*solver!$B$24</f>
        <v>140.01134399999998</v>
      </c>
      <c r="I114" s="45"/>
      <c r="J114" s="46">
        <f t="shared" si="3"/>
        <v>157.63999999999999</v>
      </c>
      <c r="K114" s="29">
        <f t="shared" si="4"/>
        <v>14</v>
      </c>
      <c r="L114" s="30">
        <f t="shared" si="5"/>
        <v>1</v>
      </c>
    </row>
    <row r="115" spans="3:12" x14ac:dyDescent="0.3">
      <c r="C115" s="14" t="s">
        <v>42</v>
      </c>
      <c r="D115" s="62">
        <v>32</v>
      </c>
      <c r="E115" s="63">
        <v>14</v>
      </c>
      <c r="F115" s="63">
        <v>6.96</v>
      </c>
      <c r="G115" s="63">
        <v>7.5</v>
      </c>
      <c r="H115" s="44">
        <f>((22/(7*4))*(D115^2)/(1000^2))*J115*solver!$B$24</f>
        <v>615.41990399999997</v>
      </c>
      <c r="I115" s="45"/>
      <c r="J115" s="46">
        <f t="shared" si="3"/>
        <v>97.44</v>
      </c>
      <c r="K115" s="29">
        <f t="shared" si="4"/>
        <v>14</v>
      </c>
      <c r="L115" s="30">
        <f t="shared" si="5"/>
        <v>1</v>
      </c>
    </row>
    <row r="116" spans="3:12" x14ac:dyDescent="0.3">
      <c r="C116" s="14" t="s">
        <v>43</v>
      </c>
      <c r="D116" s="62">
        <v>25</v>
      </c>
      <c r="E116" s="63">
        <v>14</v>
      </c>
      <c r="F116" s="63">
        <v>11.95</v>
      </c>
      <c r="G116" s="63">
        <v>12</v>
      </c>
      <c r="H116" s="44">
        <f>((22/(7*4))*(D116^2)/(1000^2))*J116*solver!$B$24</f>
        <v>644.92656250000005</v>
      </c>
      <c r="I116" s="45"/>
      <c r="J116" s="46">
        <f t="shared" si="3"/>
        <v>167.29999999999998</v>
      </c>
      <c r="K116" s="29">
        <f t="shared" si="4"/>
        <v>14</v>
      </c>
      <c r="L116" s="30">
        <f t="shared" si="5"/>
        <v>1</v>
      </c>
    </row>
    <row r="117" spans="3:12" x14ac:dyDescent="0.3">
      <c r="C117" s="14" t="s">
        <v>44</v>
      </c>
      <c r="D117" s="62">
        <v>32</v>
      </c>
      <c r="E117" s="63">
        <v>4</v>
      </c>
      <c r="F117" s="63">
        <v>5.97</v>
      </c>
      <c r="G117" s="63">
        <v>6</v>
      </c>
      <c r="H117" s="44">
        <f>((22/(7*4))*(D117^2)/(1000^2))*J117*solver!$B$24</f>
        <v>150.82335085714286</v>
      </c>
      <c r="I117" s="45"/>
      <c r="J117" s="46">
        <f t="shared" si="3"/>
        <v>23.88</v>
      </c>
      <c r="K117" s="29">
        <f t="shared" si="4"/>
        <v>4</v>
      </c>
      <c r="L117" s="30">
        <f t="shared" si="5"/>
        <v>1</v>
      </c>
    </row>
    <row r="118" spans="3:12" x14ac:dyDescent="0.3">
      <c r="C118" s="14" t="s">
        <v>45</v>
      </c>
      <c r="D118" s="62">
        <v>25</v>
      </c>
      <c r="E118" s="63">
        <v>14</v>
      </c>
      <c r="F118" s="63">
        <v>1.36</v>
      </c>
      <c r="G118" s="63">
        <v>6</v>
      </c>
      <c r="H118" s="44">
        <f>((22/(7*4))*(D118^2)/(1000^2))*J118*solver!$B$24</f>
        <v>73.397500000000022</v>
      </c>
      <c r="I118" s="45"/>
      <c r="J118" s="46">
        <f t="shared" si="3"/>
        <v>19.040000000000003</v>
      </c>
      <c r="K118" s="29">
        <f t="shared" si="4"/>
        <v>4</v>
      </c>
      <c r="L118" s="30">
        <f t="shared" si="5"/>
        <v>4</v>
      </c>
    </row>
    <row r="119" spans="3:12" x14ac:dyDescent="0.3">
      <c r="C119" s="14" t="s">
        <v>46</v>
      </c>
      <c r="D119" s="62">
        <v>12</v>
      </c>
      <c r="E119" s="63">
        <v>63</v>
      </c>
      <c r="F119" s="63">
        <v>2.75</v>
      </c>
      <c r="G119" s="63">
        <v>6</v>
      </c>
      <c r="H119" s="44">
        <f>((22/(7*4))*(D119^2)/(1000^2))*J119*solver!$B$24</f>
        <v>153.87569999999999</v>
      </c>
      <c r="I119" s="45"/>
      <c r="J119" s="46">
        <f t="shared" si="3"/>
        <v>173.25</v>
      </c>
      <c r="K119" s="29">
        <f t="shared" si="4"/>
        <v>32</v>
      </c>
      <c r="L119" s="30">
        <f t="shared" si="5"/>
        <v>2</v>
      </c>
    </row>
    <row r="120" spans="3:12" x14ac:dyDescent="0.3">
      <c r="C120" s="14" t="s">
        <v>47</v>
      </c>
      <c r="D120" s="62">
        <v>12</v>
      </c>
      <c r="E120" s="63">
        <v>63</v>
      </c>
      <c r="F120" s="63">
        <v>2.16</v>
      </c>
      <c r="G120" s="63">
        <v>6</v>
      </c>
      <c r="H120" s="44">
        <f>((22/(7*4))*(D120^2)/(1000^2))*J120*solver!$B$24</f>
        <v>120.862368</v>
      </c>
      <c r="I120" s="45"/>
      <c r="J120" s="46">
        <f t="shared" si="3"/>
        <v>136.08000000000001</v>
      </c>
      <c r="K120" s="29">
        <f t="shared" si="4"/>
        <v>32</v>
      </c>
      <c r="L120" s="30">
        <f t="shared" si="5"/>
        <v>2</v>
      </c>
    </row>
    <row r="121" spans="3:12" x14ac:dyDescent="0.3">
      <c r="C121" s="14" t="s">
        <v>48</v>
      </c>
      <c r="D121" s="62">
        <v>12</v>
      </c>
      <c r="E121" s="63">
        <v>63</v>
      </c>
      <c r="F121" s="63">
        <v>0.8</v>
      </c>
      <c r="G121" s="63">
        <v>6</v>
      </c>
      <c r="H121" s="44">
        <f>((22/(7*4))*(D121^2)/(1000^2))*J121*solver!$B$24</f>
        <v>44.763840000000002</v>
      </c>
      <c r="I121" s="45"/>
      <c r="J121" s="46">
        <f t="shared" si="3"/>
        <v>50.400000000000006</v>
      </c>
      <c r="K121" s="29">
        <f t="shared" si="4"/>
        <v>9</v>
      </c>
      <c r="L121" s="30">
        <f t="shared" si="5"/>
        <v>7</v>
      </c>
    </row>
    <row r="122" spans="3:12" x14ac:dyDescent="0.3">
      <c r="C122" s="14" t="s">
        <v>49</v>
      </c>
      <c r="D122" s="62">
        <v>12</v>
      </c>
      <c r="E122" s="63">
        <v>55</v>
      </c>
      <c r="F122" s="63">
        <v>2.75</v>
      </c>
      <c r="G122" s="63">
        <v>6</v>
      </c>
      <c r="H122" s="44">
        <f>((22/(7*4))*(D122^2)/(1000^2))*J122*solver!$B$24</f>
        <v>134.33592857142855</v>
      </c>
      <c r="I122" s="45"/>
      <c r="J122" s="46">
        <f t="shared" si="3"/>
        <v>151.25</v>
      </c>
      <c r="K122" s="29">
        <f t="shared" si="4"/>
        <v>28</v>
      </c>
      <c r="L122" s="30">
        <f t="shared" si="5"/>
        <v>2</v>
      </c>
    </row>
    <row r="123" spans="3:12" x14ac:dyDescent="0.3">
      <c r="C123" s="14" t="s">
        <v>50</v>
      </c>
      <c r="D123" s="62">
        <v>12</v>
      </c>
      <c r="E123" s="63">
        <v>110</v>
      </c>
      <c r="F123" s="63">
        <v>2.06</v>
      </c>
      <c r="G123" s="63">
        <v>6</v>
      </c>
      <c r="H123" s="44">
        <f>((22/(7*4))*(D123^2)/(1000^2))*J123*solver!$B$24</f>
        <v>201.25964571428568</v>
      </c>
      <c r="I123" s="45"/>
      <c r="J123" s="46">
        <f t="shared" si="3"/>
        <v>226.6</v>
      </c>
      <c r="K123" s="29">
        <f t="shared" si="4"/>
        <v>55</v>
      </c>
      <c r="L123" s="30">
        <f t="shared" si="5"/>
        <v>2</v>
      </c>
    </row>
    <row r="124" spans="3:12" x14ac:dyDescent="0.3">
      <c r="C124" s="14" t="s">
        <v>51</v>
      </c>
      <c r="D124" s="62">
        <v>12</v>
      </c>
      <c r="E124" s="63">
        <v>110</v>
      </c>
      <c r="F124" s="63">
        <v>0.52</v>
      </c>
      <c r="G124" s="63">
        <v>6</v>
      </c>
      <c r="H124" s="44">
        <f>((22/(7*4))*(D124^2)/(1000^2))*J124*solver!$B$24</f>
        <v>50.803405714285716</v>
      </c>
      <c r="I124" s="45"/>
      <c r="J124" s="46">
        <f t="shared" si="3"/>
        <v>57.2</v>
      </c>
      <c r="K124" s="29">
        <f t="shared" si="4"/>
        <v>10</v>
      </c>
      <c r="L124" s="30">
        <f t="shared" si="5"/>
        <v>11</v>
      </c>
    </row>
    <row r="125" spans="3:12" x14ac:dyDescent="0.3">
      <c r="C125" s="14" t="s">
        <v>52</v>
      </c>
      <c r="D125" s="62">
        <v>10</v>
      </c>
      <c r="E125" s="63">
        <v>110</v>
      </c>
      <c r="F125" s="63">
        <v>2.72</v>
      </c>
      <c r="G125" s="63">
        <v>6</v>
      </c>
      <c r="H125" s="44">
        <f>((22/(7*4))*(D125^2)/(1000^2))*J125*solver!$B$24</f>
        <v>184.54228571428573</v>
      </c>
      <c r="I125" s="45"/>
      <c r="J125" s="46">
        <f t="shared" si="3"/>
        <v>299.20000000000005</v>
      </c>
      <c r="K125" s="29">
        <f t="shared" si="4"/>
        <v>55</v>
      </c>
      <c r="L125" s="30">
        <f t="shared" si="5"/>
        <v>2</v>
      </c>
    </row>
    <row r="126" spans="3:12" x14ac:dyDescent="0.3">
      <c r="C126" s="14" t="s">
        <v>53</v>
      </c>
      <c r="D126" s="62">
        <v>10</v>
      </c>
      <c r="E126" s="63">
        <v>220</v>
      </c>
      <c r="F126" s="63">
        <v>2.02</v>
      </c>
      <c r="G126" s="63">
        <v>6</v>
      </c>
      <c r="H126" s="44">
        <f>((22/(7*4))*(D126^2)/(1000^2))*J126*solver!$B$24</f>
        <v>274.09957142857144</v>
      </c>
      <c r="I126" s="45"/>
      <c r="J126" s="46">
        <f t="shared" si="3"/>
        <v>444.4</v>
      </c>
      <c r="K126" s="29">
        <f t="shared" si="4"/>
        <v>110</v>
      </c>
      <c r="L126" s="30">
        <f t="shared" si="5"/>
        <v>2</v>
      </c>
    </row>
    <row r="127" spans="3:12" x14ac:dyDescent="0.3">
      <c r="C127" s="14" t="s">
        <v>54</v>
      </c>
      <c r="D127" s="68">
        <v>10</v>
      </c>
      <c r="E127" s="69">
        <v>220</v>
      </c>
      <c r="F127" s="69">
        <v>0.77</v>
      </c>
      <c r="G127" s="69">
        <v>6</v>
      </c>
      <c r="H127" s="49">
        <f>((22/(7*4))*(D127^2)/(1000^2))*J127*solver!$B$24</f>
        <v>104.48349999999999</v>
      </c>
      <c r="I127" s="50"/>
      <c r="J127" s="51">
        <f t="shared" si="3"/>
        <v>169.4</v>
      </c>
      <c r="K127" s="35">
        <f t="shared" si="4"/>
        <v>32</v>
      </c>
      <c r="L127" s="36">
        <f t="shared" si="5"/>
        <v>7</v>
      </c>
    </row>
    <row r="128" spans="3:12" x14ac:dyDescent="0.3">
      <c r="C128" s="15" t="s">
        <v>55</v>
      </c>
      <c r="D128" s="54">
        <v>32</v>
      </c>
      <c r="E128" s="55">
        <v>14</v>
      </c>
      <c r="F128" s="55">
        <v>8.23</v>
      </c>
      <c r="G128" s="55">
        <v>9</v>
      </c>
      <c r="H128" s="39">
        <f>((22/(7*4))*(D128^2)/(1000^2))*J128*solver!$B$24</f>
        <v>727.71635200000003</v>
      </c>
      <c r="I128" s="40"/>
      <c r="J128" s="41">
        <f t="shared" si="3"/>
        <v>115.22</v>
      </c>
      <c r="K128" s="23">
        <f t="shared" si="4"/>
        <v>14</v>
      </c>
      <c r="L128" s="24">
        <f t="shared" si="5"/>
        <v>1</v>
      </c>
    </row>
    <row r="129" spans="3:12" x14ac:dyDescent="0.3">
      <c r="C129" s="15" t="s">
        <v>56</v>
      </c>
      <c r="D129" s="56">
        <v>25</v>
      </c>
      <c r="E129" s="57">
        <v>14</v>
      </c>
      <c r="F129" s="57">
        <v>11.06</v>
      </c>
      <c r="G129" s="57">
        <v>12</v>
      </c>
      <c r="H129" s="44">
        <f>((22/(7*4))*(D129^2)/(1000^2))*J129*solver!$B$24</f>
        <v>596.89437500000008</v>
      </c>
      <c r="I129" s="45"/>
      <c r="J129" s="46">
        <f t="shared" si="3"/>
        <v>154.84</v>
      </c>
      <c r="K129" s="29">
        <f t="shared" si="4"/>
        <v>14</v>
      </c>
      <c r="L129" s="30">
        <f t="shared" si="5"/>
        <v>1</v>
      </c>
    </row>
    <row r="130" spans="3:12" x14ac:dyDescent="0.3">
      <c r="C130" s="15" t="s">
        <v>57</v>
      </c>
      <c r="D130" s="56">
        <v>32</v>
      </c>
      <c r="E130" s="57">
        <v>14</v>
      </c>
      <c r="F130" s="57">
        <v>7.06</v>
      </c>
      <c r="G130" s="57">
        <v>7.5</v>
      </c>
      <c r="H130" s="44">
        <f>((22/(7*4))*(D130^2)/(1000^2))*J130*solver!$B$24</f>
        <v>624.26214400000003</v>
      </c>
      <c r="I130" s="45"/>
      <c r="J130" s="46">
        <f t="shared" si="3"/>
        <v>98.839999999999989</v>
      </c>
      <c r="K130" s="29">
        <f t="shared" si="4"/>
        <v>14</v>
      </c>
      <c r="L130" s="30">
        <f t="shared" si="5"/>
        <v>1</v>
      </c>
    </row>
    <row r="131" spans="3:12" x14ac:dyDescent="0.3">
      <c r="C131" s="15" t="s">
        <v>58</v>
      </c>
      <c r="D131" s="56">
        <v>25</v>
      </c>
      <c r="E131" s="57">
        <v>14</v>
      </c>
      <c r="F131" s="57">
        <v>11.95</v>
      </c>
      <c r="G131" s="57">
        <v>12</v>
      </c>
      <c r="H131" s="44">
        <f>((22/(7*4))*(D131^2)/(1000^2))*J131*solver!$B$24</f>
        <v>644.92656250000005</v>
      </c>
      <c r="I131" s="45"/>
      <c r="J131" s="46">
        <f t="shared" si="3"/>
        <v>167.29999999999998</v>
      </c>
      <c r="K131" s="29">
        <f t="shared" si="4"/>
        <v>14</v>
      </c>
      <c r="L131" s="30">
        <f t="shared" si="5"/>
        <v>1</v>
      </c>
    </row>
    <row r="132" spans="3:12" x14ac:dyDescent="0.3">
      <c r="C132" s="15" t="s">
        <v>59</v>
      </c>
      <c r="D132" s="56">
        <v>25</v>
      </c>
      <c r="E132" s="57">
        <v>14</v>
      </c>
      <c r="F132" s="57">
        <v>1.1599999999999999</v>
      </c>
      <c r="G132" s="57">
        <v>6</v>
      </c>
      <c r="H132" s="44">
        <f>((22/(7*4))*(D132^2)/(1000^2))*J132*solver!$B$24</f>
        <v>62.603749999999998</v>
      </c>
      <c r="I132" s="45"/>
      <c r="J132" s="46">
        <f t="shared" ref="J132:J195" si="6">E132*F132</f>
        <v>16.239999999999998</v>
      </c>
      <c r="K132" s="29">
        <f t="shared" ref="K132:K195" si="7">IF(G132=0,0,ROUNDUP(E132/L132,0))</f>
        <v>3</v>
      </c>
      <c r="L132" s="30">
        <f t="shared" ref="L132:L195" si="8">ROUNDDOWN(G132/F132, 0)</f>
        <v>5</v>
      </c>
    </row>
    <row r="133" spans="3:12" x14ac:dyDescent="0.3">
      <c r="C133" s="15" t="s">
        <v>60</v>
      </c>
      <c r="D133" s="56">
        <v>16</v>
      </c>
      <c r="E133" s="57">
        <v>12</v>
      </c>
      <c r="F133" s="57">
        <v>4.08</v>
      </c>
      <c r="G133" s="57">
        <v>6</v>
      </c>
      <c r="H133" s="44">
        <f>((22/(7*4))*(D133^2)/(1000^2))*J133*solver!$B$24</f>
        <v>77.306441142857153</v>
      </c>
      <c r="I133" s="45"/>
      <c r="J133" s="46">
        <f t="shared" si="6"/>
        <v>48.96</v>
      </c>
      <c r="K133" s="29">
        <f t="shared" si="7"/>
        <v>12</v>
      </c>
      <c r="L133" s="30">
        <f t="shared" si="8"/>
        <v>1</v>
      </c>
    </row>
    <row r="134" spans="3:12" x14ac:dyDescent="0.3">
      <c r="C134" s="15" t="s">
        <v>61</v>
      </c>
      <c r="D134" s="56">
        <v>12</v>
      </c>
      <c r="E134" s="57">
        <v>121</v>
      </c>
      <c r="F134" s="57">
        <v>2.75</v>
      </c>
      <c r="G134" s="57">
        <v>6</v>
      </c>
      <c r="H134" s="44">
        <f>((22/(7*4))*(D134^2)/(1000^2))*J134*solver!$B$24</f>
        <v>295.53904285714282</v>
      </c>
      <c r="I134" s="45"/>
      <c r="J134" s="46">
        <f t="shared" si="6"/>
        <v>332.75</v>
      </c>
      <c r="K134" s="29">
        <f t="shared" si="7"/>
        <v>61</v>
      </c>
      <c r="L134" s="30">
        <f t="shared" si="8"/>
        <v>2</v>
      </c>
    </row>
    <row r="135" spans="3:12" x14ac:dyDescent="0.3">
      <c r="C135" s="15" t="s">
        <v>62</v>
      </c>
      <c r="D135" s="56">
        <v>12</v>
      </c>
      <c r="E135" s="57">
        <v>298</v>
      </c>
      <c r="F135" s="57">
        <v>1.95</v>
      </c>
      <c r="G135" s="57">
        <v>6</v>
      </c>
      <c r="H135" s="44">
        <f>((22/(7*4))*(D135^2)/(1000^2))*J135*solver!$B$24</f>
        <v>516.11641714285713</v>
      </c>
      <c r="I135" s="45"/>
      <c r="J135" s="46">
        <f t="shared" si="6"/>
        <v>581.1</v>
      </c>
      <c r="K135" s="29">
        <f t="shared" si="7"/>
        <v>100</v>
      </c>
      <c r="L135" s="30">
        <f t="shared" si="8"/>
        <v>3</v>
      </c>
    </row>
    <row r="136" spans="3:12" x14ac:dyDescent="0.3">
      <c r="C136" s="15" t="s">
        <v>63</v>
      </c>
      <c r="D136" s="56">
        <v>12</v>
      </c>
      <c r="E136" s="57">
        <v>298</v>
      </c>
      <c r="F136" s="57">
        <v>0.8</v>
      </c>
      <c r="G136" s="57">
        <v>6</v>
      </c>
      <c r="H136" s="44">
        <f>((22/(7*4))*(D136^2)/(1000^2))*J136*solver!$B$24</f>
        <v>211.74006857142854</v>
      </c>
      <c r="I136" s="45"/>
      <c r="J136" s="46">
        <f t="shared" si="6"/>
        <v>238.4</v>
      </c>
      <c r="K136" s="29">
        <f t="shared" si="7"/>
        <v>43</v>
      </c>
      <c r="L136" s="30">
        <f t="shared" si="8"/>
        <v>7</v>
      </c>
    </row>
    <row r="137" spans="3:12" x14ac:dyDescent="0.3">
      <c r="C137" s="15" t="s">
        <v>64</v>
      </c>
      <c r="D137" s="56">
        <v>10</v>
      </c>
      <c r="E137" s="57">
        <v>41</v>
      </c>
      <c r="F137" s="57">
        <v>1.4</v>
      </c>
      <c r="G137" s="57">
        <v>6</v>
      </c>
      <c r="H137" s="44">
        <f>((22/(7*4))*(D137^2)/(1000^2))*J137*solver!$B$24</f>
        <v>35.403499999999994</v>
      </c>
      <c r="I137" s="45"/>
      <c r="J137" s="46">
        <f t="shared" si="6"/>
        <v>57.4</v>
      </c>
      <c r="K137" s="29">
        <f t="shared" si="7"/>
        <v>11</v>
      </c>
      <c r="L137" s="30">
        <f t="shared" si="8"/>
        <v>4</v>
      </c>
    </row>
    <row r="138" spans="3:12" x14ac:dyDescent="0.3">
      <c r="C138" s="15" t="s">
        <v>65</v>
      </c>
      <c r="D138" s="58">
        <v>10</v>
      </c>
      <c r="E138" s="59">
        <v>82</v>
      </c>
      <c r="F138" s="59">
        <v>1.02</v>
      </c>
      <c r="G138" s="59">
        <v>6</v>
      </c>
      <c r="H138" s="49">
        <f>((22/(7*4))*(D138^2)/(1000^2))*J138*solver!$B$24</f>
        <v>51.587957142857142</v>
      </c>
      <c r="I138" s="50"/>
      <c r="J138" s="51">
        <f t="shared" si="6"/>
        <v>83.64</v>
      </c>
      <c r="K138" s="35">
        <f t="shared" si="7"/>
        <v>17</v>
      </c>
      <c r="L138" s="36">
        <f t="shared" si="8"/>
        <v>5</v>
      </c>
    </row>
    <row r="139" spans="3:12" x14ac:dyDescent="0.3">
      <c r="C139" s="14" t="s">
        <v>66</v>
      </c>
      <c r="D139" s="60">
        <v>32</v>
      </c>
      <c r="E139" s="61">
        <v>14</v>
      </c>
      <c r="F139" s="61">
        <v>12</v>
      </c>
      <c r="G139" s="61">
        <v>12</v>
      </c>
      <c r="H139" s="39">
        <f>((22/(7*4))*(D139^2)/(1000^2))*J139*solver!$B$24</f>
        <v>1061.0688</v>
      </c>
      <c r="I139" s="40"/>
      <c r="J139" s="41">
        <f t="shared" si="6"/>
        <v>168</v>
      </c>
      <c r="K139" s="23">
        <f t="shared" si="7"/>
        <v>14</v>
      </c>
      <c r="L139" s="24">
        <f t="shared" si="8"/>
        <v>1</v>
      </c>
    </row>
    <row r="140" spans="3:12" x14ac:dyDescent="0.3">
      <c r="C140" s="14" t="s">
        <v>67</v>
      </c>
      <c r="D140" s="62">
        <v>25</v>
      </c>
      <c r="E140" s="63">
        <v>14</v>
      </c>
      <c r="F140" s="63">
        <v>7.06</v>
      </c>
      <c r="G140" s="63">
        <v>7.5</v>
      </c>
      <c r="H140" s="44">
        <f>((22/(7*4))*(D140^2)/(1000^2))*J140*solver!$B$24</f>
        <v>381.01937499999997</v>
      </c>
      <c r="I140" s="45"/>
      <c r="J140" s="46">
        <f t="shared" si="6"/>
        <v>98.839999999999989</v>
      </c>
      <c r="K140" s="29">
        <f t="shared" si="7"/>
        <v>14</v>
      </c>
      <c r="L140" s="30">
        <f t="shared" si="8"/>
        <v>1</v>
      </c>
    </row>
    <row r="141" spans="3:12" x14ac:dyDescent="0.3">
      <c r="C141" s="14" t="s">
        <v>68</v>
      </c>
      <c r="D141" s="62">
        <v>32</v>
      </c>
      <c r="E141" s="63">
        <v>14</v>
      </c>
      <c r="F141" s="63">
        <v>10.5</v>
      </c>
      <c r="G141" s="63">
        <v>10.5</v>
      </c>
      <c r="H141" s="44">
        <f>((22/(7*4))*(D141^2)/(1000^2))*J141*solver!$B$24</f>
        <v>928.43520000000001</v>
      </c>
      <c r="I141" s="45"/>
      <c r="J141" s="46">
        <f t="shared" si="6"/>
        <v>147</v>
      </c>
      <c r="K141" s="29">
        <f t="shared" si="7"/>
        <v>14</v>
      </c>
      <c r="L141" s="30">
        <f t="shared" si="8"/>
        <v>1</v>
      </c>
    </row>
    <row r="142" spans="3:12" x14ac:dyDescent="0.3">
      <c r="C142" s="14" t="s">
        <v>69</v>
      </c>
      <c r="D142" s="62">
        <v>25</v>
      </c>
      <c r="E142" s="63">
        <v>14</v>
      </c>
      <c r="F142" s="63">
        <v>8.89</v>
      </c>
      <c r="G142" s="63">
        <v>9</v>
      </c>
      <c r="H142" s="44">
        <f>((22/(7*4))*(D142^2)/(1000^2))*J142*solver!$B$24</f>
        <v>479.78218750000008</v>
      </c>
      <c r="I142" s="45"/>
      <c r="J142" s="46">
        <f t="shared" si="6"/>
        <v>124.46000000000001</v>
      </c>
      <c r="K142" s="29">
        <f t="shared" si="7"/>
        <v>14</v>
      </c>
      <c r="L142" s="30">
        <f t="shared" si="8"/>
        <v>1</v>
      </c>
    </row>
    <row r="143" spans="3:12" x14ac:dyDescent="0.3">
      <c r="C143" s="14" t="s">
        <v>70</v>
      </c>
      <c r="D143" s="62">
        <v>10</v>
      </c>
      <c r="E143" s="63">
        <v>63</v>
      </c>
      <c r="F143" s="63">
        <v>2.72</v>
      </c>
      <c r="G143" s="63">
        <v>6</v>
      </c>
      <c r="H143" s="44">
        <f>((22/(7*4))*(D143^2)/(1000^2))*J143*solver!$B$24</f>
        <v>105.69240000000001</v>
      </c>
      <c r="I143" s="45"/>
      <c r="J143" s="46">
        <f t="shared" si="6"/>
        <v>171.36</v>
      </c>
      <c r="K143" s="29">
        <f t="shared" si="7"/>
        <v>32</v>
      </c>
      <c r="L143" s="30">
        <f t="shared" si="8"/>
        <v>2</v>
      </c>
    </row>
    <row r="144" spans="3:12" x14ac:dyDescent="0.3">
      <c r="C144" s="14" t="s">
        <v>71</v>
      </c>
      <c r="D144" s="62">
        <v>10</v>
      </c>
      <c r="E144" s="63">
        <v>126</v>
      </c>
      <c r="F144" s="63">
        <v>2.04</v>
      </c>
      <c r="G144" s="63">
        <v>6</v>
      </c>
      <c r="H144" s="44">
        <f>((22/(7*4))*(D144^2)/(1000^2))*J144*solver!$B$24</f>
        <v>158.5386</v>
      </c>
      <c r="I144" s="45"/>
      <c r="J144" s="46">
        <f t="shared" si="6"/>
        <v>257.04000000000002</v>
      </c>
      <c r="K144" s="29">
        <f t="shared" si="7"/>
        <v>63</v>
      </c>
      <c r="L144" s="30">
        <f t="shared" si="8"/>
        <v>2</v>
      </c>
    </row>
    <row r="145" spans="3:12" x14ac:dyDescent="0.3">
      <c r="C145" s="14" t="s">
        <v>72</v>
      </c>
      <c r="D145" s="62">
        <v>10</v>
      </c>
      <c r="E145" s="63">
        <v>126</v>
      </c>
      <c r="F145" s="63">
        <v>0.79</v>
      </c>
      <c r="G145" s="63">
        <v>6</v>
      </c>
      <c r="H145" s="44">
        <f>((22/(7*4))*(D145^2)/(1000^2))*J145*solver!$B$24</f>
        <v>61.394849999999998</v>
      </c>
      <c r="I145" s="45"/>
      <c r="J145" s="46">
        <f t="shared" si="6"/>
        <v>99.54</v>
      </c>
      <c r="K145" s="29">
        <f t="shared" si="7"/>
        <v>18</v>
      </c>
      <c r="L145" s="30">
        <f t="shared" si="8"/>
        <v>7</v>
      </c>
    </row>
    <row r="146" spans="3:12" x14ac:dyDescent="0.3">
      <c r="C146" s="14" t="s">
        <v>73</v>
      </c>
      <c r="D146" s="62">
        <v>12</v>
      </c>
      <c r="E146" s="63">
        <v>81</v>
      </c>
      <c r="F146" s="63">
        <v>2.77</v>
      </c>
      <c r="G146" s="63">
        <v>6</v>
      </c>
      <c r="H146" s="44">
        <f>((22/(7*4))*(D146^2)/(1000^2))*J146*solver!$B$24</f>
        <v>199.27902342857141</v>
      </c>
      <c r="I146" s="45"/>
      <c r="J146" s="46">
        <f t="shared" si="6"/>
        <v>224.37</v>
      </c>
      <c r="K146" s="29">
        <f t="shared" si="7"/>
        <v>41</v>
      </c>
      <c r="L146" s="30">
        <f t="shared" si="8"/>
        <v>2</v>
      </c>
    </row>
    <row r="147" spans="3:12" x14ac:dyDescent="0.3">
      <c r="C147" s="14" t="s">
        <v>74</v>
      </c>
      <c r="D147" s="62">
        <v>12</v>
      </c>
      <c r="E147" s="63">
        <v>162</v>
      </c>
      <c r="F147" s="63">
        <v>2.08</v>
      </c>
      <c r="G147" s="63">
        <v>6</v>
      </c>
      <c r="H147" s="44">
        <f>((22/(7*4))*(D147^2)/(1000^2))*J147*solver!$B$24</f>
        <v>299.27824457142856</v>
      </c>
      <c r="I147" s="45"/>
      <c r="J147" s="46">
        <f t="shared" si="6"/>
        <v>336.96000000000004</v>
      </c>
      <c r="K147" s="29">
        <f t="shared" si="7"/>
        <v>81</v>
      </c>
      <c r="L147" s="30">
        <f t="shared" si="8"/>
        <v>2</v>
      </c>
    </row>
    <row r="148" spans="3:12" x14ac:dyDescent="0.3">
      <c r="C148" s="14" t="s">
        <v>75</v>
      </c>
      <c r="D148" s="62">
        <v>12</v>
      </c>
      <c r="E148" s="63">
        <v>162</v>
      </c>
      <c r="F148" s="63">
        <v>0.80400000000000005</v>
      </c>
      <c r="G148" s="63">
        <v>6</v>
      </c>
      <c r="H148" s="44">
        <f>((22/(7*4))*(D148^2)/(1000^2))*J148*solver!$B$24</f>
        <v>115.68255222857144</v>
      </c>
      <c r="I148" s="45"/>
      <c r="J148" s="46">
        <f t="shared" si="6"/>
        <v>130.24800000000002</v>
      </c>
      <c r="K148" s="29">
        <f t="shared" si="7"/>
        <v>24</v>
      </c>
      <c r="L148" s="30">
        <f t="shared" si="8"/>
        <v>7</v>
      </c>
    </row>
    <row r="149" spans="3:12" x14ac:dyDescent="0.3">
      <c r="C149" s="14" t="s">
        <v>76</v>
      </c>
      <c r="D149" s="62">
        <v>12</v>
      </c>
      <c r="E149" s="63">
        <v>61</v>
      </c>
      <c r="F149" s="63">
        <v>2.75</v>
      </c>
      <c r="G149" s="63">
        <v>6</v>
      </c>
      <c r="H149" s="44">
        <f>((22/(7*4))*(D149^2)/(1000^2))*J149*solver!$B$24</f>
        <v>148.99075714285712</v>
      </c>
      <c r="I149" s="45"/>
      <c r="J149" s="46">
        <f t="shared" si="6"/>
        <v>167.75</v>
      </c>
      <c r="K149" s="29">
        <f t="shared" si="7"/>
        <v>31</v>
      </c>
      <c r="L149" s="30">
        <f t="shared" si="8"/>
        <v>2</v>
      </c>
    </row>
    <row r="150" spans="3:12" x14ac:dyDescent="0.3">
      <c r="C150" s="14" t="s">
        <v>77</v>
      </c>
      <c r="D150" s="62">
        <v>12</v>
      </c>
      <c r="E150" s="63">
        <v>122</v>
      </c>
      <c r="F150" s="63">
        <v>1.95</v>
      </c>
      <c r="G150" s="63">
        <v>6</v>
      </c>
      <c r="H150" s="44">
        <f>((22/(7*4))*(D150^2)/(1000^2))*J150*solver!$B$24</f>
        <v>211.29598285714286</v>
      </c>
      <c r="I150" s="45"/>
      <c r="J150" s="46">
        <f t="shared" si="6"/>
        <v>237.9</v>
      </c>
      <c r="K150" s="29">
        <f t="shared" si="7"/>
        <v>41</v>
      </c>
      <c r="L150" s="30">
        <f t="shared" si="8"/>
        <v>3</v>
      </c>
    </row>
    <row r="151" spans="3:12" x14ac:dyDescent="0.3">
      <c r="C151" s="14" t="s">
        <v>78</v>
      </c>
      <c r="D151" s="68">
        <v>12</v>
      </c>
      <c r="E151" s="69">
        <v>122</v>
      </c>
      <c r="F151" s="69">
        <v>0.8</v>
      </c>
      <c r="G151" s="69">
        <v>6</v>
      </c>
      <c r="H151" s="49">
        <f>((22/(7*4))*(D151^2)/(1000^2))*J151*solver!$B$24</f>
        <v>86.685531428571437</v>
      </c>
      <c r="I151" s="50"/>
      <c r="J151" s="51">
        <f t="shared" si="6"/>
        <v>97.600000000000009</v>
      </c>
      <c r="K151" s="35">
        <f t="shared" si="7"/>
        <v>18</v>
      </c>
      <c r="L151" s="36">
        <f t="shared" si="8"/>
        <v>7</v>
      </c>
    </row>
    <row r="152" spans="3:12" x14ac:dyDescent="0.3">
      <c r="C152" s="15" t="s">
        <v>79</v>
      </c>
      <c r="D152" s="54">
        <v>32</v>
      </c>
      <c r="E152" s="55">
        <v>14</v>
      </c>
      <c r="F152" s="55">
        <v>12</v>
      </c>
      <c r="G152" s="55">
        <v>12</v>
      </c>
      <c r="H152" s="39">
        <f>((22/(7*4))*(D152^2)/(1000^2))*J152*solver!$B$24</f>
        <v>1061.0688</v>
      </c>
      <c r="I152" s="40"/>
      <c r="J152" s="41">
        <f t="shared" si="6"/>
        <v>168</v>
      </c>
      <c r="K152" s="23">
        <f t="shared" si="7"/>
        <v>14</v>
      </c>
      <c r="L152" s="24">
        <f t="shared" si="8"/>
        <v>1</v>
      </c>
    </row>
    <row r="153" spans="3:12" x14ac:dyDescent="0.3">
      <c r="C153" s="15" t="s">
        <v>80</v>
      </c>
      <c r="D153" s="56">
        <v>32</v>
      </c>
      <c r="E153" s="57">
        <v>14</v>
      </c>
      <c r="F153" s="57">
        <v>3.87</v>
      </c>
      <c r="G153" s="57">
        <v>7.5</v>
      </c>
      <c r="H153" s="44">
        <f>((22/(7*4))*(D153^2)/(1000^2))*J153*solver!$B$24</f>
        <v>342.19468799999999</v>
      </c>
      <c r="I153" s="45"/>
      <c r="J153" s="46">
        <f t="shared" si="6"/>
        <v>54.18</v>
      </c>
      <c r="K153" s="29">
        <f t="shared" si="7"/>
        <v>14</v>
      </c>
      <c r="L153" s="30">
        <f t="shared" si="8"/>
        <v>1</v>
      </c>
    </row>
    <row r="154" spans="3:12" x14ac:dyDescent="0.3">
      <c r="C154" s="15" t="s">
        <v>81</v>
      </c>
      <c r="D154" s="56">
        <v>32</v>
      </c>
      <c r="E154" s="57">
        <v>14</v>
      </c>
      <c r="F154" s="57">
        <v>8.5</v>
      </c>
      <c r="G154" s="57">
        <v>9</v>
      </c>
      <c r="H154" s="44">
        <f>((22/(7*4))*(D154^2)/(1000^2))*J154*solver!$B$24</f>
        <v>751.59039999999993</v>
      </c>
      <c r="I154" s="45"/>
      <c r="J154" s="46">
        <f t="shared" si="6"/>
        <v>119</v>
      </c>
      <c r="K154" s="29">
        <f t="shared" si="7"/>
        <v>14</v>
      </c>
      <c r="L154" s="30">
        <f t="shared" si="8"/>
        <v>1</v>
      </c>
    </row>
    <row r="155" spans="3:12" x14ac:dyDescent="0.3">
      <c r="C155" s="15" t="s">
        <v>82</v>
      </c>
      <c r="D155" s="56">
        <v>32</v>
      </c>
      <c r="E155" s="57">
        <v>14</v>
      </c>
      <c r="F155" s="57">
        <v>11.36</v>
      </c>
      <c r="G155" s="57">
        <v>12</v>
      </c>
      <c r="H155" s="44">
        <f>((22/(7*4))*(D155^2)/(1000^2))*J155*solver!$B$24</f>
        <v>1004.4784639999999</v>
      </c>
      <c r="I155" s="45"/>
      <c r="J155" s="46">
        <f t="shared" si="6"/>
        <v>159.04</v>
      </c>
      <c r="K155" s="29">
        <f t="shared" si="7"/>
        <v>14</v>
      </c>
      <c r="L155" s="30">
        <f t="shared" si="8"/>
        <v>1</v>
      </c>
    </row>
    <row r="156" spans="3:12" x14ac:dyDescent="0.3">
      <c r="C156" s="15" t="s">
        <v>83</v>
      </c>
      <c r="D156" s="56">
        <v>32</v>
      </c>
      <c r="E156" s="57">
        <v>2</v>
      </c>
      <c r="F156" s="57">
        <v>6</v>
      </c>
      <c r="G156" s="57">
        <v>6</v>
      </c>
      <c r="H156" s="44">
        <f>((22/(7*4))*(D156^2)/(1000^2))*J156*solver!$B$24</f>
        <v>75.79062857142857</v>
      </c>
      <c r="I156" s="45"/>
      <c r="J156" s="46">
        <f t="shared" si="6"/>
        <v>12</v>
      </c>
      <c r="K156" s="29">
        <f t="shared" si="7"/>
        <v>2</v>
      </c>
      <c r="L156" s="30">
        <f t="shared" si="8"/>
        <v>1</v>
      </c>
    </row>
    <row r="157" spans="3:12" x14ac:dyDescent="0.3">
      <c r="C157" s="15" t="s">
        <v>84</v>
      </c>
      <c r="D157" s="56">
        <v>32</v>
      </c>
      <c r="E157" s="57">
        <v>4</v>
      </c>
      <c r="F157" s="57">
        <v>5.97</v>
      </c>
      <c r="G157" s="57">
        <v>6</v>
      </c>
      <c r="H157" s="44">
        <f>((22/(7*4))*(D157^2)/(1000^2))*J157*solver!$B$24</f>
        <v>150.82335085714286</v>
      </c>
      <c r="I157" s="45"/>
      <c r="J157" s="46">
        <f t="shared" si="6"/>
        <v>23.88</v>
      </c>
      <c r="K157" s="29">
        <f t="shared" si="7"/>
        <v>4</v>
      </c>
      <c r="L157" s="30">
        <f t="shared" si="8"/>
        <v>1</v>
      </c>
    </row>
    <row r="158" spans="3:12" x14ac:dyDescent="0.3">
      <c r="C158" s="15" t="s">
        <v>85</v>
      </c>
      <c r="D158" s="56">
        <v>10</v>
      </c>
      <c r="E158" s="57">
        <v>63</v>
      </c>
      <c r="F158" s="57">
        <v>2.0699999999999998</v>
      </c>
      <c r="G158" s="57">
        <v>7.5</v>
      </c>
      <c r="H158" s="44">
        <f>((22/(7*4))*(D158^2)/(1000^2))*J158*solver!$B$24</f>
        <v>80.435024999999996</v>
      </c>
      <c r="I158" s="45"/>
      <c r="J158" s="46">
        <f t="shared" si="6"/>
        <v>130.41</v>
      </c>
      <c r="K158" s="29">
        <f t="shared" si="7"/>
        <v>21</v>
      </c>
      <c r="L158" s="30">
        <f t="shared" si="8"/>
        <v>3</v>
      </c>
    </row>
    <row r="159" spans="3:12" x14ac:dyDescent="0.3">
      <c r="C159" s="15" t="s">
        <v>86</v>
      </c>
      <c r="D159" s="56">
        <v>10</v>
      </c>
      <c r="E159" s="57">
        <v>126</v>
      </c>
      <c r="F159" s="57">
        <v>1.82</v>
      </c>
      <c r="G159" s="57">
        <v>6</v>
      </c>
      <c r="H159" s="44">
        <f>((22/(7*4))*(D159^2)/(1000^2))*J159*solver!$B$24</f>
        <v>141.44129999999998</v>
      </c>
      <c r="I159" s="45"/>
      <c r="J159" s="46">
        <f t="shared" si="6"/>
        <v>229.32000000000002</v>
      </c>
      <c r="K159" s="29">
        <f t="shared" si="7"/>
        <v>42</v>
      </c>
      <c r="L159" s="30">
        <f t="shared" si="8"/>
        <v>3</v>
      </c>
    </row>
    <row r="160" spans="3:12" x14ac:dyDescent="0.3">
      <c r="C160" s="15" t="s">
        <v>87</v>
      </c>
      <c r="D160" s="56">
        <v>10</v>
      </c>
      <c r="E160" s="57">
        <v>63</v>
      </c>
      <c r="F160" s="57">
        <v>2.02</v>
      </c>
      <c r="G160" s="57">
        <v>7.5</v>
      </c>
      <c r="H160" s="44">
        <f>((22/(7*4))*(D160^2)/(1000^2))*J160*solver!$B$24</f>
        <v>78.492149999999995</v>
      </c>
      <c r="I160" s="45"/>
      <c r="J160" s="46">
        <f t="shared" si="6"/>
        <v>127.26</v>
      </c>
      <c r="K160" s="29">
        <f t="shared" si="7"/>
        <v>21</v>
      </c>
      <c r="L160" s="30">
        <f t="shared" si="8"/>
        <v>3</v>
      </c>
    </row>
    <row r="161" spans="3:12" x14ac:dyDescent="0.3">
      <c r="C161" s="15" t="s">
        <v>88</v>
      </c>
      <c r="D161" s="56">
        <v>10</v>
      </c>
      <c r="E161" s="57">
        <v>252</v>
      </c>
      <c r="F161" s="57">
        <v>0.77</v>
      </c>
      <c r="G161" s="57">
        <v>6</v>
      </c>
      <c r="H161" s="44">
        <f>((22/(7*4))*(D161^2)/(1000^2))*J161*solver!$B$24</f>
        <v>119.68109999999999</v>
      </c>
      <c r="I161" s="45"/>
      <c r="J161" s="46">
        <f t="shared" si="6"/>
        <v>194.04</v>
      </c>
      <c r="K161" s="29">
        <f t="shared" si="7"/>
        <v>36</v>
      </c>
      <c r="L161" s="30">
        <f t="shared" si="8"/>
        <v>7</v>
      </c>
    </row>
    <row r="162" spans="3:12" x14ac:dyDescent="0.3">
      <c r="C162" s="15" t="s">
        <v>89</v>
      </c>
      <c r="D162" s="56">
        <v>16</v>
      </c>
      <c r="E162" s="57">
        <v>81</v>
      </c>
      <c r="F162" s="57">
        <v>2.85</v>
      </c>
      <c r="G162" s="57">
        <v>6</v>
      </c>
      <c r="H162" s="44">
        <f>((22/(7*4))*(D162^2)/(1000^2))*J162*solver!$B$24</f>
        <v>364.50555428571425</v>
      </c>
      <c r="I162" s="45"/>
      <c r="J162" s="46">
        <f t="shared" si="6"/>
        <v>230.85</v>
      </c>
      <c r="K162" s="29">
        <f t="shared" si="7"/>
        <v>41</v>
      </c>
      <c r="L162" s="30">
        <f t="shared" si="8"/>
        <v>2</v>
      </c>
    </row>
    <row r="163" spans="3:12" x14ac:dyDescent="0.3">
      <c r="C163" s="15" t="s">
        <v>90</v>
      </c>
      <c r="D163" s="56">
        <v>16</v>
      </c>
      <c r="E163" s="57">
        <v>162</v>
      </c>
      <c r="F163" s="57">
        <v>2.16</v>
      </c>
      <c r="G163" s="57">
        <v>7.5</v>
      </c>
      <c r="H163" s="44">
        <f>((22/(7*4))*(D163^2)/(1000^2))*J163*solver!$B$24</f>
        <v>552.51368228571437</v>
      </c>
      <c r="I163" s="45"/>
      <c r="J163" s="46">
        <f t="shared" si="6"/>
        <v>349.92</v>
      </c>
      <c r="K163" s="29">
        <f t="shared" si="7"/>
        <v>54</v>
      </c>
      <c r="L163" s="30">
        <f t="shared" si="8"/>
        <v>3</v>
      </c>
    </row>
    <row r="164" spans="3:12" x14ac:dyDescent="0.3">
      <c r="C164" s="15" t="s">
        <v>91</v>
      </c>
      <c r="D164" s="56">
        <v>16</v>
      </c>
      <c r="E164" s="57">
        <v>162</v>
      </c>
      <c r="F164" s="57">
        <v>0.86</v>
      </c>
      <c r="G164" s="57">
        <v>6</v>
      </c>
      <c r="H164" s="44">
        <f>((22/(7*4))*(D164^2)/(1000^2))*J164*solver!$B$24</f>
        <v>219.98229942857142</v>
      </c>
      <c r="I164" s="45"/>
      <c r="J164" s="46">
        <f t="shared" si="6"/>
        <v>139.32</v>
      </c>
      <c r="K164" s="29">
        <f t="shared" si="7"/>
        <v>27</v>
      </c>
      <c r="L164" s="30">
        <f t="shared" si="8"/>
        <v>6</v>
      </c>
    </row>
    <row r="165" spans="3:12" x14ac:dyDescent="0.3">
      <c r="C165" s="15" t="s">
        <v>92</v>
      </c>
      <c r="D165" s="56">
        <v>12</v>
      </c>
      <c r="E165" s="57">
        <v>114</v>
      </c>
      <c r="F165" s="57">
        <v>2.75</v>
      </c>
      <c r="G165" s="57">
        <v>6</v>
      </c>
      <c r="H165" s="44">
        <f>((22/(7*4))*(D165^2)/(1000^2))*J165*solver!$B$24</f>
        <v>278.44174285714286</v>
      </c>
      <c r="I165" s="45"/>
      <c r="J165" s="46">
        <f t="shared" si="6"/>
        <v>313.5</v>
      </c>
      <c r="K165" s="29">
        <f t="shared" si="7"/>
        <v>57</v>
      </c>
      <c r="L165" s="30">
        <f t="shared" si="8"/>
        <v>2</v>
      </c>
    </row>
    <row r="166" spans="3:12" x14ac:dyDescent="0.3">
      <c r="C166" s="15" t="s">
        <v>93</v>
      </c>
      <c r="D166" s="56">
        <v>12</v>
      </c>
      <c r="E166" s="57">
        <v>162</v>
      </c>
      <c r="F166" s="57">
        <v>1.5</v>
      </c>
      <c r="G166" s="57">
        <v>6</v>
      </c>
      <c r="H166" s="44">
        <f>((22/(7*4))*(D166^2)/(1000^2))*J166*solver!$B$24</f>
        <v>215.82565714285712</v>
      </c>
      <c r="I166" s="45"/>
      <c r="J166" s="46">
        <f t="shared" si="6"/>
        <v>243</v>
      </c>
      <c r="K166" s="29">
        <f t="shared" si="7"/>
        <v>41</v>
      </c>
      <c r="L166" s="30">
        <f t="shared" si="8"/>
        <v>4</v>
      </c>
    </row>
    <row r="167" spans="3:12" x14ac:dyDescent="0.3">
      <c r="C167" s="15" t="s">
        <v>94</v>
      </c>
      <c r="D167" s="56">
        <v>12</v>
      </c>
      <c r="E167" s="57">
        <v>162</v>
      </c>
      <c r="F167" s="57">
        <v>0.8</v>
      </c>
      <c r="G167" s="57">
        <v>6</v>
      </c>
      <c r="H167" s="44">
        <f>((22/(7*4))*(D167^2)/(1000^2))*J167*solver!$B$24</f>
        <v>115.10701714285713</v>
      </c>
      <c r="I167" s="45"/>
      <c r="J167" s="46">
        <f t="shared" si="6"/>
        <v>129.6</v>
      </c>
      <c r="K167" s="29">
        <f t="shared" si="7"/>
        <v>24</v>
      </c>
      <c r="L167" s="30">
        <f t="shared" si="8"/>
        <v>7</v>
      </c>
    </row>
    <row r="168" spans="3:12" x14ac:dyDescent="0.3">
      <c r="C168" s="15" t="s">
        <v>95</v>
      </c>
      <c r="D168" s="56">
        <v>12</v>
      </c>
      <c r="E168" s="57">
        <v>66</v>
      </c>
      <c r="F168" s="57">
        <v>1.51</v>
      </c>
      <c r="G168" s="57">
        <v>6</v>
      </c>
      <c r="H168" s="44">
        <f>((22/(7*4))*(D168^2)/(1000^2))*J168*solver!$B$24</f>
        <v>88.515164571428556</v>
      </c>
      <c r="I168" s="45"/>
      <c r="J168" s="46">
        <f t="shared" si="6"/>
        <v>99.66</v>
      </c>
      <c r="K168" s="29">
        <f t="shared" si="7"/>
        <v>22</v>
      </c>
      <c r="L168" s="30">
        <f t="shared" si="8"/>
        <v>3</v>
      </c>
    </row>
    <row r="169" spans="3:12" x14ac:dyDescent="0.3">
      <c r="C169" s="15" t="s">
        <v>96</v>
      </c>
      <c r="D169" s="58">
        <v>12</v>
      </c>
      <c r="E169" s="59">
        <v>33</v>
      </c>
      <c r="F169" s="59">
        <v>2.0499999999999998</v>
      </c>
      <c r="G169" s="59">
        <v>6</v>
      </c>
      <c r="H169" s="49">
        <f>((22/(7*4))*(D169^2)/(1000^2))*J169*solver!$B$24</f>
        <v>60.084797142857127</v>
      </c>
      <c r="I169" s="50"/>
      <c r="J169" s="51">
        <f t="shared" si="6"/>
        <v>67.649999999999991</v>
      </c>
      <c r="K169" s="35">
        <f t="shared" si="7"/>
        <v>17</v>
      </c>
      <c r="L169" s="36">
        <f t="shared" si="8"/>
        <v>2</v>
      </c>
    </row>
    <row r="170" spans="3:12" x14ac:dyDescent="0.3">
      <c r="C170" s="14" t="s">
        <v>97</v>
      </c>
      <c r="D170" s="60">
        <v>32</v>
      </c>
      <c r="E170" s="61">
        <v>14</v>
      </c>
      <c r="F170" s="61">
        <v>12</v>
      </c>
      <c r="G170" s="61">
        <v>12</v>
      </c>
      <c r="H170" s="39">
        <f>((22/(7*4))*(D170^2)/(1000^2))*J170*solver!$B$24</f>
        <v>1061.0688</v>
      </c>
      <c r="I170" s="40"/>
      <c r="J170" s="41">
        <f t="shared" si="6"/>
        <v>168</v>
      </c>
      <c r="K170" s="23">
        <f t="shared" si="7"/>
        <v>14</v>
      </c>
      <c r="L170" s="24">
        <f t="shared" si="8"/>
        <v>1</v>
      </c>
    </row>
    <row r="171" spans="3:12" x14ac:dyDescent="0.3">
      <c r="C171" s="14" t="s">
        <v>98</v>
      </c>
      <c r="D171" s="62">
        <v>32</v>
      </c>
      <c r="E171" s="63">
        <v>14</v>
      </c>
      <c r="F171" s="63">
        <v>7.36</v>
      </c>
      <c r="G171" s="63">
        <v>7.5</v>
      </c>
      <c r="H171" s="44">
        <f>((22/(7*4))*(D171^2)/(1000^2))*J171*solver!$B$24</f>
        <v>650.7888640000001</v>
      </c>
      <c r="I171" s="45"/>
      <c r="J171" s="46">
        <f t="shared" si="6"/>
        <v>103.04</v>
      </c>
      <c r="K171" s="29">
        <f t="shared" si="7"/>
        <v>14</v>
      </c>
      <c r="L171" s="30">
        <f t="shared" si="8"/>
        <v>1</v>
      </c>
    </row>
    <row r="172" spans="3:12" x14ac:dyDescent="0.3">
      <c r="C172" s="14" t="s">
        <v>99</v>
      </c>
      <c r="D172" s="62">
        <v>32</v>
      </c>
      <c r="E172" s="63">
        <v>14</v>
      </c>
      <c r="F172" s="63">
        <v>8.5</v>
      </c>
      <c r="G172" s="63">
        <v>9</v>
      </c>
      <c r="H172" s="44">
        <f>((22/(7*4))*(D172^2)/(1000^2))*J172*solver!$B$24</f>
        <v>751.59039999999993</v>
      </c>
      <c r="I172" s="45"/>
      <c r="J172" s="46">
        <f t="shared" si="6"/>
        <v>119</v>
      </c>
      <c r="K172" s="29">
        <f t="shared" si="7"/>
        <v>14</v>
      </c>
      <c r="L172" s="30">
        <f t="shared" si="8"/>
        <v>1</v>
      </c>
    </row>
    <row r="173" spans="3:12" x14ac:dyDescent="0.3">
      <c r="C173" s="14" t="s">
        <v>100</v>
      </c>
      <c r="D173" s="62">
        <v>32</v>
      </c>
      <c r="E173" s="63">
        <v>14</v>
      </c>
      <c r="F173" s="63">
        <v>11.36</v>
      </c>
      <c r="G173" s="63">
        <v>12</v>
      </c>
      <c r="H173" s="44">
        <f>((22/(7*4))*(D173^2)/(1000^2))*J173*solver!$B$24</f>
        <v>1004.4784639999999</v>
      </c>
      <c r="I173" s="45"/>
      <c r="J173" s="46">
        <f t="shared" si="6"/>
        <v>159.04</v>
      </c>
      <c r="K173" s="29">
        <f t="shared" si="7"/>
        <v>14</v>
      </c>
      <c r="L173" s="30">
        <f t="shared" si="8"/>
        <v>1</v>
      </c>
    </row>
    <row r="174" spans="3:12" x14ac:dyDescent="0.3">
      <c r="C174" s="14" t="s">
        <v>101</v>
      </c>
      <c r="D174" s="62">
        <v>32</v>
      </c>
      <c r="E174" s="63">
        <v>4</v>
      </c>
      <c r="F174" s="63">
        <v>5.97</v>
      </c>
      <c r="G174" s="63">
        <v>6</v>
      </c>
      <c r="H174" s="44">
        <f>((22/(7*4))*(D174^2)/(1000^2))*J174*solver!$B$24</f>
        <v>150.82335085714286</v>
      </c>
      <c r="I174" s="45"/>
      <c r="J174" s="46">
        <f t="shared" si="6"/>
        <v>23.88</v>
      </c>
      <c r="K174" s="29">
        <f t="shared" si="7"/>
        <v>4</v>
      </c>
      <c r="L174" s="30">
        <f t="shared" si="8"/>
        <v>1</v>
      </c>
    </row>
    <row r="175" spans="3:12" x14ac:dyDescent="0.3">
      <c r="C175" s="14" t="s">
        <v>102</v>
      </c>
      <c r="D175" s="62">
        <v>10</v>
      </c>
      <c r="E175" s="63">
        <v>63</v>
      </c>
      <c r="F175" s="63">
        <v>2.72</v>
      </c>
      <c r="G175" s="63">
        <v>6</v>
      </c>
      <c r="H175" s="44">
        <f>((22/(7*4))*(D175^2)/(1000^2))*J175*solver!$B$24</f>
        <v>105.69240000000001</v>
      </c>
      <c r="I175" s="45"/>
      <c r="J175" s="46">
        <f t="shared" si="6"/>
        <v>171.36</v>
      </c>
      <c r="K175" s="29">
        <f t="shared" si="7"/>
        <v>32</v>
      </c>
      <c r="L175" s="30">
        <f t="shared" si="8"/>
        <v>2</v>
      </c>
    </row>
    <row r="176" spans="3:12" x14ac:dyDescent="0.3">
      <c r="C176" s="14" t="s">
        <v>103</v>
      </c>
      <c r="D176" s="62">
        <v>10</v>
      </c>
      <c r="E176" s="63">
        <v>126</v>
      </c>
      <c r="F176" s="63">
        <v>1.82</v>
      </c>
      <c r="G176" s="63">
        <v>6</v>
      </c>
      <c r="H176" s="44">
        <f>((22/(7*4))*(D176^2)/(1000^2))*J176*solver!$B$24</f>
        <v>141.44129999999998</v>
      </c>
      <c r="I176" s="45"/>
      <c r="J176" s="46">
        <f t="shared" si="6"/>
        <v>229.32000000000002</v>
      </c>
      <c r="K176" s="29">
        <f t="shared" si="7"/>
        <v>42</v>
      </c>
      <c r="L176" s="30">
        <f t="shared" si="8"/>
        <v>3</v>
      </c>
    </row>
    <row r="177" spans="3:12" x14ac:dyDescent="0.3">
      <c r="C177" s="14" t="s">
        <v>104</v>
      </c>
      <c r="D177" s="62">
        <v>10</v>
      </c>
      <c r="E177" s="63">
        <v>63</v>
      </c>
      <c r="F177" s="63">
        <v>2.02</v>
      </c>
      <c r="G177" s="63">
        <v>6</v>
      </c>
      <c r="H177" s="44">
        <f>((22/(7*4))*(D177^2)/(1000^2))*J177*solver!$B$24</f>
        <v>78.492149999999995</v>
      </c>
      <c r="I177" s="45"/>
      <c r="J177" s="46">
        <f t="shared" si="6"/>
        <v>127.26</v>
      </c>
      <c r="K177" s="29">
        <f t="shared" si="7"/>
        <v>32</v>
      </c>
      <c r="L177" s="30">
        <f t="shared" si="8"/>
        <v>2</v>
      </c>
    </row>
    <row r="178" spans="3:12" x14ac:dyDescent="0.3">
      <c r="C178" s="14" t="s">
        <v>105</v>
      </c>
      <c r="D178" s="62">
        <v>10</v>
      </c>
      <c r="E178" s="63">
        <v>252</v>
      </c>
      <c r="F178" s="63">
        <v>0.77</v>
      </c>
      <c r="G178" s="63">
        <v>6</v>
      </c>
      <c r="H178" s="44">
        <f>((22/(7*4))*(D178^2)/(1000^2))*J178*solver!$B$24</f>
        <v>119.68109999999999</v>
      </c>
      <c r="I178" s="45"/>
      <c r="J178" s="46">
        <f t="shared" si="6"/>
        <v>194.04</v>
      </c>
      <c r="K178" s="29">
        <f t="shared" si="7"/>
        <v>36</v>
      </c>
      <c r="L178" s="30">
        <f t="shared" si="8"/>
        <v>7</v>
      </c>
    </row>
    <row r="179" spans="3:12" x14ac:dyDescent="0.3">
      <c r="C179" s="14" t="s">
        <v>106</v>
      </c>
      <c r="D179" s="62">
        <v>12</v>
      </c>
      <c r="E179" s="63">
        <v>195</v>
      </c>
      <c r="F179" s="63">
        <v>2.77</v>
      </c>
      <c r="G179" s="63">
        <v>6</v>
      </c>
      <c r="H179" s="44">
        <f>((22/(7*4))*(D179^2)/(1000^2))*J179*solver!$B$24</f>
        <v>479.74579714285704</v>
      </c>
      <c r="I179" s="45"/>
      <c r="J179" s="46">
        <f t="shared" si="6"/>
        <v>540.15</v>
      </c>
      <c r="K179" s="29">
        <f t="shared" si="7"/>
        <v>98</v>
      </c>
      <c r="L179" s="30">
        <f t="shared" si="8"/>
        <v>2</v>
      </c>
    </row>
    <row r="180" spans="3:12" x14ac:dyDescent="0.3">
      <c r="C180" s="14" t="s">
        <v>107</v>
      </c>
      <c r="D180" s="62">
        <v>12</v>
      </c>
      <c r="E180" s="63">
        <v>714</v>
      </c>
      <c r="F180" s="63">
        <v>1.78</v>
      </c>
      <c r="G180" s="63">
        <v>6</v>
      </c>
      <c r="H180" s="44">
        <f>((22/(7*4))*(D180^2)/(1000^2))*J180*solver!$B$24</f>
        <v>1128.794832</v>
      </c>
      <c r="I180" s="45"/>
      <c r="J180" s="46">
        <f t="shared" si="6"/>
        <v>1270.92</v>
      </c>
      <c r="K180" s="29">
        <f t="shared" si="7"/>
        <v>238</v>
      </c>
      <c r="L180" s="30">
        <f t="shared" si="8"/>
        <v>3</v>
      </c>
    </row>
    <row r="181" spans="3:12" x14ac:dyDescent="0.3">
      <c r="C181" s="14" t="s">
        <v>108</v>
      </c>
      <c r="D181" s="68">
        <v>12</v>
      </c>
      <c r="E181" s="69">
        <v>714</v>
      </c>
      <c r="F181" s="69">
        <v>0.8</v>
      </c>
      <c r="G181" s="69">
        <v>6</v>
      </c>
      <c r="H181" s="49">
        <f>((22/(7*4))*(D181^2)/(1000^2))*J181*solver!$B$24</f>
        <v>507.32351999999997</v>
      </c>
      <c r="I181" s="50"/>
      <c r="J181" s="51">
        <f t="shared" si="6"/>
        <v>571.20000000000005</v>
      </c>
      <c r="K181" s="35">
        <f t="shared" si="7"/>
        <v>102</v>
      </c>
      <c r="L181" s="36">
        <f t="shared" si="8"/>
        <v>7</v>
      </c>
    </row>
    <row r="182" spans="3:12" x14ac:dyDescent="0.3">
      <c r="C182" s="15" t="s">
        <v>109</v>
      </c>
      <c r="D182" s="54">
        <v>32</v>
      </c>
      <c r="E182" s="55">
        <v>14</v>
      </c>
      <c r="F182" s="55">
        <v>8.49</v>
      </c>
      <c r="G182" s="55">
        <v>9</v>
      </c>
      <c r="H182" s="39">
        <f>((22/(7*4))*(D182^2)/(1000^2))*J182*solver!$B$24</f>
        <v>750.70617600000003</v>
      </c>
      <c r="I182" s="40"/>
      <c r="J182" s="41">
        <f t="shared" si="6"/>
        <v>118.86</v>
      </c>
      <c r="K182" s="23">
        <f t="shared" si="7"/>
        <v>14</v>
      </c>
      <c r="L182" s="24">
        <f t="shared" si="8"/>
        <v>1</v>
      </c>
    </row>
    <row r="183" spans="3:12" x14ac:dyDescent="0.3">
      <c r="C183" s="15" t="s">
        <v>110</v>
      </c>
      <c r="D183" s="56">
        <v>32</v>
      </c>
      <c r="E183" s="57">
        <v>14</v>
      </c>
      <c r="F183" s="57">
        <v>8.4499999999999993</v>
      </c>
      <c r="G183" s="57">
        <v>9</v>
      </c>
      <c r="H183" s="44">
        <f>((22/(7*4))*(D183^2)/(1000^2))*J183*solver!$B$24</f>
        <v>747.16927999999984</v>
      </c>
      <c r="I183" s="45"/>
      <c r="J183" s="46">
        <f t="shared" si="6"/>
        <v>118.29999999999998</v>
      </c>
      <c r="K183" s="29">
        <f t="shared" si="7"/>
        <v>14</v>
      </c>
      <c r="L183" s="30">
        <f t="shared" si="8"/>
        <v>1</v>
      </c>
    </row>
    <row r="184" spans="3:12" x14ac:dyDescent="0.3">
      <c r="C184" s="15" t="s">
        <v>111</v>
      </c>
      <c r="D184" s="56">
        <v>25</v>
      </c>
      <c r="E184" s="57">
        <v>14</v>
      </c>
      <c r="F184" s="57">
        <v>4.3099999999999996</v>
      </c>
      <c r="G184" s="57">
        <v>9</v>
      </c>
      <c r="H184" s="44">
        <f>((22/(7*4))*(D184^2)/(1000^2))*J184*solver!$B$24</f>
        <v>232.6053125</v>
      </c>
      <c r="I184" s="45"/>
      <c r="J184" s="46">
        <f t="shared" si="6"/>
        <v>60.339999999999996</v>
      </c>
      <c r="K184" s="29">
        <f t="shared" si="7"/>
        <v>7</v>
      </c>
      <c r="L184" s="30">
        <f t="shared" si="8"/>
        <v>2</v>
      </c>
    </row>
    <row r="185" spans="3:12" x14ac:dyDescent="0.3">
      <c r="C185" s="15" t="s">
        <v>112</v>
      </c>
      <c r="D185" s="56">
        <v>32</v>
      </c>
      <c r="E185" s="57">
        <v>14</v>
      </c>
      <c r="F185" s="57">
        <v>12</v>
      </c>
      <c r="G185" s="57">
        <v>12</v>
      </c>
      <c r="H185" s="44">
        <f>((22/(7*4))*(D185^2)/(1000^2))*J185*solver!$B$24</f>
        <v>1061.0688</v>
      </c>
      <c r="I185" s="45"/>
      <c r="J185" s="46">
        <f t="shared" si="6"/>
        <v>168</v>
      </c>
      <c r="K185" s="29">
        <f t="shared" si="7"/>
        <v>14</v>
      </c>
      <c r="L185" s="30">
        <f t="shared" si="8"/>
        <v>1</v>
      </c>
    </row>
    <row r="186" spans="3:12" x14ac:dyDescent="0.3">
      <c r="C186" s="15" t="s">
        <v>113</v>
      </c>
      <c r="D186" s="56">
        <v>32</v>
      </c>
      <c r="E186" s="57">
        <v>14</v>
      </c>
      <c r="F186" s="57">
        <v>6.21</v>
      </c>
      <c r="G186" s="57">
        <v>7.5</v>
      </c>
      <c r="H186" s="44">
        <f>((22/(7*4))*(D186^2)/(1000^2))*J186*solver!$B$24</f>
        <v>549.10310400000003</v>
      </c>
      <c r="I186" s="45"/>
      <c r="J186" s="46">
        <f t="shared" si="6"/>
        <v>86.94</v>
      </c>
      <c r="K186" s="29">
        <f t="shared" si="7"/>
        <v>14</v>
      </c>
      <c r="L186" s="30">
        <f t="shared" si="8"/>
        <v>1</v>
      </c>
    </row>
    <row r="187" spans="3:12" x14ac:dyDescent="0.3">
      <c r="C187" s="15" t="s">
        <v>114</v>
      </c>
      <c r="D187" s="56">
        <v>25</v>
      </c>
      <c r="E187" s="57">
        <v>14</v>
      </c>
      <c r="F187" s="57">
        <v>3</v>
      </c>
      <c r="G187" s="57">
        <v>6</v>
      </c>
      <c r="H187" s="44">
        <f>((22/(7*4))*(D187^2)/(1000^2))*J187*solver!$B$24</f>
        <v>161.90625</v>
      </c>
      <c r="I187" s="45"/>
      <c r="J187" s="46">
        <f t="shared" si="6"/>
        <v>42</v>
      </c>
      <c r="K187" s="29">
        <f t="shared" si="7"/>
        <v>7</v>
      </c>
      <c r="L187" s="30">
        <f t="shared" si="8"/>
        <v>2</v>
      </c>
    </row>
    <row r="188" spans="3:12" x14ac:dyDescent="0.3">
      <c r="C188" s="15" t="s">
        <v>115</v>
      </c>
      <c r="D188" s="56">
        <v>10</v>
      </c>
      <c r="E188" s="57">
        <v>49</v>
      </c>
      <c r="F188" s="57">
        <v>2.72</v>
      </c>
      <c r="G188" s="57">
        <v>6</v>
      </c>
      <c r="H188" s="44">
        <f>((22/(7*4))*(D188^2)/(1000^2))*J188*solver!$B$24</f>
        <v>82.205199999999991</v>
      </c>
      <c r="I188" s="45"/>
      <c r="J188" s="46">
        <f t="shared" si="6"/>
        <v>133.28</v>
      </c>
      <c r="K188" s="29">
        <f t="shared" si="7"/>
        <v>25</v>
      </c>
      <c r="L188" s="30">
        <f t="shared" si="8"/>
        <v>2</v>
      </c>
    </row>
    <row r="189" spans="3:12" x14ac:dyDescent="0.3">
      <c r="C189" s="15" t="s">
        <v>116</v>
      </c>
      <c r="D189" s="56">
        <v>10</v>
      </c>
      <c r="E189" s="57">
        <v>98</v>
      </c>
      <c r="F189" s="57">
        <v>2.04</v>
      </c>
      <c r="G189" s="57">
        <v>6</v>
      </c>
      <c r="H189" s="44">
        <f>((22/(7*4))*(D189^2)/(1000^2))*J189*solver!$B$24</f>
        <v>123.3078</v>
      </c>
      <c r="I189" s="45"/>
      <c r="J189" s="46">
        <f t="shared" si="6"/>
        <v>199.92000000000002</v>
      </c>
      <c r="K189" s="29">
        <f t="shared" si="7"/>
        <v>49</v>
      </c>
      <c r="L189" s="30">
        <f t="shared" si="8"/>
        <v>2</v>
      </c>
    </row>
    <row r="190" spans="3:12" x14ac:dyDescent="0.3">
      <c r="C190" s="15" t="s">
        <v>117</v>
      </c>
      <c r="D190" s="56">
        <v>10</v>
      </c>
      <c r="E190" s="57">
        <v>98</v>
      </c>
      <c r="F190" s="57">
        <v>0.77</v>
      </c>
      <c r="G190" s="57">
        <v>6</v>
      </c>
      <c r="H190" s="44">
        <f>((22/(7*4))*(D190^2)/(1000^2))*J190*solver!$B$24</f>
        <v>46.542650000000002</v>
      </c>
      <c r="I190" s="45"/>
      <c r="J190" s="46">
        <f t="shared" si="6"/>
        <v>75.460000000000008</v>
      </c>
      <c r="K190" s="29">
        <f t="shared" si="7"/>
        <v>14</v>
      </c>
      <c r="L190" s="30">
        <f t="shared" si="8"/>
        <v>7</v>
      </c>
    </row>
    <row r="191" spans="3:12" x14ac:dyDescent="0.3">
      <c r="C191" s="15" t="s">
        <v>118</v>
      </c>
      <c r="D191" s="56">
        <v>12</v>
      </c>
      <c r="E191" s="57">
        <v>136</v>
      </c>
      <c r="F191" s="57">
        <v>2.77</v>
      </c>
      <c r="G191" s="57">
        <v>6</v>
      </c>
      <c r="H191" s="44">
        <f>((22/(7*4))*(D191^2)/(1000^2))*J191*solver!$B$24</f>
        <v>334.59194057142855</v>
      </c>
      <c r="I191" s="45"/>
      <c r="J191" s="46">
        <f t="shared" si="6"/>
        <v>376.72</v>
      </c>
      <c r="K191" s="29">
        <f t="shared" si="7"/>
        <v>68</v>
      </c>
      <c r="L191" s="30">
        <f t="shared" si="8"/>
        <v>2</v>
      </c>
    </row>
    <row r="192" spans="3:12" x14ac:dyDescent="0.3">
      <c r="C192" s="15" t="s">
        <v>119</v>
      </c>
      <c r="D192" s="56">
        <v>12</v>
      </c>
      <c r="E192" s="57">
        <v>272</v>
      </c>
      <c r="F192" s="57">
        <v>2.08</v>
      </c>
      <c r="G192" s="57">
        <v>6</v>
      </c>
      <c r="H192" s="44">
        <f>((22/(7*4))*(D192^2)/(1000^2))*J192*solver!$B$24</f>
        <v>502.49186742857137</v>
      </c>
      <c r="I192" s="45"/>
      <c r="J192" s="46">
        <f t="shared" si="6"/>
        <v>565.76</v>
      </c>
      <c r="K192" s="29">
        <f t="shared" si="7"/>
        <v>136</v>
      </c>
      <c r="L192" s="30">
        <f t="shared" si="8"/>
        <v>2</v>
      </c>
    </row>
    <row r="193" spans="3:12" x14ac:dyDescent="0.3">
      <c r="C193" s="15" t="s">
        <v>120</v>
      </c>
      <c r="D193" s="56">
        <v>12</v>
      </c>
      <c r="E193" s="57">
        <v>272</v>
      </c>
      <c r="F193" s="57">
        <v>0.8</v>
      </c>
      <c r="G193" s="57">
        <v>6</v>
      </c>
      <c r="H193" s="44">
        <f>((22/(7*4))*(D193^2)/(1000^2))*J193*solver!$B$24</f>
        <v>193.26610285714287</v>
      </c>
      <c r="I193" s="45"/>
      <c r="J193" s="46">
        <f t="shared" si="6"/>
        <v>217.60000000000002</v>
      </c>
      <c r="K193" s="29">
        <f t="shared" si="7"/>
        <v>39</v>
      </c>
      <c r="L193" s="30">
        <f t="shared" si="8"/>
        <v>7</v>
      </c>
    </row>
    <row r="194" spans="3:12" x14ac:dyDescent="0.3">
      <c r="C194" s="15" t="s">
        <v>121</v>
      </c>
      <c r="D194" s="56">
        <v>12</v>
      </c>
      <c r="E194" s="57">
        <v>33</v>
      </c>
      <c r="F194" s="57">
        <v>2.75</v>
      </c>
      <c r="G194" s="57">
        <v>6</v>
      </c>
      <c r="H194" s="44">
        <f>((22/(7*4))*(D194^2)/(1000^2))*J194*solver!$B$24</f>
        <v>80.601557142857132</v>
      </c>
      <c r="I194" s="45"/>
      <c r="J194" s="46">
        <f t="shared" si="6"/>
        <v>90.75</v>
      </c>
      <c r="K194" s="29">
        <f t="shared" si="7"/>
        <v>17</v>
      </c>
      <c r="L194" s="30">
        <f t="shared" si="8"/>
        <v>2</v>
      </c>
    </row>
    <row r="195" spans="3:12" x14ac:dyDescent="0.3">
      <c r="C195" s="15" t="s">
        <v>122</v>
      </c>
      <c r="D195" s="56">
        <v>12</v>
      </c>
      <c r="E195" s="57">
        <v>66</v>
      </c>
      <c r="F195" s="57">
        <v>1.95</v>
      </c>
      <c r="G195" s="57">
        <v>6</v>
      </c>
      <c r="H195" s="44">
        <f>((22/(7*4))*(D195^2)/(1000^2))*J195*solver!$B$24</f>
        <v>114.30766285714283</v>
      </c>
      <c r="I195" s="45"/>
      <c r="J195" s="46">
        <f t="shared" si="6"/>
        <v>128.69999999999999</v>
      </c>
      <c r="K195" s="29">
        <f t="shared" si="7"/>
        <v>22</v>
      </c>
      <c r="L195" s="30">
        <f t="shared" si="8"/>
        <v>3</v>
      </c>
    </row>
    <row r="196" spans="3:12" x14ac:dyDescent="0.3">
      <c r="C196" s="15" t="s">
        <v>123</v>
      </c>
      <c r="D196" s="58">
        <v>12</v>
      </c>
      <c r="E196" s="59">
        <v>66</v>
      </c>
      <c r="F196" s="59">
        <v>0.8</v>
      </c>
      <c r="G196" s="59">
        <v>6</v>
      </c>
      <c r="H196" s="49">
        <f>((22/(7*4))*(D196^2)/(1000^2))*J196*solver!$B$24</f>
        <v>46.895451428571427</v>
      </c>
      <c r="I196" s="50"/>
      <c r="J196" s="51">
        <f t="shared" ref="J196:J259" si="9">E196*F196</f>
        <v>52.800000000000004</v>
      </c>
      <c r="K196" s="35">
        <f t="shared" ref="K196:K259" si="10">IF(G196=0,0,ROUNDUP(E196/L196,0))</f>
        <v>10</v>
      </c>
      <c r="L196" s="36">
        <f t="shared" ref="L196:L259" si="11">ROUNDDOWN(G196/F196, 0)</f>
        <v>7</v>
      </c>
    </row>
    <row r="197" spans="3:12" x14ac:dyDescent="0.3">
      <c r="C197" s="14" t="s">
        <v>124</v>
      </c>
      <c r="D197" s="60">
        <v>32</v>
      </c>
      <c r="E197" s="61">
        <v>14</v>
      </c>
      <c r="F197" s="61">
        <v>10.5</v>
      </c>
      <c r="G197" s="61">
        <v>10.5</v>
      </c>
      <c r="H197" s="39">
        <f>((22/(7*4))*(D197^2)/(1000^2))*J197*solver!$B$24</f>
        <v>928.43520000000001</v>
      </c>
      <c r="I197" s="40"/>
      <c r="J197" s="41">
        <f t="shared" si="9"/>
        <v>147</v>
      </c>
      <c r="K197" s="23">
        <f t="shared" si="10"/>
        <v>14</v>
      </c>
      <c r="L197" s="24">
        <f t="shared" si="11"/>
        <v>1</v>
      </c>
    </row>
    <row r="198" spans="3:12" x14ac:dyDescent="0.3">
      <c r="C198" s="14" t="s">
        <v>125</v>
      </c>
      <c r="D198" s="62">
        <v>25</v>
      </c>
      <c r="E198" s="63">
        <v>14</v>
      </c>
      <c r="F198" s="63">
        <v>8.31</v>
      </c>
      <c r="G198" s="63">
        <v>9</v>
      </c>
      <c r="H198" s="44">
        <f>((22/(7*4))*(D198^2)/(1000^2))*J198*solver!$B$24</f>
        <v>448.48031250000008</v>
      </c>
      <c r="I198" s="45"/>
      <c r="J198" s="46">
        <f t="shared" si="9"/>
        <v>116.34</v>
      </c>
      <c r="K198" s="29">
        <f t="shared" si="10"/>
        <v>14</v>
      </c>
      <c r="L198" s="30">
        <f t="shared" si="11"/>
        <v>1</v>
      </c>
    </row>
    <row r="199" spans="3:12" x14ac:dyDescent="0.3">
      <c r="C199" s="14" t="s">
        <v>126</v>
      </c>
      <c r="D199" s="62">
        <v>32</v>
      </c>
      <c r="E199" s="63">
        <v>14</v>
      </c>
      <c r="F199" s="63">
        <v>12</v>
      </c>
      <c r="G199" s="63">
        <v>12</v>
      </c>
      <c r="H199" s="44">
        <f>((22/(7*4))*(D199^2)/(1000^2))*J199*solver!$B$24</f>
        <v>1061.0688</v>
      </c>
      <c r="I199" s="45"/>
      <c r="J199" s="46">
        <f t="shared" si="9"/>
        <v>168</v>
      </c>
      <c r="K199" s="29">
        <f t="shared" si="10"/>
        <v>14</v>
      </c>
      <c r="L199" s="30">
        <f t="shared" si="11"/>
        <v>1</v>
      </c>
    </row>
    <row r="200" spans="3:12" x14ac:dyDescent="0.3">
      <c r="C200" s="14" t="s">
        <v>127</v>
      </c>
      <c r="D200" s="62">
        <v>25</v>
      </c>
      <c r="E200" s="63">
        <v>14</v>
      </c>
      <c r="F200" s="63">
        <v>7.06</v>
      </c>
      <c r="G200" s="63">
        <v>7.5</v>
      </c>
      <c r="H200" s="44">
        <f>((22/(7*4))*(D200^2)/(1000^2))*J200*solver!$B$24</f>
        <v>381.01937499999997</v>
      </c>
      <c r="I200" s="45"/>
      <c r="J200" s="46">
        <f t="shared" si="9"/>
        <v>98.839999999999989</v>
      </c>
      <c r="K200" s="29">
        <f t="shared" si="10"/>
        <v>14</v>
      </c>
      <c r="L200" s="30">
        <f t="shared" si="11"/>
        <v>1</v>
      </c>
    </row>
    <row r="201" spans="3:12" x14ac:dyDescent="0.3">
      <c r="C201" s="14" t="s">
        <v>128</v>
      </c>
      <c r="D201" s="62">
        <v>12</v>
      </c>
      <c r="E201" s="63">
        <v>63</v>
      </c>
      <c r="F201" s="63">
        <v>2.75</v>
      </c>
      <c r="G201" s="63">
        <v>6</v>
      </c>
      <c r="H201" s="44">
        <f>((22/(7*4))*(D201^2)/(1000^2))*J201*solver!$B$24</f>
        <v>153.87569999999999</v>
      </c>
      <c r="I201" s="45"/>
      <c r="J201" s="46">
        <f t="shared" si="9"/>
        <v>173.25</v>
      </c>
      <c r="K201" s="29">
        <f t="shared" si="10"/>
        <v>32</v>
      </c>
      <c r="L201" s="30">
        <f t="shared" si="11"/>
        <v>2</v>
      </c>
    </row>
    <row r="202" spans="3:12" x14ac:dyDescent="0.3">
      <c r="C202" s="14" t="s">
        <v>129</v>
      </c>
      <c r="D202" s="62">
        <v>12</v>
      </c>
      <c r="E202" s="63">
        <v>126</v>
      </c>
      <c r="F202" s="63">
        <v>2.0699999999999998</v>
      </c>
      <c r="G202" s="63">
        <v>6</v>
      </c>
      <c r="H202" s="44">
        <f>((22/(7*4))*(D202^2)/(1000^2))*J202*solver!$B$24</f>
        <v>231.652872</v>
      </c>
      <c r="I202" s="45"/>
      <c r="J202" s="46">
        <f t="shared" si="9"/>
        <v>260.82</v>
      </c>
      <c r="K202" s="29">
        <f t="shared" si="10"/>
        <v>63</v>
      </c>
      <c r="L202" s="30">
        <f t="shared" si="11"/>
        <v>2</v>
      </c>
    </row>
    <row r="203" spans="3:12" x14ac:dyDescent="0.3">
      <c r="C203" s="14" t="s">
        <v>130</v>
      </c>
      <c r="D203" s="62">
        <v>12</v>
      </c>
      <c r="E203" s="63">
        <v>126</v>
      </c>
      <c r="F203" s="63">
        <v>0.8</v>
      </c>
      <c r="G203" s="63">
        <v>6</v>
      </c>
      <c r="H203" s="44">
        <f>((22/(7*4))*(D203^2)/(1000^2))*J203*solver!$B$24</f>
        <v>89.527680000000004</v>
      </c>
      <c r="I203" s="45"/>
      <c r="J203" s="46">
        <f t="shared" si="9"/>
        <v>100.80000000000001</v>
      </c>
      <c r="K203" s="29">
        <f t="shared" si="10"/>
        <v>18</v>
      </c>
      <c r="L203" s="30">
        <f t="shared" si="11"/>
        <v>7</v>
      </c>
    </row>
    <row r="204" spans="3:12" x14ac:dyDescent="0.3">
      <c r="C204" s="14" t="s">
        <v>131</v>
      </c>
      <c r="D204" s="62">
        <v>16</v>
      </c>
      <c r="E204" s="63">
        <v>55</v>
      </c>
      <c r="F204" s="63">
        <v>2.83</v>
      </c>
      <c r="G204" s="63">
        <v>6</v>
      </c>
      <c r="H204" s="44">
        <f>((22/(7*4))*(D204^2)/(1000^2))*J204*solver!$B$24</f>
        <v>245.76690285714287</v>
      </c>
      <c r="I204" s="45"/>
      <c r="J204" s="46">
        <f t="shared" si="9"/>
        <v>155.65</v>
      </c>
      <c r="K204" s="29">
        <f t="shared" si="10"/>
        <v>28</v>
      </c>
      <c r="L204" s="30">
        <f t="shared" si="11"/>
        <v>2</v>
      </c>
    </row>
    <row r="205" spans="3:12" x14ac:dyDescent="0.3">
      <c r="C205" s="14" t="s">
        <v>132</v>
      </c>
      <c r="D205" s="62">
        <v>16</v>
      </c>
      <c r="E205" s="63">
        <v>110</v>
      </c>
      <c r="F205" s="63">
        <v>3.05</v>
      </c>
      <c r="G205" s="63">
        <v>7.5</v>
      </c>
      <c r="H205" s="44">
        <f>((22/(7*4))*(D205^2)/(1000^2))*J205*solver!$B$24</f>
        <v>529.74491428571423</v>
      </c>
      <c r="I205" s="45"/>
      <c r="J205" s="46">
        <f t="shared" si="9"/>
        <v>335.5</v>
      </c>
      <c r="K205" s="29">
        <f t="shared" si="10"/>
        <v>55</v>
      </c>
      <c r="L205" s="30">
        <f t="shared" si="11"/>
        <v>2</v>
      </c>
    </row>
    <row r="206" spans="3:12" x14ac:dyDescent="0.3">
      <c r="C206" s="14" t="s">
        <v>133</v>
      </c>
      <c r="D206" s="62">
        <v>16</v>
      </c>
      <c r="E206" s="63">
        <v>110</v>
      </c>
      <c r="F206" s="63">
        <v>0.86</v>
      </c>
      <c r="G206" s="63">
        <v>6</v>
      </c>
      <c r="H206" s="44">
        <f>((22/(7*4))*(D206^2)/(1000^2))*J206*solver!$B$24</f>
        <v>149.37069714285713</v>
      </c>
      <c r="I206" s="45"/>
      <c r="J206" s="46">
        <f t="shared" si="9"/>
        <v>94.6</v>
      </c>
      <c r="K206" s="29">
        <f t="shared" si="10"/>
        <v>19</v>
      </c>
      <c r="L206" s="30">
        <f t="shared" si="11"/>
        <v>6</v>
      </c>
    </row>
    <row r="207" spans="3:12" x14ac:dyDescent="0.3">
      <c r="C207" s="14" t="s">
        <v>134</v>
      </c>
      <c r="D207" s="62">
        <v>16</v>
      </c>
      <c r="E207" s="63">
        <v>55</v>
      </c>
      <c r="F207" s="63">
        <v>2.8</v>
      </c>
      <c r="G207" s="63">
        <v>6</v>
      </c>
      <c r="H207" s="44">
        <f>((22/(7*4))*(D207^2)/(1000^2))*J207*solver!$B$24</f>
        <v>243.16159999999999</v>
      </c>
      <c r="I207" s="45"/>
      <c r="J207" s="46">
        <f t="shared" si="9"/>
        <v>154</v>
      </c>
      <c r="K207" s="29">
        <f t="shared" si="10"/>
        <v>28</v>
      </c>
      <c r="L207" s="30">
        <f t="shared" si="11"/>
        <v>2</v>
      </c>
    </row>
    <row r="208" spans="3:12" x14ac:dyDescent="0.3">
      <c r="C208" s="14" t="s">
        <v>135</v>
      </c>
      <c r="D208" s="62">
        <v>16</v>
      </c>
      <c r="E208" s="63">
        <v>110</v>
      </c>
      <c r="F208" s="63">
        <v>1.85</v>
      </c>
      <c r="G208" s="63">
        <v>6</v>
      </c>
      <c r="H208" s="44">
        <f>((22/(7*4))*(D208^2)/(1000^2))*J208*solver!$B$24</f>
        <v>321.32068571428573</v>
      </c>
      <c r="I208" s="45"/>
      <c r="J208" s="46">
        <f t="shared" si="9"/>
        <v>203.5</v>
      </c>
      <c r="K208" s="29">
        <f t="shared" si="10"/>
        <v>37</v>
      </c>
      <c r="L208" s="30">
        <f t="shared" si="11"/>
        <v>3</v>
      </c>
    </row>
    <row r="209" spans="3:12" x14ac:dyDescent="0.3">
      <c r="C209" s="14" t="s">
        <v>136</v>
      </c>
      <c r="D209" s="62">
        <v>12</v>
      </c>
      <c r="E209" s="63">
        <v>28</v>
      </c>
      <c r="F209" s="63">
        <v>2.72</v>
      </c>
      <c r="G209" s="63">
        <v>6</v>
      </c>
      <c r="H209" s="44">
        <f>((22/(7*4))*(D209^2)/(1000^2))*J209*solver!$B$24</f>
        <v>67.643135999999998</v>
      </c>
      <c r="I209" s="45"/>
      <c r="J209" s="46">
        <f t="shared" si="9"/>
        <v>76.160000000000011</v>
      </c>
      <c r="K209" s="29">
        <f t="shared" si="10"/>
        <v>14</v>
      </c>
      <c r="L209" s="30">
        <f t="shared" si="11"/>
        <v>2</v>
      </c>
    </row>
    <row r="210" spans="3:12" x14ac:dyDescent="0.3">
      <c r="C210" s="14" t="s">
        <v>137</v>
      </c>
      <c r="D210" s="68">
        <v>12</v>
      </c>
      <c r="E210" s="69">
        <v>56</v>
      </c>
      <c r="F210" s="69">
        <v>1.77</v>
      </c>
      <c r="G210" s="69">
        <v>6</v>
      </c>
      <c r="H210" s="49">
        <f>((22/(7*4))*(D210^2)/(1000^2))*J210*solver!$B$24</f>
        <v>88.035551999999996</v>
      </c>
      <c r="I210" s="50"/>
      <c r="J210" s="51">
        <f t="shared" si="9"/>
        <v>99.12</v>
      </c>
      <c r="K210" s="35">
        <f t="shared" si="10"/>
        <v>19</v>
      </c>
      <c r="L210" s="36">
        <f t="shared" si="11"/>
        <v>3</v>
      </c>
    </row>
    <row r="211" spans="3:12" x14ac:dyDescent="0.3">
      <c r="C211" s="15" t="s">
        <v>138</v>
      </c>
      <c r="D211" s="54">
        <v>32</v>
      </c>
      <c r="E211" s="55">
        <v>14</v>
      </c>
      <c r="F211" s="55">
        <v>7</v>
      </c>
      <c r="G211" s="55">
        <v>7.5</v>
      </c>
      <c r="H211" s="39">
        <f>((22/(7*4))*(D211^2)/(1000^2))*J211*solver!$B$24</f>
        <v>618.95680000000004</v>
      </c>
      <c r="I211" s="40"/>
      <c r="J211" s="41">
        <f t="shared" si="9"/>
        <v>98</v>
      </c>
      <c r="K211" s="23">
        <f t="shared" si="10"/>
        <v>14</v>
      </c>
      <c r="L211" s="24">
        <f t="shared" si="11"/>
        <v>1</v>
      </c>
    </row>
    <row r="212" spans="3:12" x14ac:dyDescent="0.3">
      <c r="C212" s="15" t="s">
        <v>139</v>
      </c>
      <c r="D212" s="56">
        <v>25</v>
      </c>
      <c r="E212" s="57">
        <v>14</v>
      </c>
      <c r="F212" s="57">
        <v>11.95</v>
      </c>
      <c r="G212" s="57">
        <v>12</v>
      </c>
      <c r="H212" s="44">
        <f>((22/(7*4))*(D212^2)/(1000^2))*J212*solver!$B$24</f>
        <v>644.92656250000005</v>
      </c>
      <c r="I212" s="45"/>
      <c r="J212" s="46">
        <f t="shared" si="9"/>
        <v>167.29999999999998</v>
      </c>
      <c r="K212" s="29">
        <f t="shared" si="10"/>
        <v>14</v>
      </c>
      <c r="L212" s="30">
        <f t="shared" si="11"/>
        <v>1</v>
      </c>
    </row>
    <row r="213" spans="3:12" x14ac:dyDescent="0.3">
      <c r="C213" s="15" t="s">
        <v>140</v>
      </c>
      <c r="D213" s="56">
        <v>32</v>
      </c>
      <c r="E213" s="57">
        <v>14</v>
      </c>
      <c r="F213" s="57">
        <v>8.31</v>
      </c>
      <c r="G213" s="57">
        <v>9</v>
      </c>
      <c r="H213" s="44">
        <f>((22/(7*4))*(D213^2)/(1000^2))*J213*solver!$B$24</f>
        <v>734.79014400000005</v>
      </c>
      <c r="I213" s="45"/>
      <c r="J213" s="46">
        <f t="shared" si="9"/>
        <v>116.34</v>
      </c>
      <c r="K213" s="29">
        <f t="shared" si="10"/>
        <v>14</v>
      </c>
      <c r="L213" s="30">
        <f t="shared" si="11"/>
        <v>1</v>
      </c>
    </row>
    <row r="214" spans="3:12" x14ac:dyDescent="0.3">
      <c r="C214" s="15" t="s">
        <v>141</v>
      </c>
      <c r="D214" s="56">
        <v>25</v>
      </c>
      <c r="E214" s="57">
        <v>14</v>
      </c>
      <c r="F214" s="57">
        <v>11.06</v>
      </c>
      <c r="G214" s="57">
        <v>12</v>
      </c>
      <c r="H214" s="44">
        <f>((22/(7*4))*(D214^2)/(1000^2))*J214*solver!$B$24</f>
        <v>596.89437500000008</v>
      </c>
      <c r="I214" s="45"/>
      <c r="J214" s="46">
        <f t="shared" si="9"/>
        <v>154.84</v>
      </c>
      <c r="K214" s="29">
        <f t="shared" si="10"/>
        <v>14</v>
      </c>
      <c r="L214" s="30">
        <f t="shared" si="11"/>
        <v>1</v>
      </c>
    </row>
    <row r="215" spans="3:12" x14ac:dyDescent="0.3">
      <c r="C215" s="15" t="s">
        <v>142</v>
      </c>
      <c r="D215" s="56">
        <v>25</v>
      </c>
      <c r="E215" s="57">
        <v>4</v>
      </c>
      <c r="F215" s="57">
        <v>8.31</v>
      </c>
      <c r="G215" s="57">
        <v>9</v>
      </c>
      <c r="H215" s="44">
        <f>((22/(7*4))*(D215^2)/(1000^2))*J215*solver!$B$24</f>
        <v>128.13723214285716</v>
      </c>
      <c r="I215" s="45"/>
      <c r="J215" s="46">
        <f t="shared" si="9"/>
        <v>33.24</v>
      </c>
      <c r="K215" s="29">
        <f t="shared" si="10"/>
        <v>4</v>
      </c>
      <c r="L215" s="30">
        <f t="shared" si="11"/>
        <v>1</v>
      </c>
    </row>
    <row r="216" spans="3:12" x14ac:dyDescent="0.3">
      <c r="C216" s="15" t="s">
        <v>143</v>
      </c>
      <c r="D216" s="56">
        <v>25</v>
      </c>
      <c r="E216" s="57">
        <v>4</v>
      </c>
      <c r="F216" s="57">
        <v>7.11</v>
      </c>
      <c r="G216" s="57">
        <v>7.5</v>
      </c>
      <c r="H216" s="44">
        <f>((22/(7*4))*(D216^2)/(1000^2))*J216*solver!$B$24</f>
        <v>109.63366071428572</v>
      </c>
      <c r="I216" s="45"/>
      <c r="J216" s="46">
        <f t="shared" si="9"/>
        <v>28.44</v>
      </c>
      <c r="K216" s="29">
        <f t="shared" si="10"/>
        <v>4</v>
      </c>
      <c r="L216" s="30">
        <f t="shared" si="11"/>
        <v>1</v>
      </c>
    </row>
    <row r="217" spans="3:12" x14ac:dyDescent="0.3">
      <c r="C217" s="15" t="s">
        <v>144</v>
      </c>
      <c r="D217" s="56">
        <v>25</v>
      </c>
      <c r="E217" s="57">
        <v>10</v>
      </c>
      <c r="F217" s="57">
        <v>1.36</v>
      </c>
      <c r="G217" s="57">
        <v>6</v>
      </c>
      <c r="H217" s="44">
        <f>((22/(7*4))*(D217^2)/(1000^2))*J217*solver!$B$24</f>
        <v>52.426785714285721</v>
      </c>
      <c r="I217" s="45"/>
      <c r="J217" s="46">
        <f t="shared" si="9"/>
        <v>13.600000000000001</v>
      </c>
      <c r="K217" s="29">
        <f t="shared" si="10"/>
        <v>3</v>
      </c>
      <c r="L217" s="30">
        <f t="shared" si="11"/>
        <v>4</v>
      </c>
    </row>
    <row r="218" spans="3:12" x14ac:dyDescent="0.3">
      <c r="C218" s="15" t="s">
        <v>145</v>
      </c>
      <c r="D218" s="56">
        <v>12</v>
      </c>
      <c r="E218" s="57">
        <v>63</v>
      </c>
      <c r="F218" s="57">
        <v>2.75</v>
      </c>
      <c r="G218" s="57">
        <v>6</v>
      </c>
      <c r="H218" s="44">
        <f>((22/(7*4))*(D218^2)/(1000^2))*J218*solver!$B$24</f>
        <v>153.87569999999999</v>
      </c>
      <c r="I218" s="45"/>
      <c r="J218" s="46">
        <f t="shared" si="9"/>
        <v>173.25</v>
      </c>
      <c r="K218" s="29">
        <f t="shared" si="10"/>
        <v>32</v>
      </c>
      <c r="L218" s="30">
        <f t="shared" si="11"/>
        <v>2</v>
      </c>
    </row>
    <row r="219" spans="3:12" x14ac:dyDescent="0.3">
      <c r="C219" s="15" t="s">
        <v>146</v>
      </c>
      <c r="D219" s="56">
        <v>12</v>
      </c>
      <c r="E219" s="57">
        <v>126</v>
      </c>
      <c r="F219" s="57">
        <v>2.0699999999999998</v>
      </c>
      <c r="G219" s="57">
        <v>6</v>
      </c>
      <c r="H219" s="44">
        <f>((22/(7*4))*(D219^2)/(1000^2))*J219*solver!$B$24</f>
        <v>231.652872</v>
      </c>
      <c r="I219" s="45"/>
      <c r="J219" s="46">
        <f t="shared" si="9"/>
        <v>260.82</v>
      </c>
      <c r="K219" s="29">
        <f t="shared" si="10"/>
        <v>63</v>
      </c>
      <c r="L219" s="30">
        <f t="shared" si="11"/>
        <v>2</v>
      </c>
    </row>
    <row r="220" spans="3:12" x14ac:dyDescent="0.3">
      <c r="C220" s="15" t="s">
        <v>147</v>
      </c>
      <c r="D220" s="56">
        <v>12</v>
      </c>
      <c r="E220" s="57">
        <v>126</v>
      </c>
      <c r="F220" s="57">
        <v>0.8</v>
      </c>
      <c r="G220" s="57">
        <v>6</v>
      </c>
      <c r="H220" s="44">
        <f>((22/(7*4))*(D220^2)/(1000^2))*J220*solver!$B$24</f>
        <v>89.527680000000004</v>
      </c>
      <c r="I220" s="45"/>
      <c r="J220" s="46">
        <f t="shared" si="9"/>
        <v>100.80000000000001</v>
      </c>
      <c r="K220" s="29">
        <f t="shared" si="10"/>
        <v>18</v>
      </c>
      <c r="L220" s="30">
        <f t="shared" si="11"/>
        <v>7</v>
      </c>
    </row>
    <row r="221" spans="3:12" x14ac:dyDescent="0.3">
      <c r="C221" s="15" t="s">
        <v>148</v>
      </c>
      <c r="D221" s="56">
        <v>12</v>
      </c>
      <c r="E221" s="57">
        <v>61</v>
      </c>
      <c r="F221" s="57">
        <v>2.75</v>
      </c>
      <c r="G221" s="57">
        <v>6</v>
      </c>
      <c r="H221" s="44">
        <f>((22/(7*4))*(D221^2)/(1000^2))*J221*solver!$B$24</f>
        <v>148.99075714285712</v>
      </c>
      <c r="I221" s="45"/>
      <c r="J221" s="46">
        <f t="shared" si="9"/>
        <v>167.75</v>
      </c>
      <c r="K221" s="29">
        <f t="shared" si="10"/>
        <v>31</v>
      </c>
      <c r="L221" s="30">
        <f t="shared" si="11"/>
        <v>2</v>
      </c>
    </row>
    <row r="222" spans="3:12" x14ac:dyDescent="0.3">
      <c r="C222" s="15" t="s">
        <v>149</v>
      </c>
      <c r="D222" s="56">
        <v>12</v>
      </c>
      <c r="E222" s="57">
        <v>122</v>
      </c>
      <c r="F222" s="57">
        <v>1.95</v>
      </c>
      <c r="G222" s="57">
        <v>6</v>
      </c>
      <c r="H222" s="44">
        <f>((22/(7*4))*(D222^2)/(1000^2))*J222*solver!$B$24</f>
        <v>211.29598285714286</v>
      </c>
      <c r="I222" s="45"/>
      <c r="J222" s="46">
        <f t="shared" si="9"/>
        <v>237.9</v>
      </c>
      <c r="K222" s="29">
        <f t="shared" si="10"/>
        <v>41</v>
      </c>
      <c r="L222" s="30">
        <f t="shared" si="11"/>
        <v>3</v>
      </c>
    </row>
    <row r="223" spans="3:12" x14ac:dyDescent="0.3">
      <c r="C223" s="15" t="s">
        <v>150</v>
      </c>
      <c r="D223" s="56">
        <v>12</v>
      </c>
      <c r="E223" s="57">
        <v>122</v>
      </c>
      <c r="F223" s="57">
        <v>0.8</v>
      </c>
      <c r="G223" s="57">
        <v>6</v>
      </c>
      <c r="H223" s="44">
        <f>((22/(7*4))*(D223^2)/(1000^2))*J223*solver!$B$24</f>
        <v>86.685531428571437</v>
      </c>
      <c r="I223" s="45"/>
      <c r="J223" s="46">
        <f t="shared" si="9"/>
        <v>97.600000000000009</v>
      </c>
      <c r="K223" s="29">
        <f t="shared" si="10"/>
        <v>18</v>
      </c>
      <c r="L223" s="30">
        <f t="shared" si="11"/>
        <v>7</v>
      </c>
    </row>
    <row r="224" spans="3:12" x14ac:dyDescent="0.3">
      <c r="C224" s="15" t="s">
        <v>151</v>
      </c>
      <c r="D224" s="56">
        <v>10</v>
      </c>
      <c r="E224" s="57">
        <v>28</v>
      </c>
      <c r="F224" s="57">
        <v>2.7</v>
      </c>
      <c r="G224" s="57">
        <v>6</v>
      </c>
      <c r="H224" s="44">
        <f>((22/(7*4))*(D224^2)/(1000^2))*J224*solver!$B$24</f>
        <v>46.628999999999998</v>
      </c>
      <c r="I224" s="45"/>
      <c r="J224" s="46">
        <f t="shared" si="9"/>
        <v>75.600000000000009</v>
      </c>
      <c r="K224" s="29">
        <f t="shared" si="10"/>
        <v>14</v>
      </c>
      <c r="L224" s="30">
        <f t="shared" si="11"/>
        <v>2</v>
      </c>
    </row>
    <row r="225" spans="3:12" x14ac:dyDescent="0.3">
      <c r="C225" s="15" t="s">
        <v>152</v>
      </c>
      <c r="D225" s="58">
        <v>10</v>
      </c>
      <c r="E225" s="59">
        <v>56</v>
      </c>
      <c r="F225" s="59">
        <v>1.75</v>
      </c>
      <c r="G225" s="59">
        <v>6</v>
      </c>
      <c r="H225" s="49">
        <f>((22/(7*4))*(D225^2)/(1000^2))*J225*solver!$B$24</f>
        <v>60.444999999999993</v>
      </c>
      <c r="I225" s="50"/>
      <c r="J225" s="51">
        <f t="shared" si="9"/>
        <v>98</v>
      </c>
      <c r="K225" s="35">
        <f t="shared" si="10"/>
        <v>19</v>
      </c>
      <c r="L225" s="36">
        <f t="shared" si="11"/>
        <v>3</v>
      </c>
    </row>
    <row r="226" spans="3:12" x14ac:dyDescent="0.3">
      <c r="C226" s="14" t="s">
        <v>153</v>
      </c>
      <c r="D226" s="60">
        <v>32</v>
      </c>
      <c r="E226" s="61">
        <v>14</v>
      </c>
      <c r="F226" s="61">
        <v>12</v>
      </c>
      <c r="G226" s="61">
        <v>12</v>
      </c>
      <c r="H226" s="39">
        <f>((22/(7*4))*(D226^2)/(1000^2))*J226*solver!$B$24</f>
        <v>1061.0688</v>
      </c>
      <c r="I226" s="40"/>
      <c r="J226" s="41">
        <f t="shared" si="9"/>
        <v>168</v>
      </c>
      <c r="K226" s="23">
        <f t="shared" si="10"/>
        <v>14</v>
      </c>
      <c r="L226" s="24">
        <f t="shared" si="11"/>
        <v>1</v>
      </c>
    </row>
    <row r="227" spans="3:12" x14ac:dyDescent="0.3">
      <c r="C227" s="14" t="s">
        <v>154</v>
      </c>
      <c r="D227" s="62">
        <v>25</v>
      </c>
      <c r="E227" s="63">
        <v>14</v>
      </c>
      <c r="F227" s="63">
        <v>7.37</v>
      </c>
      <c r="G227" s="63">
        <v>7.5</v>
      </c>
      <c r="H227" s="44">
        <f>((22/(7*4))*(D227^2)/(1000^2))*J227*solver!$B$24</f>
        <v>397.74968750000005</v>
      </c>
      <c r="I227" s="45"/>
      <c r="J227" s="46">
        <f t="shared" si="9"/>
        <v>103.18</v>
      </c>
      <c r="K227" s="29">
        <f t="shared" si="10"/>
        <v>14</v>
      </c>
      <c r="L227" s="30">
        <f t="shared" si="11"/>
        <v>1</v>
      </c>
    </row>
    <row r="228" spans="3:12" x14ac:dyDescent="0.3">
      <c r="C228" s="14" t="s">
        <v>155</v>
      </c>
      <c r="D228" s="62">
        <v>32</v>
      </c>
      <c r="E228" s="63">
        <v>14</v>
      </c>
      <c r="F228" s="63">
        <v>10.52</v>
      </c>
      <c r="G228" s="63">
        <v>12</v>
      </c>
      <c r="H228" s="44">
        <f>((22/(7*4))*(D228^2)/(1000^2))*J228*solver!$B$24</f>
        <v>930.20364799999993</v>
      </c>
      <c r="I228" s="45"/>
      <c r="J228" s="46">
        <f t="shared" si="9"/>
        <v>147.28</v>
      </c>
      <c r="K228" s="29">
        <f t="shared" si="10"/>
        <v>14</v>
      </c>
      <c r="L228" s="30">
        <f t="shared" si="11"/>
        <v>1</v>
      </c>
    </row>
    <row r="229" spans="3:12" x14ac:dyDescent="0.3">
      <c r="C229" s="14" t="s">
        <v>156</v>
      </c>
      <c r="D229" s="62">
        <v>25</v>
      </c>
      <c r="E229" s="63">
        <v>14</v>
      </c>
      <c r="F229" s="63">
        <v>8.8699999999999992</v>
      </c>
      <c r="G229" s="63">
        <v>9</v>
      </c>
      <c r="H229" s="44">
        <f>((22/(7*4))*(D229^2)/(1000^2))*J229*solver!$B$24</f>
        <v>478.70281249999999</v>
      </c>
      <c r="I229" s="45"/>
      <c r="J229" s="46">
        <f t="shared" si="9"/>
        <v>124.17999999999999</v>
      </c>
      <c r="K229" s="29">
        <f t="shared" si="10"/>
        <v>14</v>
      </c>
      <c r="L229" s="30">
        <f t="shared" si="11"/>
        <v>1</v>
      </c>
    </row>
    <row r="230" spans="3:12" x14ac:dyDescent="0.3">
      <c r="C230" s="14" t="s">
        <v>157</v>
      </c>
      <c r="D230" s="62">
        <v>12</v>
      </c>
      <c r="E230" s="63">
        <v>142</v>
      </c>
      <c r="F230" s="63">
        <v>3.43</v>
      </c>
      <c r="G230" s="63">
        <v>7.5</v>
      </c>
      <c r="H230" s="44">
        <f>((22/(7*4))*(D230^2)/(1000^2))*J230*solver!$B$24</f>
        <v>432.59277599999996</v>
      </c>
      <c r="I230" s="45"/>
      <c r="J230" s="46">
        <f t="shared" si="9"/>
        <v>487.06</v>
      </c>
      <c r="K230" s="29">
        <f t="shared" si="10"/>
        <v>71</v>
      </c>
      <c r="L230" s="30">
        <f t="shared" si="11"/>
        <v>2</v>
      </c>
    </row>
    <row r="231" spans="3:12" x14ac:dyDescent="0.3">
      <c r="C231" s="14" t="s">
        <v>158</v>
      </c>
      <c r="D231" s="62">
        <v>12</v>
      </c>
      <c r="E231" s="63">
        <v>128</v>
      </c>
      <c r="F231" s="63">
        <v>2.75</v>
      </c>
      <c r="G231" s="63">
        <v>6</v>
      </c>
      <c r="H231" s="44">
        <f>((22/(7*4))*(D231^2)/(1000^2))*J231*solver!$B$24</f>
        <v>312.63634285714284</v>
      </c>
      <c r="I231" s="45"/>
      <c r="J231" s="46">
        <f t="shared" si="9"/>
        <v>352</v>
      </c>
      <c r="K231" s="29">
        <f t="shared" si="10"/>
        <v>64</v>
      </c>
      <c r="L231" s="30">
        <f t="shared" si="11"/>
        <v>2</v>
      </c>
    </row>
    <row r="232" spans="3:12" x14ac:dyDescent="0.3">
      <c r="C232" s="14" t="s">
        <v>159</v>
      </c>
      <c r="D232" s="62">
        <v>12</v>
      </c>
      <c r="E232" s="63">
        <v>192</v>
      </c>
      <c r="F232" s="63">
        <v>0.8</v>
      </c>
      <c r="G232" s="63">
        <v>6</v>
      </c>
      <c r="H232" s="44">
        <f>((22/(7*4))*(D232^2)/(1000^2))*J232*solver!$B$24</f>
        <v>136.42313142857145</v>
      </c>
      <c r="I232" s="45"/>
      <c r="J232" s="46">
        <f t="shared" si="9"/>
        <v>153.60000000000002</v>
      </c>
      <c r="K232" s="29">
        <f t="shared" si="10"/>
        <v>28</v>
      </c>
      <c r="L232" s="30">
        <f t="shared" si="11"/>
        <v>7</v>
      </c>
    </row>
    <row r="233" spans="3:12" x14ac:dyDescent="0.3">
      <c r="C233" s="14" t="s">
        <v>160</v>
      </c>
      <c r="D233" s="62">
        <v>12</v>
      </c>
      <c r="E233" s="63">
        <v>66</v>
      </c>
      <c r="F233" s="63">
        <v>1.95</v>
      </c>
      <c r="G233" s="63">
        <v>6</v>
      </c>
      <c r="H233" s="44">
        <f>((22/(7*4))*(D233^2)/(1000^2))*J233*solver!$B$24</f>
        <v>114.30766285714283</v>
      </c>
      <c r="I233" s="45"/>
      <c r="J233" s="46">
        <f t="shared" si="9"/>
        <v>128.69999999999999</v>
      </c>
      <c r="K233" s="29">
        <f t="shared" si="10"/>
        <v>22</v>
      </c>
      <c r="L233" s="30">
        <f t="shared" si="11"/>
        <v>3</v>
      </c>
    </row>
    <row r="234" spans="3:12" x14ac:dyDescent="0.3">
      <c r="C234" s="14" t="s">
        <v>161</v>
      </c>
      <c r="D234" s="62">
        <v>10</v>
      </c>
      <c r="E234" s="63">
        <v>28</v>
      </c>
      <c r="F234" s="63">
        <v>2.7</v>
      </c>
      <c r="G234" s="63">
        <v>6</v>
      </c>
      <c r="H234" s="44">
        <f>((22/(7*4))*(D234^2)/(1000^2))*J234*solver!$B$24</f>
        <v>46.628999999999998</v>
      </c>
      <c r="I234" s="45"/>
      <c r="J234" s="46">
        <f t="shared" si="9"/>
        <v>75.600000000000009</v>
      </c>
      <c r="K234" s="29">
        <f t="shared" si="10"/>
        <v>14</v>
      </c>
      <c r="L234" s="30">
        <f t="shared" si="11"/>
        <v>2</v>
      </c>
    </row>
    <row r="235" spans="3:12" x14ac:dyDescent="0.3">
      <c r="C235" s="14" t="s">
        <v>162</v>
      </c>
      <c r="D235" s="62">
        <v>10</v>
      </c>
      <c r="E235" s="63">
        <v>56</v>
      </c>
      <c r="F235" s="63">
        <v>2.0299999999999998</v>
      </c>
      <c r="G235" s="63">
        <v>6</v>
      </c>
      <c r="H235" s="44">
        <f>((22/(7*4))*(D235^2)/(1000^2))*J235*solver!$B$24</f>
        <v>70.116199999999992</v>
      </c>
      <c r="I235" s="45"/>
      <c r="J235" s="46">
        <f t="shared" si="9"/>
        <v>113.67999999999999</v>
      </c>
      <c r="K235" s="29">
        <f t="shared" si="10"/>
        <v>28</v>
      </c>
      <c r="L235" s="30">
        <f t="shared" si="11"/>
        <v>2</v>
      </c>
    </row>
    <row r="236" spans="3:12" x14ac:dyDescent="0.3">
      <c r="C236" s="14" t="s">
        <v>163</v>
      </c>
      <c r="D236" s="68">
        <v>10</v>
      </c>
      <c r="E236" s="69">
        <v>56</v>
      </c>
      <c r="F236" s="69">
        <v>0.77</v>
      </c>
      <c r="G236" s="69">
        <v>6</v>
      </c>
      <c r="H236" s="49">
        <f>((22/(7*4))*(D236^2)/(1000^2))*J236*solver!$B$24</f>
        <v>26.595800000000001</v>
      </c>
      <c r="I236" s="50"/>
      <c r="J236" s="51">
        <f t="shared" si="9"/>
        <v>43.120000000000005</v>
      </c>
      <c r="K236" s="35">
        <f t="shared" si="10"/>
        <v>8</v>
      </c>
      <c r="L236" s="36">
        <f t="shared" si="11"/>
        <v>7</v>
      </c>
    </row>
    <row r="237" spans="3:12" x14ac:dyDescent="0.3">
      <c r="C237" s="15" t="s">
        <v>164</v>
      </c>
      <c r="D237" s="54">
        <v>32</v>
      </c>
      <c r="E237" s="55">
        <v>14</v>
      </c>
      <c r="F237" s="55">
        <v>7.06</v>
      </c>
      <c r="G237" s="55">
        <v>7.5</v>
      </c>
      <c r="H237" s="39">
        <f>((22/(7*4))*(D237^2)/(1000^2))*J237*solver!$B$24</f>
        <v>624.26214400000003</v>
      </c>
      <c r="I237" s="40"/>
      <c r="J237" s="41">
        <f t="shared" si="9"/>
        <v>98.839999999999989</v>
      </c>
      <c r="K237" s="23">
        <f t="shared" si="10"/>
        <v>14</v>
      </c>
      <c r="L237" s="24">
        <f t="shared" si="11"/>
        <v>1</v>
      </c>
    </row>
    <row r="238" spans="3:12" x14ac:dyDescent="0.3">
      <c r="C238" s="15" t="s">
        <v>165</v>
      </c>
      <c r="D238" s="56">
        <v>25</v>
      </c>
      <c r="E238" s="57">
        <v>10</v>
      </c>
      <c r="F238" s="57">
        <v>11.95</v>
      </c>
      <c r="G238" s="57">
        <v>12</v>
      </c>
      <c r="H238" s="44">
        <f>((22/(7*4))*(D238^2)/(1000^2))*J238*solver!$B$24</f>
        <v>460.66183035714289</v>
      </c>
      <c r="I238" s="45"/>
      <c r="J238" s="46">
        <f t="shared" si="9"/>
        <v>119.5</v>
      </c>
      <c r="K238" s="29">
        <f t="shared" si="10"/>
        <v>10</v>
      </c>
      <c r="L238" s="30">
        <f t="shared" si="11"/>
        <v>1</v>
      </c>
    </row>
    <row r="239" spans="3:12" x14ac:dyDescent="0.3">
      <c r="C239" s="15" t="s">
        <v>166</v>
      </c>
      <c r="D239" s="56">
        <v>32</v>
      </c>
      <c r="E239" s="57">
        <v>14</v>
      </c>
      <c r="F239" s="57">
        <v>8.31</v>
      </c>
      <c r="G239" s="57">
        <v>9</v>
      </c>
      <c r="H239" s="44">
        <f>((22/(7*4))*(D239^2)/(1000^2))*J239*solver!$B$24</f>
        <v>734.79014400000005</v>
      </c>
      <c r="I239" s="45"/>
      <c r="J239" s="46">
        <f t="shared" si="9"/>
        <v>116.34</v>
      </c>
      <c r="K239" s="29">
        <f t="shared" si="10"/>
        <v>14</v>
      </c>
      <c r="L239" s="30">
        <f t="shared" si="11"/>
        <v>1</v>
      </c>
    </row>
    <row r="240" spans="3:12" x14ac:dyDescent="0.3">
      <c r="C240" s="15" t="s">
        <v>167</v>
      </c>
      <c r="D240" s="56">
        <v>25</v>
      </c>
      <c r="E240" s="57">
        <v>10</v>
      </c>
      <c r="F240" s="57">
        <v>11.06</v>
      </c>
      <c r="G240" s="57">
        <v>12</v>
      </c>
      <c r="H240" s="44">
        <f>((22/(7*4))*(D240^2)/(1000^2))*J240*solver!$B$24</f>
        <v>426.35312500000003</v>
      </c>
      <c r="I240" s="45"/>
      <c r="J240" s="46">
        <f t="shared" si="9"/>
        <v>110.60000000000001</v>
      </c>
      <c r="K240" s="29">
        <f t="shared" si="10"/>
        <v>10</v>
      </c>
      <c r="L240" s="30">
        <f t="shared" si="11"/>
        <v>1</v>
      </c>
    </row>
    <row r="241" spans="3:12" x14ac:dyDescent="0.3">
      <c r="C241" s="15" t="s">
        <v>168</v>
      </c>
      <c r="D241" s="56">
        <v>25</v>
      </c>
      <c r="E241" s="57">
        <v>4</v>
      </c>
      <c r="F241" s="57">
        <v>4.3099999999999996</v>
      </c>
      <c r="G241" s="57">
        <v>6</v>
      </c>
      <c r="H241" s="44">
        <f>((22/(7*4))*(D241^2)/(1000^2))*J241*solver!$B$24</f>
        <v>66.458660714285713</v>
      </c>
      <c r="I241" s="45"/>
      <c r="J241" s="46">
        <f t="shared" si="9"/>
        <v>17.239999999999998</v>
      </c>
      <c r="K241" s="29">
        <f t="shared" si="10"/>
        <v>4</v>
      </c>
      <c r="L241" s="30">
        <f t="shared" si="11"/>
        <v>1</v>
      </c>
    </row>
    <row r="242" spans="3:12" x14ac:dyDescent="0.3">
      <c r="C242" s="15" t="s">
        <v>169</v>
      </c>
      <c r="D242" s="56">
        <v>25</v>
      </c>
      <c r="E242" s="57">
        <v>4</v>
      </c>
      <c r="F242" s="57">
        <v>3</v>
      </c>
      <c r="G242" s="57">
        <v>6</v>
      </c>
      <c r="H242" s="44">
        <f>((22/(7*4))*(D242^2)/(1000^2))*J242*solver!$B$24</f>
        <v>46.258928571428577</v>
      </c>
      <c r="I242" s="45"/>
      <c r="J242" s="46">
        <f t="shared" si="9"/>
        <v>12</v>
      </c>
      <c r="K242" s="29">
        <f t="shared" si="10"/>
        <v>2</v>
      </c>
      <c r="L242" s="30">
        <f t="shared" si="11"/>
        <v>2</v>
      </c>
    </row>
    <row r="243" spans="3:12" x14ac:dyDescent="0.3">
      <c r="C243" s="15" t="s">
        <v>170</v>
      </c>
      <c r="D243" s="56">
        <v>25</v>
      </c>
      <c r="E243" s="57">
        <v>10</v>
      </c>
      <c r="F243" s="57">
        <v>1.86</v>
      </c>
      <c r="G243" s="57">
        <v>6</v>
      </c>
      <c r="H243" s="44">
        <f>((22/(7*4))*(D243^2)/(1000^2))*J243*solver!$B$24</f>
        <v>71.701339285714297</v>
      </c>
      <c r="I243" s="45"/>
      <c r="J243" s="46">
        <f t="shared" si="9"/>
        <v>18.600000000000001</v>
      </c>
      <c r="K243" s="29">
        <f t="shared" si="10"/>
        <v>4</v>
      </c>
      <c r="L243" s="30">
        <f t="shared" si="11"/>
        <v>3</v>
      </c>
    </row>
    <row r="244" spans="3:12" x14ac:dyDescent="0.3">
      <c r="C244" s="15" t="s">
        <v>171</v>
      </c>
      <c r="D244" s="56">
        <v>16</v>
      </c>
      <c r="E244" s="57">
        <v>20</v>
      </c>
      <c r="F244" s="57">
        <v>4.3099999999999996</v>
      </c>
      <c r="G244" s="57">
        <v>6</v>
      </c>
      <c r="H244" s="44">
        <f>((22/(7*4))*(D244^2)/(1000^2))*J244*solver!$B$24</f>
        <v>136.10733714285715</v>
      </c>
      <c r="I244" s="45"/>
      <c r="J244" s="46">
        <f t="shared" si="9"/>
        <v>86.199999999999989</v>
      </c>
      <c r="K244" s="29">
        <f t="shared" si="10"/>
        <v>20</v>
      </c>
      <c r="L244" s="30">
        <f t="shared" si="11"/>
        <v>1</v>
      </c>
    </row>
    <row r="245" spans="3:12" x14ac:dyDescent="0.3">
      <c r="C245" s="15" t="s">
        <v>172</v>
      </c>
      <c r="D245" s="56">
        <v>10</v>
      </c>
      <c r="E245" s="57">
        <v>47</v>
      </c>
      <c r="F245" s="57">
        <v>2.72</v>
      </c>
      <c r="G245" s="57">
        <v>6</v>
      </c>
      <c r="H245" s="44">
        <f>((22/(7*4))*(D245^2)/(1000^2))*J245*solver!$B$24</f>
        <v>78.849885714285719</v>
      </c>
      <c r="I245" s="45"/>
      <c r="J245" s="46">
        <f t="shared" si="9"/>
        <v>127.84</v>
      </c>
      <c r="K245" s="29">
        <f t="shared" si="10"/>
        <v>24</v>
      </c>
      <c r="L245" s="30">
        <f t="shared" si="11"/>
        <v>2</v>
      </c>
    </row>
    <row r="246" spans="3:12" x14ac:dyDescent="0.3">
      <c r="C246" s="15" t="s">
        <v>173</v>
      </c>
      <c r="D246" s="56">
        <v>10</v>
      </c>
      <c r="E246" s="57">
        <v>94</v>
      </c>
      <c r="F246" s="57">
        <v>2.04</v>
      </c>
      <c r="G246" s="57">
        <v>6</v>
      </c>
      <c r="H246" s="44">
        <f>((22/(7*4))*(D246^2)/(1000^2))*J246*solver!$B$24</f>
        <v>118.27482857142856</v>
      </c>
      <c r="I246" s="45"/>
      <c r="J246" s="46">
        <f t="shared" si="9"/>
        <v>191.76</v>
      </c>
      <c r="K246" s="29">
        <f t="shared" si="10"/>
        <v>47</v>
      </c>
      <c r="L246" s="30">
        <f t="shared" si="11"/>
        <v>2</v>
      </c>
    </row>
    <row r="247" spans="3:12" x14ac:dyDescent="0.3">
      <c r="C247" s="15" t="s">
        <v>174</v>
      </c>
      <c r="D247" s="56">
        <v>10</v>
      </c>
      <c r="E247" s="57">
        <v>94</v>
      </c>
      <c r="F247" s="57">
        <v>0.77</v>
      </c>
      <c r="G247" s="57">
        <v>6</v>
      </c>
      <c r="H247" s="44">
        <f>((22/(7*4))*(D247^2)/(1000^2))*J247*solver!$B$24</f>
        <v>44.642949999999992</v>
      </c>
      <c r="I247" s="45"/>
      <c r="J247" s="46">
        <f t="shared" si="9"/>
        <v>72.38</v>
      </c>
      <c r="K247" s="29">
        <f t="shared" si="10"/>
        <v>14</v>
      </c>
      <c r="L247" s="30">
        <f t="shared" si="11"/>
        <v>7</v>
      </c>
    </row>
    <row r="248" spans="3:12" x14ac:dyDescent="0.3">
      <c r="C248" s="15" t="s">
        <v>175</v>
      </c>
      <c r="D248" s="56">
        <v>12</v>
      </c>
      <c r="E248" s="57">
        <v>33</v>
      </c>
      <c r="F248" s="57">
        <v>2.75</v>
      </c>
      <c r="G248" s="57">
        <v>6</v>
      </c>
      <c r="H248" s="44">
        <f>((22/(7*4))*(D248^2)/(1000^2))*J248*solver!$B$24</f>
        <v>80.601557142857132</v>
      </c>
      <c r="I248" s="45"/>
      <c r="J248" s="46">
        <f t="shared" si="9"/>
        <v>90.75</v>
      </c>
      <c r="K248" s="29">
        <f t="shared" si="10"/>
        <v>17</v>
      </c>
      <c r="L248" s="30">
        <f t="shared" si="11"/>
        <v>2</v>
      </c>
    </row>
    <row r="249" spans="3:12" x14ac:dyDescent="0.3">
      <c r="C249" s="15" t="s">
        <v>176</v>
      </c>
      <c r="D249" s="56">
        <v>12</v>
      </c>
      <c r="E249" s="57">
        <v>66</v>
      </c>
      <c r="F249" s="57">
        <v>1.95</v>
      </c>
      <c r="G249" s="57">
        <v>6</v>
      </c>
      <c r="H249" s="44">
        <f>((22/(7*4))*(D249^2)/(1000^2))*J249*solver!$B$24</f>
        <v>114.30766285714283</v>
      </c>
      <c r="I249" s="45"/>
      <c r="J249" s="46">
        <f t="shared" si="9"/>
        <v>128.69999999999999</v>
      </c>
      <c r="K249" s="29">
        <f t="shared" si="10"/>
        <v>22</v>
      </c>
      <c r="L249" s="30">
        <f t="shared" si="11"/>
        <v>3</v>
      </c>
    </row>
    <row r="250" spans="3:12" x14ac:dyDescent="0.3">
      <c r="C250" s="15" t="s">
        <v>177</v>
      </c>
      <c r="D250" s="56">
        <v>12</v>
      </c>
      <c r="E250" s="57">
        <v>66</v>
      </c>
      <c r="F250" s="57">
        <v>0.8</v>
      </c>
      <c r="G250" s="57">
        <v>6</v>
      </c>
      <c r="H250" s="44">
        <f>((22/(7*4))*(D250^2)/(1000^2))*J250*solver!$B$24</f>
        <v>46.895451428571427</v>
      </c>
      <c r="I250" s="45"/>
      <c r="J250" s="46">
        <f t="shared" si="9"/>
        <v>52.800000000000004</v>
      </c>
      <c r="K250" s="29">
        <f t="shared" si="10"/>
        <v>10</v>
      </c>
      <c r="L250" s="30">
        <f t="shared" si="11"/>
        <v>7</v>
      </c>
    </row>
    <row r="251" spans="3:12" x14ac:dyDescent="0.3">
      <c r="C251" s="15" t="s">
        <v>178</v>
      </c>
      <c r="D251" s="56">
        <v>10</v>
      </c>
      <c r="E251" s="57">
        <v>41</v>
      </c>
      <c r="F251" s="57">
        <v>2.75</v>
      </c>
      <c r="G251" s="57">
        <v>6</v>
      </c>
      <c r="H251" s="44">
        <f>((22/(7*4))*(D251^2)/(1000^2))*J251*solver!$B$24</f>
        <v>69.542589285714286</v>
      </c>
      <c r="I251" s="45"/>
      <c r="J251" s="46">
        <f t="shared" si="9"/>
        <v>112.75</v>
      </c>
      <c r="K251" s="29">
        <f t="shared" si="10"/>
        <v>21</v>
      </c>
      <c r="L251" s="30">
        <f t="shared" si="11"/>
        <v>2</v>
      </c>
    </row>
    <row r="252" spans="3:12" x14ac:dyDescent="0.3">
      <c r="C252" s="15" t="s">
        <v>179</v>
      </c>
      <c r="D252" s="56">
        <v>10</v>
      </c>
      <c r="E252" s="57">
        <v>82</v>
      </c>
      <c r="F252" s="57">
        <v>1.75</v>
      </c>
      <c r="G252" s="57">
        <v>6</v>
      </c>
      <c r="H252" s="44">
        <f>((22/(7*4))*(D252^2)/(1000^2))*J252*solver!$B$24</f>
        <v>88.508749999999992</v>
      </c>
      <c r="I252" s="45"/>
      <c r="J252" s="46">
        <f t="shared" si="9"/>
        <v>143.5</v>
      </c>
      <c r="K252" s="29">
        <f t="shared" si="10"/>
        <v>28</v>
      </c>
      <c r="L252" s="30">
        <f t="shared" si="11"/>
        <v>3</v>
      </c>
    </row>
    <row r="253" spans="3:12" x14ac:dyDescent="0.3">
      <c r="C253" s="15" t="s">
        <v>180</v>
      </c>
      <c r="D253" s="56">
        <v>10</v>
      </c>
      <c r="E253" s="57">
        <v>41</v>
      </c>
      <c r="F253" s="57">
        <v>2.7</v>
      </c>
      <c r="G253" s="57">
        <v>6</v>
      </c>
      <c r="H253" s="44">
        <f>((22/(7*4))*(D253^2)/(1000^2))*J253*solver!$B$24</f>
        <v>68.278178571428569</v>
      </c>
      <c r="I253" s="45"/>
      <c r="J253" s="46">
        <f t="shared" si="9"/>
        <v>110.7</v>
      </c>
      <c r="K253" s="29">
        <f t="shared" si="10"/>
        <v>21</v>
      </c>
      <c r="L253" s="30">
        <f t="shared" si="11"/>
        <v>2</v>
      </c>
    </row>
    <row r="254" spans="3:12" x14ac:dyDescent="0.3">
      <c r="C254" s="15" t="s">
        <v>181</v>
      </c>
      <c r="D254" s="56">
        <v>10</v>
      </c>
      <c r="E254" s="57">
        <v>82</v>
      </c>
      <c r="F254" s="57">
        <v>1.75</v>
      </c>
      <c r="G254" s="57">
        <v>6</v>
      </c>
      <c r="H254" s="44">
        <f>((22/(7*4))*(D254^2)/(1000^2))*J254*solver!$B$24</f>
        <v>88.508749999999992</v>
      </c>
      <c r="I254" s="45"/>
      <c r="J254" s="46">
        <f t="shared" si="9"/>
        <v>143.5</v>
      </c>
      <c r="K254" s="29">
        <f t="shared" si="10"/>
        <v>28</v>
      </c>
      <c r="L254" s="30">
        <f t="shared" si="11"/>
        <v>3</v>
      </c>
    </row>
    <row r="255" spans="3:12" x14ac:dyDescent="0.3">
      <c r="C255" s="15" t="s">
        <v>182</v>
      </c>
      <c r="D255" s="56">
        <v>10</v>
      </c>
      <c r="E255" s="57">
        <v>30</v>
      </c>
      <c r="F255" s="57">
        <v>1.4</v>
      </c>
      <c r="G255" s="57">
        <v>6</v>
      </c>
      <c r="H255" s="44">
        <f>((22/(7*4))*(D255^2)/(1000^2))*J255*solver!$B$24</f>
        <v>25.905000000000001</v>
      </c>
      <c r="I255" s="45"/>
      <c r="J255" s="46">
        <f t="shared" si="9"/>
        <v>42</v>
      </c>
      <c r="K255" s="29">
        <f t="shared" si="10"/>
        <v>8</v>
      </c>
      <c r="L255" s="30">
        <f t="shared" si="11"/>
        <v>4</v>
      </c>
    </row>
    <row r="256" spans="3:12" x14ac:dyDescent="0.3">
      <c r="C256" s="15" t="s">
        <v>183</v>
      </c>
      <c r="D256" s="58">
        <v>10</v>
      </c>
      <c r="E256" s="59">
        <v>60</v>
      </c>
      <c r="F256" s="59">
        <v>0.95</v>
      </c>
      <c r="G256" s="59">
        <v>6</v>
      </c>
      <c r="H256" s="49">
        <f>((22/(7*4))*(D256^2)/(1000^2))*J256*solver!$B$24</f>
        <v>35.156785714285711</v>
      </c>
      <c r="I256" s="50"/>
      <c r="J256" s="51">
        <f t="shared" si="9"/>
        <v>57</v>
      </c>
      <c r="K256" s="35">
        <f t="shared" si="10"/>
        <v>10</v>
      </c>
      <c r="L256" s="36">
        <f t="shared" si="11"/>
        <v>6</v>
      </c>
    </row>
    <row r="257" spans="3:12" x14ac:dyDescent="0.3">
      <c r="C257" s="14" t="s">
        <v>184</v>
      </c>
      <c r="D257" s="60">
        <v>32</v>
      </c>
      <c r="E257" s="61">
        <v>10</v>
      </c>
      <c r="F257" s="61">
        <v>10.5</v>
      </c>
      <c r="G257" s="61">
        <v>10.5</v>
      </c>
      <c r="H257" s="39">
        <f>((22/(7*4))*(D257^2)/(1000^2))*J257*solver!$B$24</f>
        <v>663.16800000000001</v>
      </c>
      <c r="I257" s="40"/>
      <c r="J257" s="41">
        <f t="shared" si="9"/>
        <v>105</v>
      </c>
      <c r="K257" s="23">
        <f t="shared" si="10"/>
        <v>10</v>
      </c>
      <c r="L257" s="24">
        <f t="shared" si="11"/>
        <v>1</v>
      </c>
    </row>
    <row r="258" spans="3:12" x14ac:dyDescent="0.3">
      <c r="C258" s="14" t="s">
        <v>185</v>
      </c>
      <c r="D258" s="62">
        <v>25</v>
      </c>
      <c r="E258" s="63">
        <v>10</v>
      </c>
      <c r="F258" s="63">
        <v>8.8699999999999992</v>
      </c>
      <c r="G258" s="63">
        <v>9</v>
      </c>
      <c r="H258" s="44">
        <f>((22/(7*4))*(D258^2)/(1000^2))*J258*solver!$B$24</f>
        <v>341.93058035714279</v>
      </c>
      <c r="I258" s="45"/>
      <c r="J258" s="46">
        <f t="shared" si="9"/>
        <v>88.699999999999989</v>
      </c>
      <c r="K258" s="29">
        <f t="shared" si="10"/>
        <v>10</v>
      </c>
      <c r="L258" s="30">
        <f t="shared" si="11"/>
        <v>1</v>
      </c>
    </row>
    <row r="259" spans="3:12" x14ac:dyDescent="0.3">
      <c r="C259" s="14" t="s">
        <v>186</v>
      </c>
      <c r="D259" s="62">
        <v>32</v>
      </c>
      <c r="E259" s="63">
        <v>10</v>
      </c>
      <c r="F259" s="63">
        <v>12</v>
      </c>
      <c r="G259" s="63">
        <v>12</v>
      </c>
      <c r="H259" s="44">
        <f>((22/(7*4))*(D259^2)/(1000^2))*J259*solver!$B$24</f>
        <v>757.90628571428567</v>
      </c>
      <c r="I259" s="45"/>
      <c r="J259" s="46">
        <f t="shared" si="9"/>
        <v>120</v>
      </c>
      <c r="K259" s="29">
        <f t="shared" si="10"/>
        <v>10</v>
      </c>
      <c r="L259" s="30">
        <f t="shared" si="11"/>
        <v>1</v>
      </c>
    </row>
    <row r="260" spans="3:12" x14ac:dyDescent="0.3">
      <c r="C260" s="14" t="s">
        <v>187</v>
      </c>
      <c r="D260" s="62">
        <v>25</v>
      </c>
      <c r="E260" s="63">
        <v>10</v>
      </c>
      <c r="F260" s="63">
        <v>7.37</v>
      </c>
      <c r="G260" s="63">
        <v>7.5</v>
      </c>
      <c r="H260" s="44">
        <f>((22/(7*4))*(D260^2)/(1000^2))*J260*solver!$B$24</f>
        <v>284.10691964285718</v>
      </c>
      <c r="I260" s="45"/>
      <c r="J260" s="46">
        <f t="shared" ref="J260:J323" si="12">E260*F260</f>
        <v>73.7</v>
      </c>
      <c r="K260" s="29">
        <f t="shared" ref="K260:K323" si="13">IF(G260=0,0,ROUNDUP(E260/L260,0))</f>
        <v>10</v>
      </c>
      <c r="L260" s="30">
        <f t="shared" ref="L260:L323" si="14">ROUNDDOWN(G260/F260, 0)</f>
        <v>1</v>
      </c>
    </row>
    <row r="261" spans="3:12" x14ac:dyDescent="0.3">
      <c r="C261" s="14" t="s">
        <v>188</v>
      </c>
      <c r="D261" s="62">
        <v>32</v>
      </c>
      <c r="E261" s="63">
        <v>8</v>
      </c>
      <c r="F261" s="63">
        <v>5.97</v>
      </c>
      <c r="G261" s="63">
        <v>6</v>
      </c>
      <c r="H261" s="44">
        <f>((22/(7*4))*(D261^2)/(1000^2))*J261*solver!$B$24</f>
        <v>301.64670171428571</v>
      </c>
      <c r="I261" s="45"/>
      <c r="J261" s="46">
        <f t="shared" si="12"/>
        <v>47.76</v>
      </c>
      <c r="K261" s="29">
        <f t="shared" si="13"/>
        <v>8</v>
      </c>
      <c r="L261" s="30">
        <f t="shared" si="14"/>
        <v>1</v>
      </c>
    </row>
    <row r="262" spans="3:12" x14ac:dyDescent="0.3">
      <c r="C262" s="14" t="s">
        <v>189</v>
      </c>
      <c r="D262" s="62">
        <v>16</v>
      </c>
      <c r="E262" s="63">
        <v>20</v>
      </c>
      <c r="F262" s="63">
        <v>4.3099999999999996</v>
      </c>
      <c r="G262" s="63">
        <v>6</v>
      </c>
      <c r="H262" s="44">
        <f>((22/(7*4))*(D262^2)/(1000^2))*J262*solver!$B$24</f>
        <v>136.10733714285715</v>
      </c>
      <c r="I262" s="45"/>
      <c r="J262" s="46">
        <f t="shared" si="12"/>
        <v>86.199999999999989</v>
      </c>
      <c r="K262" s="29">
        <f t="shared" si="13"/>
        <v>20</v>
      </c>
      <c r="L262" s="30">
        <f t="shared" si="14"/>
        <v>1</v>
      </c>
    </row>
    <row r="263" spans="3:12" x14ac:dyDescent="0.3">
      <c r="C263" s="14" t="s">
        <v>190</v>
      </c>
      <c r="D263" s="62">
        <v>12</v>
      </c>
      <c r="E263" s="63">
        <v>96</v>
      </c>
      <c r="F263" s="63">
        <v>2.75</v>
      </c>
      <c r="G263" s="63">
        <v>6</v>
      </c>
      <c r="H263" s="44">
        <f>((22/(7*4))*(D263^2)/(1000^2))*J263*solver!$B$24</f>
        <v>234.47725714285713</v>
      </c>
      <c r="I263" s="45"/>
      <c r="J263" s="46">
        <f t="shared" si="12"/>
        <v>264</v>
      </c>
      <c r="K263" s="29">
        <f t="shared" si="13"/>
        <v>48</v>
      </c>
      <c r="L263" s="30">
        <f t="shared" si="14"/>
        <v>2</v>
      </c>
    </row>
    <row r="264" spans="3:12" x14ac:dyDescent="0.3">
      <c r="C264" s="14" t="s">
        <v>191</v>
      </c>
      <c r="D264" s="62">
        <v>12</v>
      </c>
      <c r="E264" s="63">
        <v>126</v>
      </c>
      <c r="F264" s="63">
        <v>2.0699999999999998</v>
      </c>
      <c r="G264" s="63">
        <v>6</v>
      </c>
      <c r="H264" s="44">
        <f>((22/(7*4))*(D264^2)/(1000^2))*J264*solver!$B$24</f>
        <v>231.652872</v>
      </c>
      <c r="I264" s="45"/>
      <c r="J264" s="46">
        <f t="shared" si="12"/>
        <v>260.82</v>
      </c>
      <c r="K264" s="29">
        <f t="shared" si="13"/>
        <v>63</v>
      </c>
      <c r="L264" s="30">
        <f t="shared" si="14"/>
        <v>2</v>
      </c>
    </row>
    <row r="265" spans="3:12" x14ac:dyDescent="0.3">
      <c r="C265" s="14" t="s">
        <v>192</v>
      </c>
      <c r="D265" s="62">
        <v>12</v>
      </c>
      <c r="E265" s="63">
        <v>126</v>
      </c>
      <c r="F265" s="63">
        <v>0.8</v>
      </c>
      <c r="G265" s="63">
        <v>6</v>
      </c>
      <c r="H265" s="44">
        <f>((22/(7*4))*(D265^2)/(1000^2))*J265*solver!$B$24</f>
        <v>89.527680000000004</v>
      </c>
      <c r="I265" s="45"/>
      <c r="J265" s="46">
        <f t="shared" si="12"/>
        <v>100.80000000000001</v>
      </c>
      <c r="K265" s="29">
        <f t="shared" si="13"/>
        <v>18</v>
      </c>
      <c r="L265" s="30">
        <f t="shared" si="14"/>
        <v>7</v>
      </c>
    </row>
    <row r="266" spans="3:12" x14ac:dyDescent="0.3">
      <c r="C266" s="14" t="s">
        <v>193</v>
      </c>
      <c r="D266" s="62">
        <v>12</v>
      </c>
      <c r="E266" s="63">
        <v>66</v>
      </c>
      <c r="F266" s="63">
        <v>1.8</v>
      </c>
      <c r="G266" s="63">
        <v>6</v>
      </c>
      <c r="H266" s="44">
        <f>((22/(7*4))*(D266^2)/(1000^2))*J266*solver!$B$24</f>
        <v>105.5147657142857</v>
      </c>
      <c r="I266" s="45"/>
      <c r="J266" s="46">
        <f t="shared" si="12"/>
        <v>118.8</v>
      </c>
      <c r="K266" s="29">
        <f t="shared" si="13"/>
        <v>22</v>
      </c>
      <c r="L266" s="30">
        <f t="shared" si="14"/>
        <v>3</v>
      </c>
    </row>
    <row r="267" spans="3:12" x14ac:dyDescent="0.3">
      <c r="C267" s="14" t="s">
        <v>194</v>
      </c>
      <c r="D267" s="62">
        <v>12</v>
      </c>
      <c r="E267" s="63">
        <v>41</v>
      </c>
      <c r="F267" s="63">
        <v>2.72</v>
      </c>
      <c r="G267" s="63">
        <v>6</v>
      </c>
      <c r="H267" s="44">
        <f>((22/(7*4))*(D267^2)/(1000^2))*J267*solver!$B$24</f>
        <v>99.048877714285709</v>
      </c>
      <c r="I267" s="45"/>
      <c r="J267" s="46">
        <f t="shared" si="12"/>
        <v>111.52000000000001</v>
      </c>
      <c r="K267" s="29">
        <f t="shared" si="13"/>
        <v>21</v>
      </c>
      <c r="L267" s="30">
        <f t="shared" si="14"/>
        <v>2</v>
      </c>
    </row>
    <row r="268" spans="3:12" x14ac:dyDescent="0.3">
      <c r="C268" s="14" t="s">
        <v>195</v>
      </c>
      <c r="D268" s="62">
        <v>12</v>
      </c>
      <c r="E268" s="63">
        <v>82</v>
      </c>
      <c r="F268" s="63">
        <v>1.75</v>
      </c>
      <c r="G268" s="63">
        <v>6</v>
      </c>
      <c r="H268" s="44">
        <f>((22/(7*4))*(D268^2)/(1000^2))*J268*solver!$B$24</f>
        <v>127.4526</v>
      </c>
      <c r="I268" s="45"/>
      <c r="J268" s="46">
        <f t="shared" si="12"/>
        <v>143.5</v>
      </c>
      <c r="K268" s="29">
        <f t="shared" si="13"/>
        <v>28</v>
      </c>
      <c r="L268" s="30">
        <f t="shared" si="14"/>
        <v>3</v>
      </c>
    </row>
    <row r="269" spans="3:12" x14ac:dyDescent="0.3">
      <c r="C269" s="14" t="s">
        <v>196</v>
      </c>
      <c r="D269" s="62">
        <v>10</v>
      </c>
      <c r="E269" s="63">
        <v>41</v>
      </c>
      <c r="F269" s="63">
        <v>2.7</v>
      </c>
      <c r="G269" s="63">
        <v>6</v>
      </c>
      <c r="H269" s="44">
        <f>((22/(7*4))*(D269^2)/(1000^2))*J269*solver!$B$24</f>
        <v>68.278178571428569</v>
      </c>
      <c r="I269" s="45"/>
      <c r="J269" s="46">
        <f t="shared" si="12"/>
        <v>110.7</v>
      </c>
      <c r="K269" s="29">
        <f t="shared" si="13"/>
        <v>21</v>
      </c>
      <c r="L269" s="30">
        <f t="shared" si="14"/>
        <v>2</v>
      </c>
    </row>
    <row r="270" spans="3:12" x14ac:dyDescent="0.3">
      <c r="C270" s="14" t="s">
        <v>197</v>
      </c>
      <c r="D270" s="62">
        <v>10</v>
      </c>
      <c r="E270" s="63">
        <v>82</v>
      </c>
      <c r="F270" s="63">
        <v>1.75</v>
      </c>
      <c r="G270" s="63">
        <v>6</v>
      </c>
      <c r="H270" s="44">
        <f>((22/(7*4))*(D270^2)/(1000^2))*J270*solver!$B$24</f>
        <v>88.508749999999992</v>
      </c>
      <c r="I270" s="45"/>
      <c r="J270" s="46">
        <f t="shared" si="12"/>
        <v>143.5</v>
      </c>
      <c r="K270" s="29">
        <f t="shared" si="13"/>
        <v>28</v>
      </c>
      <c r="L270" s="30">
        <f t="shared" si="14"/>
        <v>3</v>
      </c>
    </row>
    <row r="271" spans="3:12" x14ac:dyDescent="0.3">
      <c r="C271" s="14" t="s">
        <v>198</v>
      </c>
      <c r="D271" s="62">
        <v>10</v>
      </c>
      <c r="E271" s="63">
        <v>40</v>
      </c>
      <c r="F271" s="63">
        <v>1.4</v>
      </c>
      <c r="G271" s="63">
        <v>6</v>
      </c>
      <c r="H271" s="44">
        <f>((22/(7*4))*(D271^2)/(1000^2))*J271*solver!$B$24</f>
        <v>34.539999999999992</v>
      </c>
      <c r="I271" s="45"/>
      <c r="J271" s="46">
        <f t="shared" si="12"/>
        <v>56</v>
      </c>
      <c r="K271" s="29">
        <f t="shared" si="13"/>
        <v>10</v>
      </c>
      <c r="L271" s="30">
        <f t="shared" si="14"/>
        <v>4</v>
      </c>
    </row>
    <row r="272" spans="3:12" x14ac:dyDescent="0.3">
      <c r="C272" s="14" t="s">
        <v>199</v>
      </c>
      <c r="D272" s="68">
        <v>10</v>
      </c>
      <c r="E272" s="69">
        <v>80</v>
      </c>
      <c r="F272" s="69">
        <v>0.93</v>
      </c>
      <c r="G272" s="69">
        <v>6</v>
      </c>
      <c r="H272" s="49">
        <f>((22/(7*4))*(D272^2)/(1000^2))*J272*solver!$B$24</f>
        <v>45.888857142857141</v>
      </c>
      <c r="I272" s="50"/>
      <c r="J272" s="51">
        <f t="shared" si="12"/>
        <v>74.400000000000006</v>
      </c>
      <c r="K272" s="35">
        <f t="shared" si="13"/>
        <v>14</v>
      </c>
      <c r="L272" s="36">
        <f t="shared" si="14"/>
        <v>6</v>
      </c>
    </row>
    <row r="273" spans="3:12" x14ac:dyDescent="0.3">
      <c r="C273" s="15" t="s">
        <v>200</v>
      </c>
      <c r="D273" s="54">
        <v>32</v>
      </c>
      <c r="E273" s="55">
        <v>14</v>
      </c>
      <c r="F273" s="55">
        <v>7</v>
      </c>
      <c r="G273" s="55">
        <v>7.5</v>
      </c>
      <c r="H273" s="39">
        <f>((22/(7*4))*(D273^2)/(1000^2))*J273*solver!$B$24</f>
        <v>618.95680000000004</v>
      </c>
      <c r="I273" s="40"/>
      <c r="J273" s="41">
        <f t="shared" si="12"/>
        <v>98</v>
      </c>
      <c r="K273" s="23">
        <f t="shared" si="13"/>
        <v>14</v>
      </c>
      <c r="L273" s="24">
        <f t="shared" si="14"/>
        <v>1</v>
      </c>
    </row>
    <row r="274" spans="3:12" x14ac:dyDescent="0.3">
      <c r="C274" s="15" t="s">
        <v>201</v>
      </c>
      <c r="D274" s="56">
        <v>25</v>
      </c>
      <c r="E274" s="57">
        <v>10</v>
      </c>
      <c r="F274" s="57">
        <v>11.95</v>
      </c>
      <c r="G274" s="57">
        <v>12</v>
      </c>
      <c r="H274" s="44">
        <f>((22/(7*4))*(D274^2)/(1000^2))*J274*solver!$B$24</f>
        <v>460.66183035714289</v>
      </c>
      <c r="I274" s="45"/>
      <c r="J274" s="46">
        <f t="shared" si="12"/>
        <v>119.5</v>
      </c>
      <c r="K274" s="29">
        <f t="shared" si="13"/>
        <v>10</v>
      </c>
      <c r="L274" s="30">
        <f t="shared" si="14"/>
        <v>1</v>
      </c>
    </row>
    <row r="275" spans="3:12" x14ac:dyDescent="0.3">
      <c r="C275" s="15" t="s">
        <v>202</v>
      </c>
      <c r="D275" s="56">
        <v>32</v>
      </c>
      <c r="E275" s="57">
        <v>14</v>
      </c>
      <c r="F275" s="57">
        <v>8.33</v>
      </c>
      <c r="G275" s="57">
        <v>9</v>
      </c>
      <c r="H275" s="44">
        <f>((22/(7*4))*(D275^2)/(1000^2))*J275*solver!$B$24</f>
        <v>736.55859199999998</v>
      </c>
      <c r="I275" s="45"/>
      <c r="J275" s="46">
        <f t="shared" si="12"/>
        <v>116.62</v>
      </c>
      <c r="K275" s="29">
        <f t="shared" si="13"/>
        <v>14</v>
      </c>
      <c r="L275" s="30">
        <f t="shared" si="14"/>
        <v>1</v>
      </c>
    </row>
    <row r="276" spans="3:12" x14ac:dyDescent="0.3">
      <c r="C276" s="15" t="s">
        <v>203</v>
      </c>
      <c r="D276" s="56">
        <v>25</v>
      </c>
      <c r="E276" s="57">
        <v>10</v>
      </c>
      <c r="F276" s="57">
        <v>11.06</v>
      </c>
      <c r="G276" s="57">
        <v>12</v>
      </c>
      <c r="H276" s="44">
        <f>((22/(7*4))*(D276^2)/(1000^2))*J276*solver!$B$24</f>
        <v>426.35312500000003</v>
      </c>
      <c r="I276" s="45"/>
      <c r="J276" s="46">
        <f t="shared" si="12"/>
        <v>110.60000000000001</v>
      </c>
      <c r="K276" s="29">
        <f t="shared" si="13"/>
        <v>10</v>
      </c>
      <c r="L276" s="30">
        <f t="shared" si="14"/>
        <v>1</v>
      </c>
    </row>
    <row r="277" spans="3:12" x14ac:dyDescent="0.3">
      <c r="C277" s="15" t="s">
        <v>204</v>
      </c>
      <c r="D277" s="56">
        <v>25</v>
      </c>
      <c r="E277" s="57">
        <v>4</v>
      </c>
      <c r="F277" s="57">
        <v>8.31</v>
      </c>
      <c r="G277" s="57">
        <v>9</v>
      </c>
      <c r="H277" s="44">
        <f>((22/(7*4))*(D277^2)/(1000^2))*J277*solver!$B$24</f>
        <v>128.13723214285716</v>
      </c>
      <c r="I277" s="45"/>
      <c r="J277" s="46">
        <f t="shared" si="12"/>
        <v>33.24</v>
      </c>
      <c r="K277" s="29">
        <f t="shared" si="13"/>
        <v>4</v>
      </c>
      <c r="L277" s="30">
        <f t="shared" si="14"/>
        <v>1</v>
      </c>
    </row>
    <row r="278" spans="3:12" x14ac:dyDescent="0.3">
      <c r="C278" s="15" t="s">
        <v>205</v>
      </c>
      <c r="D278" s="56">
        <v>25</v>
      </c>
      <c r="E278" s="57">
        <v>4</v>
      </c>
      <c r="F278" s="57">
        <v>7.06</v>
      </c>
      <c r="G278" s="57">
        <v>7.5</v>
      </c>
      <c r="H278" s="44">
        <f>((22/(7*4))*(D278^2)/(1000^2))*J278*solver!$B$24</f>
        <v>108.86267857142857</v>
      </c>
      <c r="I278" s="45"/>
      <c r="J278" s="46">
        <f t="shared" si="12"/>
        <v>28.24</v>
      </c>
      <c r="K278" s="29">
        <f t="shared" si="13"/>
        <v>4</v>
      </c>
      <c r="L278" s="30">
        <f t="shared" si="14"/>
        <v>1</v>
      </c>
    </row>
    <row r="279" spans="3:12" x14ac:dyDescent="0.3">
      <c r="C279" s="15" t="s">
        <v>206</v>
      </c>
      <c r="D279" s="56">
        <v>16</v>
      </c>
      <c r="E279" s="57">
        <v>12</v>
      </c>
      <c r="F279" s="57">
        <v>4.3099999999999996</v>
      </c>
      <c r="G279" s="57">
        <v>6</v>
      </c>
      <c r="H279" s="44">
        <f>((22/(7*4))*(D279^2)/(1000^2))*J279*solver!$B$24</f>
        <v>81.664402285714274</v>
      </c>
      <c r="I279" s="45"/>
      <c r="J279" s="46">
        <f t="shared" si="12"/>
        <v>51.72</v>
      </c>
      <c r="K279" s="29">
        <f t="shared" si="13"/>
        <v>12</v>
      </c>
      <c r="L279" s="30">
        <f t="shared" si="14"/>
        <v>1</v>
      </c>
    </row>
    <row r="280" spans="3:12" x14ac:dyDescent="0.3">
      <c r="C280" s="15" t="s">
        <v>207</v>
      </c>
      <c r="D280" s="56">
        <v>12</v>
      </c>
      <c r="E280" s="57">
        <v>112</v>
      </c>
      <c r="F280" s="57">
        <v>2.75</v>
      </c>
      <c r="G280" s="57">
        <v>6</v>
      </c>
      <c r="H280" s="44">
        <f>((22/(7*4))*(D280^2)/(1000^2))*J280*solver!$B$24</f>
        <v>273.55679999999995</v>
      </c>
      <c r="I280" s="45"/>
      <c r="J280" s="46">
        <f t="shared" si="12"/>
        <v>308</v>
      </c>
      <c r="K280" s="29">
        <f t="shared" si="13"/>
        <v>56</v>
      </c>
      <c r="L280" s="30">
        <f t="shared" si="14"/>
        <v>2</v>
      </c>
    </row>
    <row r="281" spans="3:12" x14ac:dyDescent="0.3">
      <c r="C281" s="15" t="s">
        <v>208</v>
      </c>
      <c r="D281" s="56">
        <v>12</v>
      </c>
      <c r="E281" s="57">
        <v>76</v>
      </c>
      <c r="F281" s="57">
        <v>2.0699999999999998</v>
      </c>
      <c r="G281" s="57">
        <v>6</v>
      </c>
      <c r="H281" s="44">
        <f>((22/(7*4))*(D281^2)/(1000^2))*J281*solver!$B$24</f>
        <v>139.72712914285714</v>
      </c>
      <c r="I281" s="45"/>
      <c r="J281" s="46">
        <f t="shared" si="12"/>
        <v>157.32</v>
      </c>
      <c r="K281" s="29">
        <f t="shared" si="13"/>
        <v>38</v>
      </c>
      <c r="L281" s="30">
        <f t="shared" si="14"/>
        <v>2</v>
      </c>
    </row>
    <row r="282" spans="3:12" x14ac:dyDescent="0.3">
      <c r="C282" s="15" t="s">
        <v>209</v>
      </c>
      <c r="D282" s="56">
        <v>12</v>
      </c>
      <c r="E282" s="57">
        <v>224</v>
      </c>
      <c r="F282" s="57">
        <v>0.8</v>
      </c>
      <c r="G282" s="57">
        <v>6</v>
      </c>
      <c r="H282" s="44">
        <f>((22/(7*4))*(D282^2)/(1000^2))*J282*solver!$B$24</f>
        <v>159.16032000000001</v>
      </c>
      <c r="I282" s="45"/>
      <c r="J282" s="46">
        <f t="shared" si="12"/>
        <v>179.20000000000002</v>
      </c>
      <c r="K282" s="29">
        <f t="shared" si="13"/>
        <v>32</v>
      </c>
      <c r="L282" s="30">
        <f t="shared" si="14"/>
        <v>7</v>
      </c>
    </row>
    <row r="283" spans="3:12" x14ac:dyDescent="0.3">
      <c r="C283" s="15" t="s">
        <v>210</v>
      </c>
      <c r="D283" s="56">
        <v>12</v>
      </c>
      <c r="E283" s="57">
        <v>148</v>
      </c>
      <c r="F283" s="57">
        <v>1.95</v>
      </c>
      <c r="G283" s="57">
        <v>6</v>
      </c>
      <c r="H283" s="44">
        <f>((22/(7*4))*(D283^2)/(1000^2))*J283*solver!$B$24</f>
        <v>256.32627428571425</v>
      </c>
      <c r="I283" s="45"/>
      <c r="J283" s="46">
        <f t="shared" si="12"/>
        <v>288.59999999999997</v>
      </c>
      <c r="K283" s="29">
        <f t="shared" si="13"/>
        <v>50</v>
      </c>
      <c r="L283" s="30">
        <f t="shared" si="14"/>
        <v>3</v>
      </c>
    </row>
    <row r="284" spans="3:12" x14ac:dyDescent="0.3">
      <c r="C284" s="15" t="s">
        <v>211</v>
      </c>
      <c r="D284" s="56">
        <v>10</v>
      </c>
      <c r="E284" s="57">
        <v>28</v>
      </c>
      <c r="F284" s="57">
        <v>2.7</v>
      </c>
      <c r="G284" s="57">
        <v>6</v>
      </c>
      <c r="H284" s="44">
        <f>((22/(7*4))*(D284^2)/(1000^2))*J284*solver!$B$24</f>
        <v>46.628999999999998</v>
      </c>
      <c r="I284" s="45"/>
      <c r="J284" s="46">
        <f t="shared" si="12"/>
        <v>75.600000000000009</v>
      </c>
      <c r="K284" s="29">
        <f t="shared" si="13"/>
        <v>14</v>
      </c>
      <c r="L284" s="30">
        <f t="shared" si="14"/>
        <v>2</v>
      </c>
    </row>
    <row r="285" spans="3:12" x14ac:dyDescent="0.3">
      <c r="C285" s="15" t="s">
        <v>212</v>
      </c>
      <c r="D285" s="56">
        <v>10</v>
      </c>
      <c r="E285" s="57">
        <v>56</v>
      </c>
      <c r="F285" s="57">
        <v>1.74</v>
      </c>
      <c r="G285" s="57">
        <v>6</v>
      </c>
      <c r="H285" s="44">
        <f>((22/(7*4))*(D285^2)/(1000^2))*J285*solver!$B$24</f>
        <v>60.099599999999995</v>
      </c>
      <c r="I285" s="45"/>
      <c r="J285" s="46">
        <f t="shared" si="12"/>
        <v>97.44</v>
      </c>
      <c r="K285" s="29">
        <f t="shared" si="13"/>
        <v>19</v>
      </c>
      <c r="L285" s="30">
        <f t="shared" si="14"/>
        <v>3</v>
      </c>
    </row>
    <row r="286" spans="3:12" x14ac:dyDescent="0.3">
      <c r="C286" s="15" t="s">
        <v>213</v>
      </c>
      <c r="D286" s="56">
        <v>10</v>
      </c>
      <c r="E286" s="57">
        <v>40</v>
      </c>
      <c r="F286" s="57">
        <v>1.4</v>
      </c>
      <c r="G286" s="57">
        <v>6</v>
      </c>
      <c r="H286" s="44">
        <f>((22/(7*4))*(D286^2)/(1000^2))*J286*solver!$B$24</f>
        <v>34.539999999999992</v>
      </c>
      <c r="I286" s="45"/>
      <c r="J286" s="46">
        <f t="shared" si="12"/>
        <v>56</v>
      </c>
      <c r="K286" s="29">
        <f t="shared" si="13"/>
        <v>10</v>
      </c>
      <c r="L286" s="30">
        <f t="shared" si="14"/>
        <v>4</v>
      </c>
    </row>
    <row r="287" spans="3:12" x14ac:dyDescent="0.3">
      <c r="C287" s="15" t="s">
        <v>214</v>
      </c>
      <c r="D287" s="58">
        <v>10</v>
      </c>
      <c r="E287" s="59">
        <v>80</v>
      </c>
      <c r="F287" s="59">
        <v>1.02</v>
      </c>
      <c r="G287" s="59">
        <v>6</v>
      </c>
      <c r="H287" s="49">
        <f>((22/(7*4))*(D287^2)/(1000^2))*J287*solver!$B$24</f>
        <v>50.329714285714282</v>
      </c>
      <c r="I287" s="50"/>
      <c r="J287" s="51">
        <f t="shared" si="12"/>
        <v>81.599999999999994</v>
      </c>
      <c r="K287" s="35">
        <f t="shared" si="13"/>
        <v>16</v>
      </c>
      <c r="L287" s="36">
        <f t="shared" si="14"/>
        <v>5</v>
      </c>
    </row>
    <row r="288" spans="3:12" x14ac:dyDescent="0.3">
      <c r="C288" s="14" t="s">
        <v>215</v>
      </c>
      <c r="D288" s="60">
        <v>32</v>
      </c>
      <c r="E288" s="61">
        <v>10</v>
      </c>
      <c r="F288" s="61">
        <v>7.06</v>
      </c>
      <c r="G288" s="61">
        <v>12</v>
      </c>
      <c r="H288" s="39">
        <f>((22/(7*4))*(D288^2)/(1000^2))*J288*solver!$B$24</f>
        <v>445.90153142857139</v>
      </c>
      <c r="I288" s="40"/>
      <c r="J288" s="41">
        <f t="shared" si="12"/>
        <v>70.599999999999994</v>
      </c>
      <c r="K288" s="23">
        <f t="shared" si="13"/>
        <v>10</v>
      </c>
      <c r="L288" s="24">
        <f t="shared" si="14"/>
        <v>1</v>
      </c>
    </row>
    <row r="289" spans="3:12" x14ac:dyDescent="0.3">
      <c r="C289" s="14" t="s">
        <v>216</v>
      </c>
      <c r="D289" s="62">
        <v>25</v>
      </c>
      <c r="E289" s="63">
        <v>10</v>
      </c>
      <c r="F289" s="63">
        <v>11.95</v>
      </c>
      <c r="G289" s="63">
        <v>12</v>
      </c>
      <c r="H289" s="44">
        <f>((22/(7*4))*(D289^2)/(1000^2))*J289*solver!$B$24</f>
        <v>460.66183035714289</v>
      </c>
      <c r="I289" s="45"/>
      <c r="J289" s="46">
        <f t="shared" si="12"/>
        <v>119.5</v>
      </c>
      <c r="K289" s="29">
        <f t="shared" si="13"/>
        <v>10</v>
      </c>
      <c r="L289" s="30">
        <f t="shared" si="14"/>
        <v>1</v>
      </c>
    </row>
    <row r="290" spans="3:12" x14ac:dyDescent="0.3">
      <c r="C290" s="14" t="s">
        <v>217</v>
      </c>
      <c r="D290" s="62">
        <v>32</v>
      </c>
      <c r="E290" s="63">
        <v>10</v>
      </c>
      <c r="F290" s="63">
        <v>8.2100000000000009</v>
      </c>
      <c r="G290" s="63">
        <v>9</v>
      </c>
      <c r="H290" s="44">
        <f>((22/(7*4))*(D290^2)/(1000^2))*J290*solver!$B$24</f>
        <v>518.53421714285719</v>
      </c>
      <c r="I290" s="45"/>
      <c r="J290" s="46">
        <f t="shared" si="12"/>
        <v>82.100000000000009</v>
      </c>
      <c r="K290" s="29">
        <f t="shared" si="13"/>
        <v>10</v>
      </c>
      <c r="L290" s="30">
        <f t="shared" si="14"/>
        <v>1</v>
      </c>
    </row>
    <row r="291" spans="3:12" x14ac:dyDescent="0.3">
      <c r="C291" s="14" t="s">
        <v>218</v>
      </c>
      <c r="D291" s="62">
        <v>25</v>
      </c>
      <c r="E291" s="63">
        <v>10</v>
      </c>
      <c r="F291" s="63">
        <v>11.14</v>
      </c>
      <c r="G291" s="63">
        <v>12</v>
      </c>
      <c r="H291" s="44">
        <f>((22/(7*4))*(D291^2)/(1000^2))*J291*solver!$B$24</f>
        <v>429.43705357142863</v>
      </c>
      <c r="I291" s="45"/>
      <c r="J291" s="46">
        <f t="shared" si="12"/>
        <v>111.4</v>
      </c>
      <c r="K291" s="29">
        <f t="shared" si="13"/>
        <v>10</v>
      </c>
      <c r="L291" s="30">
        <f t="shared" si="14"/>
        <v>1</v>
      </c>
    </row>
    <row r="292" spans="3:12" x14ac:dyDescent="0.3">
      <c r="C292" s="14" t="s">
        <v>219</v>
      </c>
      <c r="D292" s="62">
        <v>25</v>
      </c>
      <c r="E292" s="63">
        <v>10</v>
      </c>
      <c r="F292" s="63">
        <v>1.86</v>
      </c>
      <c r="G292" s="63">
        <v>9</v>
      </c>
      <c r="H292" s="44">
        <f>((22/(7*4))*(D292^2)/(1000^2))*J292*solver!$B$24</f>
        <v>71.701339285714297</v>
      </c>
      <c r="I292" s="45"/>
      <c r="J292" s="46">
        <f t="shared" si="12"/>
        <v>18.600000000000001</v>
      </c>
      <c r="K292" s="29">
        <f t="shared" si="13"/>
        <v>3</v>
      </c>
      <c r="L292" s="30">
        <f t="shared" si="14"/>
        <v>4</v>
      </c>
    </row>
    <row r="293" spans="3:12" x14ac:dyDescent="0.3">
      <c r="C293" s="14" t="s">
        <v>220</v>
      </c>
      <c r="D293" s="62">
        <v>16</v>
      </c>
      <c r="E293" s="63">
        <v>20</v>
      </c>
      <c r="F293" s="63">
        <v>4.3099999999999996</v>
      </c>
      <c r="G293" s="63">
        <v>9</v>
      </c>
      <c r="H293" s="44">
        <f>((22/(7*4))*(D293^2)/(1000^2))*J293*solver!$B$24</f>
        <v>136.10733714285715</v>
      </c>
      <c r="I293" s="45"/>
      <c r="J293" s="46">
        <f t="shared" si="12"/>
        <v>86.199999999999989</v>
      </c>
      <c r="K293" s="29">
        <f t="shared" si="13"/>
        <v>10</v>
      </c>
      <c r="L293" s="30">
        <f t="shared" si="14"/>
        <v>2</v>
      </c>
    </row>
    <row r="294" spans="3:12" x14ac:dyDescent="0.3">
      <c r="C294" s="14" t="s">
        <v>221</v>
      </c>
      <c r="D294" s="62">
        <v>12</v>
      </c>
      <c r="E294" s="63">
        <v>137</v>
      </c>
      <c r="F294" s="63">
        <v>2.75</v>
      </c>
      <c r="G294" s="63">
        <v>6</v>
      </c>
      <c r="H294" s="44">
        <f>((22/(7*4))*(D294^2)/(1000^2))*J294*solver!$B$24</f>
        <v>334.6185857142857</v>
      </c>
      <c r="I294" s="45"/>
      <c r="J294" s="46">
        <f t="shared" si="12"/>
        <v>376.75</v>
      </c>
      <c r="K294" s="29">
        <f t="shared" si="13"/>
        <v>69</v>
      </c>
      <c r="L294" s="30">
        <f t="shared" si="14"/>
        <v>2</v>
      </c>
    </row>
    <row r="295" spans="3:12" x14ac:dyDescent="0.3">
      <c r="C295" s="14" t="s">
        <v>222</v>
      </c>
      <c r="D295" s="62">
        <v>12</v>
      </c>
      <c r="E295" s="63">
        <v>126</v>
      </c>
      <c r="F295" s="63">
        <v>2.0699999999999998</v>
      </c>
      <c r="G295" s="63">
        <v>6</v>
      </c>
      <c r="H295" s="44">
        <f>((22/(7*4))*(D295^2)/(1000^2))*J295*solver!$B$24</f>
        <v>231.652872</v>
      </c>
      <c r="I295" s="45"/>
      <c r="J295" s="46">
        <f t="shared" si="12"/>
        <v>260.82</v>
      </c>
      <c r="K295" s="29">
        <f t="shared" si="13"/>
        <v>63</v>
      </c>
      <c r="L295" s="30">
        <f t="shared" si="14"/>
        <v>2</v>
      </c>
    </row>
    <row r="296" spans="3:12" x14ac:dyDescent="0.3">
      <c r="C296" s="14" t="s">
        <v>223</v>
      </c>
      <c r="D296" s="62">
        <v>12</v>
      </c>
      <c r="E296" s="63">
        <v>211</v>
      </c>
      <c r="F296" s="63">
        <v>0.8</v>
      </c>
      <c r="G296" s="63">
        <v>6</v>
      </c>
      <c r="H296" s="44">
        <f>((22/(7*4))*(D296^2)/(1000^2))*J296*solver!$B$24</f>
        <v>149.92333714285715</v>
      </c>
      <c r="I296" s="45"/>
      <c r="J296" s="46">
        <f t="shared" si="12"/>
        <v>168.8</v>
      </c>
      <c r="K296" s="29">
        <f t="shared" si="13"/>
        <v>31</v>
      </c>
      <c r="L296" s="30">
        <f t="shared" si="14"/>
        <v>7</v>
      </c>
    </row>
    <row r="297" spans="3:12" x14ac:dyDescent="0.3">
      <c r="C297" s="14" t="s">
        <v>224</v>
      </c>
      <c r="D297" s="62">
        <v>12</v>
      </c>
      <c r="E297" s="63">
        <v>170</v>
      </c>
      <c r="F297" s="63">
        <v>0.9</v>
      </c>
      <c r="G297" s="63">
        <v>6</v>
      </c>
      <c r="H297" s="44">
        <f>((22/(7*4))*(D297^2)/(1000^2))*J297*solver!$B$24</f>
        <v>135.89022857142857</v>
      </c>
      <c r="I297" s="45"/>
      <c r="J297" s="46">
        <f t="shared" si="12"/>
        <v>153</v>
      </c>
      <c r="K297" s="29">
        <f t="shared" si="13"/>
        <v>29</v>
      </c>
      <c r="L297" s="30">
        <f t="shared" si="14"/>
        <v>6</v>
      </c>
    </row>
    <row r="298" spans="3:12" x14ac:dyDescent="0.3">
      <c r="C298" s="14" t="s">
        <v>225</v>
      </c>
      <c r="D298" s="62">
        <v>10</v>
      </c>
      <c r="E298" s="63">
        <v>28</v>
      </c>
      <c r="F298" s="63">
        <v>2.72</v>
      </c>
      <c r="G298" s="63">
        <v>6</v>
      </c>
      <c r="H298" s="44">
        <f>((22/(7*4))*(D298^2)/(1000^2))*J298*solver!$B$24</f>
        <v>46.974400000000003</v>
      </c>
      <c r="I298" s="45"/>
      <c r="J298" s="46">
        <f t="shared" si="12"/>
        <v>76.160000000000011</v>
      </c>
      <c r="K298" s="29">
        <f t="shared" si="13"/>
        <v>14</v>
      </c>
      <c r="L298" s="30">
        <f t="shared" si="14"/>
        <v>2</v>
      </c>
    </row>
    <row r="299" spans="3:12" x14ac:dyDescent="0.3">
      <c r="C299" s="14" t="s">
        <v>226</v>
      </c>
      <c r="D299" s="62">
        <v>10</v>
      </c>
      <c r="E299" s="63">
        <v>56</v>
      </c>
      <c r="F299" s="63">
        <v>1.752</v>
      </c>
      <c r="G299" s="63">
        <v>6</v>
      </c>
      <c r="H299" s="44">
        <f>((22/(7*4))*(D299^2)/(1000^2))*J299*solver!$B$24</f>
        <v>60.514079999999993</v>
      </c>
      <c r="I299" s="45"/>
      <c r="J299" s="46">
        <f t="shared" si="12"/>
        <v>98.111999999999995</v>
      </c>
      <c r="K299" s="29">
        <f t="shared" si="13"/>
        <v>19</v>
      </c>
      <c r="L299" s="30">
        <f t="shared" si="14"/>
        <v>3</v>
      </c>
    </row>
    <row r="300" spans="3:12" x14ac:dyDescent="0.3">
      <c r="C300" s="14" t="s">
        <v>227</v>
      </c>
      <c r="D300" s="62">
        <v>10</v>
      </c>
      <c r="E300" s="63">
        <v>21</v>
      </c>
      <c r="F300" s="63">
        <v>1.4</v>
      </c>
      <c r="G300" s="63">
        <v>6</v>
      </c>
      <c r="H300" s="44">
        <f>((22/(7*4))*(D300^2)/(1000^2))*J300*solver!$B$24</f>
        <v>18.133499999999998</v>
      </c>
      <c r="I300" s="45"/>
      <c r="J300" s="46">
        <f t="shared" si="12"/>
        <v>29.4</v>
      </c>
      <c r="K300" s="29">
        <f t="shared" si="13"/>
        <v>6</v>
      </c>
      <c r="L300" s="30">
        <f t="shared" si="14"/>
        <v>4</v>
      </c>
    </row>
    <row r="301" spans="3:12" x14ac:dyDescent="0.3">
      <c r="C301" s="14" t="s">
        <v>228</v>
      </c>
      <c r="D301" s="68">
        <v>10</v>
      </c>
      <c r="E301" s="69">
        <v>21</v>
      </c>
      <c r="F301" s="69">
        <v>0.95</v>
      </c>
      <c r="G301" s="69">
        <v>6</v>
      </c>
      <c r="H301" s="49">
        <f>((22/(7*4))*(D301^2)/(1000^2))*J301*solver!$B$24</f>
        <v>12.304874999999999</v>
      </c>
      <c r="I301" s="50"/>
      <c r="J301" s="51">
        <f t="shared" si="12"/>
        <v>19.95</v>
      </c>
      <c r="K301" s="35">
        <f t="shared" si="13"/>
        <v>4</v>
      </c>
      <c r="L301" s="36">
        <f t="shared" si="14"/>
        <v>6</v>
      </c>
    </row>
    <row r="302" spans="3:12" x14ac:dyDescent="0.3">
      <c r="C302" s="15" t="s">
        <v>229</v>
      </c>
      <c r="D302" s="54">
        <v>32</v>
      </c>
      <c r="E302" s="55">
        <v>10</v>
      </c>
      <c r="F302" s="55">
        <v>7</v>
      </c>
      <c r="G302" s="55">
        <v>7.5</v>
      </c>
      <c r="H302" s="39">
        <f>((22/(7*4))*(D302^2)/(1000^2))*J302*solver!$B$24</f>
        <v>442.11200000000002</v>
      </c>
      <c r="I302" s="40"/>
      <c r="J302" s="41">
        <f t="shared" si="12"/>
        <v>70</v>
      </c>
      <c r="K302" s="23">
        <f t="shared" si="13"/>
        <v>10</v>
      </c>
      <c r="L302" s="24">
        <f t="shared" si="14"/>
        <v>1</v>
      </c>
    </row>
    <row r="303" spans="3:12" x14ac:dyDescent="0.3">
      <c r="C303" s="15" t="s">
        <v>230</v>
      </c>
      <c r="D303" s="56">
        <v>25</v>
      </c>
      <c r="E303" s="57">
        <v>10</v>
      </c>
      <c r="F303" s="57">
        <v>11.95</v>
      </c>
      <c r="G303" s="57">
        <v>12</v>
      </c>
      <c r="H303" s="44">
        <f>((22/(7*4))*(D303^2)/(1000^2))*J303*solver!$B$24</f>
        <v>460.66183035714289</v>
      </c>
      <c r="I303" s="45"/>
      <c r="J303" s="46">
        <f t="shared" si="12"/>
        <v>119.5</v>
      </c>
      <c r="K303" s="29">
        <f t="shared" si="13"/>
        <v>10</v>
      </c>
      <c r="L303" s="30">
        <f t="shared" si="14"/>
        <v>1</v>
      </c>
    </row>
    <row r="304" spans="3:12" x14ac:dyDescent="0.3">
      <c r="C304" s="15" t="s">
        <v>231</v>
      </c>
      <c r="D304" s="56">
        <v>32</v>
      </c>
      <c r="E304" s="57">
        <v>10</v>
      </c>
      <c r="F304" s="57">
        <v>8.31</v>
      </c>
      <c r="G304" s="57">
        <v>9</v>
      </c>
      <c r="H304" s="44">
        <f>((22/(7*4))*(D304^2)/(1000^2))*J304*solver!$B$24</f>
        <v>524.85010285714293</v>
      </c>
      <c r="I304" s="45"/>
      <c r="J304" s="46">
        <f t="shared" si="12"/>
        <v>83.100000000000009</v>
      </c>
      <c r="K304" s="29">
        <f t="shared" si="13"/>
        <v>10</v>
      </c>
      <c r="L304" s="30">
        <f t="shared" si="14"/>
        <v>1</v>
      </c>
    </row>
    <row r="305" spans="3:12" x14ac:dyDescent="0.3">
      <c r="C305" s="15" t="s">
        <v>232</v>
      </c>
      <c r="D305" s="56">
        <v>25</v>
      </c>
      <c r="E305" s="57">
        <v>10</v>
      </c>
      <c r="F305" s="57">
        <v>11.06</v>
      </c>
      <c r="G305" s="57">
        <v>12</v>
      </c>
      <c r="H305" s="44">
        <f>((22/(7*4))*(D305^2)/(1000^2))*J305*solver!$B$24</f>
        <v>426.35312500000003</v>
      </c>
      <c r="I305" s="45"/>
      <c r="J305" s="46">
        <f t="shared" si="12"/>
        <v>110.60000000000001</v>
      </c>
      <c r="K305" s="29">
        <f t="shared" si="13"/>
        <v>10</v>
      </c>
      <c r="L305" s="30">
        <f t="shared" si="14"/>
        <v>1</v>
      </c>
    </row>
    <row r="306" spans="3:12" x14ac:dyDescent="0.3">
      <c r="C306" s="15" t="s">
        <v>233</v>
      </c>
      <c r="D306" s="56">
        <v>32</v>
      </c>
      <c r="E306" s="57">
        <v>4</v>
      </c>
      <c r="F306" s="57">
        <v>5.97</v>
      </c>
      <c r="G306" s="57">
        <v>6</v>
      </c>
      <c r="H306" s="44">
        <f>((22/(7*4))*(D306^2)/(1000^2))*J306*solver!$B$24</f>
        <v>150.82335085714286</v>
      </c>
      <c r="I306" s="45"/>
      <c r="J306" s="46">
        <f t="shared" si="12"/>
        <v>23.88</v>
      </c>
      <c r="K306" s="29">
        <f t="shared" si="13"/>
        <v>4</v>
      </c>
      <c r="L306" s="30">
        <f t="shared" si="14"/>
        <v>1</v>
      </c>
    </row>
    <row r="307" spans="3:12" x14ac:dyDescent="0.3">
      <c r="C307" s="15" t="s">
        <v>234</v>
      </c>
      <c r="D307" s="56">
        <v>16</v>
      </c>
      <c r="E307" s="57">
        <v>12</v>
      </c>
      <c r="F307" s="57">
        <v>4.3099999999999996</v>
      </c>
      <c r="G307" s="57">
        <v>6</v>
      </c>
      <c r="H307" s="44">
        <f>((22/(7*4))*(D307^2)/(1000^2))*J307*solver!$B$24</f>
        <v>81.664402285714274</v>
      </c>
      <c r="I307" s="45"/>
      <c r="J307" s="46">
        <f t="shared" si="12"/>
        <v>51.72</v>
      </c>
      <c r="K307" s="29">
        <f t="shared" si="13"/>
        <v>12</v>
      </c>
      <c r="L307" s="30">
        <f t="shared" si="14"/>
        <v>1</v>
      </c>
    </row>
    <row r="308" spans="3:12" x14ac:dyDescent="0.3">
      <c r="C308" s="15" t="s">
        <v>235</v>
      </c>
      <c r="D308" s="56">
        <v>12</v>
      </c>
      <c r="E308" s="57">
        <v>121</v>
      </c>
      <c r="F308" s="57">
        <v>2.75</v>
      </c>
      <c r="G308" s="57">
        <v>6</v>
      </c>
      <c r="H308" s="44">
        <f>((22/(7*4))*(D308^2)/(1000^2))*J308*solver!$B$24</f>
        <v>295.53904285714282</v>
      </c>
      <c r="I308" s="45"/>
      <c r="J308" s="46">
        <f t="shared" si="12"/>
        <v>332.75</v>
      </c>
      <c r="K308" s="29">
        <f t="shared" si="13"/>
        <v>61</v>
      </c>
      <c r="L308" s="30">
        <f t="shared" si="14"/>
        <v>2</v>
      </c>
    </row>
    <row r="309" spans="3:12" x14ac:dyDescent="0.3">
      <c r="C309" s="15" t="s">
        <v>236</v>
      </c>
      <c r="D309" s="56">
        <v>12</v>
      </c>
      <c r="E309" s="57">
        <v>76</v>
      </c>
      <c r="F309" s="57">
        <v>1.96</v>
      </c>
      <c r="G309" s="57">
        <v>6</v>
      </c>
      <c r="H309" s="44">
        <f>((22/(7*4))*(D309^2)/(1000^2))*J309*solver!$B$24</f>
        <v>132.30201599999998</v>
      </c>
      <c r="I309" s="45"/>
      <c r="J309" s="46">
        <f t="shared" si="12"/>
        <v>148.96</v>
      </c>
      <c r="K309" s="29">
        <f t="shared" si="13"/>
        <v>26</v>
      </c>
      <c r="L309" s="30">
        <f t="shared" si="14"/>
        <v>3</v>
      </c>
    </row>
    <row r="310" spans="3:12" x14ac:dyDescent="0.3">
      <c r="C310" s="15" t="s">
        <v>237</v>
      </c>
      <c r="D310" s="56">
        <v>12</v>
      </c>
      <c r="E310" s="57">
        <v>38</v>
      </c>
      <c r="F310" s="57">
        <v>2.0499999999999998</v>
      </c>
      <c r="G310" s="57">
        <v>7.5</v>
      </c>
      <c r="H310" s="44">
        <f>((22/(7*4))*(D310^2)/(1000^2))*J310*solver!$B$24</f>
        <v>69.188554285714275</v>
      </c>
      <c r="I310" s="45"/>
      <c r="J310" s="46">
        <f t="shared" si="12"/>
        <v>77.899999999999991</v>
      </c>
      <c r="K310" s="29">
        <f t="shared" si="13"/>
        <v>13</v>
      </c>
      <c r="L310" s="30">
        <f t="shared" si="14"/>
        <v>3</v>
      </c>
    </row>
    <row r="311" spans="3:12" x14ac:dyDescent="0.3">
      <c r="C311" s="15" t="s">
        <v>238</v>
      </c>
      <c r="D311" s="56">
        <v>10</v>
      </c>
      <c r="E311" s="57">
        <v>56</v>
      </c>
      <c r="F311" s="57">
        <v>1.78</v>
      </c>
      <c r="G311" s="57">
        <v>6</v>
      </c>
      <c r="H311" s="44">
        <f>((22/(7*4))*(D311^2)/(1000^2))*J311*solver!$B$24</f>
        <v>61.481200000000001</v>
      </c>
      <c r="I311" s="45"/>
      <c r="J311" s="46">
        <f t="shared" si="12"/>
        <v>99.68</v>
      </c>
      <c r="K311" s="29">
        <f t="shared" si="13"/>
        <v>19</v>
      </c>
      <c r="L311" s="30">
        <f t="shared" si="14"/>
        <v>3</v>
      </c>
    </row>
    <row r="312" spans="3:12" x14ac:dyDescent="0.3">
      <c r="C312" s="15" t="s">
        <v>239</v>
      </c>
      <c r="D312" s="56">
        <v>10</v>
      </c>
      <c r="E312" s="57">
        <v>28</v>
      </c>
      <c r="F312" s="57">
        <v>2.72</v>
      </c>
      <c r="G312" s="57">
        <v>6</v>
      </c>
      <c r="H312" s="44">
        <f>((22/(7*4))*(D312^2)/(1000^2))*J312*solver!$B$24</f>
        <v>46.974400000000003</v>
      </c>
      <c r="I312" s="45"/>
      <c r="J312" s="46">
        <f t="shared" si="12"/>
        <v>76.160000000000011</v>
      </c>
      <c r="K312" s="29">
        <f t="shared" si="13"/>
        <v>14</v>
      </c>
      <c r="L312" s="30">
        <f t="shared" si="14"/>
        <v>2</v>
      </c>
    </row>
    <row r="313" spans="3:12" x14ac:dyDescent="0.3">
      <c r="C313" s="15" t="s">
        <v>240</v>
      </c>
      <c r="D313" s="56">
        <v>10</v>
      </c>
      <c r="E313" s="57">
        <v>56</v>
      </c>
      <c r="F313" s="57">
        <v>1.75</v>
      </c>
      <c r="G313" s="57">
        <v>6</v>
      </c>
      <c r="H313" s="44">
        <f>((22/(7*4))*(D313^2)/(1000^2))*J313*solver!$B$24</f>
        <v>60.444999999999993</v>
      </c>
      <c r="I313" s="45"/>
      <c r="J313" s="46">
        <f t="shared" si="12"/>
        <v>98</v>
      </c>
      <c r="K313" s="29">
        <f t="shared" si="13"/>
        <v>19</v>
      </c>
      <c r="L313" s="30">
        <f t="shared" si="14"/>
        <v>3</v>
      </c>
    </row>
    <row r="314" spans="3:12" x14ac:dyDescent="0.3">
      <c r="C314" s="15" t="s">
        <v>241</v>
      </c>
      <c r="D314" s="56">
        <v>10</v>
      </c>
      <c r="E314" s="57">
        <v>21</v>
      </c>
      <c r="F314" s="57">
        <v>1.4</v>
      </c>
      <c r="G314" s="57">
        <v>6</v>
      </c>
      <c r="H314" s="44">
        <f>((22/(7*4))*(D314^2)/(1000^2))*J314*solver!$B$24</f>
        <v>18.133499999999998</v>
      </c>
      <c r="I314" s="45"/>
      <c r="J314" s="46">
        <f t="shared" si="12"/>
        <v>29.4</v>
      </c>
      <c r="K314" s="29">
        <f t="shared" si="13"/>
        <v>6</v>
      </c>
      <c r="L314" s="30">
        <f t="shared" si="14"/>
        <v>4</v>
      </c>
    </row>
    <row r="315" spans="3:12" x14ac:dyDescent="0.3">
      <c r="C315" s="15" t="s">
        <v>242</v>
      </c>
      <c r="D315" s="56">
        <v>10</v>
      </c>
      <c r="E315" s="57">
        <v>42</v>
      </c>
      <c r="F315" s="57">
        <v>1.02</v>
      </c>
      <c r="G315" s="57">
        <v>6</v>
      </c>
      <c r="H315" s="44">
        <f>((22/(7*4))*(D315^2)/(1000^2))*J315*solver!$B$24</f>
        <v>26.423100000000002</v>
      </c>
      <c r="I315" s="45"/>
      <c r="J315" s="46">
        <f t="shared" si="12"/>
        <v>42.84</v>
      </c>
      <c r="K315" s="29">
        <f t="shared" si="13"/>
        <v>9</v>
      </c>
      <c r="L315" s="30">
        <f t="shared" si="14"/>
        <v>5</v>
      </c>
    </row>
    <row r="316" spans="3:12" x14ac:dyDescent="0.3">
      <c r="C316" s="14" t="s">
        <v>243</v>
      </c>
      <c r="D316" s="60">
        <v>32</v>
      </c>
      <c r="E316" s="61">
        <v>14</v>
      </c>
      <c r="F316" s="61">
        <v>10.5</v>
      </c>
      <c r="G316" s="61">
        <v>12</v>
      </c>
      <c r="H316" s="39">
        <f>((22/(7*4))*(D316^2)/(1000^2))*J316*solver!$B$24</f>
        <v>928.43520000000001</v>
      </c>
      <c r="I316" s="40"/>
      <c r="J316" s="41">
        <f t="shared" si="12"/>
        <v>147</v>
      </c>
      <c r="K316" s="23">
        <f t="shared" si="13"/>
        <v>14</v>
      </c>
      <c r="L316" s="24">
        <f t="shared" si="14"/>
        <v>1</v>
      </c>
    </row>
    <row r="317" spans="3:12" x14ac:dyDescent="0.3">
      <c r="C317" s="14" t="s">
        <v>244</v>
      </c>
      <c r="D317" s="62">
        <v>25</v>
      </c>
      <c r="E317" s="63">
        <v>9</v>
      </c>
      <c r="F317" s="63">
        <v>8.8699999999999992</v>
      </c>
      <c r="G317" s="63">
        <v>9</v>
      </c>
      <c r="H317" s="44">
        <f>((22/(7*4))*(D317^2)/(1000^2))*J317*solver!$B$24</f>
        <v>307.73752232142857</v>
      </c>
      <c r="I317" s="45"/>
      <c r="J317" s="46">
        <f t="shared" si="12"/>
        <v>79.83</v>
      </c>
      <c r="K317" s="29">
        <f t="shared" si="13"/>
        <v>9</v>
      </c>
      <c r="L317" s="30">
        <f t="shared" si="14"/>
        <v>1</v>
      </c>
    </row>
    <row r="318" spans="3:12" x14ac:dyDescent="0.3">
      <c r="C318" s="14" t="s">
        <v>245</v>
      </c>
      <c r="D318" s="62">
        <v>32</v>
      </c>
      <c r="E318" s="63">
        <v>14</v>
      </c>
      <c r="F318" s="63">
        <v>12</v>
      </c>
      <c r="G318" s="63">
        <v>12</v>
      </c>
      <c r="H318" s="44">
        <f>((22/(7*4))*(D318^2)/(1000^2))*J318*solver!$B$24</f>
        <v>1061.0688</v>
      </c>
      <c r="I318" s="45"/>
      <c r="J318" s="46">
        <f t="shared" si="12"/>
        <v>168</v>
      </c>
      <c r="K318" s="29">
        <f t="shared" si="13"/>
        <v>14</v>
      </c>
      <c r="L318" s="30">
        <f t="shared" si="14"/>
        <v>1</v>
      </c>
    </row>
    <row r="319" spans="3:12" x14ac:dyDescent="0.3">
      <c r="C319" s="14" t="s">
        <v>246</v>
      </c>
      <c r="D319" s="62">
        <v>25</v>
      </c>
      <c r="E319" s="63">
        <v>9</v>
      </c>
      <c r="F319" s="63">
        <v>7.37</v>
      </c>
      <c r="G319" s="63">
        <v>7.5</v>
      </c>
      <c r="H319" s="44">
        <f>((22/(7*4))*(D319^2)/(1000^2))*J319*solver!$B$24</f>
        <v>255.69622767857143</v>
      </c>
      <c r="I319" s="45"/>
      <c r="J319" s="46">
        <f t="shared" si="12"/>
        <v>66.33</v>
      </c>
      <c r="K319" s="29">
        <f t="shared" si="13"/>
        <v>9</v>
      </c>
      <c r="L319" s="30">
        <f t="shared" si="14"/>
        <v>1</v>
      </c>
    </row>
    <row r="320" spans="3:12" x14ac:dyDescent="0.3">
      <c r="C320" s="14" t="s">
        <v>247</v>
      </c>
      <c r="D320" s="62">
        <v>25</v>
      </c>
      <c r="E320" s="63">
        <v>5</v>
      </c>
      <c r="F320" s="63">
        <v>4.3099999999999996</v>
      </c>
      <c r="G320" s="63">
        <v>6</v>
      </c>
      <c r="H320" s="44">
        <f>((22/(7*4))*(D320^2)/(1000^2))*J320*solver!$B$24</f>
        <v>83.073325892857142</v>
      </c>
      <c r="I320" s="45"/>
      <c r="J320" s="46">
        <f t="shared" si="12"/>
        <v>21.549999999999997</v>
      </c>
      <c r="K320" s="29">
        <f t="shared" si="13"/>
        <v>5</v>
      </c>
      <c r="L320" s="30">
        <f t="shared" si="14"/>
        <v>1</v>
      </c>
    </row>
    <row r="321" spans="3:12" x14ac:dyDescent="0.3">
      <c r="C321" s="14" t="s">
        <v>248</v>
      </c>
      <c r="D321" s="62">
        <v>25</v>
      </c>
      <c r="E321" s="63">
        <v>5</v>
      </c>
      <c r="F321" s="63">
        <v>3</v>
      </c>
      <c r="G321" s="63">
        <v>6</v>
      </c>
      <c r="H321" s="44">
        <f>((22/(7*4))*(D321^2)/(1000^2))*J321*solver!$B$24</f>
        <v>57.823660714285722</v>
      </c>
      <c r="I321" s="45"/>
      <c r="J321" s="46">
        <f t="shared" si="12"/>
        <v>15</v>
      </c>
      <c r="K321" s="29">
        <f t="shared" si="13"/>
        <v>3</v>
      </c>
      <c r="L321" s="30">
        <f t="shared" si="14"/>
        <v>2</v>
      </c>
    </row>
    <row r="322" spans="3:12" x14ac:dyDescent="0.3">
      <c r="C322" s="14" t="s">
        <v>249</v>
      </c>
      <c r="D322" s="62">
        <v>12</v>
      </c>
      <c r="E322" s="63">
        <v>108</v>
      </c>
      <c r="F322" s="63">
        <v>2.75</v>
      </c>
      <c r="G322" s="63">
        <v>6</v>
      </c>
      <c r="H322" s="44">
        <f>((22/(7*4))*(D322^2)/(1000^2))*J322*solver!$B$24</f>
        <v>263.78691428571426</v>
      </c>
      <c r="I322" s="45"/>
      <c r="J322" s="46">
        <f t="shared" si="12"/>
        <v>297</v>
      </c>
      <c r="K322" s="29">
        <f t="shared" si="13"/>
        <v>54</v>
      </c>
      <c r="L322" s="30">
        <f t="shared" si="14"/>
        <v>2</v>
      </c>
    </row>
    <row r="323" spans="3:12" x14ac:dyDescent="0.3">
      <c r="C323" s="14" t="s">
        <v>250</v>
      </c>
      <c r="D323" s="62">
        <v>12</v>
      </c>
      <c r="E323" s="63">
        <v>150</v>
      </c>
      <c r="F323" s="63">
        <v>2.0699999999999998</v>
      </c>
      <c r="G323" s="63">
        <v>6</v>
      </c>
      <c r="H323" s="44">
        <f>((22/(7*4))*(D323^2)/(1000^2))*J323*solver!$B$24</f>
        <v>275.77722857142851</v>
      </c>
      <c r="I323" s="45"/>
      <c r="J323" s="46">
        <f t="shared" si="12"/>
        <v>310.5</v>
      </c>
      <c r="K323" s="29">
        <f t="shared" si="13"/>
        <v>75</v>
      </c>
      <c r="L323" s="30">
        <f t="shared" si="14"/>
        <v>2</v>
      </c>
    </row>
    <row r="324" spans="3:12" x14ac:dyDescent="0.3">
      <c r="C324" s="14" t="s">
        <v>251</v>
      </c>
      <c r="D324" s="62">
        <v>12</v>
      </c>
      <c r="E324" s="63">
        <v>216</v>
      </c>
      <c r="F324" s="63">
        <v>0.8</v>
      </c>
      <c r="G324" s="63">
        <v>6</v>
      </c>
      <c r="H324" s="44">
        <f>((22/(7*4))*(D324^2)/(1000^2))*J324*solver!$B$24</f>
        <v>153.47602285714285</v>
      </c>
      <c r="I324" s="45"/>
      <c r="J324" s="46">
        <f t="shared" ref="J324:J342" si="15">E324*F324</f>
        <v>172.8</v>
      </c>
      <c r="K324" s="29">
        <f t="shared" ref="K324:K342" si="16">IF(G324=0,0,ROUNDUP(E324/L324,0))</f>
        <v>31</v>
      </c>
      <c r="L324" s="30">
        <f t="shared" ref="L324:L342" si="17">ROUNDDOWN(G324/F324, 0)</f>
        <v>7</v>
      </c>
    </row>
    <row r="325" spans="3:12" x14ac:dyDescent="0.3">
      <c r="C325" s="14" t="s">
        <v>252</v>
      </c>
      <c r="D325" s="62">
        <v>12</v>
      </c>
      <c r="E325" s="63">
        <v>33</v>
      </c>
      <c r="F325" s="63">
        <v>1.95</v>
      </c>
      <c r="G325" s="63">
        <v>6</v>
      </c>
      <c r="H325" s="44">
        <f>((22/(7*4))*(D325^2)/(1000^2))*J325*solver!$B$24</f>
        <v>57.153831428571415</v>
      </c>
      <c r="I325" s="45"/>
      <c r="J325" s="46">
        <f t="shared" si="15"/>
        <v>64.349999999999994</v>
      </c>
      <c r="K325" s="29">
        <f t="shared" si="16"/>
        <v>11</v>
      </c>
      <c r="L325" s="30">
        <f t="shared" si="17"/>
        <v>3</v>
      </c>
    </row>
    <row r="326" spans="3:12" x14ac:dyDescent="0.3">
      <c r="C326" s="14" t="s">
        <v>253</v>
      </c>
      <c r="D326" s="62">
        <v>10</v>
      </c>
      <c r="E326" s="63">
        <v>28</v>
      </c>
      <c r="F326" s="63">
        <v>2.72</v>
      </c>
      <c r="G326" s="63">
        <v>6</v>
      </c>
      <c r="H326" s="44">
        <f>((22/(7*4))*(D326^2)/(1000^2))*J326*solver!$B$24</f>
        <v>46.974400000000003</v>
      </c>
      <c r="I326" s="45"/>
      <c r="J326" s="46">
        <f t="shared" si="15"/>
        <v>76.160000000000011</v>
      </c>
      <c r="K326" s="29">
        <f t="shared" si="16"/>
        <v>14</v>
      </c>
      <c r="L326" s="30">
        <f t="shared" si="17"/>
        <v>2</v>
      </c>
    </row>
    <row r="327" spans="3:12" x14ac:dyDescent="0.3">
      <c r="C327" s="14" t="s">
        <v>254</v>
      </c>
      <c r="D327" s="62">
        <v>10</v>
      </c>
      <c r="E327" s="63">
        <v>56</v>
      </c>
      <c r="F327" s="63">
        <v>2.12</v>
      </c>
      <c r="G327" s="63">
        <v>6</v>
      </c>
      <c r="H327" s="44">
        <f>((22/(7*4))*(D327^2)/(1000^2))*J327*solver!$B$24</f>
        <v>73.224800000000002</v>
      </c>
      <c r="I327" s="45"/>
      <c r="J327" s="46">
        <f t="shared" si="15"/>
        <v>118.72</v>
      </c>
      <c r="K327" s="29">
        <f t="shared" si="16"/>
        <v>28</v>
      </c>
      <c r="L327" s="30">
        <f t="shared" si="17"/>
        <v>2</v>
      </c>
    </row>
    <row r="328" spans="3:12" x14ac:dyDescent="0.3">
      <c r="C328" s="14" t="s">
        <v>255</v>
      </c>
      <c r="D328" s="68">
        <v>10</v>
      </c>
      <c r="E328" s="69">
        <v>28</v>
      </c>
      <c r="F328" s="69">
        <v>2.0099999999999998</v>
      </c>
      <c r="G328" s="69">
        <v>6</v>
      </c>
      <c r="H328" s="49">
        <f>((22/(7*4))*(D328^2)/(1000^2))*J328*solver!$B$24</f>
        <v>34.712699999999991</v>
      </c>
      <c r="I328" s="50"/>
      <c r="J328" s="51">
        <f t="shared" si="15"/>
        <v>56.279999999999994</v>
      </c>
      <c r="K328" s="35">
        <f t="shared" si="16"/>
        <v>14</v>
      </c>
      <c r="L328" s="36">
        <f t="shared" si="17"/>
        <v>2</v>
      </c>
    </row>
    <row r="329" spans="3:12" x14ac:dyDescent="0.3">
      <c r="C329" s="15" t="s">
        <v>256</v>
      </c>
      <c r="D329" s="54">
        <v>32</v>
      </c>
      <c r="E329" s="55">
        <v>18</v>
      </c>
      <c r="F329" s="55">
        <v>4.2300000000000004</v>
      </c>
      <c r="G329" s="55">
        <v>6</v>
      </c>
      <c r="H329" s="39">
        <f>((22/(7*4))*(D329^2)/(1000^2))*J329*solver!$B$24</f>
        <v>480.89153828571438</v>
      </c>
      <c r="I329" s="40"/>
      <c r="J329" s="41">
        <f t="shared" si="15"/>
        <v>76.140000000000015</v>
      </c>
      <c r="K329" s="23">
        <f t="shared" si="16"/>
        <v>18</v>
      </c>
      <c r="L329" s="24">
        <f t="shared" si="17"/>
        <v>1</v>
      </c>
    </row>
    <row r="330" spans="3:12" x14ac:dyDescent="0.3">
      <c r="C330" s="15" t="s">
        <v>257</v>
      </c>
      <c r="D330" s="56">
        <v>32</v>
      </c>
      <c r="E330" s="57">
        <v>18</v>
      </c>
      <c r="F330" s="57">
        <v>12</v>
      </c>
      <c r="G330" s="57">
        <v>12</v>
      </c>
      <c r="H330" s="44">
        <f>((22/(7*4))*(D330^2)/(1000^2))*J330*solver!$B$24</f>
        <v>1364.2313142857142</v>
      </c>
      <c r="I330" s="45"/>
      <c r="J330" s="46">
        <f t="shared" si="15"/>
        <v>216</v>
      </c>
      <c r="K330" s="29">
        <f t="shared" si="16"/>
        <v>18</v>
      </c>
      <c r="L330" s="30">
        <f t="shared" si="17"/>
        <v>1</v>
      </c>
    </row>
    <row r="331" spans="3:12" x14ac:dyDescent="0.3">
      <c r="C331" s="15" t="s">
        <v>258</v>
      </c>
      <c r="D331" s="56">
        <v>25</v>
      </c>
      <c r="E331" s="57">
        <v>10</v>
      </c>
      <c r="F331" s="57">
        <v>4.3099999999999996</v>
      </c>
      <c r="G331" s="57">
        <v>6</v>
      </c>
      <c r="H331" s="44">
        <f>((22/(7*4))*(D331^2)/(1000^2))*J331*solver!$B$24</f>
        <v>166.14665178571428</v>
      </c>
      <c r="I331" s="45"/>
      <c r="J331" s="46">
        <f t="shared" si="15"/>
        <v>43.099999999999994</v>
      </c>
      <c r="K331" s="29">
        <f t="shared" si="16"/>
        <v>10</v>
      </c>
      <c r="L331" s="30">
        <f t="shared" si="17"/>
        <v>1</v>
      </c>
    </row>
    <row r="332" spans="3:12" x14ac:dyDescent="0.3">
      <c r="C332" s="15" t="s">
        <v>259</v>
      </c>
      <c r="D332" s="56">
        <v>32</v>
      </c>
      <c r="E332" s="57">
        <v>10</v>
      </c>
      <c r="F332" s="57">
        <v>8.5299999999999994</v>
      </c>
      <c r="G332" s="57">
        <v>9</v>
      </c>
      <c r="H332" s="44">
        <f>((22/(7*4))*(D332^2)/(1000^2))*J332*solver!$B$24</f>
        <v>538.7450514285714</v>
      </c>
      <c r="I332" s="45"/>
      <c r="J332" s="46">
        <f t="shared" si="15"/>
        <v>85.3</v>
      </c>
      <c r="K332" s="29">
        <f t="shared" si="16"/>
        <v>10</v>
      </c>
      <c r="L332" s="30">
        <f t="shared" si="17"/>
        <v>1</v>
      </c>
    </row>
    <row r="333" spans="3:12" x14ac:dyDescent="0.3">
      <c r="C333" s="15" t="s">
        <v>260</v>
      </c>
      <c r="D333" s="56">
        <v>32</v>
      </c>
      <c r="E333" s="57">
        <v>10</v>
      </c>
      <c r="F333" s="57">
        <v>9.6999999999999993</v>
      </c>
      <c r="G333" s="57">
        <v>10.5</v>
      </c>
      <c r="H333" s="44">
        <f>((22/(7*4))*(D333^2)/(1000^2))*J333*solver!$B$24</f>
        <v>612.6409142857143</v>
      </c>
      <c r="I333" s="45"/>
      <c r="J333" s="46">
        <f t="shared" si="15"/>
        <v>97</v>
      </c>
      <c r="K333" s="29">
        <f t="shared" si="16"/>
        <v>10</v>
      </c>
      <c r="L333" s="30">
        <f t="shared" si="17"/>
        <v>1</v>
      </c>
    </row>
    <row r="334" spans="3:12" x14ac:dyDescent="0.3">
      <c r="C334" s="15" t="s">
        <v>261</v>
      </c>
      <c r="D334" s="56">
        <v>25</v>
      </c>
      <c r="E334" s="57">
        <v>10</v>
      </c>
      <c r="F334" s="57">
        <v>3</v>
      </c>
      <c r="G334" s="57">
        <v>6</v>
      </c>
      <c r="H334" s="44">
        <f>((22/(7*4))*(D334^2)/(1000^2))*J334*solver!$B$24</f>
        <v>115.64732142857144</v>
      </c>
      <c r="I334" s="45"/>
      <c r="J334" s="46">
        <f t="shared" si="15"/>
        <v>30</v>
      </c>
      <c r="K334" s="29">
        <f t="shared" si="16"/>
        <v>5</v>
      </c>
      <c r="L334" s="30">
        <f t="shared" si="17"/>
        <v>2</v>
      </c>
    </row>
    <row r="335" spans="3:12" x14ac:dyDescent="0.3">
      <c r="C335" s="15" t="s">
        <v>262</v>
      </c>
      <c r="D335" s="56">
        <v>32</v>
      </c>
      <c r="E335" s="57">
        <v>8</v>
      </c>
      <c r="F335" s="57">
        <v>7.36</v>
      </c>
      <c r="G335" s="57">
        <v>7.5</v>
      </c>
      <c r="H335" s="44">
        <f>((22/(7*4))*(D335^2)/(1000^2))*J335*solver!$B$24</f>
        <v>371.87935085714287</v>
      </c>
      <c r="I335" s="45"/>
      <c r="J335" s="46">
        <f t="shared" si="15"/>
        <v>58.88</v>
      </c>
      <c r="K335" s="29">
        <f t="shared" si="16"/>
        <v>8</v>
      </c>
      <c r="L335" s="30">
        <f t="shared" si="17"/>
        <v>1</v>
      </c>
    </row>
    <row r="336" spans="3:12" x14ac:dyDescent="0.3">
      <c r="C336" s="15" t="s">
        <v>263</v>
      </c>
      <c r="D336" s="56">
        <v>12</v>
      </c>
      <c r="E336" s="57">
        <v>121</v>
      </c>
      <c r="F336" s="57">
        <v>2.75</v>
      </c>
      <c r="G336" s="57">
        <v>6</v>
      </c>
      <c r="H336" s="44">
        <f>((22/(7*4))*(D336^2)/(1000^2))*J336*solver!$B$24</f>
        <v>295.53904285714282</v>
      </c>
      <c r="I336" s="45"/>
      <c r="J336" s="46">
        <f t="shared" si="15"/>
        <v>332.75</v>
      </c>
      <c r="K336" s="29">
        <f t="shared" si="16"/>
        <v>61</v>
      </c>
      <c r="L336" s="30">
        <f t="shared" si="17"/>
        <v>2</v>
      </c>
    </row>
    <row r="337" spans="3:12" x14ac:dyDescent="0.3">
      <c r="C337" s="15" t="s">
        <v>264</v>
      </c>
      <c r="D337" s="56">
        <v>12</v>
      </c>
      <c r="E337" s="57">
        <v>186</v>
      </c>
      <c r="F337" s="57">
        <v>2.0699999999999998</v>
      </c>
      <c r="G337" s="57">
        <v>6</v>
      </c>
      <c r="H337" s="44">
        <f>((22/(7*4))*(D337^2)/(1000^2))*J337*solver!$B$24</f>
        <v>341.96376342857138</v>
      </c>
      <c r="I337" s="45"/>
      <c r="J337" s="46">
        <f t="shared" si="15"/>
        <v>385.02</v>
      </c>
      <c r="K337" s="29">
        <f t="shared" si="16"/>
        <v>93</v>
      </c>
      <c r="L337" s="30">
        <f t="shared" si="17"/>
        <v>2</v>
      </c>
    </row>
    <row r="338" spans="3:12" x14ac:dyDescent="0.3">
      <c r="C338" s="15" t="s">
        <v>265</v>
      </c>
      <c r="D338" s="56">
        <v>12</v>
      </c>
      <c r="E338" s="57">
        <v>186</v>
      </c>
      <c r="F338" s="57">
        <v>0.8</v>
      </c>
      <c r="G338" s="57">
        <v>6</v>
      </c>
      <c r="H338" s="44">
        <f>((22/(7*4))*(D338^2)/(1000^2))*J338*solver!$B$24</f>
        <v>132.15990857142859</v>
      </c>
      <c r="I338" s="45"/>
      <c r="J338" s="46">
        <f t="shared" si="15"/>
        <v>148.80000000000001</v>
      </c>
      <c r="K338" s="29">
        <f t="shared" si="16"/>
        <v>27</v>
      </c>
      <c r="L338" s="30">
        <f t="shared" si="17"/>
        <v>7</v>
      </c>
    </row>
    <row r="339" spans="3:12" x14ac:dyDescent="0.3">
      <c r="C339" s="15" t="s">
        <v>266</v>
      </c>
      <c r="D339" s="56">
        <v>16</v>
      </c>
      <c r="E339" s="57">
        <v>110</v>
      </c>
      <c r="F339" s="57">
        <v>2.83</v>
      </c>
      <c r="G339" s="57">
        <v>6</v>
      </c>
      <c r="H339" s="44">
        <f>((22/(7*4))*(D339^2)/(1000^2))*J339*solver!$B$24</f>
        <v>491.53380571428573</v>
      </c>
      <c r="I339" s="45"/>
      <c r="J339" s="46">
        <f t="shared" si="15"/>
        <v>311.3</v>
      </c>
      <c r="K339" s="29">
        <f t="shared" si="16"/>
        <v>55</v>
      </c>
      <c r="L339" s="30">
        <f t="shared" si="17"/>
        <v>2</v>
      </c>
    </row>
    <row r="340" spans="3:12" x14ac:dyDescent="0.3">
      <c r="C340" s="15" t="s">
        <v>267</v>
      </c>
      <c r="D340" s="56">
        <v>16</v>
      </c>
      <c r="E340" s="57">
        <v>220</v>
      </c>
      <c r="F340" s="57">
        <v>2.15</v>
      </c>
      <c r="G340" s="57">
        <v>9</v>
      </c>
      <c r="H340" s="44">
        <f>((22/(7*4))*(D340^2)/(1000^2))*J340*solver!$B$24</f>
        <v>746.85348571428574</v>
      </c>
      <c r="I340" s="45"/>
      <c r="J340" s="46">
        <f t="shared" si="15"/>
        <v>473</v>
      </c>
      <c r="K340" s="29">
        <f t="shared" si="16"/>
        <v>55</v>
      </c>
      <c r="L340" s="30">
        <f t="shared" si="17"/>
        <v>4</v>
      </c>
    </row>
    <row r="341" spans="3:12" x14ac:dyDescent="0.3">
      <c r="C341" s="15" t="s">
        <v>268</v>
      </c>
      <c r="D341" s="56">
        <v>16</v>
      </c>
      <c r="E341" s="57">
        <v>220</v>
      </c>
      <c r="F341" s="57">
        <v>0.86</v>
      </c>
      <c r="G341" s="57">
        <v>6</v>
      </c>
      <c r="H341" s="44">
        <f>((22/(7*4))*(D341^2)/(1000^2))*J341*solver!$B$24</f>
        <v>298.74139428571425</v>
      </c>
      <c r="I341" s="45"/>
      <c r="J341" s="46">
        <f t="shared" si="15"/>
        <v>189.2</v>
      </c>
      <c r="K341" s="29">
        <f t="shared" si="16"/>
        <v>37</v>
      </c>
      <c r="L341" s="30">
        <f t="shared" si="17"/>
        <v>6</v>
      </c>
    </row>
    <row r="342" spans="3:12" x14ac:dyDescent="0.3">
      <c r="C342" s="15" t="s">
        <v>269</v>
      </c>
      <c r="D342" s="58">
        <v>12</v>
      </c>
      <c r="E342" s="59">
        <v>56</v>
      </c>
      <c r="F342" s="59">
        <v>1.78</v>
      </c>
      <c r="G342" s="59">
        <v>6</v>
      </c>
      <c r="H342" s="49">
        <f>((22/(7*4))*(D342^2)/(1000^2))*J342*solver!$B$24</f>
        <v>88.532927999999998</v>
      </c>
      <c r="I342" s="50"/>
      <c r="J342" s="51">
        <f t="shared" si="15"/>
        <v>99.68</v>
      </c>
      <c r="K342" s="35">
        <f t="shared" si="16"/>
        <v>19</v>
      </c>
      <c r="L342" s="36">
        <f t="shared" si="17"/>
        <v>3</v>
      </c>
    </row>
    <row r="343" spans="3:12" x14ac:dyDescent="0.3">
      <c r="D343" s="17"/>
      <c r="E343" s="17"/>
      <c r="F343" s="17"/>
      <c r="G343" s="17"/>
      <c r="H343" s="18"/>
      <c r="I343" s="17"/>
      <c r="J343" s="17"/>
      <c r="K343" s="17"/>
      <c r="L343" s="17"/>
    </row>
    <row r="344" spans="3:12" x14ac:dyDescent="0.3">
      <c r="D344" s="17"/>
      <c r="E344" s="17"/>
      <c r="F344" s="17"/>
      <c r="G344" s="17"/>
      <c r="H344" s="18"/>
      <c r="I344" s="17"/>
      <c r="J344" s="17"/>
      <c r="K344" s="17"/>
      <c r="L34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CE1E-BE61-4F44-B566-86807FD65727}">
  <dimension ref="A5:X329"/>
  <sheetViews>
    <sheetView topLeftCell="A123" zoomScale="70" zoomScaleNormal="70" workbookViewId="0">
      <selection activeCell="K4" sqref="K4:Y330"/>
    </sheetView>
  </sheetViews>
  <sheetFormatPr defaultRowHeight="14.4" x14ac:dyDescent="0.3"/>
  <cols>
    <col min="7" max="7" width="31.6640625" style="2" customWidth="1"/>
    <col min="12" max="15" width="8.88671875" style="17"/>
    <col min="16" max="16" width="11" style="18" bestFit="1" customWidth="1"/>
    <col min="17" max="21" width="8.88671875" style="17"/>
    <col min="22" max="22" width="11.21875" style="17" customWidth="1"/>
  </cols>
  <sheetData>
    <row r="5" spans="7:24" x14ac:dyDescent="0.3">
      <c r="L5"/>
      <c r="P5" s="17"/>
    </row>
    <row r="6" spans="7:24" ht="72" x14ac:dyDescent="0.3">
      <c r="G6" s="3" t="s">
        <v>2</v>
      </c>
      <c r="L6"/>
      <c r="M6" s="17" t="s">
        <v>31</v>
      </c>
      <c r="N6" s="17" t="s">
        <v>22</v>
      </c>
      <c r="O6" s="16" t="s">
        <v>23</v>
      </c>
      <c r="P6" s="16" t="s">
        <v>24</v>
      </c>
      <c r="Q6" s="18" t="s">
        <v>26</v>
      </c>
      <c r="R6" s="17" t="s">
        <v>271</v>
      </c>
      <c r="S6" s="16" t="s">
        <v>27</v>
      </c>
      <c r="T6" s="16" t="s">
        <v>25</v>
      </c>
      <c r="U6" s="16" t="s">
        <v>34</v>
      </c>
      <c r="V6" s="16" t="s">
        <v>272</v>
      </c>
      <c r="X6" s="16" t="s">
        <v>270</v>
      </c>
    </row>
    <row r="7" spans="7:24" x14ac:dyDescent="0.3">
      <c r="G7" s="4" t="s">
        <v>0</v>
      </c>
      <c r="H7">
        <v>7</v>
      </c>
      <c r="L7" s="72" t="s">
        <v>273</v>
      </c>
      <c r="M7" s="55">
        <v>32</v>
      </c>
      <c r="N7" s="55">
        <v>14</v>
      </c>
      <c r="O7" s="55">
        <v>7</v>
      </c>
      <c r="P7" s="55">
        <v>7.5</v>
      </c>
      <c r="Q7" s="39">
        <f t="shared" ref="Q7:Q18" si="0">((22/(7*4))*(M7^2)/(1000^2))*S7*$B$24</f>
        <v>618.95680000000004</v>
      </c>
      <c r="R7" s="73">
        <v>5</v>
      </c>
      <c r="S7" s="41">
        <f t="shared" ref="S7:S38" si="1">N7*O7</f>
        <v>98</v>
      </c>
      <c r="T7" s="23">
        <f>IF(P7=0,0,ROUNDUP((N7/U7)*R7,0))</f>
        <v>70</v>
      </c>
      <c r="U7" s="41">
        <f t="shared" ref="U7:U38" si="2">ROUNDDOWN(P7/O7, 0)</f>
        <v>1</v>
      </c>
      <c r="V7" s="40" t="str">
        <f>IF(T7=X7, "MATCH", "RECHECK")</f>
        <v>MATCH</v>
      </c>
      <c r="W7" s="9"/>
      <c r="X7" s="74">
        <v>70</v>
      </c>
    </row>
    <row r="8" spans="7:24" x14ac:dyDescent="0.3">
      <c r="G8" s="4" t="s">
        <v>1</v>
      </c>
      <c r="H8">
        <v>1</v>
      </c>
      <c r="L8" s="75" t="s">
        <v>274</v>
      </c>
      <c r="M8" s="57">
        <v>32</v>
      </c>
      <c r="N8" s="57">
        <v>14</v>
      </c>
      <c r="O8" s="57">
        <v>7.87</v>
      </c>
      <c r="P8" s="57">
        <v>9</v>
      </c>
      <c r="Q8" s="44">
        <f t="shared" si="0"/>
        <v>695.88428800000008</v>
      </c>
      <c r="R8" s="70">
        <v>5</v>
      </c>
      <c r="S8" s="46">
        <f t="shared" si="1"/>
        <v>110.18</v>
      </c>
      <c r="T8" s="29">
        <f t="shared" ref="T8:T71" si="3">IF(P8=0,0,ROUNDUP((N8/U8)*R8,0))</f>
        <v>70</v>
      </c>
      <c r="U8" s="46">
        <f t="shared" si="2"/>
        <v>1</v>
      </c>
      <c r="V8" s="45" t="str">
        <f t="shared" ref="V8:V71" si="4">IF(T8=X8, "MATCH", "RECHECK")</f>
        <v>MATCH</v>
      </c>
      <c r="W8" s="10"/>
      <c r="X8" s="76">
        <v>70</v>
      </c>
    </row>
    <row r="9" spans="7:24" x14ac:dyDescent="0.3">
      <c r="G9" s="4" t="s">
        <v>5</v>
      </c>
      <c r="L9" s="75" t="s">
        <v>275</v>
      </c>
      <c r="M9" s="57">
        <v>32</v>
      </c>
      <c r="N9" s="57">
        <v>14</v>
      </c>
      <c r="O9" s="57">
        <v>8.61</v>
      </c>
      <c r="P9" s="57">
        <v>9</v>
      </c>
      <c r="Q9" s="44">
        <f t="shared" si="0"/>
        <v>761.3168639999999</v>
      </c>
      <c r="R9" s="70">
        <v>5</v>
      </c>
      <c r="S9" s="46">
        <f t="shared" si="1"/>
        <v>120.53999999999999</v>
      </c>
      <c r="T9" s="29">
        <f t="shared" si="3"/>
        <v>70</v>
      </c>
      <c r="U9" s="46">
        <f t="shared" si="2"/>
        <v>1</v>
      </c>
      <c r="V9" s="45" t="str">
        <f t="shared" si="4"/>
        <v>MATCH</v>
      </c>
      <c r="W9" s="10"/>
      <c r="X9" s="77">
        <v>70</v>
      </c>
    </row>
    <row r="10" spans="7:24" x14ac:dyDescent="0.3">
      <c r="G10" s="4" t="s">
        <v>13</v>
      </c>
      <c r="L10" s="75" t="s">
        <v>276</v>
      </c>
      <c r="M10" s="57">
        <v>32</v>
      </c>
      <c r="N10" s="57">
        <v>14</v>
      </c>
      <c r="O10" s="57">
        <v>11.23</v>
      </c>
      <c r="P10" s="57">
        <v>12</v>
      </c>
      <c r="Q10" s="44">
        <f t="shared" si="0"/>
        <v>992.98355200000003</v>
      </c>
      <c r="R10" s="70">
        <v>5</v>
      </c>
      <c r="S10" s="46">
        <f t="shared" si="1"/>
        <v>157.22</v>
      </c>
      <c r="T10" s="29">
        <f t="shared" si="3"/>
        <v>70</v>
      </c>
      <c r="U10" s="46">
        <f t="shared" si="2"/>
        <v>1</v>
      </c>
      <c r="V10" s="45" t="str">
        <f t="shared" si="4"/>
        <v>MATCH</v>
      </c>
      <c r="W10" s="10"/>
      <c r="X10" s="76">
        <v>70</v>
      </c>
    </row>
    <row r="11" spans="7:24" x14ac:dyDescent="0.3">
      <c r="G11" s="4" t="s">
        <v>14</v>
      </c>
      <c r="L11" s="75" t="s">
        <v>277</v>
      </c>
      <c r="M11" s="57">
        <v>12</v>
      </c>
      <c r="N11" s="57">
        <v>215</v>
      </c>
      <c r="O11" s="57">
        <v>2.75</v>
      </c>
      <c r="P11" s="57">
        <v>6</v>
      </c>
      <c r="Q11" s="44">
        <f t="shared" si="0"/>
        <v>525.13135714285715</v>
      </c>
      <c r="R11" s="70">
        <v>5</v>
      </c>
      <c r="S11" s="46">
        <f t="shared" si="1"/>
        <v>591.25</v>
      </c>
      <c r="T11" s="29">
        <f t="shared" si="3"/>
        <v>538</v>
      </c>
      <c r="U11" s="46">
        <f t="shared" si="2"/>
        <v>2</v>
      </c>
      <c r="V11" s="45" t="str">
        <f t="shared" si="4"/>
        <v>MATCH</v>
      </c>
      <c r="W11" s="10"/>
      <c r="X11" s="77">
        <v>538</v>
      </c>
    </row>
    <row r="12" spans="7:24" x14ac:dyDescent="0.3">
      <c r="G12" s="4" t="s">
        <v>3</v>
      </c>
      <c r="H12">
        <v>14</v>
      </c>
      <c r="L12" s="75" t="s">
        <v>278</v>
      </c>
      <c r="M12" s="57">
        <v>12</v>
      </c>
      <c r="N12" s="57">
        <v>186</v>
      </c>
      <c r="O12" s="57">
        <v>2.0699999999999998</v>
      </c>
      <c r="P12" s="57">
        <v>6</v>
      </c>
      <c r="Q12" s="44">
        <f t="shared" si="0"/>
        <v>341.96376342857138</v>
      </c>
      <c r="R12" s="70">
        <v>5</v>
      </c>
      <c r="S12" s="46">
        <f t="shared" si="1"/>
        <v>385.02</v>
      </c>
      <c r="T12" s="29">
        <f t="shared" si="3"/>
        <v>465</v>
      </c>
      <c r="U12" s="46">
        <f t="shared" si="2"/>
        <v>2</v>
      </c>
      <c r="V12" s="45" t="str">
        <f t="shared" si="4"/>
        <v>MATCH</v>
      </c>
      <c r="W12" s="10"/>
      <c r="X12" s="76">
        <v>465</v>
      </c>
    </row>
    <row r="13" spans="7:24" x14ac:dyDescent="0.3">
      <c r="G13" s="4" t="s">
        <v>4</v>
      </c>
      <c r="L13" s="75" t="s">
        <v>279</v>
      </c>
      <c r="M13" s="57">
        <v>12</v>
      </c>
      <c r="N13" s="57">
        <v>372</v>
      </c>
      <c r="O13" s="57">
        <v>0.8</v>
      </c>
      <c r="P13" s="57">
        <v>6</v>
      </c>
      <c r="Q13" s="44">
        <f t="shared" si="0"/>
        <v>264.31981714285718</v>
      </c>
      <c r="R13" s="70">
        <v>5</v>
      </c>
      <c r="S13" s="46">
        <f t="shared" si="1"/>
        <v>297.60000000000002</v>
      </c>
      <c r="T13" s="29">
        <f t="shared" si="3"/>
        <v>266</v>
      </c>
      <c r="U13" s="46">
        <f t="shared" si="2"/>
        <v>7</v>
      </c>
      <c r="V13" s="45" t="str">
        <f t="shared" si="4"/>
        <v>MATCH</v>
      </c>
      <c r="W13" s="10"/>
      <c r="X13" s="77">
        <v>266</v>
      </c>
    </row>
    <row r="14" spans="7:24" x14ac:dyDescent="0.3">
      <c r="G14" s="6" t="s">
        <v>6</v>
      </c>
      <c r="L14" s="75" t="s">
        <v>280</v>
      </c>
      <c r="M14" s="57">
        <v>16</v>
      </c>
      <c r="N14" s="57">
        <v>162</v>
      </c>
      <c r="O14" s="57">
        <v>2.83</v>
      </c>
      <c r="P14" s="57">
        <v>6</v>
      </c>
      <c r="Q14" s="44">
        <f t="shared" si="0"/>
        <v>723.89524114285712</v>
      </c>
      <c r="R14" s="70">
        <v>5</v>
      </c>
      <c r="S14" s="46">
        <f t="shared" si="1"/>
        <v>458.46000000000004</v>
      </c>
      <c r="T14" s="29">
        <f t="shared" si="3"/>
        <v>405</v>
      </c>
      <c r="U14" s="46">
        <f t="shared" si="2"/>
        <v>2</v>
      </c>
      <c r="V14" s="45" t="str">
        <f t="shared" si="4"/>
        <v>MATCH</v>
      </c>
      <c r="W14" s="10"/>
      <c r="X14" s="76">
        <v>405</v>
      </c>
    </row>
    <row r="15" spans="7:24" x14ac:dyDescent="0.3">
      <c r="L15" s="75" t="s">
        <v>281</v>
      </c>
      <c r="M15" s="57">
        <v>16</v>
      </c>
      <c r="N15" s="57">
        <v>81</v>
      </c>
      <c r="O15" s="57">
        <v>2.15</v>
      </c>
      <c r="P15" s="57">
        <v>6</v>
      </c>
      <c r="Q15" s="44">
        <f t="shared" si="0"/>
        <v>274.97787428571434</v>
      </c>
      <c r="R15" s="70">
        <v>5</v>
      </c>
      <c r="S15" s="46">
        <f t="shared" si="1"/>
        <v>174.15</v>
      </c>
      <c r="T15" s="29">
        <f t="shared" si="3"/>
        <v>203</v>
      </c>
      <c r="U15" s="46">
        <f t="shared" si="2"/>
        <v>2</v>
      </c>
      <c r="V15" s="45" t="str">
        <f t="shared" si="4"/>
        <v>MATCH</v>
      </c>
      <c r="W15" s="10"/>
      <c r="X15" s="77">
        <v>203</v>
      </c>
    </row>
    <row r="16" spans="7:24" x14ac:dyDescent="0.3">
      <c r="G16" s="3" t="s">
        <v>7</v>
      </c>
      <c r="H16">
        <v>0.45500000000000002</v>
      </c>
      <c r="L16" s="75" t="s">
        <v>282</v>
      </c>
      <c r="M16" s="57">
        <v>16</v>
      </c>
      <c r="N16" s="57">
        <v>81</v>
      </c>
      <c r="O16" s="57">
        <v>0.86</v>
      </c>
      <c r="P16" s="57">
        <v>6</v>
      </c>
      <c r="Q16" s="44">
        <f t="shared" si="0"/>
        <v>109.99114971428571</v>
      </c>
      <c r="R16" s="70">
        <v>5</v>
      </c>
      <c r="S16" s="46">
        <f t="shared" si="1"/>
        <v>69.66</v>
      </c>
      <c r="T16" s="29">
        <f t="shared" si="3"/>
        <v>68</v>
      </c>
      <c r="U16" s="46">
        <f t="shared" si="2"/>
        <v>6</v>
      </c>
      <c r="V16" s="45" t="str">
        <f t="shared" si="4"/>
        <v>MATCH</v>
      </c>
      <c r="W16" s="10"/>
      <c r="X16" s="76">
        <v>68</v>
      </c>
    </row>
    <row r="17" spans="1:24" x14ac:dyDescent="0.3">
      <c r="G17" s="4" t="s">
        <v>12</v>
      </c>
      <c r="H17">
        <v>7.5</v>
      </c>
      <c r="L17" s="75" t="s">
        <v>283</v>
      </c>
      <c r="M17" s="57">
        <v>12</v>
      </c>
      <c r="N17" s="57">
        <v>82</v>
      </c>
      <c r="O17" s="57">
        <v>2.16</v>
      </c>
      <c r="P17" s="57">
        <v>6</v>
      </c>
      <c r="Q17" s="44">
        <f t="shared" si="0"/>
        <v>157.31292342857142</v>
      </c>
      <c r="R17" s="70">
        <v>5</v>
      </c>
      <c r="S17" s="46">
        <f t="shared" si="1"/>
        <v>177.12</v>
      </c>
      <c r="T17" s="29">
        <f t="shared" si="3"/>
        <v>205</v>
      </c>
      <c r="U17" s="46">
        <f t="shared" si="2"/>
        <v>2</v>
      </c>
      <c r="V17" s="45" t="str">
        <f t="shared" si="4"/>
        <v>MATCH</v>
      </c>
      <c r="W17" s="10"/>
      <c r="X17" s="77">
        <v>205</v>
      </c>
    </row>
    <row r="18" spans="1:24" ht="28.8" x14ac:dyDescent="0.3">
      <c r="G18" s="5" t="s">
        <v>8</v>
      </c>
      <c r="H18">
        <v>7</v>
      </c>
      <c r="L18" s="78" t="s">
        <v>284</v>
      </c>
      <c r="M18" s="59">
        <v>12</v>
      </c>
      <c r="N18" s="59">
        <v>205</v>
      </c>
      <c r="O18" s="59">
        <v>2.0499999999999998</v>
      </c>
      <c r="P18" s="59">
        <v>6</v>
      </c>
      <c r="Q18" s="49">
        <f t="shared" si="0"/>
        <v>373.25404285714279</v>
      </c>
      <c r="R18" s="79">
        <v>5</v>
      </c>
      <c r="S18" s="51">
        <f t="shared" si="1"/>
        <v>420.24999999999994</v>
      </c>
      <c r="T18" s="35">
        <f t="shared" si="3"/>
        <v>513</v>
      </c>
      <c r="U18" s="51">
        <f t="shared" si="2"/>
        <v>2</v>
      </c>
      <c r="V18" s="50" t="str">
        <f t="shared" si="4"/>
        <v>MATCH</v>
      </c>
      <c r="W18" s="11"/>
      <c r="X18" s="80">
        <v>513</v>
      </c>
    </row>
    <row r="19" spans="1:24" x14ac:dyDescent="0.3">
      <c r="G19" s="7" t="s">
        <v>20</v>
      </c>
      <c r="H19" s="1">
        <f>(H7+H16)*H12*H8</f>
        <v>104.37</v>
      </c>
      <c r="L19" s="81" t="s">
        <v>40</v>
      </c>
      <c r="M19" s="61">
        <v>32</v>
      </c>
      <c r="N19" s="61">
        <v>14</v>
      </c>
      <c r="O19" s="61">
        <v>8.51</v>
      </c>
      <c r="P19" s="61">
        <v>9</v>
      </c>
      <c r="Q19" s="39">
        <f>((22/(7*4))*(M17^2)/(1000^2))*S19*$B$24</f>
        <v>105.816744</v>
      </c>
      <c r="R19" s="73">
        <v>4</v>
      </c>
      <c r="S19" s="41">
        <f t="shared" si="1"/>
        <v>119.14</v>
      </c>
      <c r="T19" s="23">
        <f t="shared" si="3"/>
        <v>56</v>
      </c>
      <c r="U19" s="41">
        <f t="shared" si="2"/>
        <v>1</v>
      </c>
      <c r="V19" s="40" t="str">
        <f t="shared" si="4"/>
        <v>MATCH</v>
      </c>
      <c r="W19" s="9"/>
      <c r="X19" s="74">
        <v>56</v>
      </c>
    </row>
    <row r="20" spans="1:24" x14ac:dyDescent="0.3">
      <c r="L20" s="82" t="s">
        <v>41</v>
      </c>
      <c r="M20" s="63">
        <v>25</v>
      </c>
      <c r="N20" s="63">
        <v>14</v>
      </c>
      <c r="O20" s="63">
        <v>11.26</v>
      </c>
      <c r="P20" s="63">
        <v>12</v>
      </c>
      <c r="Q20" s="44">
        <f>((22/(7*4))*(M18^2)/(1000^2))*S20*$B$24</f>
        <v>140.01134399999998</v>
      </c>
      <c r="R20" s="71">
        <v>4</v>
      </c>
      <c r="S20" s="46">
        <f t="shared" si="1"/>
        <v>157.63999999999999</v>
      </c>
      <c r="T20" s="29">
        <f t="shared" si="3"/>
        <v>56</v>
      </c>
      <c r="U20" s="46">
        <f t="shared" si="2"/>
        <v>1</v>
      </c>
      <c r="V20" s="45" t="str">
        <f t="shared" si="4"/>
        <v>MATCH</v>
      </c>
      <c r="W20" s="10"/>
      <c r="X20" s="76">
        <v>56</v>
      </c>
    </row>
    <row r="21" spans="1:24" x14ac:dyDescent="0.3">
      <c r="G21" s="3" t="s">
        <v>9</v>
      </c>
      <c r="L21" s="82" t="s">
        <v>42</v>
      </c>
      <c r="M21" s="63">
        <v>32</v>
      </c>
      <c r="N21" s="63">
        <v>14</v>
      </c>
      <c r="O21" s="63">
        <v>6.96</v>
      </c>
      <c r="P21" s="63">
        <v>7.5</v>
      </c>
      <c r="Q21" s="44">
        <f t="shared" ref="Q21:Q86" si="5">((22/(7*4))*(M21^2)/(1000^2))*S21*$B$24</f>
        <v>615.41990399999997</v>
      </c>
      <c r="R21" s="70">
        <v>4</v>
      </c>
      <c r="S21" s="46">
        <f t="shared" si="1"/>
        <v>97.44</v>
      </c>
      <c r="T21" s="29">
        <f t="shared" si="3"/>
        <v>56</v>
      </c>
      <c r="U21" s="46">
        <f t="shared" si="2"/>
        <v>1</v>
      </c>
      <c r="V21" s="45" t="str">
        <f t="shared" si="4"/>
        <v>MATCH</v>
      </c>
      <c r="W21" s="10"/>
      <c r="X21" s="77">
        <v>56</v>
      </c>
    </row>
    <row r="22" spans="1:24" x14ac:dyDescent="0.3">
      <c r="G22" s="4" t="s">
        <v>10</v>
      </c>
      <c r="L22" s="82" t="s">
        <v>43</v>
      </c>
      <c r="M22" s="63">
        <v>25</v>
      </c>
      <c r="N22" s="63">
        <v>14</v>
      </c>
      <c r="O22" s="63">
        <v>11.95</v>
      </c>
      <c r="P22" s="63">
        <v>12</v>
      </c>
      <c r="Q22" s="44">
        <f t="shared" si="5"/>
        <v>644.92656250000005</v>
      </c>
      <c r="R22" s="71">
        <v>4</v>
      </c>
      <c r="S22" s="46">
        <f t="shared" si="1"/>
        <v>167.29999999999998</v>
      </c>
      <c r="T22" s="29">
        <f t="shared" si="3"/>
        <v>56</v>
      </c>
      <c r="U22" s="46">
        <f t="shared" si="2"/>
        <v>1</v>
      </c>
      <c r="V22" s="45" t="str">
        <f t="shared" si="4"/>
        <v>MATCH</v>
      </c>
      <c r="W22" s="10"/>
      <c r="X22" s="76">
        <v>56</v>
      </c>
    </row>
    <row r="23" spans="1:24" ht="28.8" x14ac:dyDescent="0.3">
      <c r="G23" s="8" t="s">
        <v>19</v>
      </c>
      <c r="H23" s="1">
        <f>IF(H17=0,0,(H22*H21*H8)/H17)</f>
        <v>0</v>
      </c>
      <c r="L23" s="82" t="s">
        <v>44</v>
      </c>
      <c r="M23" s="63">
        <v>32</v>
      </c>
      <c r="N23" s="63">
        <v>4</v>
      </c>
      <c r="O23" s="63">
        <v>5.97</v>
      </c>
      <c r="P23" s="63">
        <v>6</v>
      </c>
      <c r="Q23" s="44">
        <f t="shared" si="5"/>
        <v>150.82335085714286</v>
      </c>
      <c r="R23" s="70">
        <v>4</v>
      </c>
      <c r="S23" s="46">
        <f t="shared" si="1"/>
        <v>23.88</v>
      </c>
      <c r="T23" s="29">
        <f t="shared" si="3"/>
        <v>16</v>
      </c>
      <c r="U23" s="46">
        <f t="shared" si="2"/>
        <v>1</v>
      </c>
      <c r="V23" s="45" t="str">
        <f t="shared" si="4"/>
        <v>MATCH</v>
      </c>
      <c r="W23" s="10"/>
      <c r="X23" s="77">
        <v>16</v>
      </c>
    </row>
    <row r="24" spans="1:24" x14ac:dyDescent="0.3">
      <c r="A24" s="2" t="s">
        <v>15</v>
      </c>
      <c r="B24">
        <v>7850</v>
      </c>
      <c r="C24" t="s">
        <v>16</v>
      </c>
      <c r="G24" s="7" t="s">
        <v>11</v>
      </c>
      <c r="H24" s="1">
        <f>(H8*H22*H12*0.015)</f>
        <v>0</v>
      </c>
      <c r="L24" s="82" t="s">
        <v>45</v>
      </c>
      <c r="M24" s="63">
        <v>25</v>
      </c>
      <c r="N24" s="63">
        <v>14</v>
      </c>
      <c r="O24" s="63">
        <v>1.36</v>
      </c>
      <c r="P24" s="63">
        <v>6</v>
      </c>
      <c r="Q24" s="44">
        <f t="shared" si="5"/>
        <v>73.397500000000022</v>
      </c>
      <c r="R24" s="71">
        <v>4</v>
      </c>
      <c r="S24" s="46">
        <f t="shared" si="1"/>
        <v>19.040000000000003</v>
      </c>
      <c r="T24" s="29">
        <f t="shared" si="3"/>
        <v>14</v>
      </c>
      <c r="U24" s="46">
        <f t="shared" si="2"/>
        <v>4</v>
      </c>
      <c r="V24" s="45" t="str">
        <f t="shared" si="4"/>
        <v>MATCH</v>
      </c>
      <c r="W24" s="10"/>
      <c r="X24" s="76">
        <v>14</v>
      </c>
    </row>
    <row r="25" spans="1:24" x14ac:dyDescent="0.3">
      <c r="L25" s="82" t="s">
        <v>46</v>
      </c>
      <c r="M25" s="63">
        <v>12</v>
      </c>
      <c r="N25" s="63">
        <v>63</v>
      </c>
      <c r="O25" s="63">
        <v>2.75</v>
      </c>
      <c r="P25" s="63">
        <v>6</v>
      </c>
      <c r="Q25" s="44">
        <f t="shared" si="5"/>
        <v>153.87569999999999</v>
      </c>
      <c r="R25" s="70">
        <v>4</v>
      </c>
      <c r="S25" s="46">
        <f t="shared" si="1"/>
        <v>173.25</v>
      </c>
      <c r="T25" s="29">
        <f t="shared" si="3"/>
        <v>126</v>
      </c>
      <c r="U25" s="46">
        <f t="shared" si="2"/>
        <v>2</v>
      </c>
      <c r="V25" s="45" t="str">
        <f t="shared" si="4"/>
        <v>MATCH</v>
      </c>
      <c r="W25" s="10"/>
      <c r="X25" s="77">
        <v>126</v>
      </c>
    </row>
    <row r="26" spans="1:24" x14ac:dyDescent="0.3">
      <c r="G26" s="2" t="s">
        <v>21</v>
      </c>
      <c r="L26" s="82" t="s">
        <v>47</v>
      </c>
      <c r="M26" s="63">
        <v>12</v>
      </c>
      <c r="N26" s="63">
        <v>63</v>
      </c>
      <c r="O26" s="63">
        <v>2.16</v>
      </c>
      <c r="P26" s="63">
        <v>6</v>
      </c>
      <c r="Q26" s="44">
        <f t="shared" si="5"/>
        <v>120.862368</v>
      </c>
      <c r="R26" s="71">
        <v>4</v>
      </c>
      <c r="S26" s="46">
        <f t="shared" si="1"/>
        <v>136.08000000000001</v>
      </c>
      <c r="T26" s="29">
        <f t="shared" si="3"/>
        <v>126</v>
      </c>
      <c r="U26" s="46">
        <f t="shared" si="2"/>
        <v>2</v>
      </c>
      <c r="V26" s="45" t="str">
        <f t="shared" si="4"/>
        <v>MATCH</v>
      </c>
      <c r="W26" s="10"/>
      <c r="X26" s="76">
        <v>126</v>
      </c>
    </row>
    <row r="27" spans="1:24" x14ac:dyDescent="0.3">
      <c r="G27" s="2" t="s">
        <v>17</v>
      </c>
      <c r="H27" s="1">
        <f>(22/7*4)*(H26^2)*(H19*H17)</f>
        <v>0</v>
      </c>
      <c r="L27" s="82" t="s">
        <v>48</v>
      </c>
      <c r="M27" s="63">
        <v>12</v>
      </c>
      <c r="N27" s="63">
        <v>63</v>
      </c>
      <c r="O27" s="63">
        <v>0.8</v>
      </c>
      <c r="P27" s="63">
        <v>6</v>
      </c>
      <c r="Q27" s="44">
        <f t="shared" si="5"/>
        <v>44.763840000000002</v>
      </c>
      <c r="R27" s="70">
        <v>4</v>
      </c>
      <c r="S27" s="46">
        <f t="shared" si="1"/>
        <v>50.400000000000006</v>
      </c>
      <c r="T27" s="29">
        <f t="shared" si="3"/>
        <v>36</v>
      </c>
      <c r="U27" s="46">
        <f t="shared" si="2"/>
        <v>7</v>
      </c>
      <c r="V27" s="45" t="str">
        <f t="shared" si="4"/>
        <v>MATCH</v>
      </c>
      <c r="W27" s="10"/>
      <c r="X27" s="77">
        <v>36</v>
      </c>
    </row>
    <row r="28" spans="1:24" x14ac:dyDescent="0.3">
      <c r="G28" s="2" t="s">
        <v>18</v>
      </c>
      <c r="H28">
        <f>B24*H27</f>
        <v>0</v>
      </c>
      <c r="L28" s="82" t="s">
        <v>49</v>
      </c>
      <c r="M28" s="63">
        <v>12</v>
      </c>
      <c r="N28" s="63">
        <v>55</v>
      </c>
      <c r="O28" s="63">
        <v>2.75</v>
      </c>
      <c r="P28" s="63">
        <v>6</v>
      </c>
      <c r="Q28" s="44">
        <f t="shared" si="5"/>
        <v>134.33592857142855</v>
      </c>
      <c r="R28" s="71">
        <v>4</v>
      </c>
      <c r="S28" s="46">
        <f t="shared" si="1"/>
        <v>151.25</v>
      </c>
      <c r="T28" s="29">
        <f t="shared" si="3"/>
        <v>110</v>
      </c>
      <c r="U28" s="46">
        <f t="shared" si="2"/>
        <v>2</v>
      </c>
      <c r="V28" s="45" t="str">
        <f t="shared" si="4"/>
        <v>MATCH</v>
      </c>
      <c r="W28" s="10"/>
      <c r="X28" s="76">
        <v>110</v>
      </c>
    </row>
    <row r="29" spans="1:24" x14ac:dyDescent="0.3">
      <c r="L29" s="82" t="s">
        <v>50</v>
      </c>
      <c r="M29" s="63">
        <v>12</v>
      </c>
      <c r="N29" s="63">
        <v>110</v>
      </c>
      <c r="O29" s="63">
        <v>2.06</v>
      </c>
      <c r="P29" s="63">
        <v>6</v>
      </c>
      <c r="Q29" s="44">
        <f t="shared" si="5"/>
        <v>201.25964571428568</v>
      </c>
      <c r="R29" s="70">
        <v>4</v>
      </c>
      <c r="S29" s="46">
        <f t="shared" si="1"/>
        <v>226.6</v>
      </c>
      <c r="T29" s="29">
        <f t="shared" si="3"/>
        <v>220</v>
      </c>
      <c r="U29" s="46">
        <f t="shared" si="2"/>
        <v>2</v>
      </c>
      <c r="V29" s="45" t="str">
        <f t="shared" si="4"/>
        <v>MATCH</v>
      </c>
      <c r="W29" s="10"/>
      <c r="X29" s="77">
        <v>220</v>
      </c>
    </row>
    <row r="30" spans="1:24" x14ac:dyDescent="0.3">
      <c r="L30" s="82" t="s">
        <v>51</v>
      </c>
      <c r="M30" s="63">
        <v>12</v>
      </c>
      <c r="N30" s="63">
        <v>110</v>
      </c>
      <c r="O30" s="63">
        <v>0.52</v>
      </c>
      <c r="P30" s="63">
        <v>6</v>
      </c>
      <c r="Q30" s="44">
        <f t="shared" si="5"/>
        <v>50.803405714285716</v>
      </c>
      <c r="R30" s="71">
        <v>4</v>
      </c>
      <c r="S30" s="46">
        <f t="shared" si="1"/>
        <v>57.2</v>
      </c>
      <c r="T30" s="29">
        <f t="shared" si="3"/>
        <v>40</v>
      </c>
      <c r="U30" s="46">
        <f t="shared" si="2"/>
        <v>11</v>
      </c>
      <c r="V30" s="45" t="str">
        <f t="shared" si="4"/>
        <v>MATCH</v>
      </c>
      <c r="W30" s="10"/>
      <c r="X30" s="76">
        <v>40</v>
      </c>
    </row>
    <row r="31" spans="1:24" x14ac:dyDescent="0.3">
      <c r="L31" s="82" t="s">
        <v>52</v>
      </c>
      <c r="M31" s="63">
        <v>10</v>
      </c>
      <c r="N31" s="63">
        <v>110</v>
      </c>
      <c r="O31" s="63">
        <v>2.72</v>
      </c>
      <c r="P31" s="63">
        <v>6</v>
      </c>
      <c r="Q31" s="44">
        <f t="shared" si="5"/>
        <v>184.54228571428573</v>
      </c>
      <c r="R31" s="70">
        <v>4</v>
      </c>
      <c r="S31" s="46">
        <f t="shared" si="1"/>
        <v>299.20000000000005</v>
      </c>
      <c r="T31" s="29">
        <f t="shared" si="3"/>
        <v>220</v>
      </c>
      <c r="U31" s="46">
        <f t="shared" si="2"/>
        <v>2</v>
      </c>
      <c r="V31" s="45" t="str">
        <f t="shared" si="4"/>
        <v>MATCH</v>
      </c>
      <c r="W31" s="10"/>
      <c r="X31" s="77">
        <v>220</v>
      </c>
    </row>
    <row r="32" spans="1:24" x14ac:dyDescent="0.3">
      <c r="L32" s="82" t="s">
        <v>53</v>
      </c>
      <c r="M32" s="63">
        <v>10</v>
      </c>
      <c r="N32" s="63">
        <v>220</v>
      </c>
      <c r="O32" s="63">
        <v>2.02</v>
      </c>
      <c r="P32" s="63">
        <v>6</v>
      </c>
      <c r="Q32" s="44">
        <f t="shared" si="5"/>
        <v>274.09957142857144</v>
      </c>
      <c r="R32" s="71">
        <v>4</v>
      </c>
      <c r="S32" s="46">
        <f t="shared" si="1"/>
        <v>444.4</v>
      </c>
      <c r="T32" s="29">
        <f t="shared" si="3"/>
        <v>440</v>
      </c>
      <c r="U32" s="46">
        <f t="shared" si="2"/>
        <v>2</v>
      </c>
      <c r="V32" s="45" t="str">
        <f t="shared" si="4"/>
        <v>MATCH</v>
      </c>
      <c r="W32" s="10"/>
      <c r="X32" s="76">
        <v>440</v>
      </c>
    </row>
    <row r="33" spans="12:24" x14ac:dyDescent="0.3">
      <c r="L33" s="83" t="s">
        <v>54</v>
      </c>
      <c r="M33" s="69">
        <v>10</v>
      </c>
      <c r="N33" s="69">
        <v>220</v>
      </c>
      <c r="O33" s="69">
        <v>0.77</v>
      </c>
      <c r="P33" s="69">
        <v>6</v>
      </c>
      <c r="Q33" s="49">
        <f t="shared" si="5"/>
        <v>104.48349999999999</v>
      </c>
      <c r="R33" s="79">
        <v>4</v>
      </c>
      <c r="S33" s="51">
        <f t="shared" si="1"/>
        <v>169.4</v>
      </c>
      <c r="T33" s="35">
        <f t="shared" si="3"/>
        <v>126</v>
      </c>
      <c r="U33" s="51">
        <f t="shared" si="2"/>
        <v>7</v>
      </c>
      <c r="V33" s="50" t="str">
        <f t="shared" si="4"/>
        <v>MATCH</v>
      </c>
      <c r="W33" s="11"/>
      <c r="X33" s="84">
        <v>126</v>
      </c>
    </row>
    <row r="34" spans="12:24" x14ac:dyDescent="0.3">
      <c r="L34" s="72" t="s">
        <v>55</v>
      </c>
      <c r="M34" s="55">
        <v>32</v>
      </c>
      <c r="N34" s="55">
        <v>14</v>
      </c>
      <c r="O34" s="55">
        <v>8.23</v>
      </c>
      <c r="P34" s="55">
        <v>9</v>
      </c>
      <c r="Q34" s="39">
        <f t="shared" si="5"/>
        <v>727.71635200000003</v>
      </c>
      <c r="R34" s="73">
        <v>2</v>
      </c>
      <c r="S34" s="41">
        <f t="shared" si="1"/>
        <v>115.22</v>
      </c>
      <c r="T34" s="23">
        <f t="shared" si="3"/>
        <v>28</v>
      </c>
      <c r="U34" s="41">
        <f t="shared" si="2"/>
        <v>1</v>
      </c>
      <c r="V34" s="40" t="str">
        <f t="shared" si="4"/>
        <v>MATCH</v>
      </c>
      <c r="W34" s="9"/>
      <c r="X34" s="74">
        <v>28</v>
      </c>
    </row>
    <row r="35" spans="12:24" x14ac:dyDescent="0.3">
      <c r="L35" s="75" t="s">
        <v>56</v>
      </c>
      <c r="M35" s="57">
        <v>25</v>
      </c>
      <c r="N35" s="57">
        <v>14</v>
      </c>
      <c r="O35" s="57">
        <v>11.06</v>
      </c>
      <c r="P35" s="57">
        <v>12</v>
      </c>
      <c r="Q35" s="44">
        <f t="shared" si="5"/>
        <v>596.89437500000008</v>
      </c>
      <c r="R35" s="71">
        <v>2</v>
      </c>
      <c r="S35" s="46">
        <f t="shared" si="1"/>
        <v>154.84</v>
      </c>
      <c r="T35" s="29">
        <f t="shared" si="3"/>
        <v>28</v>
      </c>
      <c r="U35" s="46">
        <f t="shared" si="2"/>
        <v>1</v>
      </c>
      <c r="V35" s="45" t="str">
        <f t="shared" si="4"/>
        <v>MATCH</v>
      </c>
      <c r="W35" s="10"/>
      <c r="X35" s="76">
        <v>28</v>
      </c>
    </row>
    <row r="36" spans="12:24" x14ac:dyDescent="0.3">
      <c r="L36" s="75" t="s">
        <v>57</v>
      </c>
      <c r="M36" s="57">
        <v>32</v>
      </c>
      <c r="N36" s="57">
        <v>14</v>
      </c>
      <c r="O36" s="57">
        <v>7.06</v>
      </c>
      <c r="P36" s="57">
        <v>7.5</v>
      </c>
      <c r="Q36" s="44">
        <f t="shared" si="5"/>
        <v>624.26214400000003</v>
      </c>
      <c r="R36" s="70">
        <v>2</v>
      </c>
      <c r="S36" s="46">
        <f t="shared" si="1"/>
        <v>98.839999999999989</v>
      </c>
      <c r="T36" s="29">
        <f t="shared" si="3"/>
        <v>28</v>
      </c>
      <c r="U36" s="46">
        <f t="shared" si="2"/>
        <v>1</v>
      </c>
      <c r="V36" s="45" t="str">
        <f t="shared" si="4"/>
        <v>MATCH</v>
      </c>
      <c r="W36" s="10"/>
      <c r="X36" s="77">
        <v>28</v>
      </c>
    </row>
    <row r="37" spans="12:24" x14ac:dyDescent="0.3">
      <c r="L37" s="75" t="s">
        <v>58</v>
      </c>
      <c r="M37" s="57">
        <v>25</v>
      </c>
      <c r="N37" s="57">
        <v>14</v>
      </c>
      <c r="O37" s="57">
        <v>11.95</v>
      </c>
      <c r="P37" s="57">
        <v>12</v>
      </c>
      <c r="Q37" s="44">
        <f t="shared" si="5"/>
        <v>644.92656250000005</v>
      </c>
      <c r="R37" s="71">
        <v>2</v>
      </c>
      <c r="S37" s="46">
        <f t="shared" si="1"/>
        <v>167.29999999999998</v>
      </c>
      <c r="T37" s="29">
        <f t="shared" si="3"/>
        <v>28</v>
      </c>
      <c r="U37" s="46">
        <f t="shared" si="2"/>
        <v>1</v>
      </c>
      <c r="V37" s="45" t="str">
        <f t="shared" si="4"/>
        <v>MATCH</v>
      </c>
      <c r="W37" s="10"/>
      <c r="X37" s="76">
        <v>28</v>
      </c>
    </row>
    <row r="38" spans="12:24" x14ac:dyDescent="0.3">
      <c r="L38" s="75" t="s">
        <v>59</v>
      </c>
      <c r="M38" s="57">
        <v>25</v>
      </c>
      <c r="N38" s="57">
        <v>14</v>
      </c>
      <c r="O38" s="57">
        <v>1.1599999999999999</v>
      </c>
      <c r="P38" s="57">
        <v>6</v>
      </c>
      <c r="Q38" s="44">
        <f t="shared" si="5"/>
        <v>62.603749999999998</v>
      </c>
      <c r="R38" s="70">
        <v>2</v>
      </c>
      <c r="S38" s="46">
        <f t="shared" si="1"/>
        <v>16.239999999999998</v>
      </c>
      <c r="T38" s="29">
        <f t="shared" si="3"/>
        <v>6</v>
      </c>
      <c r="U38" s="46">
        <f t="shared" si="2"/>
        <v>5</v>
      </c>
      <c r="V38" s="45" t="str">
        <f t="shared" si="4"/>
        <v>MATCH</v>
      </c>
      <c r="W38" s="10"/>
      <c r="X38" s="77">
        <v>6</v>
      </c>
    </row>
    <row r="39" spans="12:24" x14ac:dyDescent="0.3">
      <c r="L39" s="75" t="s">
        <v>60</v>
      </c>
      <c r="M39" s="57">
        <v>16</v>
      </c>
      <c r="N39" s="57">
        <v>12</v>
      </c>
      <c r="O39" s="57">
        <v>4.08</v>
      </c>
      <c r="P39" s="57">
        <v>6</v>
      </c>
      <c r="Q39" s="44">
        <f t="shared" si="5"/>
        <v>77.306441142857153</v>
      </c>
      <c r="R39" s="71">
        <v>2</v>
      </c>
      <c r="S39" s="46">
        <f t="shared" ref="S39:S70" si="6">N39*O39</f>
        <v>48.96</v>
      </c>
      <c r="T39" s="29">
        <f t="shared" si="3"/>
        <v>24</v>
      </c>
      <c r="U39" s="46">
        <f t="shared" ref="U39:U70" si="7">ROUNDDOWN(P39/O39, 0)</f>
        <v>1</v>
      </c>
      <c r="V39" s="45" t="str">
        <f t="shared" si="4"/>
        <v>MATCH</v>
      </c>
      <c r="W39" s="10"/>
      <c r="X39" s="76">
        <v>24</v>
      </c>
    </row>
    <row r="40" spans="12:24" x14ac:dyDescent="0.3">
      <c r="L40" s="75" t="s">
        <v>61</v>
      </c>
      <c r="M40" s="57">
        <v>12</v>
      </c>
      <c r="N40" s="57">
        <v>121</v>
      </c>
      <c r="O40" s="57">
        <v>2.75</v>
      </c>
      <c r="P40" s="57">
        <v>6</v>
      </c>
      <c r="Q40" s="44">
        <f t="shared" si="5"/>
        <v>295.53904285714282</v>
      </c>
      <c r="R40" s="70">
        <v>2</v>
      </c>
      <c r="S40" s="46">
        <f t="shared" si="6"/>
        <v>332.75</v>
      </c>
      <c r="T40" s="29">
        <f t="shared" si="3"/>
        <v>121</v>
      </c>
      <c r="U40" s="46">
        <f t="shared" si="7"/>
        <v>2</v>
      </c>
      <c r="V40" s="45" t="str">
        <f t="shared" si="4"/>
        <v>MATCH</v>
      </c>
      <c r="W40" s="10"/>
      <c r="X40" s="77">
        <v>121</v>
      </c>
    </row>
    <row r="41" spans="12:24" x14ac:dyDescent="0.3">
      <c r="L41" s="75" t="s">
        <v>62</v>
      </c>
      <c r="M41" s="57">
        <v>12</v>
      </c>
      <c r="N41" s="57">
        <v>298</v>
      </c>
      <c r="O41" s="57">
        <v>1.95</v>
      </c>
      <c r="P41" s="57">
        <v>6</v>
      </c>
      <c r="Q41" s="44">
        <f t="shared" si="5"/>
        <v>516.11641714285713</v>
      </c>
      <c r="R41" s="71">
        <v>2</v>
      </c>
      <c r="S41" s="46">
        <f t="shared" si="6"/>
        <v>581.1</v>
      </c>
      <c r="T41" s="29">
        <f t="shared" si="3"/>
        <v>199</v>
      </c>
      <c r="U41" s="46">
        <f t="shared" si="7"/>
        <v>3</v>
      </c>
      <c r="V41" s="45" t="str">
        <f t="shared" si="4"/>
        <v>MATCH</v>
      </c>
      <c r="W41" s="10"/>
      <c r="X41" s="76">
        <v>199</v>
      </c>
    </row>
    <row r="42" spans="12:24" x14ac:dyDescent="0.3">
      <c r="L42" s="75" t="s">
        <v>63</v>
      </c>
      <c r="M42" s="57">
        <v>12</v>
      </c>
      <c r="N42" s="57">
        <v>298</v>
      </c>
      <c r="O42" s="57">
        <v>0.8</v>
      </c>
      <c r="P42" s="57">
        <v>6</v>
      </c>
      <c r="Q42" s="44">
        <f t="shared" si="5"/>
        <v>211.74006857142854</v>
      </c>
      <c r="R42" s="70">
        <v>2</v>
      </c>
      <c r="S42" s="46">
        <f t="shared" si="6"/>
        <v>238.4</v>
      </c>
      <c r="T42" s="29">
        <f t="shared" si="3"/>
        <v>86</v>
      </c>
      <c r="U42" s="46">
        <f t="shared" si="7"/>
        <v>7</v>
      </c>
      <c r="V42" s="45" t="str">
        <f t="shared" si="4"/>
        <v>MATCH</v>
      </c>
      <c r="W42" s="10"/>
      <c r="X42" s="77">
        <v>86</v>
      </c>
    </row>
    <row r="43" spans="12:24" x14ac:dyDescent="0.3">
      <c r="L43" s="75" t="s">
        <v>64</v>
      </c>
      <c r="M43" s="57">
        <v>10</v>
      </c>
      <c r="N43" s="57">
        <v>41</v>
      </c>
      <c r="O43" s="57">
        <v>1.4</v>
      </c>
      <c r="P43" s="57">
        <v>6</v>
      </c>
      <c r="Q43" s="44">
        <f t="shared" si="5"/>
        <v>35.403499999999994</v>
      </c>
      <c r="R43" s="71">
        <v>2</v>
      </c>
      <c r="S43" s="46">
        <f t="shared" si="6"/>
        <v>57.4</v>
      </c>
      <c r="T43" s="29">
        <f t="shared" si="3"/>
        <v>21</v>
      </c>
      <c r="U43" s="46">
        <f t="shared" si="7"/>
        <v>4</v>
      </c>
      <c r="V43" s="45" t="str">
        <f t="shared" si="4"/>
        <v>MATCH</v>
      </c>
      <c r="W43" s="10"/>
      <c r="X43" s="76">
        <v>21</v>
      </c>
    </row>
    <row r="44" spans="12:24" x14ac:dyDescent="0.3">
      <c r="L44" s="75" t="s">
        <v>65</v>
      </c>
      <c r="M44" s="57">
        <v>10</v>
      </c>
      <c r="N44" s="57">
        <v>82</v>
      </c>
      <c r="O44" s="57">
        <v>1.02</v>
      </c>
      <c r="P44" s="57">
        <v>6</v>
      </c>
      <c r="Q44" s="44">
        <f t="shared" si="5"/>
        <v>51.587957142857142</v>
      </c>
      <c r="R44" s="70">
        <v>2</v>
      </c>
      <c r="S44" s="46">
        <f t="shared" si="6"/>
        <v>83.64</v>
      </c>
      <c r="T44" s="29">
        <f t="shared" si="3"/>
        <v>33</v>
      </c>
      <c r="U44" s="46">
        <f t="shared" si="7"/>
        <v>5</v>
      </c>
      <c r="V44" s="45" t="str">
        <f t="shared" si="4"/>
        <v>MATCH</v>
      </c>
      <c r="W44" s="10"/>
      <c r="X44" s="77">
        <v>33</v>
      </c>
    </row>
    <row r="45" spans="12:24" x14ac:dyDescent="0.3">
      <c r="L45" s="82" t="s">
        <v>66</v>
      </c>
      <c r="M45" s="63">
        <v>32</v>
      </c>
      <c r="N45" s="63">
        <v>14</v>
      </c>
      <c r="O45" s="63">
        <v>12</v>
      </c>
      <c r="P45" s="63">
        <v>12</v>
      </c>
      <c r="Q45" s="44">
        <f t="shared" si="5"/>
        <v>1061.0688</v>
      </c>
      <c r="R45" s="70">
        <v>2</v>
      </c>
      <c r="S45" s="46">
        <f t="shared" si="6"/>
        <v>168</v>
      </c>
      <c r="T45" s="29">
        <f t="shared" si="3"/>
        <v>28</v>
      </c>
      <c r="U45" s="46">
        <f t="shared" si="7"/>
        <v>1</v>
      </c>
      <c r="V45" s="45" t="str">
        <f t="shared" si="4"/>
        <v>MATCH</v>
      </c>
      <c r="W45" s="10"/>
      <c r="X45" s="77">
        <v>28</v>
      </c>
    </row>
    <row r="46" spans="12:24" x14ac:dyDescent="0.3">
      <c r="L46" s="82" t="s">
        <v>67</v>
      </c>
      <c r="M46" s="63">
        <v>25</v>
      </c>
      <c r="N46" s="63">
        <v>14</v>
      </c>
      <c r="O46" s="63">
        <v>7.06</v>
      </c>
      <c r="P46" s="63">
        <v>7.5</v>
      </c>
      <c r="Q46" s="44">
        <f t="shared" si="5"/>
        <v>381.01937499999997</v>
      </c>
      <c r="R46" s="71">
        <v>2</v>
      </c>
      <c r="S46" s="46">
        <f t="shared" si="6"/>
        <v>98.839999999999989</v>
      </c>
      <c r="T46" s="29">
        <f t="shared" si="3"/>
        <v>28</v>
      </c>
      <c r="U46" s="46">
        <f t="shared" si="7"/>
        <v>1</v>
      </c>
      <c r="V46" s="45" t="str">
        <f t="shared" si="4"/>
        <v>MATCH</v>
      </c>
      <c r="W46" s="10"/>
      <c r="X46" s="76">
        <v>28</v>
      </c>
    </row>
    <row r="47" spans="12:24" x14ac:dyDescent="0.3">
      <c r="L47" s="82" t="s">
        <v>68</v>
      </c>
      <c r="M47" s="63">
        <v>32</v>
      </c>
      <c r="N47" s="63">
        <v>14</v>
      </c>
      <c r="O47" s="63">
        <v>10.5</v>
      </c>
      <c r="P47" s="63">
        <v>10.5</v>
      </c>
      <c r="Q47" s="44">
        <f t="shared" si="5"/>
        <v>928.43520000000001</v>
      </c>
      <c r="R47" s="70">
        <v>2</v>
      </c>
      <c r="S47" s="46">
        <f t="shared" si="6"/>
        <v>147</v>
      </c>
      <c r="T47" s="29">
        <f t="shared" si="3"/>
        <v>28</v>
      </c>
      <c r="U47" s="46">
        <f t="shared" si="7"/>
        <v>1</v>
      </c>
      <c r="V47" s="45" t="str">
        <f t="shared" si="4"/>
        <v>MATCH</v>
      </c>
      <c r="W47" s="10"/>
      <c r="X47" s="77">
        <v>28</v>
      </c>
    </row>
    <row r="48" spans="12:24" x14ac:dyDescent="0.3">
      <c r="L48" s="82" t="s">
        <v>69</v>
      </c>
      <c r="M48" s="63">
        <v>25</v>
      </c>
      <c r="N48" s="63">
        <v>14</v>
      </c>
      <c r="O48" s="63">
        <v>8.89</v>
      </c>
      <c r="P48" s="63">
        <v>9</v>
      </c>
      <c r="Q48" s="44">
        <f t="shared" si="5"/>
        <v>479.78218750000008</v>
      </c>
      <c r="R48" s="71">
        <v>2</v>
      </c>
      <c r="S48" s="46">
        <f t="shared" si="6"/>
        <v>124.46000000000001</v>
      </c>
      <c r="T48" s="29">
        <f t="shared" si="3"/>
        <v>28</v>
      </c>
      <c r="U48" s="46">
        <f t="shared" si="7"/>
        <v>1</v>
      </c>
      <c r="V48" s="45" t="str">
        <f t="shared" si="4"/>
        <v>MATCH</v>
      </c>
      <c r="W48" s="10"/>
      <c r="X48" s="76">
        <v>28</v>
      </c>
    </row>
    <row r="49" spans="12:24" x14ac:dyDescent="0.3">
      <c r="L49" s="82" t="s">
        <v>70</v>
      </c>
      <c r="M49" s="63">
        <v>10</v>
      </c>
      <c r="N49" s="63">
        <v>63</v>
      </c>
      <c r="O49" s="63">
        <v>2.72</v>
      </c>
      <c r="P49" s="63">
        <v>6</v>
      </c>
      <c r="Q49" s="44">
        <f t="shared" si="5"/>
        <v>105.69240000000001</v>
      </c>
      <c r="R49" s="70">
        <v>2</v>
      </c>
      <c r="S49" s="46">
        <f t="shared" si="6"/>
        <v>171.36</v>
      </c>
      <c r="T49" s="29">
        <f t="shared" si="3"/>
        <v>63</v>
      </c>
      <c r="U49" s="46">
        <f t="shared" si="7"/>
        <v>2</v>
      </c>
      <c r="V49" s="45" t="str">
        <f t="shared" si="4"/>
        <v>MATCH</v>
      </c>
      <c r="W49" s="10"/>
      <c r="X49" s="77">
        <v>63</v>
      </c>
    </row>
    <row r="50" spans="12:24" x14ac:dyDescent="0.3">
      <c r="L50" s="82" t="s">
        <v>71</v>
      </c>
      <c r="M50" s="63">
        <v>10</v>
      </c>
      <c r="N50" s="63">
        <v>126</v>
      </c>
      <c r="O50" s="63">
        <v>2.04</v>
      </c>
      <c r="P50" s="63">
        <v>6</v>
      </c>
      <c r="Q50" s="44">
        <f t="shared" si="5"/>
        <v>158.5386</v>
      </c>
      <c r="R50" s="71">
        <v>2</v>
      </c>
      <c r="S50" s="46">
        <f t="shared" si="6"/>
        <v>257.04000000000002</v>
      </c>
      <c r="T50" s="29">
        <f t="shared" si="3"/>
        <v>126</v>
      </c>
      <c r="U50" s="46">
        <f t="shared" si="7"/>
        <v>2</v>
      </c>
      <c r="V50" s="45" t="str">
        <f t="shared" si="4"/>
        <v>MATCH</v>
      </c>
      <c r="W50" s="10"/>
      <c r="X50" s="76">
        <v>126</v>
      </c>
    </row>
    <row r="51" spans="12:24" x14ac:dyDescent="0.3">
      <c r="L51" s="82" t="s">
        <v>72</v>
      </c>
      <c r="M51" s="63">
        <v>10</v>
      </c>
      <c r="N51" s="63">
        <v>126</v>
      </c>
      <c r="O51" s="63">
        <v>0.79</v>
      </c>
      <c r="P51" s="63">
        <v>6</v>
      </c>
      <c r="Q51" s="44">
        <f t="shared" si="5"/>
        <v>61.394849999999998</v>
      </c>
      <c r="R51" s="70">
        <v>2</v>
      </c>
      <c r="S51" s="46">
        <f t="shared" si="6"/>
        <v>99.54</v>
      </c>
      <c r="T51" s="29">
        <f t="shared" si="3"/>
        <v>36</v>
      </c>
      <c r="U51" s="46">
        <f t="shared" si="7"/>
        <v>7</v>
      </c>
      <c r="V51" s="45" t="str">
        <f t="shared" si="4"/>
        <v>MATCH</v>
      </c>
      <c r="W51" s="10"/>
      <c r="X51" s="77">
        <v>36</v>
      </c>
    </row>
    <row r="52" spans="12:24" x14ac:dyDescent="0.3">
      <c r="L52" s="82" t="s">
        <v>73</v>
      </c>
      <c r="M52" s="63">
        <v>12</v>
      </c>
      <c r="N52" s="63">
        <v>81</v>
      </c>
      <c r="O52" s="63">
        <v>2.77</v>
      </c>
      <c r="P52" s="63">
        <v>6</v>
      </c>
      <c r="Q52" s="44">
        <f t="shared" si="5"/>
        <v>199.27902342857141</v>
      </c>
      <c r="R52" s="71">
        <v>2</v>
      </c>
      <c r="S52" s="46">
        <f t="shared" si="6"/>
        <v>224.37</v>
      </c>
      <c r="T52" s="29">
        <f t="shared" si="3"/>
        <v>81</v>
      </c>
      <c r="U52" s="46">
        <f t="shared" si="7"/>
        <v>2</v>
      </c>
      <c r="V52" s="45" t="str">
        <f t="shared" si="4"/>
        <v>MATCH</v>
      </c>
      <c r="W52" s="10"/>
      <c r="X52" s="76">
        <v>81</v>
      </c>
    </row>
    <row r="53" spans="12:24" x14ac:dyDescent="0.3">
      <c r="L53" s="82" t="s">
        <v>74</v>
      </c>
      <c r="M53" s="63">
        <v>12</v>
      </c>
      <c r="N53" s="63">
        <v>162</v>
      </c>
      <c r="O53" s="63">
        <v>2.08</v>
      </c>
      <c r="P53" s="63">
        <v>6</v>
      </c>
      <c r="Q53" s="44">
        <f t="shared" si="5"/>
        <v>299.27824457142856</v>
      </c>
      <c r="R53" s="70">
        <v>2</v>
      </c>
      <c r="S53" s="46">
        <f t="shared" si="6"/>
        <v>336.96000000000004</v>
      </c>
      <c r="T53" s="29">
        <f t="shared" si="3"/>
        <v>162</v>
      </c>
      <c r="U53" s="46">
        <f t="shared" si="7"/>
        <v>2</v>
      </c>
      <c r="V53" s="45" t="str">
        <f t="shared" si="4"/>
        <v>MATCH</v>
      </c>
      <c r="W53" s="10"/>
      <c r="X53" s="77">
        <v>162</v>
      </c>
    </row>
    <row r="54" spans="12:24" x14ac:dyDescent="0.3">
      <c r="L54" s="82" t="s">
        <v>75</v>
      </c>
      <c r="M54" s="63">
        <v>12</v>
      </c>
      <c r="N54" s="63">
        <v>162</v>
      </c>
      <c r="O54" s="63">
        <v>0.80400000000000005</v>
      </c>
      <c r="P54" s="63">
        <v>6</v>
      </c>
      <c r="Q54" s="44">
        <f t="shared" si="5"/>
        <v>115.68255222857144</v>
      </c>
      <c r="R54" s="71">
        <v>2</v>
      </c>
      <c r="S54" s="46">
        <f t="shared" si="6"/>
        <v>130.24800000000002</v>
      </c>
      <c r="T54" s="29">
        <f t="shared" si="3"/>
        <v>47</v>
      </c>
      <c r="U54" s="46">
        <f t="shared" si="7"/>
        <v>7</v>
      </c>
      <c r="V54" s="45" t="str">
        <f t="shared" si="4"/>
        <v>MATCH</v>
      </c>
      <c r="W54" s="10"/>
      <c r="X54" s="76">
        <v>47</v>
      </c>
    </row>
    <row r="55" spans="12:24" x14ac:dyDescent="0.3">
      <c r="L55" s="82" t="s">
        <v>76</v>
      </c>
      <c r="M55" s="63">
        <v>12</v>
      </c>
      <c r="N55" s="63">
        <v>61</v>
      </c>
      <c r="O55" s="63">
        <v>2.75</v>
      </c>
      <c r="P55" s="63">
        <v>6</v>
      </c>
      <c r="Q55" s="44">
        <f t="shared" si="5"/>
        <v>148.99075714285712</v>
      </c>
      <c r="R55" s="70">
        <v>2</v>
      </c>
      <c r="S55" s="46">
        <f t="shared" si="6"/>
        <v>167.75</v>
      </c>
      <c r="T55" s="29">
        <f t="shared" si="3"/>
        <v>61</v>
      </c>
      <c r="U55" s="46">
        <f t="shared" si="7"/>
        <v>2</v>
      </c>
      <c r="V55" s="45" t="str">
        <f t="shared" si="4"/>
        <v>MATCH</v>
      </c>
      <c r="W55" s="10"/>
      <c r="X55" s="77">
        <v>61</v>
      </c>
    </row>
    <row r="56" spans="12:24" x14ac:dyDescent="0.3">
      <c r="L56" s="82" t="s">
        <v>77</v>
      </c>
      <c r="M56" s="63">
        <v>12</v>
      </c>
      <c r="N56" s="63">
        <v>122</v>
      </c>
      <c r="O56" s="63">
        <v>1.95</v>
      </c>
      <c r="P56" s="63">
        <v>6</v>
      </c>
      <c r="Q56" s="44">
        <f t="shared" si="5"/>
        <v>211.29598285714286</v>
      </c>
      <c r="R56" s="71">
        <v>2</v>
      </c>
      <c r="S56" s="46">
        <f t="shared" si="6"/>
        <v>237.9</v>
      </c>
      <c r="T56" s="29">
        <f t="shared" si="3"/>
        <v>82</v>
      </c>
      <c r="U56" s="46">
        <f t="shared" si="7"/>
        <v>3</v>
      </c>
      <c r="V56" s="45" t="str">
        <f t="shared" si="4"/>
        <v>MATCH</v>
      </c>
      <c r="W56" s="10"/>
      <c r="X56" s="76">
        <v>82</v>
      </c>
    </row>
    <row r="57" spans="12:24" x14ac:dyDescent="0.3">
      <c r="L57" s="83" t="s">
        <v>78</v>
      </c>
      <c r="M57" s="69">
        <v>12</v>
      </c>
      <c r="N57" s="69">
        <v>122</v>
      </c>
      <c r="O57" s="69">
        <v>0.8</v>
      </c>
      <c r="P57" s="69">
        <v>6</v>
      </c>
      <c r="Q57" s="49">
        <f t="shared" si="5"/>
        <v>86.685531428571437</v>
      </c>
      <c r="R57" s="79">
        <v>2</v>
      </c>
      <c r="S57" s="51">
        <f t="shared" si="6"/>
        <v>97.600000000000009</v>
      </c>
      <c r="T57" s="35">
        <f t="shared" si="3"/>
        <v>35</v>
      </c>
      <c r="U57" s="51">
        <f t="shared" si="7"/>
        <v>7</v>
      </c>
      <c r="V57" s="50" t="str">
        <f t="shared" si="4"/>
        <v>MATCH</v>
      </c>
      <c r="W57" s="11"/>
      <c r="X57" s="84">
        <v>35</v>
      </c>
    </row>
    <row r="58" spans="12:24" x14ac:dyDescent="0.3">
      <c r="L58" s="72" t="s">
        <v>79</v>
      </c>
      <c r="M58" s="55">
        <v>32</v>
      </c>
      <c r="N58" s="55">
        <v>14</v>
      </c>
      <c r="O58" s="55">
        <v>12</v>
      </c>
      <c r="P58" s="55">
        <v>12</v>
      </c>
      <c r="Q58" s="39">
        <f t="shared" si="5"/>
        <v>1061.0688</v>
      </c>
      <c r="R58" s="73">
        <v>2</v>
      </c>
      <c r="S58" s="41">
        <f t="shared" si="6"/>
        <v>168</v>
      </c>
      <c r="T58" s="23">
        <f t="shared" si="3"/>
        <v>28</v>
      </c>
      <c r="U58" s="41">
        <f t="shared" si="7"/>
        <v>1</v>
      </c>
      <c r="V58" s="40" t="str">
        <f t="shared" si="4"/>
        <v>MATCH</v>
      </c>
      <c r="W58" s="9"/>
      <c r="X58" s="74">
        <v>28</v>
      </c>
    </row>
    <row r="59" spans="12:24" x14ac:dyDescent="0.3">
      <c r="L59" s="75" t="s">
        <v>80</v>
      </c>
      <c r="M59" s="57">
        <v>32</v>
      </c>
      <c r="N59" s="57">
        <v>14</v>
      </c>
      <c r="O59" s="57">
        <v>3.87</v>
      </c>
      <c r="P59" s="57">
        <v>7.5</v>
      </c>
      <c r="Q59" s="44">
        <f t="shared" si="5"/>
        <v>342.19468799999999</v>
      </c>
      <c r="R59" s="71">
        <v>2</v>
      </c>
      <c r="S59" s="46">
        <f t="shared" si="6"/>
        <v>54.18</v>
      </c>
      <c r="T59" s="29">
        <f t="shared" si="3"/>
        <v>28</v>
      </c>
      <c r="U59" s="46">
        <f t="shared" si="7"/>
        <v>1</v>
      </c>
      <c r="V59" s="45" t="str">
        <f t="shared" si="4"/>
        <v>MATCH</v>
      </c>
      <c r="W59" s="10"/>
      <c r="X59" s="76">
        <v>28</v>
      </c>
    </row>
    <row r="60" spans="12:24" x14ac:dyDescent="0.3">
      <c r="L60" s="75" t="s">
        <v>81</v>
      </c>
      <c r="M60" s="57">
        <v>32</v>
      </c>
      <c r="N60" s="57">
        <v>14</v>
      </c>
      <c r="O60" s="57">
        <v>8.5</v>
      </c>
      <c r="P60" s="57">
        <v>9</v>
      </c>
      <c r="Q60" s="44">
        <f t="shared" si="5"/>
        <v>751.59039999999993</v>
      </c>
      <c r="R60" s="70">
        <v>2</v>
      </c>
      <c r="S60" s="46">
        <f t="shared" si="6"/>
        <v>119</v>
      </c>
      <c r="T60" s="29">
        <f t="shared" si="3"/>
        <v>28</v>
      </c>
      <c r="U60" s="46">
        <f t="shared" si="7"/>
        <v>1</v>
      </c>
      <c r="V60" s="45" t="str">
        <f t="shared" si="4"/>
        <v>MATCH</v>
      </c>
      <c r="W60" s="10"/>
      <c r="X60" s="77">
        <v>28</v>
      </c>
    </row>
    <row r="61" spans="12:24" x14ac:dyDescent="0.3">
      <c r="L61" s="75" t="s">
        <v>82</v>
      </c>
      <c r="M61" s="57">
        <v>32</v>
      </c>
      <c r="N61" s="57">
        <v>14</v>
      </c>
      <c r="O61" s="57">
        <v>11.36</v>
      </c>
      <c r="P61" s="57">
        <v>12</v>
      </c>
      <c r="Q61" s="44">
        <f t="shared" si="5"/>
        <v>1004.4784639999999</v>
      </c>
      <c r="R61" s="71">
        <v>2</v>
      </c>
      <c r="S61" s="46">
        <f t="shared" si="6"/>
        <v>159.04</v>
      </c>
      <c r="T61" s="29">
        <f t="shared" si="3"/>
        <v>28</v>
      </c>
      <c r="U61" s="46">
        <f t="shared" si="7"/>
        <v>1</v>
      </c>
      <c r="V61" s="45" t="str">
        <f t="shared" si="4"/>
        <v>MATCH</v>
      </c>
      <c r="W61" s="10"/>
      <c r="X61" s="76">
        <v>28</v>
      </c>
    </row>
    <row r="62" spans="12:24" x14ac:dyDescent="0.3">
      <c r="L62" s="75" t="s">
        <v>83</v>
      </c>
      <c r="M62" s="57">
        <v>32</v>
      </c>
      <c r="N62" s="57">
        <v>2</v>
      </c>
      <c r="O62" s="57">
        <v>6</v>
      </c>
      <c r="P62" s="57">
        <v>6</v>
      </c>
      <c r="Q62" s="44">
        <f t="shared" si="5"/>
        <v>75.79062857142857</v>
      </c>
      <c r="R62" s="70">
        <v>2</v>
      </c>
      <c r="S62" s="46">
        <f t="shared" si="6"/>
        <v>12</v>
      </c>
      <c r="T62" s="29">
        <f t="shared" si="3"/>
        <v>4</v>
      </c>
      <c r="U62" s="46">
        <f t="shared" si="7"/>
        <v>1</v>
      </c>
      <c r="V62" s="45" t="str">
        <f t="shared" si="4"/>
        <v>MATCH</v>
      </c>
      <c r="W62" s="10"/>
      <c r="X62" s="77">
        <v>4</v>
      </c>
    </row>
    <row r="63" spans="12:24" x14ac:dyDescent="0.3">
      <c r="L63" s="75" t="s">
        <v>84</v>
      </c>
      <c r="M63" s="57">
        <v>32</v>
      </c>
      <c r="N63" s="57">
        <v>4</v>
      </c>
      <c r="O63" s="57">
        <v>5.97</v>
      </c>
      <c r="P63" s="57">
        <v>6</v>
      </c>
      <c r="Q63" s="44">
        <f t="shared" si="5"/>
        <v>150.82335085714286</v>
      </c>
      <c r="R63" s="71">
        <v>2</v>
      </c>
      <c r="S63" s="46">
        <f t="shared" si="6"/>
        <v>23.88</v>
      </c>
      <c r="T63" s="29">
        <f t="shared" si="3"/>
        <v>8</v>
      </c>
      <c r="U63" s="46">
        <f t="shared" si="7"/>
        <v>1</v>
      </c>
      <c r="V63" s="45" t="str">
        <f t="shared" si="4"/>
        <v>MATCH</v>
      </c>
      <c r="W63" s="10"/>
      <c r="X63" s="76">
        <v>8</v>
      </c>
    </row>
    <row r="64" spans="12:24" x14ac:dyDescent="0.3">
      <c r="L64" s="75" t="s">
        <v>85</v>
      </c>
      <c r="M64" s="57">
        <v>10</v>
      </c>
      <c r="N64" s="57">
        <v>63</v>
      </c>
      <c r="O64" s="57">
        <v>2.0699999999999998</v>
      </c>
      <c r="P64" s="57">
        <v>7.5</v>
      </c>
      <c r="Q64" s="44">
        <f t="shared" si="5"/>
        <v>80.435024999999996</v>
      </c>
      <c r="R64" s="70">
        <v>2</v>
      </c>
      <c r="S64" s="46">
        <f t="shared" si="6"/>
        <v>130.41</v>
      </c>
      <c r="T64" s="29">
        <f t="shared" si="3"/>
        <v>42</v>
      </c>
      <c r="U64" s="46">
        <f t="shared" si="7"/>
        <v>3</v>
      </c>
      <c r="V64" s="45" t="str">
        <f t="shared" si="4"/>
        <v>MATCH</v>
      </c>
      <c r="W64" s="10"/>
      <c r="X64" s="77">
        <v>42</v>
      </c>
    </row>
    <row r="65" spans="12:24" x14ac:dyDescent="0.3">
      <c r="L65" s="75" t="s">
        <v>86</v>
      </c>
      <c r="M65" s="57">
        <v>10</v>
      </c>
      <c r="N65" s="57">
        <v>126</v>
      </c>
      <c r="O65" s="57">
        <v>1.82</v>
      </c>
      <c r="P65" s="57">
        <v>6</v>
      </c>
      <c r="Q65" s="44">
        <f t="shared" si="5"/>
        <v>141.44129999999998</v>
      </c>
      <c r="R65" s="71">
        <v>2</v>
      </c>
      <c r="S65" s="46">
        <f t="shared" si="6"/>
        <v>229.32000000000002</v>
      </c>
      <c r="T65" s="29">
        <f t="shared" si="3"/>
        <v>84</v>
      </c>
      <c r="U65" s="46">
        <f t="shared" si="7"/>
        <v>3</v>
      </c>
      <c r="V65" s="45" t="str">
        <f t="shared" si="4"/>
        <v>MATCH</v>
      </c>
      <c r="W65" s="10"/>
      <c r="X65" s="76">
        <v>84</v>
      </c>
    </row>
    <row r="66" spans="12:24" x14ac:dyDescent="0.3">
      <c r="L66" s="75" t="s">
        <v>87</v>
      </c>
      <c r="M66" s="57">
        <v>10</v>
      </c>
      <c r="N66" s="57">
        <v>63</v>
      </c>
      <c r="O66" s="57">
        <v>2.02</v>
      </c>
      <c r="P66" s="57">
        <v>7.5</v>
      </c>
      <c r="Q66" s="44">
        <f t="shared" si="5"/>
        <v>78.492149999999995</v>
      </c>
      <c r="R66" s="70">
        <v>2</v>
      </c>
      <c r="S66" s="46">
        <f t="shared" si="6"/>
        <v>127.26</v>
      </c>
      <c r="T66" s="29">
        <f t="shared" si="3"/>
        <v>42</v>
      </c>
      <c r="U66" s="46">
        <f t="shared" si="7"/>
        <v>3</v>
      </c>
      <c r="V66" s="45" t="str">
        <f t="shared" si="4"/>
        <v>MATCH</v>
      </c>
      <c r="W66" s="10"/>
      <c r="X66" s="77">
        <v>42</v>
      </c>
    </row>
    <row r="67" spans="12:24" x14ac:dyDescent="0.3">
      <c r="L67" s="75" t="s">
        <v>88</v>
      </c>
      <c r="M67" s="57">
        <v>10</v>
      </c>
      <c r="N67" s="57">
        <v>252</v>
      </c>
      <c r="O67" s="57">
        <v>0.77</v>
      </c>
      <c r="P67" s="57">
        <v>6</v>
      </c>
      <c r="Q67" s="44">
        <f t="shared" si="5"/>
        <v>119.68109999999999</v>
      </c>
      <c r="R67" s="71">
        <v>2</v>
      </c>
      <c r="S67" s="46">
        <f t="shared" si="6"/>
        <v>194.04</v>
      </c>
      <c r="T67" s="29">
        <f t="shared" si="3"/>
        <v>72</v>
      </c>
      <c r="U67" s="46">
        <f t="shared" si="7"/>
        <v>7</v>
      </c>
      <c r="V67" s="45" t="str">
        <f t="shared" si="4"/>
        <v>MATCH</v>
      </c>
      <c r="W67" s="10"/>
      <c r="X67" s="76">
        <v>72</v>
      </c>
    </row>
    <row r="68" spans="12:24" x14ac:dyDescent="0.3">
      <c r="L68" s="75" t="s">
        <v>89</v>
      </c>
      <c r="M68" s="57">
        <v>16</v>
      </c>
      <c r="N68" s="57">
        <v>81</v>
      </c>
      <c r="O68" s="57">
        <v>2.85</v>
      </c>
      <c r="P68" s="57">
        <v>6</v>
      </c>
      <c r="Q68" s="44">
        <f t="shared" si="5"/>
        <v>364.50555428571425</v>
      </c>
      <c r="R68" s="70">
        <v>2</v>
      </c>
      <c r="S68" s="46">
        <f t="shared" si="6"/>
        <v>230.85</v>
      </c>
      <c r="T68" s="29">
        <f t="shared" si="3"/>
        <v>81</v>
      </c>
      <c r="U68" s="46">
        <f t="shared" si="7"/>
        <v>2</v>
      </c>
      <c r="V68" s="45" t="str">
        <f t="shared" si="4"/>
        <v>MATCH</v>
      </c>
      <c r="W68" s="10"/>
      <c r="X68" s="77">
        <v>81</v>
      </c>
    </row>
    <row r="69" spans="12:24" x14ac:dyDescent="0.3">
      <c r="L69" s="75" t="s">
        <v>90</v>
      </c>
      <c r="M69" s="57">
        <v>16</v>
      </c>
      <c r="N69" s="57">
        <v>162</v>
      </c>
      <c r="O69" s="57">
        <v>2.16</v>
      </c>
      <c r="P69" s="57">
        <v>7.5</v>
      </c>
      <c r="Q69" s="44">
        <f t="shared" si="5"/>
        <v>552.51368228571437</v>
      </c>
      <c r="R69" s="71">
        <v>2</v>
      </c>
      <c r="S69" s="46">
        <f t="shared" si="6"/>
        <v>349.92</v>
      </c>
      <c r="T69" s="29">
        <f t="shared" si="3"/>
        <v>108</v>
      </c>
      <c r="U69" s="46">
        <f t="shared" si="7"/>
        <v>3</v>
      </c>
      <c r="V69" s="45" t="str">
        <f t="shared" si="4"/>
        <v>MATCH</v>
      </c>
      <c r="W69" s="10"/>
      <c r="X69" s="76">
        <v>108</v>
      </c>
    </row>
    <row r="70" spans="12:24" x14ac:dyDescent="0.3">
      <c r="L70" s="75" t="s">
        <v>91</v>
      </c>
      <c r="M70" s="57">
        <v>16</v>
      </c>
      <c r="N70" s="57">
        <v>162</v>
      </c>
      <c r="O70" s="57">
        <v>0.86</v>
      </c>
      <c r="P70" s="57">
        <v>6</v>
      </c>
      <c r="Q70" s="44">
        <f t="shared" si="5"/>
        <v>219.98229942857142</v>
      </c>
      <c r="R70" s="70">
        <v>2</v>
      </c>
      <c r="S70" s="46">
        <f t="shared" si="6"/>
        <v>139.32</v>
      </c>
      <c r="T70" s="29">
        <f t="shared" si="3"/>
        <v>54</v>
      </c>
      <c r="U70" s="46">
        <f t="shared" si="7"/>
        <v>6</v>
      </c>
      <c r="V70" s="45" t="str">
        <f t="shared" si="4"/>
        <v>MATCH</v>
      </c>
      <c r="W70" s="10"/>
      <c r="X70" s="77">
        <v>54</v>
      </c>
    </row>
    <row r="71" spans="12:24" x14ac:dyDescent="0.3">
      <c r="L71" s="75" t="s">
        <v>92</v>
      </c>
      <c r="M71" s="57">
        <v>12</v>
      </c>
      <c r="N71" s="57">
        <v>114</v>
      </c>
      <c r="O71" s="57">
        <v>2.75</v>
      </c>
      <c r="P71" s="57">
        <v>6</v>
      </c>
      <c r="Q71" s="44">
        <f t="shared" si="5"/>
        <v>278.44174285714286</v>
      </c>
      <c r="R71" s="71">
        <v>2</v>
      </c>
      <c r="S71" s="46">
        <f t="shared" ref="S71:S134" si="8">N71*O71</f>
        <v>313.5</v>
      </c>
      <c r="T71" s="29">
        <f t="shared" si="3"/>
        <v>114</v>
      </c>
      <c r="U71" s="46">
        <f t="shared" ref="U71:U134" si="9">ROUNDDOWN(P71/O71, 0)</f>
        <v>2</v>
      </c>
      <c r="V71" s="45" t="str">
        <f t="shared" si="4"/>
        <v>MATCH</v>
      </c>
      <c r="W71" s="10"/>
      <c r="X71" s="76">
        <v>114</v>
      </c>
    </row>
    <row r="72" spans="12:24" x14ac:dyDescent="0.3">
      <c r="L72" s="75" t="s">
        <v>93</v>
      </c>
      <c r="M72" s="57">
        <v>12</v>
      </c>
      <c r="N72" s="57">
        <v>162</v>
      </c>
      <c r="O72" s="57">
        <v>1.5</v>
      </c>
      <c r="P72" s="57">
        <v>6</v>
      </c>
      <c r="Q72" s="44">
        <f t="shared" si="5"/>
        <v>215.82565714285712</v>
      </c>
      <c r="R72" s="70">
        <v>2</v>
      </c>
      <c r="S72" s="46">
        <f t="shared" si="8"/>
        <v>243</v>
      </c>
      <c r="T72" s="29">
        <f t="shared" ref="T72:T135" si="10">IF(P72=0,0,ROUNDUP((N72/U72)*R72,0))</f>
        <v>81</v>
      </c>
      <c r="U72" s="46">
        <f t="shared" si="9"/>
        <v>4</v>
      </c>
      <c r="V72" s="45" t="str">
        <f t="shared" ref="V72:V135" si="11">IF(T72=X72, "MATCH", "RECHECK")</f>
        <v>MATCH</v>
      </c>
      <c r="W72" s="10"/>
      <c r="X72" s="77">
        <v>81</v>
      </c>
    </row>
    <row r="73" spans="12:24" x14ac:dyDescent="0.3">
      <c r="L73" s="75" t="s">
        <v>94</v>
      </c>
      <c r="M73" s="57">
        <v>12</v>
      </c>
      <c r="N73" s="57">
        <v>162</v>
      </c>
      <c r="O73" s="57">
        <v>0.8</v>
      </c>
      <c r="P73" s="57">
        <v>6</v>
      </c>
      <c r="Q73" s="44">
        <f t="shared" si="5"/>
        <v>115.10701714285713</v>
      </c>
      <c r="R73" s="71">
        <v>2</v>
      </c>
      <c r="S73" s="46">
        <f t="shared" si="8"/>
        <v>129.6</v>
      </c>
      <c r="T73" s="29">
        <f t="shared" si="10"/>
        <v>47</v>
      </c>
      <c r="U73" s="46">
        <f t="shared" si="9"/>
        <v>7</v>
      </c>
      <c r="V73" s="45" t="str">
        <f t="shared" si="11"/>
        <v>MATCH</v>
      </c>
      <c r="W73" s="10"/>
      <c r="X73" s="76">
        <v>47</v>
      </c>
    </row>
    <row r="74" spans="12:24" x14ac:dyDescent="0.3">
      <c r="L74" s="75" t="s">
        <v>95</v>
      </c>
      <c r="M74" s="57">
        <v>12</v>
      </c>
      <c r="N74" s="57">
        <v>66</v>
      </c>
      <c r="O74" s="57">
        <v>1.51</v>
      </c>
      <c r="P74" s="57">
        <v>6</v>
      </c>
      <c r="Q74" s="44">
        <f t="shared" si="5"/>
        <v>88.515164571428556</v>
      </c>
      <c r="R74" s="70">
        <v>2</v>
      </c>
      <c r="S74" s="46">
        <f t="shared" si="8"/>
        <v>99.66</v>
      </c>
      <c r="T74" s="29">
        <f t="shared" si="10"/>
        <v>44</v>
      </c>
      <c r="U74" s="46">
        <f t="shared" si="9"/>
        <v>3</v>
      </c>
      <c r="V74" s="45" t="str">
        <f t="shared" si="11"/>
        <v>MATCH</v>
      </c>
      <c r="W74" s="10"/>
      <c r="X74" s="77">
        <v>44</v>
      </c>
    </row>
    <row r="75" spans="12:24" x14ac:dyDescent="0.3">
      <c r="L75" s="78" t="s">
        <v>96</v>
      </c>
      <c r="M75" s="59">
        <v>12</v>
      </c>
      <c r="N75" s="59">
        <v>33</v>
      </c>
      <c r="O75" s="59">
        <v>2.0499999999999998</v>
      </c>
      <c r="P75" s="59">
        <v>6</v>
      </c>
      <c r="Q75" s="49">
        <f t="shared" si="5"/>
        <v>60.084797142857127</v>
      </c>
      <c r="R75" s="85">
        <v>2</v>
      </c>
      <c r="S75" s="51">
        <f t="shared" si="8"/>
        <v>67.649999999999991</v>
      </c>
      <c r="T75" s="35">
        <f t="shared" si="10"/>
        <v>33</v>
      </c>
      <c r="U75" s="51">
        <f t="shared" si="9"/>
        <v>2</v>
      </c>
      <c r="V75" s="50" t="str">
        <f t="shared" si="11"/>
        <v>MATCH</v>
      </c>
      <c r="W75" s="11"/>
      <c r="X75" s="80">
        <v>33</v>
      </c>
    </row>
    <row r="76" spans="12:24" x14ac:dyDescent="0.3">
      <c r="L76" s="81" t="s">
        <v>97</v>
      </c>
      <c r="M76" s="61">
        <v>32</v>
      </c>
      <c r="N76" s="61">
        <v>14</v>
      </c>
      <c r="O76" s="61">
        <v>12</v>
      </c>
      <c r="P76" s="61">
        <v>12</v>
      </c>
      <c r="Q76" s="39">
        <f t="shared" si="5"/>
        <v>1061.0688</v>
      </c>
      <c r="R76" s="73">
        <v>2</v>
      </c>
      <c r="S76" s="41">
        <f t="shared" si="8"/>
        <v>168</v>
      </c>
      <c r="T76" s="23">
        <f t="shared" si="10"/>
        <v>28</v>
      </c>
      <c r="U76" s="41">
        <f t="shared" si="9"/>
        <v>1</v>
      </c>
      <c r="V76" s="40" t="str">
        <f t="shared" si="11"/>
        <v>MATCH</v>
      </c>
      <c r="W76" s="9"/>
      <c r="X76" s="74">
        <v>28</v>
      </c>
    </row>
    <row r="77" spans="12:24" x14ac:dyDescent="0.3">
      <c r="L77" s="82" t="s">
        <v>98</v>
      </c>
      <c r="M77" s="63">
        <v>32</v>
      </c>
      <c r="N77" s="63">
        <v>14</v>
      </c>
      <c r="O77" s="63">
        <v>7.36</v>
      </c>
      <c r="P77" s="63">
        <v>7.5</v>
      </c>
      <c r="Q77" s="44">
        <f t="shared" si="5"/>
        <v>650.7888640000001</v>
      </c>
      <c r="R77" s="71">
        <v>2</v>
      </c>
      <c r="S77" s="46">
        <f t="shared" si="8"/>
        <v>103.04</v>
      </c>
      <c r="T77" s="29">
        <f t="shared" si="10"/>
        <v>28</v>
      </c>
      <c r="U77" s="46">
        <f t="shared" si="9"/>
        <v>1</v>
      </c>
      <c r="V77" s="45" t="str">
        <f t="shared" si="11"/>
        <v>MATCH</v>
      </c>
      <c r="W77" s="10"/>
      <c r="X77" s="76">
        <v>28</v>
      </c>
    </row>
    <row r="78" spans="12:24" x14ac:dyDescent="0.3">
      <c r="L78" s="82" t="s">
        <v>99</v>
      </c>
      <c r="M78" s="63">
        <v>32</v>
      </c>
      <c r="N78" s="63">
        <v>14</v>
      </c>
      <c r="O78" s="63">
        <v>8.5</v>
      </c>
      <c r="P78" s="63">
        <v>9</v>
      </c>
      <c r="Q78" s="44">
        <f t="shared" si="5"/>
        <v>751.59039999999993</v>
      </c>
      <c r="R78" s="70">
        <v>2</v>
      </c>
      <c r="S78" s="46">
        <f t="shared" si="8"/>
        <v>119</v>
      </c>
      <c r="T78" s="29">
        <f t="shared" si="10"/>
        <v>28</v>
      </c>
      <c r="U78" s="46">
        <f t="shared" si="9"/>
        <v>1</v>
      </c>
      <c r="V78" s="45" t="str">
        <f t="shared" si="11"/>
        <v>MATCH</v>
      </c>
      <c r="W78" s="10"/>
      <c r="X78" s="77">
        <v>28</v>
      </c>
    </row>
    <row r="79" spans="12:24" x14ac:dyDescent="0.3">
      <c r="L79" s="82" t="s">
        <v>100</v>
      </c>
      <c r="M79" s="63">
        <v>32</v>
      </c>
      <c r="N79" s="63">
        <v>14</v>
      </c>
      <c r="O79" s="63">
        <v>11.36</v>
      </c>
      <c r="P79" s="63">
        <v>12</v>
      </c>
      <c r="Q79" s="44">
        <f t="shared" si="5"/>
        <v>1004.4784639999999</v>
      </c>
      <c r="R79" s="71">
        <v>2</v>
      </c>
      <c r="S79" s="46">
        <f t="shared" si="8"/>
        <v>159.04</v>
      </c>
      <c r="T79" s="29">
        <f t="shared" si="10"/>
        <v>28</v>
      </c>
      <c r="U79" s="46">
        <f t="shared" si="9"/>
        <v>1</v>
      </c>
      <c r="V79" s="45" t="str">
        <f t="shared" si="11"/>
        <v>MATCH</v>
      </c>
      <c r="W79" s="10"/>
      <c r="X79" s="76">
        <v>28</v>
      </c>
    </row>
    <row r="80" spans="12:24" x14ac:dyDescent="0.3">
      <c r="L80" s="82" t="s">
        <v>101</v>
      </c>
      <c r="M80" s="63">
        <v>32</v>
      </c>
      <c r="N80" s="63">
        <v>4</v>
      </c>
      <c r="O80" s="63">
        <v>5.97</v>
      </c>
      <c r="P80" s="63">
        <v>6</v>
      </c>
      <c r="Q80" s="44">
        <f t="shared" si="5"/>
        <v>150.82335085714286</v>
      </c>
      <c r="R80" s="70">
        <v>2</v>
      </c>
      <c r="S80" s="46">
        <f t="shared" si="8"/>
        <v>23.88</v>
      </c>
      <c r="T80" s="29">
        <f t="shared" si="10"/>
        <v>8</v>
      </c>
      <c r="U80" s="46">
        <f t="shared" si="9"/>
        <v>1</v>
      </c>
      <c r="V80" s="45" t="str">
        <f t="shared" si="11"/>
        <v>MATCH</v>
      </c>
      <c r="W80" s="10"/>
      <c r="X80" s="77">
        <v>8</v>
      </c>
    </row>
    <row r="81" spans="12:24" x14ac:dyDescent="0.3">
      <c r="L81" s="82" t="s">
        <v>102</v>
      </c>
      <c r="M81" s="63">
        <v>10</v>
      </c>
      <c r="N81" s="63">
        <v>63</v>
      </c>
      <c r="O81" s="63">
        <v>2.72</v>
      </c>
      <c r="P81" s="63">
        <v>6</v>
      </c>
      <c r="Q81" s="44">
        <f t="shared" si="5"/>
        <v>105.69240000000001</v>
      </c>
      <c r="R81" s="71">
        <v>2</v>
      </c>
      <c r="S81" s="46">
        <f t="shared" si="8"/>
        <v>171.36</v>
      </c>
      <c r="T81" s="29">
        <f t="shared" si="10"/>
        <v>63</v>
      </c>
      <c r="U81" s="46">
        <f t="shared" si="9"/>
        <v>2</v>
      </c>
      <c r="V81" s="45" t="str">
        <f t="shared" si="11"/>
        <v>MATCH</v>
      </c>
      <c r="W81" s="10"/>
      <c r="X81" s="76">
        <v>63</v>
      </c>
    </row>
    <row r="82" spans="12:24" x14ac:dyDescent="0.3">
      <c r="L82" s="82" t="s">
        <v>103</v>
      </c>
      <c r="M82" s="63">
        <v>10</v>
      </c>
      <c r="N82" s="63">
        <v>126</v>
      </c>
      <c r="O82" s="63">
        <v>1.82</v>
      </c>
      <c r="P82" s="63">
        <v>6</v>
      </c>
      <c r="Q82" s="44">
        <f t="shared" si="5"/>
        <v>141.44129999999998</v>
      </c>
      <c r="R82" s="70">
        <v>2</v>
      </c>
      <c r="S82" s="46">
        <f t="shared" si="8"/>
        <v>229.32000000000002</v>
      </c>
      <c r="T82" s="29">
        <f t="shared" si="10"/>
        <v>84</v>
      </c>
      <c r="U82" s="46">
        <f t="shared" si="9"/>
        <v>3</v>
      </c>
      <c r="V82" s="45" t="str">
        <f t="shared" si="11"/>
        <v>MATCH</v>
      </c>
      <c r="W82" s="10"/>
      <c r="X82" s="77">
        <v>84</v>
      </c>
    </row>
    <row r="83" spans="12:24" x14ac:dyDescent="0.3">
      <c r="L83" s="82" t="s">
        <v>104</v>
      </c>
      <c r="M83" s="63">
        <v>10</v>
      </c>
      <c r="N83" s="63">
        <v>63</v>
      </c>
      <c r="O83" s="63">
        <v>2.02</v>
      </c>
      <c r="P83" s="63">
        <v>6</v>
      </c>
      <c r="Q83" s="44">
        <f t="shared" si="5"/>
        <v>78.492149999999995</v>
      </c>
      <c r="R83" s="71">
        <v>2</v>
      </c>
      <c r="S83" s="46">
        <f t="shared" si="8"/>
        <v>127.26</v>
      </c>
      <c r="T83" s="29">
        <f t="shared" si="10"/>
        <v>63</v>
      </c>
      <c r="U83" s="46">
        <f t="shared" si="9"/>
        <v>2</v>
      </c>
      <c r="V83" s="45" t="str">
        <f t="shared" si="11"/>
        <v>MATCH</v>
      </c>
      <c r="W83" s="10"/>
      <c r="X83" s="76">
        <v>63</v>
      </c>
    </row>
    <row r="84" spans="12:24" x14ac:dyDescent="0.3">
      <c r="L84" s="82" t="s">
        <v>105</v>
      </c>
      <c r="M84" s="63">
        <v>10</v>
      </c>
      <c r="N84" s="63">
        <v>252</v>
      </c>
      <c r="O84" s="63">
        <v>0.77</v>
      </c>
      <c r="P84" s="63">
        <v>6</v>
      </c>
      <c r="Q84" s="44">
        <f t="shared" si="5"/>
        <v>119.68109999999999</v>
      </c>
      <c r="R84" s="70">
        <v>2</v>
      </c>
      <c r="S84" s="46">
        <f t="shared" si="8"/>
        <v>194.04</v>
      </c>
      <c r="T84" s="29">
        <f t="shared" si="10"/>
        <v>72</v>
      </c>
      <c r="U84" s="46">
        <f t="shared" si="9"/>
        <v>7</v>
      </c>
      <c r="V84" s="45" t="str">
        <f t="shared" si="11"/>
        <v>MATCH</v>
      </c>
      <c r="W84" s="10"/>
      <c r="X84" s="77">
        <v>72</v>
      </c>
    </row>
    <row r="85" spans="12:24" x14ac:dyDescent="0.3">
      <c r="L85" s="82" t="s">
        <v>106</v>
      </c>
      <c r="M85" s="63">
        <v>12</v>
      </c>
      <c r="N85" s="63">
        <v>195</v>
      </c>
      <c r="O85" s="63">
        <v>2.77</v>
      </c>
      <c r="P85" s="63">
        <v>6</v>
      </c>
      <c r="Q85" s="44">
        <f t="shared" si="5"/>
        <v>479.74579714285704</v>
      </c>
      <c r="R85" s="71">
        <v>2</v>
      </c>
      <c r="S85" s="46">
        <f t="shared" si="8"/>
        <v>540.15</v>
      </c>
      <c r="T85" s="29">
        <f t="shared" si="10"/>
        <v>195</v>
      </c>
      <c r="U85" s="46">
        <f t="shared" si="9"/>
        <v>2</v>
      </c>
      <c r="V85" s="45" t="str">
        <f t="shared" si="11"/>
        <v>MATCH</v>
      </c>
      <c r="W85" s="10"/>
      <c r="X85" s="76">
        <v>195</v>
      </c>
    </row>
    <row r="86" spans="12:24" x14ac:dyDescent="0.3">
      <c r="L86" s="82" t="s">
        <v>107</v>
      </c>
      <c r="M86" s="63">
        <v>12</v>
      </c>
      <c r="N86" s="63">
        <v>714</v>
      </c>
      <c r="O86" s="63">
        <v>1.78</v>
      </c>
      <c r="P86" s="63">
        <v>6</v>
      </c>
      <c r="Q86" s="44">
        <f t="shared" si="5"/>
        <v>1128.794832</v>
      </c>
      <c r="R86" s="70">
        <v>2</v>
      </c>
      <c r="S86" s="46">
        <f t="shared" si="8"/>
        <v>1270.92</v>
      </c>
      <c r="T86" s="29">
        <f t="shared" si="10"/>
        <v>476</v>
      </c>
      <c r="U86" s="46">
        <f t="shared" si="9"/>
        <v>3</v>
      </c>
      <c r="V86" s="45" t="str">
        <f t="shared" si="11"/>
        <v>MATCH</v>
      </c>
      <c r="W86" s="10"/>
      <c r="X86" s="77">
        <v>476</v>
      </c>
    </row>
    <row r="87" spans="12:24" x14ac:dyDescent="0.3">
      <c r="L87" s="83" t="s">
        <v>108</v>
      </c>
      <c r="M87" s="69">
        <v>12</v>
      </c>
      <c r="N87" s="69">
        <v>714</v>
      </c>
      <c r="O87" s="69">
        <v>0.8</v>
      </c>
      <c r="P87" s="69">
        <v>6</v>
      </c>
      <c r="Q87" s="49">
        <f t="shared" ref="Q87:Q150" si="12">((22/(7*4))*(M87^2)/(1000^2))*S87*$B$24</f>
        <v>507.32351999999997</v>
      </c>
      <c r="R87" s="85">
        <v>2</v>
      </c>
      <c r="S87" s="51">
        <f t="shared" si="8"/>
        <v>571.20000000000005</v>
      </c>
      <c r="T87" s="35">
        <f t="shared" si="10"/>
        <v>204</v>
      </c>
      <c r="U87" s="51">
        <f t="shared" si="9"/>
        <v>7</v>
      </c>
      <c r="V87" s="50" t="str">
        <f t="shared" si="11"/>
        <v>MATCH</v>
      </c>
      <c r="W87" s="11"/>
      <c r="X87" s="80">
        <v>204</v>
      </c>
    </row>
    <row r="88" spans="12:24" x14ac:dyDescent="0.3">
      <c r="L88" s="72" t="s">
        <v>109</v>
      </c>
      <c r="M88" s="55">
        <v>32</v>
      </c>
      <c r="N88" s="55">
        <v>14</v>
      </c>
      <c r="O88" s="55">
        <v>8.49</v>
      </c>
      <c r="P88" s="55">
        <v>9</v>
      </c>
      <c r="Q88" s="39">
        <f t="shared" si="12"/>
        <v>750.70617600000003</v>
      </c>
      <c r="R88" s="73">
        <v>2</v>
      </c>
      <c r="S88" s="41">
        <f t="shared" si="8"/>
        <v>118.86</v>
      </c>
      <c r="T88" s="23">
        <f t="shared" si="10"/>
        <v>28</v>
      </c>
      <c r="U88" s="41">
        <f t="shared" si="9"/>
        <v>1</v>
      </c>
      <c r="V88" s="40" t="str">
        <f t="shared" si="11"/>
        <v>MATCH</v>
      </c>
      <c r="W88" s="9"/>
      <c r="X88" s="74">
        <v>28</v>
      </c>
    </row>
    <row r="89" spans="12:24" x14ac:dyDescent="0.3">
      <c r="L89" s="75" t="s">
        <v>110</v>
      </c>
      <c r="M89" s="57">
        <v>32</v>
      </c>
      <c r="N89" s="57">
        <v>14</v>
      </c>
      <c r="O89" s="57">
        <v>8.4499999999999993</v>
      </c>
      <c r="P89" s="57">
        <v>9</v>
      </c>
      <c r="Q89" s="44">
        <f t="shared" si="12"/>
        <v>747.16927999999984</v>
      </c>
      <c r="R89" s="71">
        <v>2</v>
      </c>
      <c r="S89" s="46">
        <f t="shared" si="8"/>
        <v>118.29999999999998</v>
      </c>
      <c r="T89" s="29">
        <f t="shared" si="10"/>
        <v>28</v>
      </c>
      <c r="U89" s="46">
        <f t="shared" si="9"/>
        <v>1</v>
      </c>
      <c r="V89" s="45" t="str">
        <f t="shared" si="11"/>
        <v>MATCH</v>
      </c>
      <c r="W89" s="10"/>
      <c r="X89" s="76">
        <v>28</v>
      </c>
    </row>
    <row r="90" spans="12:24" x14ac:dyDescent="0.3">
      <c r="L90" s="75" t="s">
        <v>111</v>
      </c>
      <c r="M90" s="57">
        <v>25</v>
      </c>
      <c r="N90" s="57">
        <v>14</v>
      </c>
      <c r="O90" s="57">
        <v>4.3099999999999996</v>
      </c>
      <c r="P90" s="57">
        <v>9</v>
      </c>
      <c r="Q90" s="44">
        <f t="shared" si="12"/>
        <v>232.6053125</v>
      </c>
      <c r="R90" s="70">
        <v>2</v>
      </c>
      <c r="S90" s="46">
        <f t="shared" si="8"/>
        <v>60.339999999999996</v>
      </c>
      <c r="T90" s="29">
        <f t="shared" si="10"/>
        <v>14</v>
      </c>
      <c r="U90" s="46">
        <f t="shared" si="9"/>
        <v>2</v>
      </c>
      <c r="V90" s="45" t="str">
        <f t="shared" si="11"/>
        <v>MATCH</v>
      </c>
      <c r="W90" s="10"/>
      <c r="X90" s="77">
        <v>14</v>
      </c>
    </row>
    <row r="91" spans="12:24" x14ac:dyDescent="0.3">
      <c r="L91" s="75" t="s">
        <v>112</v>
      </c>
      <c r="M91" s="57">
        <v>32</v>
      </c>
      <c r="N91" s="57">
        <v>14</v>
      </c>
      <c r="O91" s="57">
        <v>12</v>
      </c>
      <c r="P91" s="57">
        <v>12</v>
      </c>
      <c r="Q91" s="44">
        <f t="shared" si="12"/>
        <v>1061.0688</v>
      </c>
      <c r="R91" s="71">
        <v>2</v>
      </c>
      <c r="S91" s="46">
        <f t="shared" si="8"/>
        <v>168</v>
      </c>
      <c r="T91" s="29">
        <f t="shared" si="10"/>
        <v>28</v>
      </c>
      <c r="U91" s="46">
        <f t="shared" si="9"/>
        <v>1</v>
      </c>
      <c r="V91" s="45" t="str">
        <f t="shared" si="11"/>
        <v>MATCH</v>
      </c>
      <c r="W91" s="10"/>
      <c r="X91" s="76">
        <v>28</v>
      </c>
    </row>
    <row r="92" spans="12:24" x14ac:dyDescent="0.3">
      <c r="L92" s="75" t="s">
        <v>113</v>
      </c>
      <c r="M92" s="57">
        <v>32</v>
      </c>
      <c r="N92" s="57">
        <v>14</v>
      </c>
      <c r="O92" s="57">
        <v>6.21</v>
      </c>
      <c r="P92" s="57">
        <v>7.5</v>
      </c>
      <c r="Q92" s="44">
        <f t="shared" si="12"/>
        <v>549.10310400000003</v>
      </c>
      <c r="R92" s="70">
        <v>2</v>
      </c>
      <c r="S92" s="46">
        <f t="shared" si="8"/>
        <v>86.94</v>
      </c>
      <c r="T92" s="29">
        <f t="shared" si="10"/>
        <v>28</v>
      </c>
      <c r="U92" s="46">
        <f t="shared" si="9"/>
        <v>1</v>
      </c>
      <c r="V92" s="45" t="str">
        <f t="shared" si="11"/>
        <v>MATCH</v>
      </c>
      <c r="W92" s="10"/>
      <c r="X92" s="77">
        <v>28</v>
      </c>
    </row>
    <row r="93" spans="12:24" x14ac:dyDescent="0.3">
      <c r="L93" s="75" t="s">
        <v>114</v>
      </c>
      <c r="M93" s="57">
        <v>25</v>
      </c>
      <c r="N93" s="57">
        <v>14</v>
      </c>
      <c r="O93" s="57">
        <v>3</v>
      </c>
      <c r="P93" s="57">
        <v>6</v>
      </c>
      <c r="Q93" s="44">
        <f t="shared" si="12"/>
        <v>161.90625</v>
      </c>
      <c r="R93" s="71">
        <v>2</v>
      </c>
      <c r="S93" s="46">
        <f t="shared" si="8"/>
        <v>42</v>
      </c>
      <c r="T93" s="29">
        <f t="shared" si="10"/>
        <v>14</v>
      </c>
      <c r="U93" s="46">
        <f t="shared" si="9"/>
        <v>2</v>
      </c>
      <c r="V93" s="45" t="str">
        <f t="shared" si="11"/>
        <v>MATCH</v>
      </c>
      <c r="W93" s="10"/>
      <c r="X93" s="76">
        <v>14</v>
      </c>
    </row>
    <row r="94" spans="12:24" x14ac:dyDescent="0.3">
      <c r="L94" s="75" t="s">
        <v>115</v>
      </c>
      <c r="M94" s="57">
        <v>10</v>
      </c>
      <c r="N94" s="57">
        <v>49</v>
      </c>
      <c r="O94" s="57">
        <v>2.72</v>
      </c>
      <c r="P94" s="57">
        <v>6</v>
      </c>
      <c r="Q94" s="44">
        <f t="shared" si="12"/>
        <v>82.205199999999991</v>
      </c>
      <c r="R94" s="70">
        <v>2</v>
      </c>
      <c r="S94" s="46">
        <f t="shared" si="8"/>
        <v>133.28</v>
      </c>
      <c r="T94" s="29">
        <f t="shared" si="10"/>
        <v>49</v>
      </c>
      <c r="U94" s="46">
        <f t="shared" si="9"/>
        <v>2</v>
      </c>
      <c r="V94" s="45" t="str">
        <f t="shared" si="11"/>
        <v>MATCH</v>
      </c>
      <c r="W94" s="10"/>
      <c r="X94" s="77">
        <v>49</v>
      </c>
    </row>
    <row r="95" spans="12:24" x14ac:dyDescent="0.3">
      <c r="L95" s="75" t="s">
        <v>116</v>
      </c>
      <c r="M95" s="57">
        <v>10</v>
      </c>
      <c r="N95" s="57">
        <v>98</v>
      </c>
      <c r="O95" s="57">
        <v>2.04</v>
      </c>
      <c r="P95" s="57">
        <v>6</v>
      </c>
      <c r="Q95" s="44">
        <f t="shared" si="12"/>
        <v>123.3078</v>
      </c>
      <c r="R95" s="71">
        <v>2</v>
      </c>
      <c r="S95" s="46">
        <f t="shared" si="8"/>
        <v>199.92000000000002</v>
      </c>
      <c r="T95" s="29">
        <f t="shared" si="10"/>
        <v>98</v>
      </c>
      <c r="U95" s="46">
        <f t="shared" si="9"/>
        <v>2</v>
      </c>
      <c r="V95" s="45" t="str">
        <f t="shared" si="11"/>
        <v>MATCH</v>
      </c>
      <c r="W95" s="10"/>
      <c r="X95" s="76">
        <v>98</v>
      </c>
    </row>
    <row r="96" spans="12:24" x14ac:dyDescent="0.3">
      <c r="L96" s="75" t="s">
        <v>117</v>
      </c>
      <c r="M96" s="57">
        <v>10</v>
      </c>
      <c r="N96" s="57">
        <v>98</v>
      </c>
      <c r="O96" s="57">
        <v>0.77</v>
      </c>
      <c r="P96" s="57">
        <v>6</v>
      </c>
      <c r="Q96" s="44">
        <f t="shared" si="12"/>
        <v>46.542650000000002</v>
      </c>
      <c r="R96" s="70">
        <v>2</v>
      </c>
      <c r="S96" s="46">
        <f t="shared" si="8"/>
        <v>75.460000000000008</v>
      </c>
      <c r="T96" s="29">
        <f t="shared" si="10"/>
        <v>28</v>
      </c>
      <c r="U96" s="46">
        <f t="shared" si="9"/>
        <v>7</v>
      </c>
      <c r="V96" s="45" t="str">
        <f t="shared" si="11"/>
        <v>MATCH</v>
      </c>
      <c r="W96" s="10"/>
      <c r="X96" s="77">
        <v>28</v>
      </c>
    </row>
    <row r="97" spans="12:24" x14ac:dyDescent="0.3">
      <c r="L97" s="75" t="s">
        <v>118</v>
      </c>
      <c r="M97" s="57">
        <v>12</v>
      </c>
      <c r="N97" s="57">
        <v>136</v>
      </c>
      <c r="O97" s="57">
        <v>2.77</v>
      </c>
      <c r="P97" s="57">
        <v>6</v>
      </c>
      <c r="Q97" s="44">
        <f t="shared" si="12"/>
        <v>334.59194057142855</v>
      </c>
      <c r="R97" s="71">
        <v>2</v>
      </c>
      <c r="S97" s="46">
        <f t="shared" si="8"/>
        <v>376.72</v>
      </c>
      <c r="T97" s="29">
        <f t="shared" si="10"/>
        <v>136</v>
      </c>
      <c r="U97" s="46">
        <f t="shared" si="9"/>
        <v>2</v>
      </c>
      <c r="V97" s="45" t="str">
        <f t="shared" si="11"/>
        <v>MATCH</v>
      </c>
      <c r="W97" s="10"/>
      <c r="X97" s="76">
        <v>136</v>
      </c>
    </row>
    <row r="98" spans="12:24" x14ac:dyDescent="0.3">
      <c r="L98" s="75" t="s">
        <v>119</v>
      </c>
      <c r="M98" s="57">
        <v>12</v>
      </c>
      <c r="N98" s="57">
        <v>272</v>
      </c>
      <c r="O98" s="57">
        <v>2.08</v>
      </c>
      <c r="P98" s="57">
        <v>6</v>
      </c>
      <c r="Q98" s="44">
        <f t="shared" si="12"/>
        <v>502.49186742857137</v>
      </c>
      <c r="R98" s="70">
        <v>2</v>
      </c>
      <c r="S98" s="46">
        <f t="shared" si="8"/>
        <v>565.76</v>
      </c>
      <c r="T98" s="29">
        <f t="shared" si="10"/>
        <v>272</v>
      </c>
      <c r="U98" s="46">
        <f t="shared" si="9"/>
        <v>2</v>
      </c>
      <c r="V98" s="45" t="str">
        <f t="shared" si="11"/>
        <v>MATCH</v>
      </c>
      <c r="W98" s="10"/>
      <c r="X98" s="77">
        <v>272</v>
      </c>
    </row>
    <row r="99" spans="12:24" x14ac:dyDescent="0.3">
      <c r="L99" s="75" t="s">
        <v>120</v>
      </c>
      <c r="M99" s="57">
        <v>12</v>
      </c>
      <c r="N99" s="57">
        <v>272</v>
      </c>
      <c r="O99" s="57">
        <v>0.8</v>
      </c>
      <c r="P99" s="57">
        <v>6</v>
      </c>
      <c r="Q99" s="44">
        <f t="shared" si="12"/>
        <v>193.26610285714287</v>
      </c>
      <c r="R99" s="71">
        <v>2</v>
      </c>
      <c r="S99" s="46">
        <f t="shared" si="8"/>
        <v>217.60000000000002</v>
      </c>
      <c r="T99" s="29">
        <f t="shared" si="10"/>
        <v>78</v>
      </c>
      <c r="U99" s="46">
        <f t="shared" si="9"/>
        <v>7</v>
      </c>
      <c r="V99" s="45" t="str">
        <f t="shared" si="11"/>
        <v>MATCH</v>
      </c>
      <c r="W99" s="10"/>
      <c r="X99" s="76">
        <v>78</v>
      </c>
    </row>
    <row r="100" spans="12:24" x14ac:dyDescent="0.3">
      <c r="L100" s="75" t="s">
        <v>121</v>
      </c>
      <c r="M100" s="57">
        <v>12</v>
      </c>
      <c r="N100" s="57">
        <v>33</v>
      </c>
      <c r="O100" s="57">
        <v>2.75</v>
      </c>
      <c r="P100" s="57">
        <v>6</v>
      </c>
      <c r="Q100" s="44">
        <f t="shared" si="12"/>
        <v>80.601557142857132</v>
      </c>
      <c r="R100" s="70">
        <v>2</v>
      </c>
      <c r="S100" s="46">
        <f t="shared" si="8"/>
        <v>90.75</v>
      </c>
      <c r="T100" s="29">
        <f t="shared" si="10"/>
        <v>33</v>
      </c>
      <c r="U100" s="46">
        <f t="shared" si="9"/>
        <v>2</v>
      </c>
      <c r="V100" s="45" t="str">
        <f t="shared" si="11"/>
        <v>MATCH</v>
      </c>
      <c r="W100" s="10"/>
      <c r="X100" s="77">
        <v>33</v>
      </c>
    </row>
    <row r="101" spans="12:24" x14ac:dyDescent="0.3">
      <c r="L101" s="75" t="s">
        <v>122</v>
      </c>
      <c r="M101" s="57">
        <v>12</v>
      </c>
      <c r="N101" s="57">
        <v>66</v>
      </c>
      <c r="O101" s="57">
        <v>1.95</v>
      </c>
      <c r="P101" s="57">
        <v>6</v>
      </c>
      <c r="Q101" s="44">
        <f t="shared" si="12"/>
        <v>114.30766285714283</v>
      </c>
      <c r="R101" s="71">
        <v>2</v>
      </c>
      <c r="S101" s="46">
        <f t="shared" si="8"/>
        <v>128.69999999999999</v>
      </c>
      <c r="T101" s="29">
        <f t="shared" si="10"/>
        <v>44</v>
      </c>
      <c r="U101" s="46">
        <f t="shared" si="9"/>
        <v>3</v>
      </c>
      <c r="V101" s="45" t="str">
        <f t="shared" si="11"/>
        <v>MATCH</v>
      </c>
      <c r="W101" s="10"/>
      <c r="X101" s="76">
        <v>44</v>
      </c>
    </row>
    <row r="102" spans="12:24" x14ac:dyDescent="0.3">
      <c r="L102" s="78" t="s">
        <v>123</v>
      </c>
      <c r="M102" s="59">
        <v>12</v>
      </c>
      <c r="N102" s="59">
        <v>66</v>
      </c>
      <c r="O102" s="59">
        <v>0.8</v>
      </c>
      <c r="P102" s="59">
        <v>6</v>
      </c>
      <c r="Q102" s="49">
        <f t="shared" si="12"/>
        <v>46.895451428571427</v>
      </c>
      <c r="R102" s="79">
        <v>2</v>
      </c>
      <c r="S102" s="51">
        <f t="shared" si="8"/>
        <v>52.800000000000004</v>
      </c>
      <c r="T102" s="35">
        <f t="shared" si="10"/>
        <v>19</v>
      </c>
      <c r="U102" s="51">
        <f t="shared" si="9"/>
        <v>7</v>
      </c>
      <c r="V102" s="50" t="str">
        <f t="shared" si="11"/>
        <v>MATCH</v>
      </c>
      <c r="W102" s="11"/>
      <c r="X102" s="84">
        <v>19</v>
      </c>
    </row>
    <row r="103" spans="12:24" x14ac:dyDescent="0.3">
      <c r="L103" s="81" t="s">
        <v>124</v>
      </c>
      <c r="M103" s="61">
        <v>32</v>
      </c>
      <c r="N103" s="61">
        <v>14</v>
      </c>
      <c r="O103" s="61">
        <v>10.5</v>
      </c>
      <c r="P103" s="61">
        <v>10.5</v>
      </c>
      <c r="Q103" s="39">
        <f t="shared" si="12"/>
        <v>928.43520000000001</v>
      </c>
      <c r="R103" s="73">
        <v>1</v>
      </c>
      <c r="S103" s="41">
        <f t="shared" si="8"/>
        <v>147</v>
      </c>
      <c r="T103" s="23">
        <f t="shared" si="10"/>
        <v>14</v>
      </c>
      <c r="U103" s="41">
        <f t="shared" si="9"/>
        <v>1</v>
      </c>
      <c r="V103" s="40" t="str">
        <f t="shared" si="11"/>
        <v>MATCH</v>
      </c>
      <c r="W103" s="9"/>
      <c r="X103" s="74">
        <v>14</v>
      </c>
    </row>
    <row r="104" spans="12:24" x14ac:dyDescent="0.3">
      <c r="L104" s="82" t="s">
        <v>125</v>
      </c>
      <c r="M104" s="63">
        <v>25</v>
      </c>
      <c r="N104" s="63">
        <v>14</v>
      </c>
      <c r="O104" s="63">
        <v>8.31</v>
      </c>
      <c r="P104" s="63">
        <v>9</v>
      </c>
      <c r="Q104" s="44">
        <f t="shared" si="12"/>
        <v>448.48031250000008</v>
      </c>
      <c r="R104" s="71">
        <v>1</v>
      </c>
      <c r="S104" s="46">
        <f t="shared" si="8"/>
        <v>116.34</v>
      </c>
      <c r="T104" s="29">
        <f t="shared" si="10"/>
        <v>14</v>
      </c>
      <c r="U104" s="46">
        <f t="shared" si="9"/>
        <v>1</v>
      </c>
      <c r="V104" s="45" t="str">
        <f t="shared" si="11"/>
        <v>MATCH</v>
      </c>
      <c r="W104" s="10"/>
      <c r="X104" s="76">
        <v>14</v>
      </c>
    </row>
    <row r="105" spans="12:24" x14ac:dyDescent="0.3">
      <c r="L105" s="82" t="s">
        <v>126</v>
      </c>
      <c r="M105" s="63">
        <v>32</v>
      </c>
      <c r="N105" s="63">
        <v>14</v>
      </c>
      <c r="O105" s="63">
        <v>12</v>
      </c>
      <c r="P105" s="63">
        <v>12</v>
      </c>
      <c r="Q105" s="44">
        <f t="shared" si="12"/>
        <v>1061.0688</v>
      </c>
      <c r="R105" s="70">
        <v>1</v>
      </c>
      <c r="S105" s="46">
        <f t="shared" si="8"/>
        <v>168</v>
      </c>
      <c r="T105" s="29">
        <f t="shared" si="10"/>
        <v>14</v>
      </c>
      <c r="U105" s="46">
        <f t="shared" si="9"/>
        <v>1</v>
      </c>
      <c r="V105" s="45" t="str">
        <f t="shared" si="11"/>
        <v>MATCH</v>
      </c>
      <c r="W105" s="10"/>
      <c r="X105" s="77">
        <v>14</v>
      </c>
    </row>
    <row r="106" spans="12:24" x14ac:dyDescent="0.3">
      <c r="L106" s="82" t="s">
        <v>127</v>
      </c>
      <c r="M106" s="63">
        <v>25</v>
      </c>
      <c r="N106" s="63">
        <v>14</v>
      </c>
      <c r="O106" s="63">
        <v>7.06</v>
      </c>
      <c r="P106" s="63">
        <v>7.5</v>
      </c>
      <c r="Q106" s="44">
        <f t="shared" si="12"/>
        <v>381.01937499999997</v>
      </c>
      <c r="R106" s="71">
        <v>1</v>
      </c>
      <c r="S106" s="46">
        <f t="shared" si="8"/>
        <v>98.839999999999989</v>
      </c>
      <c r="T106" s="29">
        <f t="shared" si="10"/>
        <v>14</v>
      </c>
      <c r="U106" s="46">
        <f t="shared" si="9"/>
        <v>1</v>
      </c>
      <c r="V106" s="45" t="str">
        <f t="shared" si="11"/>
        <v>MATCH</v>
      </c>
      <c r="W106" s="10"/>
      <c r="X106" s="76">
        <v>14</v>
      </c>
    </row>
    <row r="107" spans="12:24" x14ac:dyDescent="0.3">
      <c r="L107" s="82" t="s">
        <v>128</v>
      </c>
      <c r="M107" s="63">
        <v>12</v>
      </c>
      <c r="N107" s="63">
        <v>63</v>
      </c>
      <c r="O107" s="63">
        <v>2.75</v>
      </c>
      <c r="P107" s="63">
        <v>6</v>
      </c>
      <c r="Q107" s="44">
        <f t="shared" si="12"/>
        <v>153.87569999999999</v>
      </c>
      <c r="R107" s="70">
        <v>1</v>
      </c>
      <c r="S107" s="46">
        <f t="shared" si="8"/>
        <v>173.25</v>
      </c>
      <c r="T107" s="29">
        <f t="shared" si="10"/>
        <v>32</v>
      </c>
      <c r="U107" s="46">
        <f t="shared" si="9"/>
        <v>2</v>
      </c>
      <c r="V107" s="45" t="str">
        <f t="shared" si="11"/>
        <v>MATCH</v>
      </c>
      <c r="W107" s="10"/>
      <c r="X107" s="77">
        <v>32</v>
      </c>
    </row>
    <row r="108" spans="12:24" x14ac:dyDescent="0.3">
      <c r="L108" s="82" t="s">
        <v>129</v>
      </c>
      <c r="M108" s="63">
        <v>12</v>
      </c>
      <c r="N108" s="63">
        <v>126</v>
      </c>
      <c r="O108" s="63">
        <v>2.0699999999999998</v>
      </c>
      <c r="P108" s="63">
        <v>6</v>
      </c>
      <c r="Q108" s="44">
        <f t="shared" si="12"/>
        <v>231.652872</v>
      </c>
      <c r="R108" s="71">
        <v>1</v>
      </c>
      <c r="S108" s="46">
        <f t="shared" si="8"/>
        <v>260.82</v>
      </c>
      <c r="T108" s="29">
        <f t="shared" si="10"/>
        <v>63</v>
      </c>
      <c r="U108" s="46">
        <f t="shared" si="9"/>
        <v>2</v>
      </c>
      <c r="V108" s="45" t="str">
        <f t="shared" si="11"/>
        <v>MATCH</v>
      </c>
      <c r="W108" s="10"/>
      <c r="X108" s="76">
        <v>63</v>
      </c>
    </row>
    <row r="109" spans="12:24" x14ac:dyDescent="0.3">
      <c r="L109" s="82" t="s">
        <v>130</v>
      </c>
      <c r="M109" s="63">
        <v>12</v>
      </c>
      <c r="N109" s="63">
        <v>126</v>
      </c>
      <c r="O109" s="63">
        <v>0.8</v>
      </c>
      <c r="P109" s="63">
        <v>6</v>
      </c>
      <c r="Q109" s="44">
        <f t="shared" si="12"/>
        <v>89.527680000000004</v>
      </c>
      <c r="R109" s="70">
        <v>1</v>
      </c>
      <c r="S109" s="46">
        <f t="shared" si="8"/>
        <v>100.80000000000001</v>
      </c>
      <c r="T109" s="29">
        <f t="shared" si="10"/>
        <v>18</v>
      </c>
      <c r="U109" s="46">
        <f t="shared" si="9"/>
        <v>7</v>
      </c>
      <c r="V109" s="45" t="str">
        <f t="shared" si="11"/>
        <v>MATCH</v>
      </c>
      <c r="W109" s="10"/>
      <c r="X109" s="77">
        <v>18</v>
      </c>
    </row>
    <row r="110" spans="12:24" x14ac:dyDescent="0.3">
      <c r="L110" s="82" t="s">
        <v>131</v>
      </c>
      <c r="M110" s="63">
        <v>16</v>
      </c>
      <c r="N110" s="63">
        <v>55</v>
      </c>
      <c r="O110" s="63">
        <v>2.83</v>
      </c>
      <c r="P110" s="63">
        <v>6</v>
      </c>
      <c r="Q110" s="44">
        <f t="shared" si="12"/>
        <v>245.76690285714287</v>
      </c>
      <c r="R110" s="71">
        <v>1</v>
      </c>
      <c r="S110" s="46">
        <f t="shared" si="8"/>
        <v>155.65</v>
      </c>
      <c r="T110" s="29">
        <f t="shared" si="10"/>
        <v>28</v>
      </c>
      <c r="U110" s="46">
        <f t="shared" si="9"/>
        <v>2</v>
      </c>
      <c r="V110" s="45" t="str">
        <f t="shared" si="11"/>
        <v>MATCH</v>
      </c>
      <c r="W110" s="10"/>
      <c r="X110" s="76">
        <v>28</v>
      </c>
    </row>
    <row r="111" spans="12:24" x14ac:dyDescent="0.3">
      <c r="L111" s="82" t="s">
        <v>132</v>
      </c>
      <c r="M111" s="63">
        <v>16</v>
      </c>
      <c r="N111" s="63">
        <v>110</v>
      </c>
      <c r="O111" s="63">
        <v>3.05</v>
      </c>
      <c r="P111" s="63">
        <v>7.5</v>
      </c>
      <c r="Q111" s="44">
        <f t="shared" si="12"/>
        <v>529.74491428571423</v>
      </c>
      <c r="R111" s="70">
        <v>1</v>
      </c>
      <c r="S111" s="46">
        <f t="shared" si="8"/>
        <v>335.5</v>
      </c>
      <c r="T111" s="29">
        <f t="shared" si="10"/>
        <v>55</v>
      </c>
      <c r="U111" s="46">
        <f t="shared" si="9"/>
        <v>2</v>
      </c>
      <c r="V111" s="45" t="str">
        <f t="shared" si="11"/>
        <v>MATCH</v>
      </c>
      <c r="W111" s="10"/>
      <c r="X111" s="77">
        <v>55</v>
      </c>
    </row>
    <row r="112" spans="12:24" x14ac:dyDescent="0.3">
      <c r="L112" s="82" t="s">
        <v>133</v>
      </c>
      <c r="M112" s="63">
        <v>16</v>
      </c>
      <c r="N112" s="63">
        <v>110</v>
      </c>
      <c r="O112" s="63">
        <v>0.86</v>
      </c>
      <c r="P112" s="63">
        <v>6</v>
      </c>
      <c r="Q112" s="44">
        <f t="shared" si="12"/>
        <v>149.37069714285713</v>
      </c>
      <c r="R112" s="71">
        <v>1</v>
      </c>
      <c r="S112" s="46">
        <f t="shared" si="8"/>
        <v>94.6</v>
      </c>
      <c r="T112" s="29">
        <f t="shared" si="10"/>
        <v>19</v>
      </c>
      <c r="U112" s="46">
        <f t="shared" si="9"/>
        <v>6</v>
      </c>
      <c r="V112" s="45" t="str">
        <f t="shared" si="11"/>
        <v>MATCH</v>
      </c>
      <c r="W112" s="10"/>
      <c r="X112" s="76">
        <v>19</v>
      </c>
    </row>
    <row r="113" spans="12:24" x14ac:dyDescent="0.3">
      <c r="L113" s="82" t="s">
        <v>134</v>
      </c>
      <c r="M113" s="63">
        <v>16</v>
      </c>
      <c r="N113" s="63">
        <v>55</v>
      </c>
      <c r="O113" s="63">
        <v>2.8</v>
      </c>
      <c r="P113" s="63">
        <v>6</v>
      </c>
      <c r="Q113" s="44">
        <f t="shared" si="12"/>
        <v>243.16159999999999</v>
      </c>
      <c r="R113" s="70">
        <v>1</v>
      </c>
      <c r="S113" s="46">
        <f t="shared" si="8"/>
        <v>154</v>
      </c>
      <c r="T113" s="29">
        <f t="shared" si="10"/>
        <v>28</v>
      </c>
      <c r="U113" s="46">
        <f t="shared" si="9"/>
        <v>2</v>
      </c>
      <c r="V113" s="45" t="str">
        <f t="shared" si="11"/>
        <v>MATCH</v>
      </c>
      <c r="W113" s="10"/>
      <c r="X113" s="77">
        <v>28</v>
      </c>
    </row>
    <row r="114" spans="12:24" x14ac:dyDescent="0.3">
      <c r="L114" s="82" t="s">
        <v>135</v>
      </c>
      <c r="M114" s="63">
        <v>16</v>
      </c>
      <c r="N114" s="63">
        <v>110</v>
      </c>
      <c r="O114" s="63">
        <v>1.85</v>
      </c>
      <c r="P114" s="63">
        <v>6</v>
      </c>
      <c r="Q114" s="44">
        <f t="shared" si="12"/>
        <v>321.32068571428573</v>
      </c>
      <c r="R114" s="71">
        <v>1</v>
      </c>
      <c r="S114" s="46">
        <f t="shared" si="8"/>
        <v>203.5</v>
      </c>
      <c r="T114" s="29">
        <f t="shared" si="10"/>
        <v>37</v>
      </c>
      <c r="U114" s="46">
        <f t="shared" si="9"/>
        <v>3</v>
      </c>
      <c r="V114" s="45" t="str">
        <f t="shared" si="11"/>
        <v>MATCH</v>
      </c>
      <c r="W114" s="10"/>
      <c r="X114" s="76">
        <v>37</v>
      </c>
    </row>
    <row r="115" spans="12:24" x14ac:dyDescent="0.3">
      <c r="L115" s="82" t="s">
        <v>136</v>
      </c>
      <c r="M115" s="63">
        <v>12</v>
      </c>
      <c r="N115" s="63">
        <v>28</v>
      </c>
      <c r="O115" s="63">
        <v>2.72</v>
      </c>
      <c r="P115" s="63">
        <v>6</v>
      </c>
      <c r="Q115" s="44">
        <f t="shared" si="12"/>
        <v>67.643135999999998</v>
      </c>
      <c r="R115" s="70">
        <v>1</v>
      </c>
      <c r="S115" s="46">
        <f t="shared" si="8"/>
        <v>76.160000000000011</v>
      </c>
      <c r="T115" s="29">
        <f t="shared" si="10"/>
        <v>14</v>
      </c>
      <c r="U115" s="46">
        <f t="shared" si="9"/>
        <v>2</v>
      </c>
      <c r="V115" s="45" t="str">
        <f t="shared" si="11"/>
        <v>MATCH</v>
      </c>
      <c r="W115" s="10"/>
      <c r="X115" s="77">
        <v>14</v>
      </c>
    </row>
    <row r="116" spans="12:24" x14ac:dyDescent="0.3">
      <c r="L116" s="83" t="s">
        <v>137</v>
      </c>
      <c r="M116" s="69">
        <v>12</v>
      </c>
      <c r="N116" s="69">
        <v>56</v>
      </c>
      <c r="O116" s="69">
        <v>1.77</v>
      </c>
      <c r="P116" s="69">
        <v>6</v>
      </c>
      <c r="Q116" s="49">
        <f t="shared" si="12"/>
        <v>88.035551999999996</v>
      </c>
      <c r="R116" s="85">
        <v>1</v>
      </c>
      <c r="S116" s="51">
        <f t="shared" si="8"/>
        <v>99.12</v>
      </c>
      <c r="T116" s="35">
        <f t="shared" si="10"/>
        <v>19</v>
      </c>
      <c r="U116" s="51">
        <f t="shared" si="9"/>
        <v>3</v>
      </c>
      <c r="V116" s="50" t="str">
        <f t="shared" si="11"/>
        <v>MATCH</v>
      </c>
      <c r="W116" s="11"/>
      <c r="X116" s="80">
        <v>19</v>
      </c>
    </row>
    <row r="117" spans="12:24" x14ac:dyDescent="0.3">
      <c r="L117" s="72" t="s">
        <v>138</v>
      </c>
      <c r="M117" s="55">
        <v>32</v>
      </c>
      <c r="N117" s="55">
        <v>14</v>
      </c>
      <c r="O117" s="55">
        <v>7</v>
      </c>
      <c r="P117" s="55">
        <v>7.5</v>
      </c>
      <c r="Q117" s="39">
        <f t="shared" si="12"/>
        <v>618.95680000000004</v>
      </c>
      <c r="R117" s="73">
        <v>1</v>
      </c>
      <c r="S117" s="41">
        <f t="shared" si="8"/>
        <v>98</v>
      </c>
      <c r="T117" s="23">
        <f t="shared" si="10"/>
        <v>14</v>
      </c>
      <c r="U117" s="41">
        <f t="shared" si="9"/>
        <v>1</v>
      </c>
      <c r="V117" s="40" t="str">
        <f t="shared" si="11"/>
        <v>MATCH</v>
      </c>
      <c r="W117" s="9"/>
      <c r="X117" s="74">
        <v>14</v>
      </c>
    </row>
    <row r="118" spans="12:24" x14ac:dyDescent="0.3">
      <c r="L118" s="75" t="s">
        <v>139</v>
      </c>
      <c r="M118" s="57">
        <v>25</v>
      </c>
      <c r="N118" s="57">
        <v>10</v>
      </c>
      <c r="O118" s="57">
        <v>11.95</v>
      </c>
      <c r="P118" s="57">
        <v>12</v>
      </c>
      <c r="Q118" s="44">
        <f t="shared" si="12"/>
        <v>460.66183035714289</v>
      </c>
      <c r="R118" s="71">
        <v>1</v>
      </c>
      <c r="S118" s="46">
        <f t="shared" si="8"/>
        <v>119.5</v>
      </c>
      <c r="T118" s="29">
        <f t="shared" si="10"/>
        <v>10</v>
      </c>
      <c r="U118" s="46">
        <f t="shared" si="9"/>
        <v>1</v>
      </c>
      <c r="V118" s="45" t="str">
        <f t="shared" si="11"/>
        <v>MATCH</v>
      </c>
      <c r="W118" s="10"/>
      <c r="X118" s="76">
        <v>10</v>
      </c>
    </row>
    <row r="119" spans="12:24" x14ac:dyDescent="0.3">
      <c r="L119" s="75" t="s">
        <v>140</v>
      </c>
      <c r="M119" s="57">
        <v>32</v>
      </c>
      <c r="N119" s="57">
        <v>14</v>
      </c>
      <c r="O119" s="57">
        <v>8.31</v>
      </c>
      <c r="P119" s="57">
        <v>9</v>
      </c>
      <c r="Q119" s="44">
        <f t="shared" si="12"/>
        <v>734.79014400000005</v>
      </c>
      <c r="R119" s="70">
        <v>1</v>
      </c>
      <c r="S119" s="46">
        <f t="shared" si="8"/>
        <v>116.34</v>
      </c>
      <c r="T119" s="29">
        <f t="shared" si="10"/>
        <v>14</v>
      </c>
      <c r="U119" s="46">
        <f t="shared" si="9"/>
        <v>1</v>
      </c>
      <c r="V119" s="45" t="str">
        <f t="shared" si="11"/>
        <v>MATCH</v>
      </c>
      <c r="W119" s="10"/>
      <c r="X119" s="77">
        <v>14</v>
      </c>
    </row>
    <row r="120" spans="12:24" x14ac:dyDescent="0.3">
      <c r="L120" s="75" t="s">
        <v>141</v>
      </c>
      <c r="M120" s="57">
        <v>25</v>
      </c>
      <c r="N120" s="57">
        <v>10</v>
      </c>
      <c r="O120" s="57">
        <v>11.06</v>
      </c>
      <c r="P120" s="57">
        <v>12</v>
      </c>
      <c r="Q120" s="44">
        <f t="shared" si="12"/>
        <v>426.35312500000003</v>
      </c>
      <c r="R120" s="71">
        <v>1</v>
      </c>
      <c r="S120" s="46">
        <f t="shared" si="8"/>
        <v>110.60000000000001</v>
      </c>
      <c r="T120" s="29">
        <f t="shared" si="10"/>
        <v>10</v>
      </c>
      <c r="U120" s="46">
        <f t="shared" si="9"/>
        <v>1</v>
      </c>
      <c r="V120" s="45" t="str">
        <f t="shared" si="11"/>
        <v>MATCH</v>
      </c>
      <c r="W120" s="10"/>
      <c r="X120" s="76">
        <v>10</v>
      </c>
    </row>
    <row r="121" spans="12:24" x14ac:dyDescent="0.3">
      <c r="L121" s="75" t="s">
        <v>142</v>
      </c>
      <c r="M121" s="57">
        <v>25</v>
      </c>
      <c r="N121" s="57">
        <v>4</v>
      </c>
      <c r="O121" s="57">
        <v>8.31</v>
      </c>
      <c r="P121" s="57">
        <v>9</v>
      </c>
      <c r="Q121" s="44">
        <f t="shared" si="12"/>
        <v>128.13723214285716</v>
      </c>
      <c r="R121" s="70">
        <v>1</v>
      </c>
      <c r="S121" s="46">
        <f t="shared" si="8"/>
        <v>33.24</v>
      </c>
      <c r="T121" s="29">
        <f t="shared" si="10"/>
        <v>4</v>
      </c>
      <c r="U121" s="46">
        <f t="shared" si="9"/>
        <v>1</v>
      </c>
      <c r="V121" s="45" t="str">
        <f t="shared" si="11"/>
        <v>MATCH</v>
      </c>
      <c r="W121" s="10"/>
      <c r="X121" s="77">
        <v>4</v>
      </c>
    </row>
    <row r="122" spans="12:24" x14ac:dyDescent="0.3">
      <c r="L122" s="75" t="s">
        <v>143</v>
      </c>
      <c r="M122" s="57">
        <v>25</v>
      </c>
      <c r="N122" s="57">
        <v>4</v>
      </c>
      <c r="O122" s="57">
        <v>7.11</v>
      </c>
      <c r="P122" s="57">
        <v>7.5</v>
      </c>
      <c r="Q122" s="44">
        <f t="shared" si="12"/>
        <v>109.63366071428572</v>
      </c>
      <c r="R122" s="71">
        <v>1</v>
      </c>
      <c r="S122" s="46">
        <f t="shared" si="8"/>
        <v>28.44</v>
      </c>
      <c r="T122" s="29">
        <f t="shared" si="10"/>
        <v>4</v>
      </c>
      <c r="U122" s="46">
        <f t="shared" si="9"/>
        <v>1</v>
      </c>
      <c r="V122" s="45" t="str">
        <f t="shared" si="11"/>
        <v>MATCH</v>
      </c>
      <c r="W122" s="10"/>
      <c r="X122" s="76">
        <v>4</v>
      </c>
    </row>
    <row r="123" spans="12:24" x14ac:dyDescent="0.3">
      <c r="L123" s="75" t="s">
        <v>144</v>
      </c>
      <c r="M123" s="57">
        <v>25</v>
      </c>
      <c r="N123" s="57">
        <v>10</v>
      </c>
      <c r="O123" s="57">
        <v>1.36</v>
      </c>
      <c r="P123" s="57">
        <v>6</v>
      </c>
      <c r="Q123" s="44">
        <f t="shared" si="12"/>
        <v>52.426785714285721</v>
      </c>
      <c r="R123" s="70">
        <v>1</v>
      </c>
      <c r="S123" s="46">
        <f t="shared" si="8"/>
        <v>13.600000000000001</v>
      </c>
      <c r="T123" s="29">
        <f t="shared" si="10"/>
        <v>3</v>
      </c>
      <c r="U123" s="46">
        <f t="shared" si="9"/>
        <v>4</v>
      </c>
      <c r="V123" s="45" t="str">
        <f t="shared" si="11"/>
        <v>MATCH</v>
      </c>
      <c r="W123" s="10"/>
      <c r="X123" s="77">
        <v>3</v>
      </c>
    </row>
    <row r="124" spans="12:24" x14ac:dyDescent="0.3">
      <c r="L124" s="75" t="s">
        <v>145</v>
      </c>
      <c r="M124" s="57">
        <v>12</v>
      </c>
      <c r="N124" s="57">
        <v>63</v>
      </c>
      <c r="O124" s="57">
        <v>2.75</v>
      </c>
      <c r="P124" s="57">
        <v>6</v>
      </c>
      <c r="Q124" s="44">
        <f t="shared" si="12"/>
        <v>153.87569999999999</v>
      </c>
      <c r="R124" s="71">
        <v>1</v>
      </c>
      <c r="S124" s="46">
        <f t="shared" si="8"/>
        <v>173.25</v>
      </c>
      <c r="T124" s="29">
        <f t="shared" si="10"/>
        <v>32</v>
      </c>
      <c r="U124" s="46">
        <f t="shared" si="9"/>
        <v>2</v>
      </c>
      <c r="V124" s="45" t="str">
        <f t="shared" si="11"/>
        <v>MATCH</v>
      </c>
      <c r="W124" s="10"/>
      <c r="X124" s="76">
        <v>32</v>
      </c>
    </row>
    <row r="125" spans="12:24" x14ac:dyDescent="0.3">
      <c r="L125" s="75" t="s">
        <v>146</v>
      </c>
      <c r="M125" s="57">
        <v>12</v>
      </c>
      <c r="N125" s="57">
        <v>126</v>
      </c>
      <c r="O125" s="57">
        <v>2.0699999999999998</v>
      </c>
      <c r="P125" s="57">
        <v>6</v>
      </c>
      <c r="Q125" s="44">
        <f t="shared" si="12"/>
        <v>231.652872</v>
      </c>
      <c r="R125" s="70">
        <v>1</v>
      </c>
      <c r="S125" s="46">
        <f t="shared" si="8"/>
        <v>260.82</v>
      </c>
      <c r="T125" s="29">
        <f t="shared" si="10"/>
        <v>63</v>
      </c>
      <c r="U125" s="46">
        <f t="shared" si="9"/>
        <v>2</v>
      </c>
      <c r="V125" s="45" t="str">
        <f t="shared" si="11"/>
        <v>MATCH</v>
      </c>
      <c r="W125" s="10"/>
      <c r="X125" s="77">
        <v>63</v>
      </c>
    </row>
    <row r="126" spans="12:24" x14ac:dyDescent="0.3">
      <c r="L126" s="75" t="s">
        <v>147</v>
      </c>
      <c r="M126" s="57">
        <v>12</v>
      </c>
      <c r="N126" s="57">
        <v>126</v>
      </c>
      <c r="O126" s="57">
        <v>0.8</v>
      </c>
      <c r="P126" s="57">
        <v>6</v>
      </c>
      <c r="Q126" s="44">
        <f t="shared" si="12"/>
        <v>89.527680000000004</v>
      </c>
      <c r="R126" s="71">
        <v>1</v>
      </c>
      <c r="S126" s="46">
        <f t="shared" si="8"/>
        <v>100.80000000000001</v>
      </c>
      <c r="T126" s="29">
        <f t="shared" si="10"/>
        <v>18</v>
      </c>
      <c r="U126" s="46">
        <f t="shared" si="9"/>
        <v>7</v>
      </c>
      <c r="V126" s="45" t="str">
        <f t="shared" si="11"/>
        <v>MATCH</v>
      </c>
      <c r="W126" s="10"/>
      <c r="X126" s="76">
        <v>18</v>
      </c>
    </row>
    <row r="127" spans="12:24" x14ac:dyDescent="0.3">
      <c r="L127" s="75" t="s">
        <v>148</v>
      </c>
      <c r="M127" s="57">
        <v>12</v>
      </c>
      <c r="N127" s="57">
        <v>61</v>
      </c>
      <c r="O127" s="57">
        <v>2.75</v>
      </c>
      <c r="P127" s="57">
        <v>6</v>
      </c>
      <c r="Q127" s="44">
        <f t="shared" si="12"/>
        <v>148.99075714285712</v>
      </c>
      <c r="R127" s="70">
        <v>1</v>
      </c>
      <c r="S127" s="46">
        <f t="shared" si="8"/>
        <v>167.75</v>
      </c>
      <c r="T127" s="29">
        <f t="shared" si="10"/>
        <v>31</v>
      </c>
      <c r="U127" s="46">
        <f t="shared" si="9"/>
        <v>2</v>
      </c>
      <c r="V127" s="45" t="str">
        <f t="shared" si="11"/>
        <v>MATCH</v>
      </c>
      <c r="W127" s="10"/>
      <c r="X127" s="77">
        <v>31</v>
      </c>
    </row>
    <row r="128" spans="12:24" x14ac:dyDescent="0.3">
      <c r="L128" s="75" t="s">
        <v>149</v>
      </c>
      <c r="M128" s="57">
        <v>12</v>
      </c>
      <c r="N128" s="57">
        <v>122</v>
      </c>
      <c r="O128" s="57">
        <v>1.95</v>
      </c>
      <c r="P128" s="57">
        <v>6</v>
      </c>
      <c r="Q128" s="44">
        <f t="shared" si="12"/>
        <v>211.29598285714286</v>
      </c>
      <c r="R128" s="71">
        <v>1</v>
      </c>
      <c r="S128" s="46">
        <f t="shared" si="8"/>
        <v>237.9</v>
      </c>
      <c r="T128" s="29">
        <f t="shared" si="10"/>
        <v>41</v>
      </c>
      <c r="U128" s="46">
        <f t="shared" si="9"/>
        <v>3</v>
      </c>
      <c r="V128" s="45" t="str">
        <f t="shared" si="11"/>
        <v>MATCH</v>
      </c>
      <c r="W128" s="10"/>
      <c r="X128" s="76">
        <v>41</v>
      </c>
    </row>
    <row r="129" spans="12:24" x14ac:dyDescent="0.3">
      <c r="L129" s="75" t="s">
        <v>150</v>
      </c>
      <c r="M129" s="57">
        <v>12</v>
      </c>
      <c r="N129" s="57">
        <v>122</v>
      </c>
      <c r="O129" s="57">
        <v>0.8</v>
      </c>
      <c r="P129" s="57">
        <v>6</v>
      </c>
      <c r="Q129" s="44">
        <f t="shared" si="12"/>
        <v>86.685531428571437</v>
      </c>
      <c r="R129" s="70">
        <v>1</v>
      </c>
      <c r="S129" s="46">
        <f t="shared" si="8"/>
        <v>97.600000000000009</v>
      </c>
      <c r="T129" s="29">
        <f t="shared" si="10"/>
        <v>18</v>
      </c>
      <c r="U129" s="46">
        <f t="shared" si="9"/>
        <v>7</v>
      </c>
      <c r="V129" s="45" t="str">
        <f t="shared" si="11"/>
        <v>MATCH</v>
      </c>
      <c r="W129" s="10"/>
      <c r="X129" s="77">
        <v>18</v>
      </c>
    </row>
    <row r="130" spans="12:24" x14ac:dyDescent="0.3">
      <c r="L130" s="75" t="s">
        <v>151</v>
      </c>
      <c r="M130" s="57">
        <v>10</v>
      </c>
      <c r="N130" s="57">
        <v>28</v>
      </c>
      <c r="O130" s="57">
        <v>2.7</v>
      </c>
      <c r="P130" s="57">
        <v>6</v>
      </c>
      <c r="Q130" s="44">
        <f t="shared" si="12"/>
        <v>46.628999999999998</v>
      </c>
      <c r="R130" s="71">
        <v>1</v>
      </c>
      <c r="S130" s="46">
        <f t="shared" si="8"/>
        <v>75.600000000000009</v>
      </c>
      <c r="T130" s="29">
        <f t="shared" si="10"/>
        <v>14</v>
      </c>
      <c r="U130" s="46">
        <f t="shared" si="9"/>
        <v>2</v>
      </c>
      <c r="V130" s="45" t="str">
        <f t="shared" si="11"/>
        <v>MATCH</v>
      </c>
      <c r="W130" s="10"/>
      <c r="X130" s="76">
        <v>14</v>
      </c>
    </row>
    <row r="131" spans="12:24" x14ac:dyDescent="0.3">
      <c r="L131" s="78" t="s">
        <v>152</v>
      </c>
      <c r="M131" s="59">
        <v>10</v>
      </c>
      <c r="N131" s="59">
        <v>56</v>
      </c>
      <c r="O131" s="59">
        <v>1.75</v>
      </c>
      <c r="P131" s="59">
        <v>6</v>
      </c>
      <c r="Q131" s="49">
        <f t="shared" si="12"/>
        <v>60.444999999999993</v>
      </c>
      <c r="R131" s="79">
        <v>1</v>
      </c>
      <c r="S131" s="51">
        <f t="shared" si="8"/>
        <v>98</v>
      </c>
      <c r="T131" s="35">
        <f t="shared" si="10"/>
        <v>19</v>
      </c>
      <c r="U131" s="51">
        <f t="shared" si="9"/>
        <v>3</v>
      </c>
      <c r="V131" s="50" t="str">
        <f t="shared" si="11"/>
        <v>MATCH</v>
      </c>
      <c r="W131" s="11"/>
      <c r="X131" s="84">
        <v>19</v>
      </c>
    </row>
    <row r="132" spans="12:24" x14ac:dyDescent="0.3">
      <c r="L132" s="81" t="s">
        <v>153</v>
      </c>
      <c r="M132" s="61">
        <v>32</v>
      </c>
      <c r="N132" s="61">
        <v>14</v>
      </c>
      <c r="O132" s="61">
        <v>12</v>
      </c>
      <c r="P132" s="61">
        <v>12</v>
      </c>
      <c r="Q132" s="39">
        <f t="shared" si="12"/>
        <v>1061.0688</v>
      </c>
      <c r="R132" s="73">
        <v>1</v>
      </c>
      <c r="S132" s="41">
        <f t="shared" si="8"/>
        <v>168</v>
      </c>
      <c r="T132" s="23">
        <f t="shared" si="10"/>
        <v>14</v>
      </c>
      <c r="U132" s="41">
        <f t="shared" si="9"/>
        <v>1</v>
      </c>
      <c r="V132" s="40" t="str">
        <f t="shared" si="11"/>
        <v>MATCH</v>
      </c>
      <c r="W132" s="9"/>
      <c r="X132" s="74">
        <v>14</v>
      </c>
    </row>
    <row r="133" spans="12:24" x14ac:dyDescent="0.3">
      <c r="L133" s="82" t="s">
        <v>154</v>
      </c>
      <c r="M133" s="63">
        <v>25</v>
      </c>
      <c r="N133" s="63">
        <v>14</v>
      </c>
      <c r="O133" s="63">
        <v>7.37</v>
      </c>
      <c r="P133" s="63">
        <v>7.5</v>
      </c>
      <c r="Q133" s="44">
        <f t="shared" si="12"/>
        <v>397.74968750000005</v>
      </c>
      <c r="R133" s="71">
        <v>1</v>
      </c>
      <c r="S133" s="46">
        <f t="shared" si="8"/>
        <v>103.18</v>
      </c>
      <c r="T133" s="29">
        <f t="shared" si="10"/>
        <v>14</v>
      </c>
      <c r="U133" s="46">
        <f t="shared" si="9"/>
        <v>1</v>
      </c>
      <c r="V133" s="45" t="str">
        <f t="shared" si="11"/>
        <v>MATCH</v>
      </c>
      <c r="W133" s="10"/>
      <c r="X133" s="76">
        <v>14</v>
      </c>
    </row>
    <row r="134" spans="12:24" x14ac:dyDescent="0.3">
      <c r="L134" s="82" t="s">
        <v>155</v>
      </c>
      <c r="M134" s="63">
        <v>32</v>
      </c>
      <c r="N134" s="63">
        <v>14</v>
      </c>
      <c r="O134" s="63">
        <v>10.52</v>
      </c>
      <c r="P134" s="63">
        <v>12</v>
      </c>
      <c r="Q134" s="44">
        <f t="shared" si="12"/>
        <v>930.20364799999993</v>
      </c>
      <c r="R134" s="70">
        <v>1</v>
      </c>
      <c r="S134" s="46">
        <f t="shared" si="8"/>
        <v>147.28</v>
      </c>
      <c r="T134" s="29">
        <f t="shared" si="10"/>
        <v>14</v>
      </c>
      <c r="U134" s="46">
        <f t="shared" si="9"/>
        <v>1</v>
      </c>
      <c r="V134" s="45" t="str">
        <f t="shared" si="11"/>
        <v>MATCH</v>
      </c>
      <c r="W134" s="10"/>
      <c r="X134" s="77">
        <v>14</v>
      </c>
    </row>
    <row r="135" spans="12:24" x14ac:dyDescent="0.3">
      <c r="L135" s="82" t="s">
        <v>156</v>
      </c>
      <c r="M135" s="63">
        <v>25</v>
      </c>
      <c r="N135" s="63">
        <v>14</v>
      </c>
      <c r="O135" s="63">
        <v>8.8699999999999992</v>
      </c>
      <c r="P135" s="63">
        <v>9</v>
      </c>
      <c r="Q135" s="44">
        <f t="shared" si="12"/>
        <v>478.70281249999999</v>
      </c>
      <c r="R135" s="71">
        <v>1</v>
      </c>
      <c r="S135" s="46">
        <f t="shared" ref="S135:S198" si="13">N135*O135</f>
        <v>124.17999999999999</v>
      </c>
      <c r="T135" s="29">
        <f t="shared" si="10"/>
        <v>14</v>
      </c>
      <c r="U135" s="46">
        <f t="shared" ref="U135:U198" si="14">ROUNDDOWN(P135/O135, 0)</f>
        <v>1</v>
      </c>
      <c r="V135" s="45" t="str">
        <f t="shared" si="11"/>
        <v>MATCH</v>
      </c>
      <c r="W135" s="10"/>
      <c r="X135" s="76">
        <v>14</v>
      </c>
    </row>
    <row r="136" spans="12:24" x14ac:dyDescent="0.3">
      <c r="L136" s="82" t="s">
        <v>157</v>
      </c>
      <c r="M136" s="63">
        <v>12</v>
      </c>
      <c r="N136" s="63">
        <v>142</v>
      </c>
      <c r="O136" s="63">
        <v>3.43</v>
      </c>
      <c r="P136" s="63">
        <v>7.5</v>
      </c>
      <c r="Q136" s="44">
        <f t="shared" si="12"/>
        <v>432.59277599999996</v>
      </c>
      <c r="R136" s="70">
        <v>1</v>
      </c>
      <c r="S136" s="46">
        <f t="shared" si="13"/>
        <v>487.06</v>
      </c>
      <c r="T136" s="29">
        <f t="shared" ref="T136:T199" si="15">IF(P136=0,0,ROUNDUP((N136/U136)*R136,0))</f>
        <v>71</v>
      </c>
      <c r="U136" s="46">
        <f t="shared" si="14"/>
        <v>2</v>
      </c>
      <c r="V136" s="45" t="str">
        <f t="shared" ref="V136:V199" si="16">IF(T136=X136, "MATCH", "RECHECK")</f>
        <v>MATCH</v>
      </c>
      <c r="W136" s="10"/>
      <c r="X136" s="77">
        <v>71</v>
      </c>
    </row>
    <row r="137" spans="12:24" x14ac:dyDescent="0.3">
      <c r="L137" s="82" t="s">
        <v>158</v>
      </c>
      <c r="M137" s="63">
        <v>12</v>
      </c>
      <c r="N137" s="63">
        <v>128</v>
      </c>
      <c r="O137" s="63">
        <v>2.75</v>
      </c>
      <c r="P137" s="63">
        <v>6</v>
      </c>
      <c r="Q137" s="44">
        <f t="shared" si="12"/>
        <v>312.63634285714284</v>
      </c>
      <c r="R137" s="71">
        <v>1</v>
      </c>
      <c r="S137" s="46">
        <f t="shared" si="13"/>
        <v>352</v>
      </c>
      <c r="T137" s="29">
        <f t="shared" si="15"/>
        <v>64</v>
      </c>
      <c r="U137" s="46">
        <f t="shared" si="14"/>
        <v>2</v>
      </c>
      <c r="V137" s="45" t="str">
        <f t="shared" si="16"/>
        <v>MATCH</v>
      </c>
      <c r="W137" s="10"/>
      <c r="X137" s="76">
        <v>64</v>
      </c>
    </row>
    <row r="138" spans="12:24" x14ac:dyDescent="0.3">
      <c r="L138" s="82" t="s">
        <v>159</v>
      </c>
      <c r="M138" s="63">
        <v>12</v>
      </c>
      <c r="N138" s="63">
        <v>192</v>
      </c>
      <c r="O138" s="63">
        <v>0.8</v>
      </c>
      <c r="P138" s="63">
        <v>6</v>
      </c>
      <c r="Q138" s="44">
        <f t="shared" si="12"/>
        <v>136.42313142857145</v>
      </c>
      <c r="R138" s="70">
        <v>1</v>
      </c>
      <c r="S138" s="46">
        <f t="shared" si="13"/>
        <v>153.60000000000002</v>
      </c>
      <c r="T138" s="29">
        <f t="shared" si="15"/>
        <v>28</v>
      </c>
      <c r="U138" s="46">
        <f t="shared" si="14"/>
        <v>7</v>
      </c>
      <c r="V138" s="45" t="str">
        <f t="shared" si="16"/>
        <v>MATCH</v>
      </c>
      <c r="W138" s="10"/>
      <c r="X138" s="77">
        <v>28</v>
      </c>
    </row>
    <row r="139" spans="12:24" x14ac:dyDescent="0.3">
      <c r="L139" s="82" t="s">
        <v>160</v>
      </c>
      <c r="M139" s="63">
        <v>12</v>
      </c>
      <c r="N139" s="63">
        <v>66</v>
      </c>
      <c r="O139" s="63">
        <v>1.95</v>
      </c>
      <c r="P139" s="63">
        <v>6</v>
      </c>
      <c r="Q139" s="44">
        <f t="shared" si="12"/>
        <v>114.30766285714283</v>
      </c>
      <c r="R139" s="71">
        <v>1</v>
      </c>
      <c r="S139" s="46">
        <f t="shared" si="13"/>
        <v>128.69999999999999</v>
      </c>
      <c r="T139" s="29">
        <f t="shared" si="15"/>
        <v>22</v>
      </c>
      <c r="U139" s="46">
        <f t="shared" si="14"/>
        <v>3</v>
      </c>
      <c r="V139" s="45" t="str">
        <f t="shared" si="16"/>
        <v>MATCH</v>
      </c>
      <c r="W139" s="10"/>
      <c r="X139" s="76">
        <v>22</v>
      </c>
    </row>
    <row r="140" spans="12:24" x14ac:dyDescent="0.3">
      <c r="L140" s="82" t="s">
        <v>161</v>
      </c>
      <c r="M140" s="63">
        <v>10</v>
      </c>
      <c r="N140" s="63">
        <v>28</v>
      </c>
      <c r="O140" s="63">
        <v>2.7</v>
      </c>
      <c r="P140" s="63">
        <v>6</v>
      </c>
      <c r="Q140" s="44">
        <f t="shared" si="12"/>
        <v>46.628999999999998</v>
      </c>
      <c r="R140" s="70">
        <v>1</v>
      </c>
      <c r="S140" s="46">
        <f t="shared" si="13"/>
        <v>75.600000000000009</v>
      </c>
      <c r="T140" s="29">
        <f t="shared" si="15"/>
        <v>14</v>
      </c>
      <c r="U140" s="46">
        <f t="shared" si="14"/>
        <v>2</v>
      </c>
      <c r="V140" s="45" t="str">
        <f t="shared" si="16"/>
        <v>MATCH</v>
      </c>
      <c r="W140" s="10"/>
      <c r="X140" s="77">
        <v>14</v>
      </c>
    </row>
    <row r="141" spans="12:24" x14ac:dyDescent="0.3">
      <c r="L141" s="82" t="s">
        <v>162</v>
      </c>
      <c r="M141" s="63">
        <v>10</v>
      </c>
      <c r="N141" s="63">
        <v>56</v>
      </c>
      <c r="O141" s="63">
        <v>2.0299999999999998</v>
      </c>
      <c r="P141" s="63">
        <v>6</v>
      </c>
      <c r="Q141" s="44">
        <f t="shared" si="12"/>
        <v>70.116199999999992</v>
      </c>
      <c r="R141" s="71">
        <v>1</v>
      </c>
      <c r="S141" s="46">
        <f t="shared" si="13"/>
        <v>113.67999999999999</v>
      </c>
      <c r="T141" s="29">
        <f t="shared" si="15"/>
        <v>28</v>
      </c>
      <c r="U141" s="46">
        <f t="shared" si="14"/>
        <v>2</v>
      </c>
      <c r="V141" s="45" t="str">
        <f t="shared" si="16"/>
        <v>MATCH</v>
      </c>
      <c r="W141" s="10"/>
      <c r="X141" s="76">
        <v>28</v>
      </c>
    </row>
    <row r="142" spans="12:24" x14ac:dyDescent="0.3">
      <c r="L142" s="83" t="s">
        <v>163</v>
      </c>
      <c r="M142" s="69">
        <v>10</v>
      </c>
      <c r="N142" s="69">
        <v>56</v>
      </c>
      <c r="O142" s="69">
        <v>0.77</v>
      </c>
      <c r="P142" s="69">
        <v>6</v>
      </c>
      <c r="Q142" s="49">
        <f t="shared" si="12"/>
        <v>26.595800000000001</v>
      </c>
      <c r="R142" s="79">
        <v>1</v>
      </c>
      <c r="S142" s="51">
        <f t="shared" si="13"/>
        <v>43.120000000000005</v>
      </c>
      <c r="T142" s="35">
        <f t="shared" si="15"/>
        <v>8</v>
      </c>
      <c r="U142" s="51">
        <f t="shared" si="14"/>
        <v>7</v>
      </c>
      <c r="V142" s="50" t="str">
        <f t="shared" si="16"/>
        <v>MATCH</v>
      </c>
      <c r="W142" s="11"/>
      <c r="X142" s="84">
        <v>8</v>
      </c>
    </row>
    <row r="143" spans="12:24" x14ac:dyDescent="0.3">
      <c r="L143" s="72" t="s">
        <v>164</v>
      </c>
      <c r="M143" s="55">
        <v>32</v>
      </c>
      <c r="N143" s="55">
        <v>14</v>
      </c>
      <c r="O143" s="55">
        <v>7.06</v>
      </c>
      <c r="P143" s="55">
        <v>7.5</v>
      </c>
      <c r="Q143" s="39">
        <f t="shared" si="12"/>
        <v>624.26214400000003</v>
      </c>
      <c r="R143" s="73">
        <v>2</v>
      </c>
      <c r="S143" s="41">
        <f t="shared" si="13"/>
        <v>98.839999999999989</v>
      </c>
      <c r="T143" s="23">
        <f t="shared" si="15"/>
        <v>28</v>
      </c>
      <c r="U143" s="41">
        <f t="shared" si="14"/>
        <v>1</v>
      </c>
      <c r="V143" s="40" t="str">
        <f t="shared" si="16"/>
        <v>MATCH</v>
      </c>
      <c r="W143" s="9"/>
      <c r="X143" s="74">
        <v>28</v>
      </c>
    </row>
    <row r="144" spans="12:24" x14ac:dyDescent="0.3">
      <c r="L144" s="75" t="s">
        <v>165</v>
      </c>
      <c r="M144" s="57">
        <v>25</v>
      </c>
      <c r="N144" s="57">
        <v>10</v>
      </c>
      <c r="O144" s="57">
        <v>11.95</v>
      </c>
      <c r="P144" s="57">
        <v>12</v>
      </c>
      <c r="Q144" s="44">
        <f t="shared" si="12"/>
        <v>460.66183035714289</v>
      </c>
      <c r="R144" s="71">
        <v>2</v>
      </c>
      <c r="S144" s="46">
        <f t="shared" si="13"/>
        <v>119.5</v>
      </c>
      <c r="T144" s="29">
        <f t="shared" si="15"/>
        <v>20</v>
      </c>
      <c r="U144" s="46">
        <f t="shared" si="14"/>
        <v>1</v>
      </c>
      <c r="V144" s="45" t="str">
        <f t="shared" si="16"/>
        <v>MATCH</v>
      </c>
      <c r="W144" s="10"/>
      <c r="X144" s="76">
        <v>20</v>
      </c>
    </row>
    <row r="145" spans="12:24" x14ac:dyDescent="0.3">
      <c r="L145" s="75" t="s">
        <v>166</v>
      </c>
      <c r="M145" s="57">
        <v>32</v>
      </c>
      <c r="N145" s="57">
        <v>14</v>
      </c>
      <c r="O145" s="57">
        <v>8.31</v>
      </c>
      <c r="P145" s="57">
        <v>9</v>
      </c>
      <c r="Q145" s="44">
        <f t="shared" si="12"/>
        <v>734.79014400000005</v>
      </c>
      <c r="R145" s="70">
        <v>2</v>
      </c>
      <c r="S145" s="46">
        <f t="shared" si="13"/>
        <v>116.34</v>
      </c>
      <c r="T145" s="29">
        <f t="shared" si="15"/>
        <v>28</v>
      </c>
      <c r="U145" s="46">
        <f t="shared" si="14"/>
        <v>1</v>
      </c>
      <c r="V145" s="45" t="str">
        <f t="shared" si="16"/>
        <v>MATCH</v>
      </c>
      <c r="W145" s="10"/>
      <c r="X145" s="77">
        <v>28</v>
      </c>
    </row>
    <row r="146" spans="12:24" x14ac:dyDescent="0.3">
      <c r="L146" s="75" t="s">
        <v>167</v>
      </c>
      <c r="M146" s="57">
        <v>25</v>
      </c>
      <c r="N146" s="57">
        <v>10</v>
      </c>
      <c r="O146" s="57">
        <v>11.06</v>
      </c>
      <c r="P146" s="57">
        <v>12</v>
      </c>
      <c r="Q146" s="44">
        <f t="shared" si="12"/>
        <v>426.35312500000003</v>
      </c>
      <c r="R146" s="71">
        <v>2</v>
      </c>
      <c r="S146" s="46">
        <f t="shared" si="13"/>
        <v>110.60000000000001</v>
      </c>
      <c r="T146" s="29">
        <f t="shared" si="15"/>
        <v>20</v>
      </c>
      <c r="U146" s="46">
        <f t="shared" si="14"/>
        <v>1</v>
      </c>
      <c r="V146" s="45" t="str">
        <f t="shared" si="16"/>
        <v>MATCH</v>
      </c>
      <c r="W146" s="10"/>
      <c r="X146" s="76">
        <v>20</v>
      </c>
    </row>
    <row r="147" spans="12:24" x14ac:dyDescent="0.3">
      <c r="L147" s="75" t="s">
        <v>168</v>
      </c>
      <c r="M147" s="57">
        <v>25</v>
      </c>
      <c r="N147" s="57">
        <v>4</v>
      </c>
      <c r="O147" s="57">
        <v>4.3099999999999996</v>
      </c>
      <c r="P147" s="57">
        <v>6</v>
      </c>
      <c r="Q147" s="44">
        <f t="shared" si="12"/>
        <v>66.458660714285713</v>
      </c>
      <c r="R147" s="70">
        <v>2</v>
      </c>
      <c r="S147" s="46">
        <f t="shared" si="13"/>
        <v>17.239999999999998</v>
      </c>
      <c r="T147" s="29">
        <f t="shared" si="15"/>
        <v>8</v>
      </c>
      <c r="U147" s="46">
        <f t="shared" si="14"/>
        <v>1</v>
      </c>
      <c r="V147" s="45" t="str">
        <f t="shared" si="16"/>
        <v>MATCH</v>
      </c>
      <c r="W147" s="10"/>
      <c r="X147" s="77">
        <v>8</v>
      </c>
    </row>
    <row r="148" spans="12:24" x14ac:dyDescent="0.3">
      <c r="L148" s="75" t="s">
        <v>169</v>
      </c>
      <c r="M148" s="57">
        <v>25</v>
      </c>
      <c r="N148" s="57">
        <v>4</v>
      </c>
      <c r="O148" s="57">
        <v>3</v>
      </c>
      <c r="P148" s="57">
        <v>6</v>
      </c>
      <c r="Q148" s="44">
        <f t="shared" si="12"/>
        <v>46.258928571428577</v>
      </c>
      <c r="R148" s="71">
        <v>2</v>
      </c>
      <c r="S148" s="46">
        <f t="shared" si="13"/>
        <v>12</v>
      </c>
      <c r="T148" s="29">
        <f t="shared" si="15"/>
        <v>4</v>
      </c>
      <c r="U148" s="46">
        <f t="shared" si="14"/>
        <v>2</v>
      </c>
      <c r="V148" s="45" t="str">
        <f t="shared" si="16"/>
        <v>MATCH</v>
      </c>
      <c r="W148" s="10"/>
      <c r="X148" s="76">
        <v>4</v>
      </c>
    </row>
    <row r="149" spans="12:24" x14ac:dyDescent="0.3">
      <c r="L149" s="75" t="s">
        <v>170</v>
      </c>
      <c r="M149" s="57">
        <v>25</v>
      </c>
      <c r="N149" s="57">
        <v>10</v>
      </c>
      <c r="O149" s="57">
        <v>1.86</v>
      </c>
      <c r="P149" s="57">
        <v>6</v>
      </c>
      <c r="Q149" s="44">
        <f t="shared" si="12"/>
        <v>71.701339285714297</v>
      </c>
      <c r="R149" s="70">
        <v>2</v>
      </c>
      <c r="S149" s="46">
        <f t="shared" si="13"/>
        <v>18.600000000000001</v>
      </c>
      <c r="T149" s="29">
        <f t="shared" si="15"/>
        <v>7</v>
      </c>
      <c r="U149" s="46">
        <f t="shared" si="14"/>
        <v>3</v>
      </c>
      <c r="V149" s="45" t="str">
        <f t="shared" si="16"/>
        <v>MATCH</v>
      </c>
      <c r="W149" s="10"/>
      <c r="X149" s="77">
        <v>7</v>
      </c>
    </row>
    <row r="150" spans="12:24" x14ac:dyDescent="0.3">
      <c r="L150" s="75" t="s">
        <v>171</v>
      </c>
      <c r="M150" s="57">
        <v>16</v>
      </c>
      <c r="N150" s="57">
        <v>20</v>
      </c>
      <c r="O150" s="57">
        <v>4.3099999999999996</v>
      </c>
      <c r="P150" s="57">
        <v>6</v>
      </c>
      <c r="Q150" s="44">
        <f t="shared" si="12"/>
        <v>136.10733714285715</v>
      </c>
      <c r="R150" s="71">
        <v>2</v>
      </c>
      <c r="S150" s="46">
        <f t="shared" si="13"/>
        <v>86.199999999999989</v>
      </c>
      <c r="T150" s="29">
        <f t="shared" si="15"/>
        <v>40</v>
      </c>
      <c r="U150" s="46">
        <f t="shared" si="14"/>
        <v>1</v>
      </c>
      <c r="V150" s="45" t="str">
        <f t="shared" si="16"/>
        <v>MATCH</v>
      </c>
      <c r="W150" s="10"/>
      <c r="X150" s="76">
        <v>40</v>
      </c>
    </row>
    <row r="151" spans="12:24" x14ac:dyDescent="0.3">
      <c r="L151" s="75" t="s">
        <v>172</v>
      </c>
      <c r="M151" s="57">
        <v>10</v>
      </c>
      <c r="N151" s="57">
        <v>47</v>
      </c>
      <c r="O151" s="57">
        <v>2.72</v>
      </c>
      <c r="P151" s="57">
        <v>6</v>
      </c>
      <c r="Q151" s="44">
        <f t="shared" ref="Q151:Q214" si="17">((22/(7*4))*(M151^2)/(1000^2))*S151*$B$24</f>
        <v>78.849885714285719</v>
      </c>
      <c r="R151" s="70">
        <v>2</v>
      </c>
      <c r="S151" s="46">
        <f t="shared" si="13"/>
        <v>127.84</v>
      </c>
      <c r="T151" s="29">
        <f t="shared" si="15"/>
        <v>47</v>
      </c>
      <c r="U151" s="46">
        <f t="shared" si="14"/>
        <v>2</v>
      </c>
      <c r="V151" s="45" t="str">
        <f t="shared" si="16"/>
        <v>MATCH</v>
      </c>
      <c r="W151" s="10"/>
      <c r="X151" s="77">
        <v>47</v>
      </c>
    </row>
    <row r="152" spans="12:24" x14ac:dyDescent="0.3">
      <c r="L152" s="75" t="s">
        <v>173</v>
      </c>
      <c r="M152" s="57">
        <v>10</v>
      </c>
      <c r="N152" s="57">
        <v>94</v>
      </c>
      <c r="O152" s="57">
        <v>2.04</v>
      </c>
      <c r="P152" s="57">
        <v>6</v>
      </c>
      <c r="Q152" s="44">
        <f t="shared" si="17"/>
        <v>118.27482857142856</v>
      </c>
      <c r="R152" s="71">
        <v>2</v>
      </c>
      <c r="S152" s="46">
        <f t="shared" si="13"/>
        <v>191.76</v>
      </c>
      <c r="T152" s="29">
        <f t="shared" si="15"/>
        <v>94</v>
      </c>
      <c r="U152" s="46">
        <f t="shared" si="14"/>
        <v>2</v>
      </c>
      <c r="V152" s="45" t="str">
        <f t="shared" si="16"/>
        <v>MATCH</v>
      </c>
      <c r="W152" s="10"/>
      <c r="X152" s="76">
        <v>94</v>
      </c>
    </row>
    <row r="153" spans="12:24" x14ac:dyDescent="0.3">
      <c r="L153" s="75" t="s">
        <v>174</v>
      </c>
      <c r="M153" s="57">
        <v>10</v>
      </c>
      <c r="N153" s="57">
        <v>94</v>
      </c>
      <c r="O153" s="57">
        <v>0.77</v>
      </c>
      <c r="P153" s="57">
        <v>6</v>
      </c>
      <c r="Q153" s="44">
        <f t="shared" si="17"/>
        <v>44.642949999999992</v>
      </c>
      <c r="R153" s="70">
        <v>2</v>
      </c>
      <c r="S153" s="46">
        <f t="shared" si="13"/>
        <v>72.38</v>
      </c>
      <c r="T153" s="29">
        <f t="shared" si="15"/>
        <v>27</v>
      </c>
      <c r="U153" s="46">
        <f t="shared" si="14"/>
        <v>7</v>
      </c>
      <c r="V153" s="45" t="str">
        <f t="shared" si="16"/>
        <v>MATCH</v>
      </c>
      <c r="W153" s="10"/>
      <c r="X153" s="77">
        <v>27</v>
      </c>
    </row>
    <row r="154" spans="12:24" x14ac:dyDescent="0.3">
      <c r="L154" s="75" t="s">
        <v>175</v>
      </c>
      <c r="M154" s="57">
        <v>12</v>
      </c>
      <c r="N154" s="57">
        <v>33</v>
      </c>
      <c r="O154" s="57">
        <v>2.75</v>
      </c>
      <c r="P154" s="57">
        <v>6</v>
      </c>
      <c r="Q154" s="44">
        <f t="shared" si="17"/>
        <v>80.601557142857132</v>
      </c>
      <c r="R154" s="71">
        <v>2</v>
      </c>
      <c r="S154" s="46">
        <f t="shared" si="13"/>
        <v>90.75</v>
      </c>
      <c r="T154" s="29">
        <f t="shared" si="15"/>
        <v>33</v>
      </c>
      <c r="U154" s="46">
        <f t="shared" si="14"/>
        <v>2</v>
      </c>
      <c r="V154" s="45" t="str">
        <f t="shared" si="16"/>
        <v>MATCH</v>
      </c>
      <c r="W154" s="10"/>
      <c r="X154" s="76">
        <v>33</v>
      </c>
    </row>
    <row r="155" spans="12:24" x14ac:dyDescent="0.3">
      <c r="L155" s="75" t="s">
        <v>176</v>
      </c>
      <c r="M155" s="57">
        <v>12</v>
      </c>
      <c r="N155" s="57">
        <v>66</v>
      </c>
      <c r="O155" s="57">
        <v>1.95</v>
      </c>
      <c r="P155" s="57">
        <v>6</v>
      </c>
      <c r="Q155" s="44">
        <f t="shared" si="17"/>
        <v>114.30766285714283</v>
      </c>
      <c r="R155" s="70">
        <v>2</v>
      </c>
      <c r="S155" s="46">
        <f t="shared" si="13"/>
        <v>128.69999999999999</v>
      </c>
      <c r="T155" s="29">
        <f t="shared" si="15"/>
        <v>44</v>
      </c>
      <c r="U155" s="46">
        <f t="shared" si="14"/>
        <v>3</v>
      </c>
      <c r="V155" s="45" t="str">
        <f t="shared" si="16"/>
        <v>MATCH</v>
      </c>
      <c r="W155" s="10"/>
      <c r="X155" s="77">
        <v>44</v>
      </c>
    </row>
    <row r="156" spans="12:24" x14ac:dyDescent="0.3">
      <c r="L156" s="75" t="s">
        <v>177</v>
      </c>
      <c r="M156" s="57">
        <v>12</v>
      </c>
      <c r="N156" s="57">
        <v>66</v>
      </c>
      <c r="O156" s="57">
        <v>0.8</v>
      </c>
      <c r="P156" s="57">
        <v>6</v>
      </c>
      <c r="Q156" s="44">
        <f t="shared" si="17"/>
        <v>46.895451428571427</v>
      </c>
      <c r="R156" s="71">
        <v>2</v>
      </c>
      <c r="S156" s="46">
        <f t="shared" si="13"/>
        <v>52.800000000000004</v>
      </c>
      <c r="T156" s="29">
        <f t="shared" si="15"/>
        <v>19</v>
      </c>
      <c r="U156" s="46">
        <f t="shared" si="14"/>
        <v>7</v>
      </c>
      <c r="V156" s="45" t="str">
        <f t="shared" si="16"/>
        <v>MATCH</v>
      </c>
      <c r="W156" s="10"/>
      <c r="X156" s="76">
        <v>19</v>
      </c>
    </row>
    <row r="157" spans="12:24" x14ac:dyDescent="0.3">
      <c r="L157" s="75" t="s">
        <v>178</v>
      </c>
      <c r="M157" s="57">
        <v>10</v>
      </c>
      <c r="N157" s="57">
        <v>41</v>
      </c>
      <c r="O157" s="57">
        <v>2.75</v>
      </c>
      <c r="P157" s="57">
        <v>6</v>
      </c>
      <c r="Q157" s="44">
        <f t="shared" si="17"/>
        <v>69.542589285714286</v>
      </c>
      <c r="R157" s="70">
        <v>2</v>
      </c>
      <c r="S157" s="46">
        <f t="shared" si="13"/>
        <v>112.75</v>
      </c>
      <c r="T157" s="29">
        <f t="shared" si="15"/>
        <v>41</v>
      </c>
      <c r="U157" s="46">
        <f t="shared" si="14"/>
        <v>2</v>
      </c>
      <c r="V157" s="45" t="str">
        <f t="shared" si="16"/>
        <v>MATCH</v>
      </c>
      <c r="W157" s="10"/>
      <c r="X157" s="77">
        <v>41</v>
      </c>
    </row>
    <row r="158" spans="12:24" x14ac:dyDescent="0.3">
      <c r="L158" s="75" t="s">
        <v>179</v>
      </c>
      <c r="M158" s="57">
        <v>10</v>
      </c>
      <c r="N158" s="57">
        <v>82</v>
      </c>
      <c r="O158" s="57">
        <v>1.75</v>
      </c>
      <c r="P158" s="57">
        <v>6</v>
      </c>
      <c r="Q158" s="44">
        <f t="shared" si="17"/>
        <v>88.508749999999992</v>
      </c>
      <c r="R158" s="71">
        <v>2</v>
      </c>
      <c r="S158" s="46">
        <f t="shared" si="13"/>
        <v>143.5</v>
      </c>
      <c r="T158" s="29">
        <f t="shared" si="15"/>
        <v>55</v>
      </c>
      <c r="U158" s="46">
        <f t="shared" si="14"/>
        <v>3</v>
      </c>
      <c r="V158" s="45" t="str">
        <f t="shared" si="16"/>
        <v>MATCH</v>
      </c>
      <c r="W158" s="10"/>
      <c r="X158" s="76">
        <v>55</v>
      </c>
    </row>
    <row r="159" spans="12:24" x14ac:dyDescent="0.3">
      <c r="L159" s="75" t="s">
        <v>180</v>
      </c>
      <c r="M159" s="57">
        <v>10</v>
      </c>
      <c r="N159" s="57">
        <v>41</v>
      </c>
      <c r="O159" s="57">
        <v>2.7</v>
      </c>
      <c r="P159" s="57">
        <v>6</v>
      </c>
      <c r="Q159" s="44">
        <f t="shared" si="17"/>
        <v>68.278178571428569</v>
      </c>
      <c r="R159" s="70">
        <v>2</v>
      </c>
      <c r="S159" s="46">
        <f t="shared" si="13"/>
        <v>110.7</v>
      </c>
      <c r="T159" s="29">
        <f t="shared" si="15"/>
        <v>41</v>
      </c>
      <c r="U159" s="46">
        <f t="shared" si="14"/>
        <v>2</v>
      </c>
      <c r="V159" s="45" t="str">
        <f t="shared" si="16"/>
        <v>MATCH</v>
      </c>
      <c r="W159" s="10"/>
      <c r="X159" s="77">
        <v>41</v>
      </c>
    </row>
    <row r="160" spans="12:24" x14ac:dyDescent="0.3">
      <c r="L160" s="75" t="s">
        <v>181</v>
      </c>
      <c r="M160" s="57">
        <v>10</v>
      </c>
      <c r="N160" s="57">
        <v>82</v>
      </c>
      <c r="O160" s="57">
        <v>1.75</v>
      </c>
      <c r="P160" s="57">
        <v>6</v>
      </c>
      <c r="Q160" s="44">
        <f t="shared" si="17"/>
        <v>88.508749999999992</v>
      </c>
      <c r="R160" s="71">
        <v>2</v>
      </c>
      <c r="S160" s="46">
        <f t="shared" si="13"/>
        <v>143.5</v>
      </c>
      <c r="T160" s="29">
        <f t="shared" si="15"/>
        <v>55</v>
      </c>
      <c r="U160" s="46">
        <f t="shared" si="14"/>
        <v>3</v>
      </c>
      <c r="V160" s="45" t="str">
        <f t="shared" si="16"/>
        <v>MATCH</v>
      </c>
      <c r="W160" s="10"/>
      <c r="X160" s="76">
        <v>55</v>
      </c>
    </row>
    <row r="161" spans="12:24" x14ac:dyDescent="0.3">
      <c r="L161" s="75" t="s">
        <v>182</v>
      </c>
      <c r="M161" s="57">
        <v>10</v>
      </c>
      <c r="N161" s="57">
        <v>30</v>
      </c>
      <c r="O161" s="57">
        <v>1.4</v>
      </c>
      <c r="P161" s="57">
        <v>6</v>
      </c>
      <c r="Q161" s="44">
        <f t="shared" si="17"/>
        <v>25.905000000000001</v>
      </c>
      <c r="R161" s="70">
        <v>2</v>
      </c>
      <c r="S161" s="46">
        <f t="shared" si="13"/>
        <v>42</v>
      </c>
      <c r="T161" s="29">
        <f t="shared" si="15"/>
        <v>15</v>
      </c>
      <c r="U161" s="46">
        <f t="shared" si="14"/>
        <v>4</v>
      </c>
      <c r="V161" s="45" t="str">
        <f t="shared" si="16"/>
        <v>MATCH</v>
      </c>
      <c r="W161" s="10"/>
      <c r="X161" s="77">
        <v>15</v>
      </c>
    </row>
    <row r="162" spans="12:24" x14ac:dyDescent="0.3">
      <c r="L162" s="78" t="s">
        <v>183</v>
      </c>
      <c r="M162" s="59">
        <v>10</v>
      </c>
      <c r="N162" s="59">
        <v>60</v>
      </c>
      <c r="O162" s="59">
        <v>0.95</v>
      </c>
      <c r="P162" s="59">
        <v>6</v>
      </c>
      <c r="Q162" s="49">
        <f t="shared" si="17"/>
        <v>35.156785714285711</v>
      </c>
      <c r="R162" s="85">
        <v>2</v>
      </c>
      <c r="S162" s="51">
        <f t="shared" si="13"/>
        <v>57</v>
      </c>
      <c r="T162" s="35">
        <f t="shared" si="15"/>
        <v>20</v>
      </c>
      <c r="U162" s="51">
        <f t="shared" si="14"/>
        <v>6</v>
      </c>
      <c r="V162" s="50" t="str">
        <f t="shared" si="16"/>
        <v>MATCH</v>
      </c>
      <c r="W162" s="11"/>
      <c r="X162" s="80">
        <v>20</v>
      </c>
    </row>
    <row r="163" spans="12:24" x14ac:dyDescent="0.3">
      <c r="L163" s="81" t="s">
        <v>184</v>
      </c>
      <c r="M163" s="61">
        <v>32</v>
      </c>
      <c r="N163" s="61">
        <v>10</v>
      </c>
      <c r="O163" s="61">
        <v>10.5</v>
      </c>
      <c r="P163" s="61">
        <v>10.5</v>
      </c>
      <c r="Q163" s="39">
        <f t="shared" si="17"/>
        <v>663.16800000000001</v>
      </c>
      <c r="R163" s="73">
        <v>1</v>
      </c>
      <c r="S163" s="41">
        <f t="shared" si="13"/>
        <v>105</v>
      </c>
      <c r="T163" s="23">
        <f t="shared" si="15"/>
        <v>10</v>
      </c>
      <c r="U163" s="41">
        <f t="shared" si="14"/>
        <v>1</v>
      </c>
      <c r="V163" s="40" t="str">
        <f t="shared" si="16"/>
        <v>MATCH</v>
      </c>
      <c r="W163" s="9"/>
      <c r="X163" s="74">
        <v>10</v>
      </c>
    </row>
    <row r="164" spans="12:24" x14ac:dyDescent="0.3">
      <c r="L164" s="82" t="s">
        <v>185</v>
      </c>
      <c r="M164" s="63">
        <v>25</v>
      </c>
      <c r="N164" s="63">
        <v>10</v>
      </c>
      <c r="O164" s="63">
        <v>8.8699999999999992</v>
      </c>
      <c r="P164" s="63">
        <v>9</v>
      </c>
      <c r="Q164" s="44">
        <f t="shared" si="17"/>
        <v>341.93058035714279</v>
      </c>
      <c r="R164" s="71">
        <v>1</v>
      </c>
      <c r="S164" s="46">
        <f t="shared" si="13"/>
        <v>88.699999999999989</v>
      </c>
      <c r="T164" s="29">
        <f t="shared" si="15"/>
        <v>10</v>
      </c>
      <c r="U164" s="46">
        <f t="shared" si="14"/>
        <v>1</v>
      </c>
      <c r="V164" s="45" t="str">
        <f t="shared" si="16"/>
        <v>MATCH</v>
      </c>
      <c r="W164" s="10"/>
      <c r="X164" s="76">
        <v>10</v>
      </c>
    </row>
    <row r="165" spans="12:24" x14ac:dyDescent="0.3">
      <c r="L165" s="82" t="s">
        <v>186</v>
      </c>
      <c r="M165" s="63">
        <v>32</v>
      </c>
      <c r="N165" s="63">
        <v>10</v>
      </c>
      <c r="O165" s="63">
        <v>12</v>
      </c>
      <c r="P165" s="63">
        <v>12</v>
      </c>
      <c r="Q165" s="44">
        <f t="shared" si="17"/>
        <v>757.90628571428567</v>
      </c>
      <c r="R165" s="70">
        <v>1</v>
      </c>
      <c r="S165" s="46">
        <f t="shared" si="13"/>
        <v>120</v>
      </c>
      <c r="T165" s="29">
        <f t="shared" si="15"/>
        <v>10</v>
      </c>
      <c r="U165" s="46">
        <f t="shared" si="14"/>
        <v>1</v>
      </c>
      <c r="V165" s="45" t="str">
        <f t="shared" si="16"/>
        <v>MATCH</v>
      </c>
      <c r="W165" s="10"/>
      <c r="X165" s="77">
        <v>10</v>
      </c>
    </row>
    <row r="166" spans="12:24" x14ac:dyDescent="0.3">
      <c r="L166" s="82" t="s">
        <v>187</v>
      </c>
      <c r="M166" s="63">
        <v>25</v>
      </c>
      <c r="N166" s="63">
        <v>10</v>
      </c>
      <c r="O166" s="63">
        <v>7.37</v>
      </c>
      <c r="P166" s="63">
        <v>7.5</v>
      </c>
      <c r="Q166" s="44">
        <f t="shared" si="17"/>
        <v>284.10691964285718</v>
      </c>
      <c r="R166" s="71">
        <v>1</v>
      </c>
      <c r="S166" s="46">
        <f t="shared" si="13"/>
        <v>73.7</v>
      </c>
      <c r="T166" s="29">
        <f t="shared" si="15"/>
        <v>10</v>
      </c>
      <c r="U166" s="46">
        <f t="shared" si="14"/>
        <v>1</v>
      </c>
      <c r="V166" s="45" t="str">
        <f t="shared" si="16"/>
        <v>MATCH</v>
      </c>
      <c r="W166" s="10"/>
      <c r="X166" s="76">
        <v>10</v>
      </c>
    </row>
    <row r="167" spans="12:24" x14ac:dyDescent="0.3">
      <c r="L167" s="82" t="s">
        <v>188</v>
      </c>
      <c r="M167" s="63">
        <v>32</v>
      </c>
      <c r="N167" s="63">
        <v>8</v>
      </c>
      <c r="O167" s="63">
        <v>5.97</v>
      </c>
      <c r="P167" s="63">
        <v>6</v>
      </c>
      <c r="Q167" s="44">
        <f t="shared" si="17"/>
        <v>301.64670171428571</v>
      </c>
      <c r="R167" s="70">
        <v>1</v>
      </c>
      <c r="S167" s="46">
        <f t="shared" si="13"/>
        <v>47.76</v>
      </c>
      <c r="T167" s="29">
        <f t="shared" si="15"/>
        <v>8</v>
      </c>
      <c r="U167" s="46">
        <f t="shared" si="14"/>
        <v>1</v>
      </c>
      <c r="V167" s="45" t="str">
        <f t="shared" si="16"/>
        <v>MATCH</v>
      </c>
      <c r="W167" s="10"/>
      <c r="X167" s="77">
        <v>8</v>
      </c>
    </row>
    <row r="168" spans="12:24" x14ac:dyDescent="0.3">
      <c r="L168" s="82" t="s">
        <v>189</v>
      </c>
      <c r="M168" s="63">
        <v>16</v>
      </c>
      <c r="N168" s="63">
        <v>20</v>
      </c>
      <c r="O168" s="63">
        <v>4.3099999999999996</v>
      </c>
      <c r="P168" s="63">
        <v>6</v>
      </c>
      <c r="Q168" s="44">
        <f t="shared" si="17"/>
        <v>136.10733714285715</v>
      </c>
      <c r="R168" s="71">
        <v>1</v>
      </c>
      <c r="S168" s="46">
        <f t="shared" si="13"/>
        <v>86.199999999999989</v>
      </c>
      <c r="T168" s="29">
        <f t="shared" si="15"/>
        <v>20</v>
      </c>
      <c r="U168" s="46">
        <f t="shared" si="14"/>
        <v>1</v>
      </c>
      <c r="V168" s="45" t="str">
        <f t="shared" si="16"/>
        <v>MATCH</v>
      </c>
      <c r="W168" s="10"/>
      <c r="X168" s="76">
        <v>20</v>
      </c>
    </row>
    <row r="169" spans="12:24" x14ac:dyDescent="0.3">
      <c r="L169" s="82" t="s">
        <v>190</v>
      </c>
      <c r="M169" s="63">
        <v>12</v>
      </c>
      <c r="N169" s="63">
        <v>96</v>
      </c>
      <c r="O169" s="63">
        <v>2.75</v>
      </c>
      <c r="P169" s="63">
        <v>6</v>
      </c>
      <c r="Q169" s="44">
        <f t="shared" si="17"/>
        <v>234.47725714285713</v>
      </c>
      <c r="R169" s="70">
        <v>1</v>
      </c>
      <c r="S169" s="46">
        <f t="shared" si="13"/>
        <v>264</v>
      </c>
      <c r="T169" s="29">
        <f t="shared" si="15"/>
        <v>48</v>
      </c>
      <c r="U169" s="46">
        <f t="shared" si="14"/>
        <v>2</v>
      </c>
      <c r="V169" s="45" t="str">
        <f t="shared" si="16"/>
        <v>MATCH</v>
      </c>
      <c r="W169" s="10"/>
      <c r="X169" s="77">
        <v>48</v>
      </c>
    </row>
    <row r="170" spans="12:24" x14ac:dyDescent="0.3">
      <c r="L170" s="82" t="s">
        <v>191</v>
      </c>
      <c r="M170" s="63">
        <v>12</v>
      </c>
      <c r="N170" s="63">
        <v>126</v>
      </c>
      <c r="O170" s="63">
        <v>2.0699999999999998</v>
      </c>
      <c r="P170" s="63">
        <v>6</v>
      </c>
      <c r="Q170" s="44">
        <f t="shared" si="17"/>
        <v>231.652872</v>
      </c>
      <c r="R170" s="71">
        <v>1</v>
      </c>
      <c r="S170" s="46">
        <f t="shared" si="13"/>
        <v>260.82</v>
      </c>
      <c r="T170" s="29">
        <f t="shared" si="15"/>
        <v>63</v>
      </c>
      <c r="U170" s="46">
        <f t="shared" si="14"/>
        <v>2</v>
      </c>
      <c r="V170" s="45" t="str">
        <f t="shared" si="16"/>
        <v>MATCH</v>
      </c>
      <c r="W170" s="10"/>
      <c r="X170" s="76">
        <v>63</v>
      </c>
    </row>
    <row r="171" spans="12:24" x14ac:dyDescent="0.3">
      <c r="L171" s="82" t="s">
        <v>192</v>
      </c>
      <c r="M171" s="63">
        <v>12</v>
      </c>
      <c r="N171" s="63">
        <v>126</v>
      </c>
      <c r="O171" s="63">
        <v>0.8</v>
      </c>
      <c r="P171" s="63">
        <v>6</v>
      </c>
      <c r="Q171" s="44">
        <f t="shared" si="17"/>
        <v>89.527680000000004</v>
      </c>
      <c r="R171" s="70">
        <v>1</v>
      </c>
      <c r="S171" s="46">
        <f t="shared" si="13"/>
        <v>100.80000000000001</v>
      </c>
      <c r="T171" s="29">
        <f t="shared" si="15"/>
        <v>18</v>
      </c>
      <c r="U171" s="46">
        <f t="shared" si="14"/>
        <v>7</v>
      </c>
      <c r="V171" s="45" t="str">
        <f t="shared" si="16"/>
        <v>MATCH</v>
      </c>
      <c r="W171" s="10"/>
      <c r="X171" s="77">
        <v>18</v>
      </c>
    </row>
    <row r="172" spans="12:24" x14ac:dyDescent="0.3">
      <c r="L172" s="82" t="s">
        <v>193</v>
      </c>
      <c r="M172" s="63">
        <v>12</v>
      </c>
      <c r="N172" s="63">
        <v>66</v>
      </c>
      <c r="O172" s="63">
        <v>1.8</v>
      </c>
      <c r="P172" s="63">
        <v>6</v>
      </c>
      <c r="Q172" s="44">
        <f t="shared" si="17"/>
        <v>105.5147657142857</v>
      </c>
      <c r="R172" s="71">
        <v>1</v>
      </c>
      <c r="S172" s="46">
        <f t="shared" si="13"/>
        <v>118.8</v>
      </c>
      <c r="T172" s="29">
        <f t="shared" si="15"/>
        <v>22</v>
      </c>
      <c r="U172" s="46">
        <f t="shared" si="14"/>
        <v>3</v>
      </c>
      <c r="V172" s="45" t="str">
        <f t="shared" si="16"/>
        <v>MATCH</v>
      </c>
      <c r="W172" s="10"/>
      <c r="X172" s="76">
        <v>22</v>
      </c>
    </row>
    <row r="173" spans="12:24" x14ac:dyDescent="0.3">
      <c r="L173" s="82" t="s">
        <v>194</v>
      </c>
      <c r="M173" s="63">
        <v>12</v>
      </c>
      <c r="N173" s="63">
        <v>41</v>
      </c>
      <c r="O173" s="63">
        <v>2.72</v>
      </c>
      <c r="P173" s="63">
        <v>6</v>
      </c>
      <c r="Q173" s="44">
        <f t="shared" si="17"/>
        <v>99.048877714285709</v>
      </c>
      <c r="R173" s="70">
        <v>1</v>
      </c>
      <c r="S173" s="46">
        <f t="shared" si="13"/>
        <v>111.52000000000001</v>
      </c>
      <c r="T173" s="29">
        <f t="shared" si="15"/>
        <v>21</v>
      </c>
      <c r="U173" s="46">
        <f t="shared" si="14"/>
        <v>2</v>
      </c>
      <c r="V173" s="45" t="str">
        <f t="shared" si="16"/>
        <v>MATCH</v>
      </c>
      <c r="W173" s="10"/>
      <c r="X173" s="77">
        <v>21</v>
      </c>
    </row>
    <row r="174" spans="12:24" x14ac:dyDescent="0.3">
      <c r="L174" s="82" t="s">
        <v>195</v>
      </c>
      <c r="M174" s="63">
        <v>12</v>
      </c>
      <c r="N174" s="63">
        <v>82</v>
      </c>
      <c r="O174" s="63">
        <v>1.75</v>
      </c>
      <c r="P174" s="63">
        <v>6</v>
      </c>
      <c r="Q174" s="44">
        <f t="shared" si="17"/>
        <v>127.4526</v>
      </c>
      <c r="R174" s="71">
        <v>1</v>
      </c>
      <c r="S174" s="46">
        <f t="shared" si="13"/>
        <v>143.5</v>
      </c>
      <c r="T174" s="29">
        <f t="shared" si="15"/>
        <v>28</v>
      </c>
      <c r="U174" s="46">
        <f t="shared" si="14"/>
        <v>3</v>
      </c>
      <c r="V174" s="45" t="str">
        <f t="shared" si="16"/>
        <v>MATCH</v>
      </c>
      <c r="W174" s="10"/>
      <c r="X174" s="76">
        <v>28</v>
      </c>
    </row>
    <row r="175" spans="12:24" x14ac:dyDescent="0.3">
      <c r="L175" s="82" t="s">
        <v>196</v>
      </c>
      <c r="M175" s="63">
        <v>10</v>
      </c>
      <c r="N175" s="63">
        <v>41</v>
      </c>
      <c r="O175" s="63">
        <v>2.7</v>
      </c>
      <c r="P175" s="63">
        <v>6</v>
      </c>
      <c r="Q175" s="44">
        <f t="shared" si="17"/>
        <v>68.278178571428569</v>
      </c>
      <c r="R175" s="70">
        <v>1</v>
      </c>
      <c r="S175" s="46">
        <f t="shared" si="13"/>
        <v>110.7</v>
      </c>
      <c r="T175" s="29">
        <f t="shared" si="15"/>
        <v>21</v>
      </c>
      <c r="U175" s="46">
        <f t="shared" si="14"/>
        <v>2</v>
      </c>
      <c r="V175" s="45" t="str">
        <f t="shared" si="16"/>
        <v>MATCH</v>
      </c>
      <c r="W175" s="10"/>
      <c r="X175" s="77">
        <v>21</v>
      </c>
    </row>
    <row r="176" spans="12:24" x14ac:dyDescent="0.3">
      <c r="L176" s="82" t="s">
        <v>197</v>
      </c>
      <c r="M176" s="63">
        <v>10</v>
      </c>
      <c r="N176" s="63">
        <v>82</v>
      </c>
      <c r="O176" s="63">
        <v>1.75</v>
      </c>
      <c r="P176" s="63">
        <v>6</v>
      </c>
      <c r="Q176" s="44">
        <f t="shared" si="17"/>
        <v>88.508749999999992</v>
      </c>
      <c r="R176" s="71">
        <v>1</v>
      </c>
      <c r="S176" s="46">
        <f t="shared" si="13"/>
        <v>143.5</v>
      </c>
      <c r="T176" s="29">
        <f t="shared" si="15"/>
        <v>28</v>
      </c>
      <c r="U176" s="46">
        <f t="shared" si="14"/>
        <v>3</v>
      </c>
      <c r="V176" s="45" t="str">
        <f t="shared" si="16"/>
        <v>MATCH</v>
      </c>
      <c r="W176" s="10"/>
      <c r="X176" s="76">
        <v>28</v>
      </c>
    </row>
    <row r="177" spans="12:24" x14ac:dyDescent="0.3">
      <c r="L177" s="82" t="s">
        <v>198</v>
      </c>
      <c r="M177" s="63">
        <v>10</v>
      </c>
      <c r="N177" s="63">
        <v>40</v>
      </c>
      <c r="O177" s="63">
        <v>1.4</v>
      </c>
      <c r="P177" s="63">
        <v>6</v>
      </c>
      <c r="Q177" s="44">
        <f t="shared" si="17"/>
        <v>34.539999999999992</v>
      </c>
      <c r="R177" s="70">
        <v>1</v>
      </c>
      <c r="S177" s="46">
        <f t="shared" si="13"/>
        <v>56</v>
      </c>
      <c r="T177" s="29">
        <f t="shared" si="15"/>
        <v>10</v>
      </c>
      <c r="U177" s="46">
        <f t="shared" si="14"/>
        <v>4</v>
      </c>
      <c r="V177" s="45" t="str">
        <f t="shared" si="16"/>
        <v>MATCH</v>
      </c>
      <c r="W177" s="10"/>
      <c r="X177" s="77">
        <v>10</v>
      </c>
    </row>
    <row r="178" spans="12:24" x14ac:dyDescent="0.3">
      <c r="L178" s="83" t="s">
        <v>199</v>
      </c>
      <c r="M178" s="69">
        <v>10</v>
      </c>
      <c r="N178" s="69">
        <v>80</v>
      </c>
      <c r="O178" s="69">
        <v>0.93</v>
      </c>
      <c r="P178" s="69">
        <v>6</v>
      </c>
      <c r="Q178" s="49">
        <f t="shared" si="17"/>
        <v>45.888857142857141</v>
      </c>
      <c r="R178" s="85">
        <v>1</v>
      </c>
      <c r="S178" s="51">
        <f t="shared" si="13"/>
        <v>74.400000000000006</v>
      </c>
      <c r="T178" s="35">
        <f t="shared" si="15"/>
        <v>14</v>
      </c>
      <c r="U178" s="51">
        <f t="shared" si="14"/>
        <v>6</v>
      </c>
      <c r="V178" s="50" t="str">
        <f t="shared" si="16"/>
        <v>MATCH</v>
      </c>
      <c r="W178" s="11"/>
      <c r="X178" s="80">
        <v>14</v>
      </c>
    </row>
    <row r="179" spans="12:24" x14ac:dyDescent="0.3">
      <c r="L179" s="75" t="s">
        <v>200</v>
      </c>
      <c r="M179" s="57">
        <v>32</v>
      </c>
      <c r="N179" s="57">
        <v>14</v>
      </c>
      <c r="O179" s="57">
        <v>7</v>
      </c>
      <c r="P179" s="57">
        <v>7.5</v>
      </c>
      <c r="Q179" s="44">
        <f t="shared" si="17"/>
        <v>618.95680000000004</v>
      </c>
      <c r="R179" s="70">
        <v>1</v>
      </c>
      <c r="S179" s="46">
        <f t="shared" si="13"/>
        <v>98</v>
      </c>
      <c r="T179" s="29">
        <f t="shared" si="15"/>
        <v>14</v>
      </c>
      <c r="U179" s="46">
        <f t="shared" si="14"/>
        <v>1</v>
      </c>
      <c r="V179" s="45" t="str">
        <f t="shared" si="16"/>
        <v>MATCH</v>
      </c>
      <c r="W179" s="10"/>
      <c r="X179" s="77">
        <v>14</v>
      </c>
    </row>
    <row r="180" spans="12:24" x14ac:dyDescent="0.3">
      <c r="L180" s="75" t="s">
        <v>201</v>
      </c>
      <c r="M180" s="57">
        <v>25</v>
      </c>
      <c r="N180" s="57">
        <v>10</v>
      </c>
      <c r="O180" s="57">
        <v>11.95</v>
      </c>
      <c r="P180" s="57">
        <v>12</v>
      </c>
      <c r="Q180" s="44">
        <f t="shared" si="17"/>
        <v>460.66183035714289</v>
      </c>
      <c r="R180" s="71">
        <v>1</v>
      </c>
      <c r="S180" s="46">
        <f t="shared" si="13"/>
        <v>119.5</v>
      </c>
      <c r="T180" s="29">
        <f t="shared" si="15"/>
        <v>10</v>
      </c>
      <c r="U180" s="46">
        <f t="shared" si="14"/>
        <v>1</v>
      </c>
      <c r="V180" s="45" t="str">
        <f t="shared" si="16"/>
        <v>MATCH</v>
      </c>
      <c r="W180" s="10"/>
      <c r="X180" s="76">
        <v>10</v>
      </c>
    </row>
    <row r="181" spans="12:24" x14ac:dyDescent="0.3">
      <c r="L181" s="75" t="s">
        <v>202</v>
      </c>
      <c r="M181" s="57">
        <v>32</v>
      </c>
      <c r="N181" s="57">
        <v>14</v>
      </c>
      <c r="O181" s="57">
        <v>8.33</v>
      </c>
      <c r="P181" s="57">
        <v>9</v>
      </c>
      <c r="Q181" s="44">
        <f t="shared" si="17"/>
        <v>736.55859199999998</v>
      </c>
      <c r="R181" s="70">
        <v>1</v>
      </c>
      <c r="S181" s="46">
        <f t="shared" si="13"/>
        <v>116.62</v>
      </c>
      <c r="T181" s="29">
        <f t="shared" si="15"/>
        <v>14</v>
      </c>
      <c r="U181" s="46">
        <f t="shared" si="14"/>
        <v>1</v>
      </c>
      <c r="V181" s="45" t="str">
        <f t="shared" si="16"/>
        <v>MATCH</v>
      </c>
      <c r="W181" s="10"/>
      <c r="X181" s="77">
        <v>14</v>
      </c>
    </row>
    <row r="182" spans="12:24" x14ac:dyDescent="0.3">
      <c r="L182" s="75" t="s">
        <v>203</v>
      </c>
      <c r="M182" s="57">
        <v>25</v>
      </c>
      <c r="N182" s="57">
        <v>10</v>
      </c>
      <c r="O182" s="57">
        <v>11.06</v>
      </c>
      <c r="P182" s="57">
        <v>12</v>
      </c>
      <c r="Q182" s="44">
        <f t="shared" si="17"/>
        <v>426.35312500000003</v>
      </c>
      <c r="R182" s="71">
        <v>1</v>
      </c>
      <c r="S182" s="46">
        <f t="shared" si="13"/>
        <v>110.60000000000001</v>
      </c>
      <c r="T182" s="29">
        <f t="shared" si="15"/>
        <v>10</v>
      </c>
      <c r="U182" s="46">
        <f t="shared" si="14"/>
        <v>1</v>
      </c>
      <c r="V182" s="45" t="str">
        <f t="shared" si="16"/>
        <v>MATCH</v>
      </c>
      <c r="W182" s="10"/>
      <c r="X182" s="76">
        <v>10</v>
      </c>
    </row>
    <row r="183" spans="12:24" x14ac:dyDescent="0.3">
      <c r="L183" s="75" t="s">
        <v>204</v>
      </c>
      <c r="M183" s="57">
        <v>25</v>
      </c>
      <c r="N183" s="57">
        <v>4</v>
      </c>
      <c r="O183" s="57">
        <v>8.31</v>
      </c>
      <c r="P183" s="57">
        <v>9</v>
      </c>
      <c r="Q183" s="44">
        <f t="shared" si="17"/>
        <v>128.13723214285716</v>
      </c>
      <c r="R183" s="70">
        <v>1</v>
      </c>
      <c r="S183" s="46">
        <f t="shared" si="13"/>
        <v>33.24</v>
      </c>
      <c r="T183" s="29">
        <f t="shared" si="15"/>
        <v>4</v>
      </c>
      <c r="U183" s="46">
        <f t="shared" si="14"/>
        <v>1</v>
      </c>
      <c r="V183" s="45" t="str">
        <f t="shared" si="16"/>
        <v>MATCH</v>
      </c>
      <c r="W183" s="10"/>
      <c r="X183" s="77">
        <v>4</v>
      </c>
    </row>
    <row r="184" spans="12:24" x14ac:dyDescent="0.3">
      <c r="L184" s="75" t="s">
        <v>205</v>
      </c>
      <c r="M184" s="57">
        <v>25</v>
      </c>
      <c r="N184" s="57">
        <v>4</v>
      </c>
      <c r="O184" s="57">
        <v>7.06</v>
      </c>
      <c r="P184" s="57">
        <v>7.5</v>
      </c>
      <c r="Q184" s="44">
        <f t="shared" si="17"/>
        <v>108.86267857142857</v>
      </c>
      <c r="R184" s="71">
        <v>1</v>
      </c>
      <c r="S184" s="46">
        <f t="shared" si="13"/>
        <v>28.24</v>
      </c>
      <c r="T184" s="29">
        <f t="shared" si="15"/>
        <v>4</v>
      </c>
      <c r="U184" s="46">
        <f t="shared" si="14"/>
        <v>1</v>
      </c>
      <c r="V184" s="45" t="str">
        <f t="shared" si="16"/>
        <v>MATCH</v>
      </c>
      <c r="W184" s="10"/>
      <c r="X184" s="76">
        <v>4</v>
      </c>
    </row>
    <row r="185" spans="12:24" x14ac:dyDescent="0.3">
      <c r="L185" s="75" t="s">
        <v>206</v>
      </c>
      <c r="M185" s="57">
        <v>16</v>
      </c>
      <c r="N185" s="57">
        <v>12</v>
      </c>
      <c r="O185" s="57">
        <v>4.3099999999999996</v>
      </c>
      <c r="P185" s="57">
        <v>6</v>
      </c>
      <c r="Q185" s="44">
        <f t="shared" si="17"/>
        <v>81.664402285714274</v>
      </c>
      <c r="R185" s="70">
        <v>1</v>
      </c>
      <c r="S185" s="46">
        <f t="shared" si="13"/>
        <v>51.72</v>
      </c>
      <c r="T185" s="29">
        <f t="shared" si="15"/>
        <v>12</v>
      </c>
      <c r="U185" s="46">
        <f t="shared" si="14"/>
        <v>1</v>
      </c>
      <c r="V185" s="45" t="str">
        <f t="shared" si="16"/>
        <v>MATCH</v>
      </c>
      <c r="W185" s="10"/>
      <c r="X185" s="77">
        <v>12</v>
      </c>
    </row>
    <row r="186" spans="12:24" x14ac:dyDescent="0.3">
      <c r="L186" s="75" t="s">
        <v>207</v>
      </c>
      <c r="M186" s="57">
        <v>12</v>
      </c>
      <c r="N186" s="57">
        <v>112</v>
      </c>
      <c r="O186" s="57">
        <v>2.75</v>
      </c>
      <c r="P186" s="57">
        <v>6</v>
      </c>
      <c r="Q186" s="44">
        <f t="shared" si="17"/>
        <v>273.55679999999995</v>
      </c>
      <c r="R186" s="71">
        <v>1</v>
      </c>
      <c r="S186" s="46">
        <f t="shared" si="13"/>
        <v>308</v>
      </c>
      <c r="T186" s="29">
        <f t="shared" si="15"/>
        <v>56</v>
      </c>
      <c r="U186" s="46">
        <f t="shared" si="14"/>
        <v>2</v>
      </c>
      <c r="V186" s="45" t="str">
        <f t="shared" si="16"/>
        <v>MATCH</v>
      </c>
      <c r="W186" s="10"/>
      <c r="X186" s="76">
        <v>56</v>
      </c>
    </row>
    <row r="187" spans="12:24" x14ac:dyDescent="0.3">
      <c r="L187" s="75" t="s">
        <v>208</v>
      </c>
      <c r="M187" s="57">
        <v>12</v>
      </c>
      <c r="N187" s="57">
        <v>76</v>
      </c>
      <c r="O187" s="57">
        <v>2.0699999999999998</v>
      </c>
      <c r="P187" s="57">
        <v>6</v>
      </c>
      <c r="Q187" s="44">
        <f t="shared" si="17"/>
        <v>139.72712914285714</v>
      </c>
      <c r="R187" s="70">
        <v>1</v>
      </c>
      <c r="S187" s="46">
        <f t="shared" si="13"/>
        <v>157.32</v>
      </c>
      <c r="T187" s="29">
        <f t="shared" si="15"/>
        <v>38</v>
      </c>
      <c r="U187" s="46">
        <f t="shared" si="14"/>
        <v>2</v>
      </c>
      <c r="V187" s="45" t="str">
        <f t="shared" si="16"/>
        <v>MATCH</v>
      </c>
      <c r="W187" s="10"/>
      <c r="X187" s="77">
        <v>38</v>
      </c>
    </row>
    <row r="188" spans="12:24" x14ac:dyDescent="0.3">
      <c r="L188" s="75" t="s">
        <v>209</v>
      </c>
      <c r="M188" s="57">
        <v>12</v>
      </c>
      <c r="N188" s="57">
        <v>224</v>
      </c>
      <c r="O188" s="57">
        <v>0.8</v>
      </c>
      <c r="P188" s="57">
        <v>6</v>
      </c>
      <c r="Q188" s="44">
        <f t="shared" si="17"/>
        <v>159.16032000000001</v>
      </c>
      <c r="R188" s="71">
        <v>1</v>
      </c>
      <c r="S188" s="46">
        <f t="shared" si="13"/>
        <v>179.20000000000002</v>
      </c>
      <c r="T188" s="29">
        <f t="shared" si="15"/>
        <v>32</v>
      </c>
      <c r="U188" s="46">
        <f t="shared" si="14"/>
        <v>7</v>
      </c>
      <c r="V188" s="45" t="str">
        <f t="shared" si="16"/>
        <v>MATCH</v>
      </c>
      <c r="W188" s="10"/>
      <c r="X188" s="76">
        <v>32</v>
      </c>
    </row>
    <row r="189" spans="12:24" x14ac:dyDescent="0.3">
      <c r="L189" s="75" t="s">
        <v>210</v>
      </c>
      <c r="M189" s="57">
        <v>12</v>
      </c>
      <c r="N189" s="57">
        <v>148</v>
      </c>
      <c r="O189" s="57">
        <v>1.95</v>
      </c>
      <c r="P189" s="57">
        <v>6</v>
      </c>
      <c r="Q189" s="44">
        <f t="shared" si="17"/>
        <v>256.32627428571425</v>
      </c>
      <c r="R189" s="70">
        <v>1</v>
      </c>
      <c r="S189" s="46">
        <f t="shared" si="13"/>
        <v>288.59999999999997</v>
      </c>
      <c r="T189" s="29">
        <f t="shared" si="15"/>
        <v>50</v>
      </c>
      <c r="U189" s="46">
        <f t="shared" si="14"/>
        <v>3</v>
      </c>
      <c r="V189" s="45" t="str">
        <f t="shared" si="16"/>
        <v>MATCH</v>
      </c>
      <c r="W189" s="10"/>
      <c r="X189" s="77">
        <v>50</v>
      </c>
    </row>
    <row r="190" spans="12:24" x14ac:dyDescent="0.3">
      <c r="L190" s="75" t="s">
        <v>211</v>
      </c>
      <c r="M190" s="57">
        <v>10</v>
      </c>
      <c r="N190" s="57">
        <v>28</v>
      </c>
      <c r="O190" s="57">
        <v>2.7</v>
      </c>
      <c r="P190" s="57">
        <v>6</v>
      </c>
      <c r="Q190" s="44">
        <f t="shared" si="17"/>
        <v>46.628999999999998</v>
      </c>
      <c r="R190" s="71">
        <v>1</v>
      </c>
      <c r="S190" s="46">
        <f t="shared" si="13"/>
        <v>75.600000000000009</v>
      </c>
      <c r="T190" s="29">
        <f t="shared" si="15"/>
        <v>14</v>
      </c>
      <c r="U190" s="46">
        <f t="shared" si="14"/>
        <v>2</v>
      </c>
      <c r="V190" s="45" t="str">
        <f t="shared" si="16"/>
        <v>MATCH</v>
      </c>
      <c r="W190" s="10"/>
      <c r="X190" s="76">
        <v>14</v>
      </c>
    </row>
    <row r="191" spans="12:24" x14ac:dyDescent="0.3">
      <c r="L191" s="75" t="s">
        <v>212</v>
      </c>
      <c r="M191" s="57">
        <v>10</v>
      </c>
      <c r="N191" s="57">
        <v>56</v>
      </c>
      <c r="O191" s="57">
        <v>1.74</v>
      </c>
      <c r="P191" s="57">
        <v>6</v>
      </c>
      <c r="Q191" s="44">
        <f t="shared" si="17"/>
        <v>60.099599999999995</v>
      </c>
      <c r="R191" s="70">
        <v>1</v>
      </c>
      <c r="S191" s="46">
        <f t="shared" si="13"/>
        <v>97.44</v>
      </c>
      <c r="T191" s="29">
        <f t="shared" si="15"/>
        <v>19</v>
      </c>
      <c r="U191" s="46">
        <f t="shared" si="14"/>
        <v>3</v>
      </c>
      <c r="V191" s="45" t="str">
        <f t="shared" si="16"/>
        <v>MATCH</v>
      </c>
      <c r="W191" s="10"/>
      <c r="X191" s="77">
        <v>19</v>
      </c>
    </row>
    <row r="192" spans="12:24" x14ac:dyDescent="0.3">
      <c r="L192" s="75" t="s">
        <v>213</v>
      </c>
      <c r="M192" s="57">
        <v>10</v>
      </c>
      <c r="N192" s="57">
        <v>40</v>
      </c>
      <c r="O192" s="57">
        <v>1.4</v>
      </c>
      <c r="P192" s="57">
        <v>6</v>
      </c>
      <c r="Q192" s="44">
        <f t="shared" si="17"/>
        <v>34.539999999999992</v>
      </c>
      <c r="R192" s="71">
        <v>1</v>
      </c>
      <c r="S192" s="46">
        <f t="shared" si="13"/>
        <v>56</v>
      </c>
      <c r="T192" s="29">
        <f t="shared" si="15"/>
        <v>10</v>
      </c>
      <c r="U192" s="46">
        <f t="shared" si="14"/>
        <v>4</v>
      </c>
      <c r="V192" s="45" t="str">
        <f t="shared" si="16"/>
        <v>MATCH</v>
      </c>
      <c r="W192" s="10"/>
      <c r="X192" s="76">
        <v>10</v>
      </c>
    </row>
    <row r="193" spans="12:24" x14ac:dyDescent="0.3">
      <c r="L193" s="78" t="s">
        <v>214</v>
      </c>
      <c r="M193" s="59">
        <v>10</v>
      </c>
      <c r="N193" s="59">
        <v>80</v>
      </c>
      <c r="O193" s="59">
        <v>1.02</v>
      </c>
      <c r="P193" s="59">
        <v>6</v>
      </c>
      <c r="Q193" s="49">
        <f t="shared" si="17"/>
        <v>50.329714285714282</v>
      </c>
      <c r="R193" s="79">
        <v>1</v>
      </c>
      <c r="S193" s="51">
        <f t="shared" si="13"/>
        <v>81.599999999999994</v>
      </c>
      <c r="T193" s="35">
        <f t="shared" si="15"/>
        <v>16</v>
      </c>
      <c r="U193" s="51">
        <f t="shared" si="14"/>
        <v>5</v>
      </c>
      <c r="V193" s="50" t="str">
        <f t="shared" si="16"/>
        <v>MATCH</v>
      </c>
      <c r="W193" s="11"/>
      <c r="X193" s="84">
        <v>16</v>
      </c>
    </row>
    <row r="194" spans="12:24" x14ac:dyDescent="0.3">
      <c r="L194" s="81" t="s">
        <v>215</v>
      </c>
      <c r="M194" s="61">
        <v>32</v>
      </c>
      <c r="N194" s="61">
        <v>10</v>
      </c>
      <c r="O194" s="61">
        <v>7.06</v>
      </c>
      <c r="P194" s="61">
        <v>12</v>
      </c>
      <c r="Q194" s="39">
        <f t="shared" si="17"/>
        <v>445.90153142857139</v>
      </c>
      <c r="R194" s="73">
        <v>1</v>
      </c>
      <c r="S194" s="41">
        <f t="shared" si="13"/>
        <v>70.599999999999994</v>
      </c>
      <c r="T194" s="23">
        <f t="shared" si="15"/>
        <v>10</v>
      </c>
      <c r="U194" s="41">
        <f t="shared" si="14"/>
        <v>1</v>
      </c>
      <c r="V194" s="40" t="str">
        <f t="shared" si="16"/>
        <v>MATCH</v>
      </c>
      <c r="W194" s="9"/>
      <c r="X194" s="74">
        <v>10</v>
      </c>
    </row>
    <row r="195" spans="12:24" x14ac:dyDescent="0.3">
      <c r="L195" s="82" t="s">
        <v>216</v>
      </c>
      <c r="M195" s="63">
        <v>25</v>
      </c>
      <c r="N195" s="63">
        <v>10</v>
      </c>
      <c r="O195" s="63">
        <v>11.95</v>
      </c>
      <c r="P195" s="63">
        <v>12</v>
      </c>
      <c r="Q195" s="44">
        <f t="shared" si="17"/>
        <v>460.66183035714289</v>
      </c>
      <c r="R195" s="71">
        <v>1</v>
      </c>
      <c r="S195" s="46">
        <f t="shared" si="13"/>
        <v>119.5</v>
      </c>
      <c r="T195" s="29">
        <f t="shared" si="15"/>
        <v>10</v>
      </c>
      <c r="U195" s="46">
        <f t="shared" si="14"/>
        <v>1</v>
      </c>
      <c r="V195" s="45" t="str">
        <f t="shared" si="16"/>
        <v>MATCH</v>
      </c>
      <c r="W195" s="10"/>
      <c r="X195" s="76">
        <v>10</v>
      </c>
    </row>
    <row r="196" spans="12:24" x14ac:dyDescent="0.3">
      <c r="L196" s="82" t="s">
        <v>217</v>
      </c>
      <c r="M196" s="63">
        <v>32</v>
      </c>
      <c r="N196" s="63">
        <v>10</v>
      </c>
      <c r="O196" s="63">
        <v>8.2100000000000009</v>
      </c>
      <c r="P196" s="63">
        <v>9</v>
      </c>
      <c r="Q196" s="44">
        <f t="shared" si="17"/>
        <v>518.53421714285719</v>
      </c>
      <c r="R196" s="70">
        <v>1</v>
      </c>
      <c r="S196" s="46">
        <f t="shared" si="13"/>
        <v>82.100000000000009</v>
      </c>
      <c r="T196" s="29">
        <f t="shared" si="15"/>
        <v>10</v>
      </c>
      <c r="U196" s="46">
        <f t="shared" si="14"/>
        <v>1</v>
      </c>
      <c r="V196" s="45" t="str">
        <f t="shared" si="16"/>
        <v>MATCH</v>
      </c>
      <c r="W196" s="10"/>
      <c r="X196" s="77">
        <v>10</v>
      </c>
    </row>
    <row r="197" spans="12:24" x14ac:dyDescent="0.3">
      <c r="L197" s="82" t="s">
        <v>218</v>
      </c>
      <c r="M197" s="63">
        <v>25</v>
      </c>
      <c r="N197" s="63">
        <v>10</v>
      </c>
      <c r="O197" s="63">
        <v>11.14</v>
      </c>
      <c r="P197" s="63">
        <v>12</v>
      </c>
      <c r="Q197" s="44">
        <f t="shared" si="17"/>
        <v>429.43705357142863</v>
      </c>
      <c r="R197" s="71">
        <v>1</v>
      </c>
      <c r="S197" s="46">
        <f t="shared" si="13"/>
        <v>111.4</v>
      </c>
      <c r="T197" s="29">
        <f t="shared" si="15"/>
        <v>10</v>
      </c>
      <c r="U197" s="46">
        <f t="shared" si="14"/>
        <v>1</v>
      </c>
      <c r="V197" s="45" t="str">
        <f t="shared" si="16"/>
        <v>MATCH</v>
      </c>
      <c r="W197" s="10"/>
      <c r="X197" s="76">
        <v>10</v>
      </c>
    </row>
    <row r="198" spans="12:24" x14ac:dyDescent="0.3">
      <c r="L198" s="82" t="s">
        <v>219</v>
      </c>
      <c r="M198" s="63">
        <v>25</v>
      </c>
      <c r="N198" s="63">
        <v>10</v>
      </c>
      <c r="O198" s="63">
        <v>1.86</v>
      </c>
      <c r="P198" s="63">
        <v>6</v>
      </c>
      <c r="Q198" s="44">
        <f t="shared" si="17"/>
        <v>71.701339285714297</v>
      </c>
      <c r="R198" s="70">
        <v>1</v>
      </c>
      <c r="S198" s="46">
        <f t="shared" si="13"/>
        <v>18.600000000000001</v>
      </c>
      <c r="T198" s="29">
        <f t="shared" si="15"/>
        <v>4</v>
      </c>
      <c r="U198" s="46">
        <f t="shared" si="14"/>
        <v>3</v>
      </c>
      <c r="V198" s="45" t="str">
        <f t="shared" si="16"/>
        <v>MATCH</v>
      </c>
      <c r="W198" s="10"/>
      <c r="X198" s="77">
        <v>4</v>
      </c>
    </row>
    <row r="199" spans="12:24" x14ac:dyDescent="0.3">
      <c r="L199" s="82" t="s">
        <v>220</v>
      </c>
      <c r="M199" s="63">
        <v>16</v>
      </c>
      <c r="N199" s="63">
        <v>20</v>
      </c>
      <c r="O199" s="63">
        <v>4.3099999999999996</v>
      </c>
      <c r="P199" s="63">
        <v>9</v>
      </c>
      <c r="Q199" s="44">
        <f t="shared" si="17"/>
        <v>136.10733714285715</v>
      </c>
      <c r="R199" s="71">
        <v>1</v>
      </c>
      <c r="S199" s="46">
        <f t="shared" ref="S199:S262" si="18">N199*O199</f>
        <v>86.199999999999989</v>
      </c>
      <c r="T199" s="29">
        <f t="shared" si="15"/>
        <v>10</v>
      </c>
      <c r="U199" s="46">
        <f t="shared" ref="U199:U262" si="19">ROUNDDOWN(P199/O199, 0)</f>
        <v>2</v>
      </c>
      <c r="V199" s="45" t="str">
        <f t="shared" si="16"/>
        <v>MATCH</v>
      </c>
      <c r="W199" s="10"/>
      <c r="X199" s="76">
        <v>10</v>
      </c>
    </row>
    <row r="200" spans="12:24" x14ac:dyDescent="0.3">
      <c r="L200" s="82" t="s">
        <v>221</v>
      </c>
      <c r="M200" s="63">
        <v>12</v>
      </c>
      <c r="N200" s="63">
        <v>137</v>
      </c>
      <c r="O200" s="63">
        <v>2.75</v>
      </c>
      <c r="P200" s="63">
        <v>6</v>
      </c>
      <c r="Q200" s="44">
        <f t="shared" si="17"/>
        <v>334.6185857142857</v>
      </c>
      <c r="R200" s="70">
        <v>1</v>
      </c>
      <c r="S200" s="46">
        <f t="shared" si="18"/>
        <v>376.75</v>
      </c>
      <c r="T200" s="29">
        <f t="shared" ref="T200:T263" si="20">IF(P200=0,0,ROUNDUP((N200/U200)*R200,0))</f>
        <v>69</v>
      </c>
      <c r="U200" s="46">
        <f t="shared" si="19"/>
        <v>2</v>
      </c>
      <c r="V200" s="45" t="str">
        <f t="shared" ref="V200:V263" si="21">IF(T200=X200, "MATCH", "RECHECK")</f>
        <v>MATCH</v>
      </c>
      <c r="W200" s="10"/>
      <c r="X200" s="77">
        <v>69</v>
      </c>
    </row>
    <row r="201" spans="12:24" x14ac:dyDescent="0.3">
      <c r="L201" s="82" t="s">
        <v>222</v>
      </c>
      <c r="M201" s="63">
        <v>12</v>
      </c>
      <c r="N201" s="63">
        <v>126</v>
      </c>
      <c r="O201" s="63">
        <v>2.0699999999999998</v>
      </c>
      <c r="P201" s="63">
        <v>6</v>
      </c>
      <c r="Q201" s="44">
        <f t="shared" si="17"/>
        <v>231.652872</v>
      </c>
      <c r="R201" s="71">
        <v>1</v>
      </c>
      <c r="S201" s="46">
        <f t="shared" si="18"/>
        <v>260.82</v>
      </c>
      <c r="T201" s="29">
        <f t="shared" si="20"/>
        <v>63</v>
      </c>
      <c r="U201" s="46">
        <f t="shared" si="19"/>
        <v>2</v>
      </c>
      <c r="V201" s="45" t="str">
        <f t="shared" si="21"/>
        <v>MATCH</v>
      </c>
      <c r="W201" s="10"/>
      <c r="X201" s="76">
        <v>63</v>
      </c>
    </row>
    <row r="202" spans="12:24" x14ac:dyDescent="0.3">
      <c r="L202" s="82" t="s">
        <v>223</v>
      </c>
      <c r="M202" s="63">
        <v>12</v>
      </c>
      <c r="N202" s="63">
        <v>211</v>
      </c>
      <c r="O202" s="63">
        <v>0.8</v>
      </c>
      <c r="P202" s="63">
        <v>6</v>
      </c>
      <c r="Q202" s="44">
        <f t="shared" si="17"/>
        <v>149.92333714285715</v>
      </c>
      <c r="R202" s="70">
        <v>1</v>
      </c>
      <c r="S202" s="46">
        <f t="shared" si="18"/>
        <v>168.8</v>
      </c>
      <c r="T202" s="29">
        <f t="shared" si="20"/>
        <v>31</v>
      </c>
      <c r="U202" s="46">
        <f t="shared" si="19"/>
        <v>7</v>
      </c>
      <c r="V202" s="45" t="str">
        <f t="shared" si="21"/>
        <v>MATCH</v>
      </c>
      <c r="W202" s="10"/>
      <c r="X202" s="77">
        <v>31</v>
      </c>
    </row>
    <row r="203" spans="12:24" x14ac:dyDescent="0.3">
      <c r="L203" s="82" t="s">
        <v>224</v>
      </c>
      <c r="M203" s="63">
        <v>12</v>
      </c>
      <c r="N203" s="63">
        <v>170</v>
      </c>
      <c r="O203" s="63">
        <v>0.9</v>
      </c>
      <c r="P203" s="63">
        <v>6</v>
      </c>
      <c r="Q203" s="44">
        <f t="shared" si="17"/>
        <v>135.89022857142857</v>
      </c>
      <c r="R203" s="71">
        <v>1</v>
      </c>
      <c r="S203" s="46">
        <f t="shared" si="18"/>
        <v>153</v>
      </c>
      <c r="T203" s="29">
        <f t="shared" si="20"/>
        <v>29</v>
      </c>
      <c r="U203" s="46">
        <f t="shared" si="19"/>
        <v>6</v>
      </c>
      <c r="V203" s="45" t="str">
        <f t="shared" si="21"/>
        <v>MATCH</v>
      </c>
      <c r="W203" s="10"/>
      <c r="X203" s="76">
        <v>29</v>
      </c>
    </row>
    <row r="204" spans="12:24" x14ac:dyDescent="0.3">
      <c r="L204" s="82" t="s">
        <v>225</v>
      </c>
      <c r="M204" s="63">
        <v>10</v>
      </c>
      <c r="N204" s="63">
        <v>28</v>
      </c>
      <c r="O204" s="63">
        <v>2.72</v>
      </c>
      <c r="P204" s="63">
        <v>6</v>
      </c>
      <c r="Q204" s="44">
        <f t="shared" si="17"/>
        <v>46.974400000000003</v>
      </c>
      <c r="R204" s="70">
        <v>1</v>
      </c>
      <c r="S204" s="46">
        <f t="shared" si="18"/>
        <v>76.160000000000011</v>
      </c>
      <c r="T204" s="29">
        <f t="shared" si="20"/>
        <v>14</v>
      </c>
      <c r="U204" s="46">
        <f t="shared" si="19"/>
        <v>2</v>
      </c>
      <c r="V204" s="45" t="str">
        <f t="shared" si="21"/>
        <v>MATCH</v>
      </c>
      <c r="W204" s="10"/>
      <c r="X204" s="77">
        <v>14</v>
      </c>
    </row>
    <row r="205" spans="12:24" x14ac:dyDescent="0.3">
      <c r="L205" s="82" t="s">
        <v>226</v>
      </c>
      <c r="M205" s="63">
        <v>10</v>
      </c>
      <c r="N205" s="63">
        <v>56</v>
      </c>
      <c r="O205" s="63">
        <v>1.752</v>
      </c>
      <c r="P205" s="63">
        <v>6</v>
      </c>
      <c r="Q205" s="44">
        <f t="shared" si="17"/>
        <v>60.514079999999993</v>
      </c>
      <c r="R205" s="71">
        <v>1</v>
      </c>
      <c r="S205" s="46">
        <f t="shared" si="18"/>
        <v>98.111999999999995</v>
      </c>
      <c r="T205" s="29">
        <f t="shared" si="20"/>
        <v>19</v>
      </c>
      <c r="U205" s="46">
        <f t="shared" si="19"/>
        <v>3</v>
      </c>
      <c r="V205" s="45" t="str">
        <f t="shared" si="21"/>
        <v>MATCH</v>
      </c>
      <c r="W205" s="10"/>
      <c r="X205" s="76">
        <v>19</v>
      </c>
    </row>
    <row r="206" spans="12:24" x14ac:dyDescent="0.3">
      <c r="L206" s="82" t="s">
        <v>227</v>
      </c>
      <c r="M206" s="63">
        <v>10</v>
      </c>
      <c r="N206" s="63">
        <v>21</v>
      </c>
      <c r="O206" s="63">
        <v>1.4</v>
      </c>
      <c r="P206" s="63">
        <v>6</v>
      </c>
      <c r="Q206" s="44">
        <f t="shared" si="17"/>
        <v>18.133499999999998</v>
      </c>
      <c r="R206" s="70">
        <v>1</v>
      </c>
      <c r="S206" s="46">
        <f t="shared" si="18"/>
        <v>29.4</v>
      </c>
      <c r="T206" s="29">
        <f t="shared" si="20"/>
        <v>6</v>
      </c>
      <c r="U206" s="46">
        <f t="shared" si="19"/>
        <v>4</v>
      </c>
      <c r="V206" s="45" t="str">
        <f t="shared" si="21"/>
        <v>MATCH</v>
      </c>
      <c r="W206" s="10"/>
      <c r="X206" s="77">
        <v>6</v>
      </c>
    </row>
    <row r="207" spans="12:24" x14ac:dyDescent="0.3">
      <c r="L207" s="83" t="s">
        <v>228</v>
      </c>
      <c r="M207" s="69">
        <v>10</v>
      </c>
      <c r="N207" s="69">
        <v>21</v>
      </c>
      <c r="O207" s="69">
        <v>0.95</v>
      </c>
      <c r="P207" s="69">
        <v>6</v>
      </c>
      <c r="Q207" s="49">
        <f t="shared" si="17"/>
        <v>12.304874999999999</v>
      </c>
      <c r="R207" s="85">
        <v>1</v>
      </c>
      <c r="S207" s="51">
        <f t="shared" si="18"/>
        <v>19.95</v>
      </c>
      <c r="T207" s="35">
        <f t="shared" si="20"/>
        <v>4</v>
      </c>
      <c r="U207" s="51">
        <f t="shared" si="19"/>
        <v>6</v>
      </c>
      <c r="V207" s="50" t="str">
        <f t="shared" si="21"/>
        <v>MATCH</v>
      </c>
      <c r="W207" s="11"/>
      <c r="X207" s="80">
        <v>4</v>
      </c>
    </row>
    <row r="208" spans="12:24" x14ac:dyDescent="0.3">
      <c r="L208" s="72" t="s">
        <v>229</v>
      </c>
      <c r="M208" s="55">
        <v>32</v>
      </c>
      <c r="N208" s="55">
        <v>10</v>
      </c>
      <c r="O208" s="55">
        <v>7</v>
      </c>
      <c r="P208" s="55">
        <v>7.5</v>
      </c>
      <c r="Q208" s="39">
        <f t="shared" si="17"/>
        <v>442.11200000000002</v>
      </c>
      <c r="R208" s="73">
        <v>1</v>
      </c>
      <c r="S208" s="41">
        <f t="shared" si="18"/>
        <v>70</v>
      </c>
      <c r="T208" s="23">
        <f t="shared" si="20"/>
        <v>10</v>
      </c>
      <c r="U208" s="41">
        <f t="shared" si="19"/>
        <v>1</v>
      </c>
      <c r="V208" s="40" t="str">
        <f t="shared" si="21"/>
        <v>MATCH</v>
      </c>
      <c r="W208" s="9"/>
      <c r="X208" s="74">
        <v>10</v>
      </c>
    </row>
    <row r="209" spans="12:24" x14ac:dyDescent="0.3">
      <c r="L209" s="75" t="s">
        <v>230</v>
      </c>
      <c r="M209" s="57">
        <v>25</v>
      </c>
      <c r="N209" s="57">
        <v>10</v>
      </c>
      <c r="O209" s="57">
        <v>11.95</v>
      </c>
      <c r="P209" s="57">
        <v>12</v>
      </c>
      <c r="Q209" s="44">
        <f t="shared" si="17"/>
        <v>460.66183035714289</v>
      </c>
      <c r="R209" s="71">
        <v>1</v>
      </c>
      <c r="S209" s="46">
        <f t="shared" si="18"/>
        <v>119.5</v>
      </c>
      <c r="T209" s="29">
        <f t="shared" si="20"/>
        <v>10</v>
      </c>
      <c r="U209" s="46">
        <f t="shared" si="19"/>
        <v>1</v>
      </c>
      <c r="V209" s="45" t="str">
        <f t="shared" si="21"/>
        <v>MATCH</v>
      </c>
      <c r="W209" s="10"/>
      <c r="X209" s="76">
        <v>10</v>
      </c>
    </row>
    <row r="210" spans="12:24" x14ac:dyDescent="0.3">
      <c r="L210" s="75" t="s">
        <v>231</v>
      </c>
      <c r="M210" s="57">
        <v>32</v>
      </c>
      <c r="N210" s="57">
        <v>10</v>
      </c>
      <c r="O210" s="57">
        <v>8.31</v>
      </c>
      <c r="P210" s="57">
        <v>9</v>
      </c>
      <c r="Q210" s="44">
        <f t="shared" si="17"/>
        <v>524.85010285714293</v>
      </c>
      <c r="R210" s="70">
        <v>1</v>
      </c>
      <c r="S210" s="46">
        <f t="shared" si="18"/>
        <v>83.100000000000009</v>
      </c>
      <c r="T210" s="29">
        <f t="shared" si="20"/>
        <v>10</v>
      </c>
      <c r="U210" s="46">
        <f t="shared" si="19"/>
        <v>1</v>
      </c>
      <c r="V210" s="45" t="str">
        <f t="shared" si="21"/>
        <v>MATCH</v>
      </c>
      <c r="W210" s="10"/>
      <c r="X210" s="77">
        <v>10</v>
      </c>
    </row>
    <row r="211" spans="12:24" x14ac:dyDescent="0.3">
      <c r="L211" s="75" t="s">
        <v>232</v>
      </c>
      <c r="M211" s="57">
        <v>25</v>
      </c>
      <c r="N211" s="57">
        <v>10</v>
      </c>
      <c r="O211" s="57">
        <v>11.06</v>
      </c>
      <c r="P211" s="57">
        <v>12</v>
      </c>
      <c r="Q211" s="44">
        <f t="shared" si="17"/>
        <v>426.35312500000003</v>
      </c>
      <c r="R211" s="71">
        <v>1</v>
      </c>
      <c r="S211" s="46">
        <f t="shared" si="18"/>
        <v>110.60000000000001</v>
      </c>
      <c r="T211" s="29">
        <f t="shared" si="20"/>
        <v>10</v>
      </c>
      <c r="U211" s="46">
        <f t="shared" si="19"/>
        <v>1</v>
      </c>
      <c r="V211" s="45" t="str">
        <f t="shared" si="21"/>
        <v>MATCH</v>
      </c>
      <c r="W211" s="10"/>
      <c r="X211" s="76">
        <v>10</v>
      </c>
    </row>
    <row r="212" spans="12:24" x14ac:dyDescent="0.3">
      <c r="L212" s="75" t="s">
        <v>233</v>
      </c>
      <c r="M212" s="57">
        <v>32</v>
      </c>
      <c r="N212" s="57">
        <v>4</v>
      </c>
      <c r="O212" s="57">
        <v>5.97</v>
      </c>
      <c r="P212" s="57">
        <v>6</v>
      </c>
      <c r="Q212" s="44">
        <f t="shared" si="17"/>
        <v>150.82335085714286</v>
      </c>
      <c r="R212" s="70">
        <v>1</v>
      </c>
      <c r="S212" s="46">
        <f t="shared" si="18"/>
        <v>23.88</v>
      </c>
      <c r="T212" s="29">
        <f t="shared" si="20"/>
        <v>4</v>
      </c>
      <c r="U212" s="46">
        <f t="shared" si="19"/>
        <v>1</v>
      </c>
      <c r="V212" s="45" t="str">
        <f t="shared" si="21"/>
        <v>MATCH</v>
      </c>
      <c r="W212" s="10"/>
      <c r="X212" s="77">
        <v>4</v>
      </c>
    </row>
    <row r="213" spans="12:24" x14ac:dyDescent="0.3">
      <c r="L213" s="75" t="s">
        <v>234</v>
      </c>
      <c r="M213" s="57">
        <v>16</v>
      </c>
      <c r="N213" s="57">
        <v>12</v>
      </c>
      <c r="O213" s="57">
        <v>4.3099999999999996</v>
      </c>
      <c r="P213" s="57">
        <v>6</v>
      </c>
      <c r="Q213" s="44">
        <f t="shared" si="17"/>
        <v>81.664402285714274</v>
      </c>
      <c r="R213" s="71">
        <v>1</v>
      </c>
      <c r="S213" s="46">
        <f t="shared" si="18"/>
        <v>51.72</v>
      </c>
      <c r="T213" s="29">
        <f t="shared" si="20"/>
        <v>12</v>
      </c>
      <c r="U213" s="46">
        <f t="shared" si="19"/>
        <v>1</v>
      </c>
      <c r="V213" s="45" t="str">
        <f t="shared" si="21"/>
        <v>MATCH</v>
      </c>
      <c r="W213" s="10"/>
      <c r="X213" s="76">
        <v>12</v>
      </c>
    </row>
    <row r="214" spans="12:24" x14ac:dyDescent="0.3">
      <c r="L214" s="75" t="s">
        <v>235</v>
      </c>
      <c r="M214" s="57">
        <v>12</v>
      </c>
      <c r="N214" s="57">
        <v>121</v>
      </c>
      <c r="O214" s="57">
        <v>2.75</v>
      </c>
      <c r="P214" s="57">
        <v>6</v>
      </c>
      <c r="Q214" s="44">
        <f t="shared" si="17"/>
        <v>295.53904285714282</v>
      </c>
      <c r="R214" s="70">
        <v>1</v>
      </c>
      <c r="S214" s="46">
        <f t="shared" si="18"/>
        <v>332.75</v>
      </c>
      <c r="T214" s="29">
        <f t="shared" si="20"/>
        <v>61</v>
      </c>
      <c r="U214" s="46">
        <f t="shared" si="19"/>
        <v>2</v>
      </c>
      <c r="V214" s="45" t="str">
        <f t="shared" si="21"/>
        <v>MATCH</v>
      </c>
      <c r="W214" s="10"/>
      <c r="X214" s="77">
        <v>61</v>
      </c>
    </row>
    <row r="215" spans="12:24" x14ac:dyDescent="0.3">
      <c r="L215" s="75" t="s">
        <v>236</v>
      </c>
      <c r="M215" s="57">
        <v>12</v>
      </c>
      <c r="N215" s="57">
        <v>76</v>
      </c>
      <c r="O215" s="57">
        <v>1.96</v>
      </c>
      <c r="P215" s="57">
        <v>6</v>
      </c>
      <c r="Q215" s="44">
        <f t="shared" ref="Q215:Q254" si="22">((22/(7*4))*(M215^2)/(1000^2))*S215*$B$24</f>
        <v>132.30201599999998</v>
      </c>
      <c r="R215" s="71">
        <v>1</v>
      </c>
      <c r="S215" s="46">
        <f t="shared" si="18"/>
        <v>148.96</v>
      </c>
      <c r="T215" s="29">
        <f t="shared" si="20"/>
        <v>26</v>
      </c>
      <c r="U215" s="46">
        <f t="shared" si="19"/>
        <v>3</v>
      </c>
      <c r="V215" s="45" t="str">
        <f t="shared" si="21"/>
        <v>MATCH</v>
      </c>
      <c r="W215" s="10"/>
      <c r="X215" s="76">
        <v>26</v>
      </c>
    </row>
    <row r="216" spans="12:24" x14ac:dyDescent="0.3">
      <c r="L216" s="75" t="s">
        <v>237</v>
      </c>
      <c r="M216" s="57">
        <v>12</v>
      </c>
      <c r="N216" s="57">
        <v>38</v>
      </c>
      <c r="O216" s="57">
        <v>2.0499999999999998</v>
      </c>
      <c r="P216" s="57">
        <v>7.5</v>
      </c>
      <c r="Q216" s="44">
        <f t="shared" si="22"/>
        <v>69.188554285714275</v>
      </c>
      <c r="R216" s="70">
        <v>1</v>
      </c>
      <c r="S216" s="46">
        <f t="shared" si="18"/>
        <v>77.899999999999991</v>
      </c>
      <c r="T216" s="29">
        <f t="shared" si="20"/>
        <v>13</v>
      </c>
      <c r="U216" s="46">
        <f t="shared" si="19"/>
        <v>3</v>
      </c>
      <c r="V216" s="45" t="str">
        <f t="shared" si="21"/>
        <v>MATCH</v>
      </c>
      <c r="W216" s="10"/>
      <c r="X216" s="77">
        <v>13</v>
      </c>
    </row>
    <row r="217" spans="12:24" x14ac:dyDescent="0.3">
      <c r="L217" s="75" t="s">
        <v>238</v>
      </c>
      <c r="M217" s="57">
        <v>10</v>
      </c>
      <c r="N217" s="57">
        <v>56</v>
      </c>
      <c r="O217" s="57">
        <v>1.78</v>
      </c>
      <c r="P217" s="57">
        <v>6</v>
      </c>
      <c r="Q217" s="44">
        <f t="shared" si="22"/>
        <v>61.481200000000001</v>
      </c>
      <c r="R217" s="71">
        <v>1</v>
      </c>
      <c r="S217" s="46">
        <f t="shared" si="18"/>
        <v>99.68</v>
      </c>
      <c r="T217" s="29">
        <f t="shared" si="20"/>
        <v>19</v>
      </c>
      <c r="U217" s="46">
        <f t="shared" si="19"/>
        <v>3</v>
      </c>
      <c r="V217" s="45" t="str">
        <f t="shared" si="21"/>
        <v>MATCH</v>
      </c>
      <c r="W217" s="10"/>
      <c r="X217" s="76">
        <v>19</v>
      </c>
    </row>
    <row r="218" spans="12:24" x14ac:dyDescent="0.3">
      <c r="L218" s="75" t="s">
        <v>239</v>
      </c>
      <c r="M218" s="57">
        <v>10</v>
      </c>
      <c r="N218" s="57">
        <v>28</v>
      </c>
      <c r="O218" s="57">
        <v>2.72</v>
      </c>
      <c r="P218" s="57">
        <v>6</v>
      </c>
      <c r="Q218" s="44">
        <f t="shared" si="22"/>
        <v>46.974400000000003</v>
      </c>
      <c r="R218" s="70">
        <v>1</v>
      </c>
      <c r="S218" s="46">
        <f t="shared" si="18"/>
        <v>76.160000000000011</v>
      </c>
      <c r="T218" s="29">
        <f t="shared" si="20"/>
        <v>14</v>
      </c>
      <c r="U218" s="46">
        <f t="shared" si="19"/>
        <v>2</v>
      </c>
      <c r="V218" s="45" t="str">
        <f t="shared" si="21"/>
        <v>MATCH</v>
      </c>
      <c r="W218" s="10"/>
      <c r="X218" s="77">
        <v>14</v>
      </c>
    </row>
    <row r="219" spans="12:24" x14ac:dyDescent="0.3">
      <c r="L219" s="75" t="s">
        <v>240</v>
      </c>
      <c r="M219" s="57">
        <v>10</v>
      </c>
      <c r="N219" s="57">
        <v>56</v>
      </c>
      <c r="O219" s="57">
        <v>1.75</v>
      </c>
      <c r="P219" s="57">
        <v>6</v>
      </c>
      <c r="Q219" s="44">
        <f t="shared" si="22"/>
        <v>60.444999999999993</v>
      </c>
      <c r="R219" s="71">
        <v>1</v>
      </c>
      <c r="S219" s="46">
        <f t="shared" si="18"/>
        <v>98</v>
      </c>
      <c r="T219" s="29">
        <f t="shared" si="20"/>
        <v>19</v>
      </c>
      <c r="U219" s="46">
        <f t="shared" si="19"/>
        <v>3</v>
      </c>
      <c r="V219" s="45" t="str">
        <f t="shared" si="21"/>
        <v>RECHECK</v>
      </c>
      <c r="W219" s="10"/>
      <c r="X219" s="76">
        <v>14</v>
      </c>
    </row>
    <row r="220" spans="12:24" x14ac:dyDescent="0.3">
      <c r="L220" s="75" t="s">
        <v>241</v>
      </c>
      <c r="M220" s="57">
        <v>10</v>
      </c>
      <c r="N220" s="57">
        <v>21</v>
      </c>
      <c r="O220" s="57">
        <v>1.4</v>
      </c>
      <c r="P220" s="57">
        <v>6</v>
      </c>
      <c r="Q220" s="44">
        <f t="shared" si="22"/>
        <v>18.133499999999998</v>
      </c>
      <c r="R220" s="70">
        <v>1</v>
      </c>
      <c r="S220" s="46">
        <f t="shared" si="18"/>
        <v>29.4</v>
      </c>
      <c r="T220" s="29">
        <f t="shared" si="20"/>
        <v>6</v>
      </c>
      <c r="U220" s="46">
        <f t="shared" si="19"/>
        <v>4</v>
      </c>
      <c r="V220" s="45" t="str">
        <f t="shared" si="21"/>
        <v>MATCH</v>
      </c>
      <c r="W220" s="10"/>
      <c r="X220" s="77">
        <v>6</v>
      </c>
    </row>
    <row r="221" spans="12:24" x14ac:dyDescent="0.3">
      <c r="L221" s="78" t="s">
        <v>242</v>
      </c>
      <c r="M221" s="59">
        <v>10</v>
      </c>
      <c r="N221" s="59">
        <v>42</v>
      </c>
      <c r="O221" s="59">
        <v>1.02</v>
      </c>
      <c r="P221" s="59">
        <v>6</v>
      </c>
      <c r="Q221" s="49">
        <f t="shared" si="22"/>
        <v>26.423100000000002</v>
      </c>
      <c r="R221" s="85">
        <v>1</v>
      </c>
      <c r="S221" s="51">
        <f t="shared" si="18"/>
        <v>42.84</v>
      </c>
      <c r="T221" s="35">
        <f t="shared" si="20"/>
        <v>9</v>
      </c>
      <c r="U221" s="51">
        <f t="shared" si="19"/>
        <v>5</v>
      </c>
      <c r="V221" s="50" t="str">
        <f t="shared" si="21"/>
        <v>MATCH</v>
      </c>
      <c r="W221" s="11"/>
      <c r="X221" s="80">
        <v>9</v>
      </c>
    </row>
    <row r="222" spans="12:24" x14ac:dyDescent="0.3">
      <c r="L222" s="81" t="s">
        <v>243</v>
      </c>
      <c r="M222" s="61">
        <v>32</v>
      </c>
      <c r="N222" s="61">
        <v>14</v>
      </c>
      <c r="O222" s="61">
        <v>10.5</v>
      </c>
      <c r="P222" s="61">
        <v>12</v>
      </c>
      <c r="Q222" s="39">
        <f t="shared" si="22"/>
        <v>928.43520000000001</v>
      </c>
      <c r="R222" s="73">
        <v>1</v>
      </c>
      <c r="S222" s="41">
        <f t="shared" si="18"/>
        <v>147</v>
      </c>
      <c r="T222" s="23">
        <f t="shared" si="20"/>
        <v>14</v>
      </c>
      <c r="U222" s="41">
        <f t="shared" si="19"/>
        <v>1</v>
      </c>
      <c r="V222" s="40" t="str">
        <f t="shared" si="21"/>
        <v>MATCH</v>
      </c>
      <c r="W222" s="9"/>
      <c r="X222" s="74">
        <v>14</v>
      </c>
    </row>
    <row r="223" spans="12:24" x14ac:dyDescent="0.3">
      <c r="L223" s="82" t="s">
        <v>244</v>
      </c>
      <c r="M223" s="63">
        <v>25</v>
      </c>
      <c r="N223" s="63">
        <v>9</v>
      </c>
      <c r="O223" s="63">
        <v>8.8699999999999992</v>
      </c>
      <c r="P223" s="63">
        <v>9</v>
      </c>
      <c r="Q223" s="44">
        <f t="shared" si="22"/>
        <v>307.73752232142857</v>
      </c>
      <c r="R223" s="71">
        <v>1</v>
      </c>
      <c r="S223" s="46">
        <f t="shared" si="18"/>
        <v>79.83</v>
      </c>
      <c r="T223" s="29">
        <f t="shared" si="20"/>
        <v>9</v>
      </c>
      <c r="U223" s="46">
        <f t="shared" si="19"/>
        <v>1</v>
      </c>
      <c r="V223" s="45" t="str">
        <f t="shared" si="21"/>
        <v>MATCH</v>
      </c>
      <c r="W223" s="10"/>
      <c r="X223" s="76">
        <v>9</v>
      </c>
    </row>
    <row r="224" spans="12:24" x14ac:dyDescent="0.3">
      <c r="L224" s="82" t="s">
        <v>245</v>
      </c>
      <c r="M224" s="63">
        <v>32</v>
      </c>
      <c r="N224" s="63">
        <v>14</v>
      </c>
      <c r="O224" s="63">
        <v>12</v>
      </c>
      <c r="P224" s="63">
        <v>12</v>
      </c>
      <c r="Q224" s="44">
        <f t="shared" si="22"/>
        <v>1061.0688</v>
      </c>
      <c r="R224" s="70">
        <v>1</v>
      </c>
      <c r="S224" s="46">
        <f t="shared" si="18"/>
        <v>168</v>
      </c>
      <c r="T224" s="29">
        <f t="shared" si="20"/>
        <v>14</v>
      </c>
      <c r="U224" s="46">
        <f t="shared" si="19"/>
        <v>1</v>
      </c>
      <c r="V224" s="45" t="str">
        <f t="shared" si="21"/>
        <v>MATCH</v>
      </c>
      <c r="W224" s="10"/>
      <c r="X224" s="77">
        <v>14</v>
      </c>
    </row>
    <row r="225" spans="12:24" x14ac:dyDescent="0.3">
      <c r="L225" s="82" t="s">
        <v>246</v>
      </c>
      <c r="M225" s="63">
        <v>25</v>
      </c>
      <c r="N225" s="63">
        <v>9</v>
      </c>
      <c r="O225" s="63">
        <v>7.37</v>
      </c>
      <c r="P225" s="63">
        <v>7.5</v>
      </c>
      <c r="Q225" s="44">
        <f t="shared" si="22"/>
        <v>255.69622767857143</v>
      </c>
      <c r="R225" s="71">
        <v>1</v>
      </c>
      <c r="S225" s="46">
        <f t="shared" si="18"/>
        <v>66.33</v>
      </c>
      <c r="T225" s="29">
        <f t="shared" si="20"/>
        <v>9</v>
      </c>
      <c r="U225" s="46">
        <f t="shared" si="19"/>
        <v>1</v>
      </c>
      <c r="V225" s="45" t="str">
        <f t="shared" si="21"/>
        <v>MATCH</v>
      </c>
      <c r="W225" s="10"/>
      <c r="X225" s="76">
        <v>9</v>
      </c>
    </row>
    <row r="226" spans="12:24" x14ac:dyDescent="0.3">
      <c r="L226" s="82" t="s">
        <v>247</v>
      </c>
      <c r="M226" s="63">
        <v>25</v>
      </c>
      <c r="N226" s="63">
        <v>5</v>
      </c>
      <c r="O226" s="63">
        <v>4.3099999999999996</v>
      </c>
      <c r="P226" s="63">
        <v>6</v>
      </c>
      <c r="Q226" s="44">
        <f t="shared" si="22"/>
        <v>83.073325892857142</v>
      </c>
      <c r="R226" s="70">
        <v>1</v>
      </c>
      <c r="S226" s="46">
        <f t="shared" si="18"/>
        <v>21.549999999999997</v>
      </c>
      <c r="T226" s="29">
        <f t="shared" si="20"/>
        <v>5</v>
      </c>
      <c r="U226" s="46">
        <f t="shared" si="19"/>
        <v>1</v>
      </c>
      <c r="V226" s="45" t="str">
        <f t="shared" si="21"/>
        <v>MATCH</v>
      </c>
      <c r="W226" s="10"/>
      <c r="X226" s="77">
        <v>5</v>
      </c>
    </row>
    <row r="227" spans="12:24" x14ac:dyDescent="0.3">
      <c r="L227" s="82" t="s">
        <v>248</v>
      </c>
      <c r="M227" s="63">
        <v>25</v>
      </c>
      <c r="N227" s="63">
        <v>5</v>
      </c>
      <c r="O227" s="63">
        <v>3</v>
      </c>
      <c r="P227" s="63">
        <v>6</v>
      </c>
      <c r="Q227" s="44">
        <f t="shared" si="22"/>
        <v>57.823660714285722</v>
      </c>
      <c r="R227" s="71">
        <v>1</v>
      </c>
      <c r="S227" s="46">
        <f t="shared" si="18"/>
        <v>15</v>
      </c>
      <c r="T227" s="29">
        <f t="shared" si="20"/>
        <v>3</v>
      </c>
      <c r="U227" s="46">
        <f t="shared" si="19"/>
        <v>2</v>
      </c>
      <c r="V227" s="45" t="str">
        <f t="shared" si="21"/>
        <v>MATCH</v>
      </c>
      <c r="W227" s="10"/>
      <c r="X227" s="76">
        <v>3</v>
      </c>
    </row>
    <row r="228" spans="12:24" x14ac:dyDescent="0.3">
      <c r="L228" s="82" t="s">
        <v>249</v>
      </c>
      <c r="M228" s="63">
        <v>12</v>
      </c>
      <c r="N228" s="63">
        <v>108</v>
      </c>
      <c r="O228" s="63">
        <v>2.75</v>
      </c>
      <c r="P228" s="63">
        <v>6</v>
      </c>
      <c r="Q228" s="44">
        <f t="shared" si="22"/>
        <v>263.78691428571426</v>
      </c>
      <c r="R228" s="70">
        <v>1</v>
      </c>
      <c r="S228" s="46">
        <f t="shared" si="18"/>
        <v>297</v>
      </c>
      <c r="T228" s="29">
        <f t="shared" si="20"/>
        <v>54</v>
      </c>
      <c r="U228" s="46">
        <f t="shared" si="19"/>
        <v>2</v>
      </c>
      <c r="V228" s="45" t="str">
        <f t="shared" si="21"/>
        <v>MATCH</v>
      </c>
      <c r="W228" s="10"/>
      <c r="X228" s="77">
        <v>54</v>
      </c>
    </row>
    <row r="229" spans="12:24" x14ac:dyDescent="0.3">
      <c r="L229" s="82" t="s">
        <v>250</v>
      </c>
      <c r="M229" s="63">
        <v>12</v>
      </c>
      <c r="N229" s="63">
        <v>150</v>
      </c>
      <c r="O229" s="63">
        <v>2.0699999999999998</v>
      </c>
      <c r="P229" s="63">
        <v>6</v>
      </c>
      <c r="Q229" s="44">
        <f t="shared" si="22"/>
        <v>275.77722857142851</v>
      </c>
      <c r="R229" s="71">
        <v>1</v>
      </c>
      <c r="S229" s="46">
        <f t="shared" si="18"/>
        <v>310.5</v>
      </c>
      <c r="T229" s="29">
        <f t="shared" si="20"/>
        <v>75</v>
      </c>
      <c r="U229" s="46">
        <f t="shared" si="19"/>
        <v>2</v>
      </c>
      <c r="V229" s="45" t="str">
        <f t="shared" si="21"/>
        <v>MATCH</v>
      </c>
      <c r="W229" s="10"/>
      <c r="X229" s="76">
        <v>75</v>
      </c>
    </row>
    <row r="230" spans="12:24" x14ac:dyDescent="0.3">
      <c r="L230" s="82" t="s">
        <v>251</v>
      </c>
      <c r="M230" s="63">
        <v>12</v>
      </c>
      <c r="N230" s="63">
        <v>216</v>
      </c>
      <c r="O230" s="63">
        <v>0.8</v>
      </c>
      <c r="P230" s="63">
        <v>6</v>
      </c>
      <c r="Q230" s="44">
        <f t="shared" si="22"/>
        <v>153.47602285714285</v>
      </c>
      <c r="R230" s="70">
        <v>1</v>
      </c>
      <c r="S230" s="46">
        <f t="shared" si="18"/>
        <v>172.8</v>
      </c>
      <c r="T230" s="29">
        <f t="shared" si="20"/>
        <v>31</v>
      </c>
      <c r="U230" s="46">
        <f t="shared" si="19"/>
        <v>7</v>
      </c>
      <c r="V230" s="45" t="str">
        <f t="shared" si="21"/>
        <v>MATCH</v>
      </c>
      <c r="W230" s="10"/>
      <c r="X230" s="77">
        <v>31</v>
      </c>
    </row>
    <row r="231" spans="12:24" x14ac:dyDescent="0.3">
      <c r="L231" s="82" t="s">
        <v>252</v>
      </c>
      <c r="M231" s="63">
        <v>12</v>
      </c>
      <c r="N231" s="63">
        <v>33</v>
      </c>
      <c r="O231" s="63">
        <v>1.95</v>
      </c>
      <c r="P231" s="63">
        <v>6</v>
      </c>
      <c r="Q231" s="44">
        <f t="shared" si="22"/>
        <v>57.153831428571415</v>
      </c>
      <c r="R231" s="71">
        <v>1</v>
      </c>
      <c r="S231" s="46">
        <f t="shared" si="18"/>
        <v>64.349999999999994</v>
      </c>
      <c r="T231" s="29">
        <f t="shared" si="20"/>
        <v>11</v>
      </c>
      <c r="U231" s="46">
        <f t="shared" si="19"/>
        <v>3</v>
      </c>
      <c r="V231" s="45" t="str">
        <f t="shared" si="21"/>
        <v>MATCH</v>
      </c>
      <c r="W231" s="10"/>
      <c r="X231" s="76">
        <v>11</v>
      </c>
    </row>
    <row r="232" spans="12:24" x14ac:dyDescent="0.3">
      <c r="L232" s="82" t="s">
        <v>253</v>
      </c>
      <c r="M232" s="63">
        <v>10</v>
      </c>
      <c r="N232" s="63">
        <v>28</v>
      </c>
      <c r="O232" s="63">
        <v>2.72</v>
      </c>
      <c r="P232" s="63">
        <v>6</v>
      </c>
      <c r="Q232" s="44">
        <f t="shared" si="22"/>
        <v>46.974400000000003</v>
      </c>
      <c r="R232" s="70">
        <v>1</v>
      </c>
      <c r="S232" s="46">
        <f t="shared" si="18"/>
        <v>76.160000000000011</v>
      </c>
      <c r="T232" s="29">
        <f t="shared" si="20"/>
        <v>14</v>
      </c>
      <c r="U232" s="46">
        <f t="shared" si="19"/>
        <v>2</v>
      </c>
      <c r="V232" s="45" t="str">
        <f t="shared" si="21"/>
        <v>MATCH</v>
      </c>
      <c r="W232" s="10"/>
      <c r="X232" s="77">
        <v>14</v>
      </c>
    </row>
    <row r="233" spans="12:24" x14ac:dyDescent="0.3">
      <c r="L233" s="82" t="s">
        <v>254</v>
      </c>
      <c r="M233" s="63">
        <v>10</v>
      </c>
      <c r="N233" s="63">
        <v>56</v>
      </c>
      <c r="O233" s="63">
        <v>2.12</v>
      </c>
      <c r="P233" s="63">
        <v>6</v>
      </c>
      <c r="Q233" s="44">
        <f t="shared" si="22"/>
        <v>73.224800000000002</v>
      </c>
      <c r="R233" s="71">
        <v>1</v>
      </c>
      <c r="S233" s="46">
        <f t="shared" si="18"/>
        <v>118.72</v>
      </c>
      <c r="T233" s="29">
        <f t="shared" si="20"/>
        <v>28</v>
      </c>
      <c r="U233" s="46">
        <f t="shared" si="19"/>
        <v>2</v>
      </c>
      <c r="V233" s="45" t="str">
        <f t="shared" si="21"/>
        <v>MATCH</v>
      </c>
      <c r="W233" s="10"/>
      <c r="X233" s="76">
        <v>28</v>
      </c>
    </row>
    <row r="234" spans="12:24" x14ac:dyDescent="0.3">
      <c r="L234" s="83" t="s">
        <v>255</v>
      </c>
      <c r="M234" s="69">
        <v>10</v>
      </c>
      <c r="N234" s="69">
        <v>28</v>
      </c>
      <c r="O234" s="69">
        <v>2.0099999999999998</v>
      </c>
      <c r="P234" s="69">
        <v>6</v>
      </c>
      <c r="Q234" s="49">
        <f t="shared" si="22"/>
        <v>34.712699999999991</v>
      </c>
      <c r="R234" s="79">
        <v>1</v>
      </c>
      <c r="S234" s="51">
        <f t="shared" si="18"/>
        <v>56.279999999999994</v>
      </c>
      <c r="T234" s="35">
        <f t="shared" si="20"/>
        <v>14</v>
      </c>
      <c r="U234" s="51">
        <f t="shared" si="19"/>
        <v>2</v>
      </c>
      <c r="V234" s="50" t="str">
        <f t="shared" si="21"/>
        <v>MATCH</v>
      </c>
      <c r="W234" s="11"/>
      <c r="X234" s="84">
        <v>14</v>
      </c>
    </row>
    <row r="235" spans="12:24" x14ac:dyDescent="0.3">
      <c r="L235" s="86" t="s">
        <v>285</v>
      </c>
      <c r="M235" s="87">
        <v>32</v>
      </c>
      <c r="N235" s="87">
        <v>14</v>
      </c>
      <c r="O235" s="40">
        <v>11.06</v>
      </c>
      <c r="P235" s="40">
        <v>12</v>
      </c>
      <c r="Q235" s="39">
        <f t="shared" si="22"/>
        <v>977.95174400000008</v>
      </c>
      <c r="R235" s="73">
        <v>1</v>
      </c>
      <c r="S235" s="41">
        <f t="shared" si="18"/>
        <v>154.84</v>
      </c>
      <c r="T235" s="23">
        <f t="shared" si="20"/>
        <v>14</v>
      </c>
      <c r="U235" s="41">
        <f t="shared" si="19"/>
        <v>1</v>
      </c>
      <c r="V235" s="40" t="str">
        <f t="shared" si="21"/>
        <v>MATCH</v>
      </c>
      <c r="W235" s="9"/>
      <c r="X235" s="74">
        <v>14</v>
      </c>
    </row>
    <row r="236" spans="12:24" x14ac:dyDescent="0.3">
      <c r="L236" s="88" t="s">
        <v>286</v>
      </c>
      <c r="M236" s="65">
        <v>25</v>
      </c>
      <c r="N236" s="65">
        <v>10</v>
      </c>
      <c r="O236" s="65">
        <v>9.2100000000000009</v>
      </c>
      <c r="P236" s="45">
        <v>10.5</v>
      </c>
      <c r="Q236" s="44">
        <f t="shared" si="22"/>
        <v>355.03727678571437</v>
      </c>
      <c r="R236" s="71">
        <v>1</v>
      </c>
      <c r="S236" s="46">
        <f t="shared" si="18"/>
        <v>92.100000000000009</v>
      </c>
      <c r="T236" s="29">
        <f t="shared" si="20"/>
        <v>10</v>
      </c>
      <c r="U236" s="46">
        <f t="shared" si="19"/>
        <v>1</v>
      </c>
      <c r="V236" s="45" t="str">
        <f t="shared" si="21"/>
        <v>MATCH</v>
      </c>
      <c r="W236" s="10"/>
      <c r="X236" s="76">
        <v>10</v>
      </c>
    </row>
    <row r="237" spans="12:24" x14ac:dyDescent="0.3">
      <c r="L237" s="89" t="s">
        <v>287</v>
      </c>
      <c r="M237" s="65">
        <v>32</v>
      </c>
      <c r="N237" s="65">
        <v>14</v>
      </c>
      <c r="O237" s="65">
        <v>12</v>
      </c>
      <c r="P237" s="65">
        <v>12</v>
      </c>
      <c r="Q237" s="44">
        <f t="shared" si="22"/>
        <v>1061.0688</v>
      </c>
      <c r="R237" s="70">
        <v>1</v>
      </c>
      <c r="S237" s="46">
        <f t="shared" si="18"/>
        <v>168</v>
      </c>
      <c r="T237" s="29">
        <f t="shared" si="20"/>
        <v>14</v>
      </c>
      <c r="U237" s="46">
        <f t="shared" si="19"/>
        <v>1</v>
      </c>
      <c r="V237" s="45" t="str">
        <f t="shared" si="21"/>
        <v>MATCH</v>
      </c>
      <c r="W237" s="10"/>
      <c r="X237" s="77">
        <v>14</v>
      </c>
    </row>
    <row r="238" spans="12:24" x14ac:dyDescent="0.3">
      <c r="L238" s="88" t="s">
        <v>288</v>
      </c>
      <c r="M238" s="65">
        <v>25</v>
      </c>
      <c r="N238" s="65">
        <v>10</v>
      </c>
      <c r="O238" s="65">
        <v>7.37</v>
      </c>
      <c r="P238" s="65">
        <v>7.5</v>
      </c>
      <c r="Q238" s="44">
        <f t="shared" si="22"/>
        <v>284.10691964285718</v>
      </c>
      <c r="R238" s="71">
        <v>1</v>
      </c>
      <c r="S238" s="46">
        <f t="shared" si="18"/>
        <v>73.7</v>
      </c>
      <c r="T238" s="29">
        <f t="shared" si="20"/>
        <v>10</v>
      </c>
      <c r="U238" s="46">
        <f t="shared" si="19"/>
        <v>1</v>
      </c>
      <c r="V238" s="45" t="str">
        <f t="shared" si="21"/>
        <v>MATCH</v>
      </c>
      <c r="W238" s="10"/>
      <c r="X238" s="76">
        <v>10</v>
      </c>
    </row>
    <row r="239" spans="12:24" x14ac:dyDescent="0.3">
      <c r="L239" s="89" t="s">
        <v>289</v>
      </c>
      <c r="M239" s="65">
        <v>25</v>
      </c>
      <c r="N239" s="65">
        <v>4</v>
      </c>
      <c r="O239" s="65">
        <v>4.3099999999999996</v>
      </c>
      <c r="P239" s="65">
        <v>6</v>
      </c>
      <c r="Q239" s="44">
        <f t="shared" si="22"/>
        <v>66.458660714285713</v>
      </c>
      <c r="R239" s="70">
        <v>1</v>
      </c>
      <c r="S239" s="46">
        <f t="shared" si="18"/>
        <v>17.239999999999998</v>
      </c>
      <c r="T239" s="29">
        <f t="shared" si="20"/>
        <v>4</v>
      </c>
      <c r="U239" s="46">
        <f t="shared" si="19"/>
        <v>1</v>
      </c>
      <c r="V239" s="45" t="str">
        <f t="shared" si="21"/>
        <v>MATCH</v>
      </c>
      <c r="W239" s="10"/>
      <c r="X239" s="77">
        <v>4</v>
      </c>
    </row>
    <row r="240" spans="12:24" x14ac:dyDescent="0.3">
      <c r="L240" s="88" t="s">
        <v>290</v>
      </c>
      <c r="M240" s="65">
        <v>25</v>
      </c>
      <c r="N240" s="65">
        <v>4</v>
      </c>
      <c r="O240" s="65">
        <v>3.06</v>
      </c>
      <c r="P240" s="65">
        <v>6</v>
      </c>
      <c r="Q240" s="44">
        <f t="shared" si="22"/>
        <v>47.184107142857144</v>
      </c>
      <c r="R240" s="71">
        <v>1</v>
      </c>
      <c r="S240" s="46">
        <f t="shared" si="18"/>
        <v>12.24</v>
      </c>
      <c r="T240" s="29">
        <f t="shared" si="20"/>
        <v>4</v>
      </c>
      <c r="U240" s="46">
        <f t="shared" si="19"/>
        <v>1</v>
      </c>
      <c r="V240" s="45" t="str">
        <f t="shared" si="21"/>
        <v>MATCH</v>
      </c>
      <c r="W240" s="10"/>
      <c r="X240" s="76">
        <v>4</v>
      </c>
    </row>
    <row r="241" spans="12:24" x14ac:dyDescent="0.3">
      <c r="L241" s="89" t="s">
        <v>291</v>
      </c>
      <c r="M241" s="65">
        <v>12</v>
      </c>
      <c r="N241" s="65">
        <v>176</v>
      </c>
      <c r="O241" s="65">
        <v>2.75</v>
      </c>
      <c r="P241" s="65">
        <v>6</v>
      </c>
      <c r="Q241" s="44">
        <f t="shared" si="22"/>
        <v>429.87497142857143</v>
      </c>
      <c r="R241" s="70">
        <v>1</v>
      </c>
      <c r="S241" s="46">
        <f t="shared" si="18"/>
        <v>484</v>
      </c>
      <c r="T241" s="29">
        <f t="shared" si="20"/>
        <v>88</v>
      </c>
      <c r="U241" s="46">
        <f t="shared" si="19"/>
        <v>2</v>
      </c>
      <c r="V241" s="45" t="str">
        <f t="shared" si="21"/>
        <v>MATCH</v>
      </c>
      <c r="W241" s="10"/>
      <c r="X241" s="77">
        <v>88</v>
      </c>
    </row>
    <row r="242" spans="12:24" x14ac:dyDescent="0.3">
      <c r="L242" s="88" t="s">
        <v>292</v>
      </c>
      <c r="M242" s="65">
        <v>12</v>
      </c>
      <c r="N242" s="65">
        <v>203</v>
      </c>
      <c r="O242" s="65">
        <v>2.0699999999999998</v>
      </c>
      <c r="P242" s="65">
        <v>6</v>
      </c>
      <c r="Q242" s="44">
        <f t="shared" si="22"/>
        <v>373.21851599999997</v>
      </c>
      <c r="R242" s="71">
        <v>1</v>
      </c>
      <c r="S242" s="46">
        <f t="shared" si="18"/>
        <v>420.21</v>
      </c>
      <c r="T242" s="29">
        <f t="shared" si="20"/>
        <v>102</v>
      </c>
      <c r="U242" s="46">
        <f t="shared" si="19"/>
        <v>2</v>
      </c>
      <c r="V242" s="45" t="str">
        <f t="shared" si="21"/>
        <v>MATCH</v>
      </c>
      <c r="W242" s="10"/>
      <c r="X242" s="76">
        <v>102</v>
      </c>
    </row>
    <row r="243" spans="12:24" x14ac:dyDescent="0.3">
      <c r="L243" s="89" t="s">
        <v>293</v>
      </c>
      <c r="M243" s="65">
        <v>12</v>
      </c>
      <c r="N243" s="65">
        <v>176</v>
      </c>
      <c r="O243" s="65">
        <v>0.8</v>
      </c>
      <c r="P243" s="65">
        <v>6</v>
      </c>
      <c r="Q243" s="44">
        <f t="shared" si="22"/>
        <v>125.05453714285714</v>
      </c>
      <c r="R243" s="70">
        <v>1</v>
      </c>
      <c r="S243" s="46">
        <f t="shared" si="18"/>
        <v>140.80000000000001</v>
      </c>
      <c r="T243" s="29">
        <f t="shared" si="20"/>
        <v>26</v>
      </c>
      <c r="U243" s="46">
        <f t="shared" si="19"/>
        <v>7</v>
      </c>
      <c r="V243" s="45" t="str">
        <f t="shared" si="21"/>
        <v>MATCH</v>
      </c>
      <c r="W243" s="10"/>
      <c r="X243" s="77">
        <v>26</v>
      </c>
    </row>
    <row r="244" spans="12:24" x14ac:dyDescent="0.3">
      <c r="L244" s="88" t="s">
        <v>294</v>
      </c>
      <c r="M244" s="65">
        <v>12</v>
      </c>
      <c r="N244" s="65">
        <v>66</v>
      </c>
      <c r="O244" s="65">
        <v>1.95</v>
      </c>
      <c r="P244" s="65">
        <v>6</v>
      </c>
      <c r="Q244" s="44">
        <f t="shared" si="22"/>
        <v>114.30766285714283</v>
      </c>
      <c r="R244" s="71">
        <v>1</v>
      </c>
      <c r="S244" s="46">
        <f t="shared" si="18"/>
        <v>128.69999999999999</v>
      </c>
      <c r="T244" s="29">
        <f t="shared" si="20"/>
        <v>22</v>
      </c>
      <c r="U244" s="46">
        <f t="shared" si="19"/>
        <v>3</v>
      </c>
      <c r="V244" s="45" t="str">
        <f t="shared" si="21"/>
        <v>MATCH</v>
      </c>
      <c r="W244" s="10"/>
      <c r="X244" s="76">
        <v>22</v>
      </c>
    </row>
    <row r="245" spans="12:24" x14ac:dyDescent="0.3">
      <c r="L245" s="89" t="s">
        <v>295</v>
      </c>
      <c r="M245" s="65">
        <v>12</v>
      </c>
      <c r="N245" s="65">
        <v>82</v>
      </c>
      <c r="O245" s="65">
        <v>1.78</v>
      </c>
      <c r="P245" s="65">
        <v>6</v>
      </c>
      <c r="Q245" s="44">
        <f t="shared" si="22"/>
        <v>129.63750171428572</v>
      </c>
      <c r="R245" s="70">
        <v>1</v>
      </c>
      <c r="S245" s="46">
        <f t="shared" si="18"/>
        <v>145.96</v>
      </c>
      <c r="T245" s="29">
        <f t="shared" si="20"/>
        <v>28</v>
      </c>
      <c r="U245" s="46">
        <f t="shared" si="19"/>
        <v>3</v>
      </c>
      <c r="V245" s="45" t="str">
        <f t="shared" si="21"/>
        <v>MATCH</v>
      </c>
      <c r="W245" s="10"/>
      <c r="X245" s="77">
        <v>28</v>
      </c>
    </row>
    <row r="246" spans="12:24" x14ac:dyDescent="0.3">
      <c r="L246" s="90" t="s">
        <v>296</v>
      </c>
      <c r="M246" s="67">
        <v>12</v>
      </c>
      <c r="N246" s="67">
        <v>41</v>
      </c>
      <c r="O246" s="50">
        <v>2.27</v>
      </c>
      <c r="P246" s="50">
        <v>6</v>
      </c>
      <c r="Q246" s="49">
        <f t="shared" si="22"/>
        <v>82.662114857142868</v>
      </c>
      <c r="R246" s="85">
        <v>1</v>
      </c>
      <c r="S246" s="51">
        <f t="shared" si="18"/>
        <v>93.070000000000007</v>
      </c>
      <c r="T246" s="35">
        <f t="shared" si="20"/>
        <v>21</v>
      </c>
      <c r="U246" s="51">
        <f t="shared" si="19"/>
        <v>2</v>
      </c>
      <c r="V246" s="50" t="str">
        <f t="shared" si="21"/>
        <v>MATCH</v>
      </c>
      <c r="W246" s="11"/>
      <c r="X246" s="80">
        <v>21</v>
      </c>
    </row>
    <row r="247" spans="12:24" x14ac:dyDescent="0.3">
      <c r="L247" s="86" t="s">
        <v>297</v>
      </c>
      <c r="M247" s="87">
        <v>32</v>
      </c>
      <c r="N247" s="87">
        <v>10</v>
      </c>
      <c r="O247" s="87">
        <v>4.21</v>
      </c>
      <c r="P247" s="87">
        <v>6</v>
      </c>
      <c r="Q247" s="39">
        <f t="shared" si="22"/>
        <v>265.89878857142861</v>
      </c>
      <c r="R247" s="73">
        <v>1</v>
      </c>
      <c r="S247" s="41">
        <f t="shared" si="18"/>
        <v>42.1</v>
      </c>
      <c r="T247" s="23">
        <f t="shared" si="20"/>
        <v>10</v>
      </c>
      <c r="U247" s="41">
        <f t="shared" si="19"/>
        <v>1</v>
      </c>
      <c r="V247" s="40" t="str">
        <f t="shared" si="21"/>
        <v>MATCH</v>
      </c>
      <c r="W247" s="9"/>
      <c r="X247" s="74">
        <v>10</v>
      </c>
    </row>
    <row r="248" spans="12:24" x14ac:dyDescent="0.3">
      <c r="L248" s="88" t="s">
        <v>298</v>
      </c>
      <c r="M248" s="65">
        <v>32</v>
      </c>
      <c r="N248" s="65">
        <v>10</v>
      </c>
      <c r="O248" s="65">
        <v>10.210000000000001</v>
      </c>
      <c r="P248" s="65">
        <v>10.5</v>
      </c>
      <c r="Q248" s="44">
        <f t="shared" si="22"/>
        <v>644.85193142857145</v>
      </c>
      <c r="R248" s="71">
        <v>1</v>
      </c>
      <c r="S248" s="46">
        <f t="shared" si="18"/>
        <v>102.10000000000001</v>
      </c>
      <c r="T248" s="29">
        <f t="shared" si="20"/>
        <v>10</v>
      </c>
      <c r="U248" s="46">
        <f t="shared" si="19"/>
        <v>1</v>
      </c>
      <c r="V248" s="45" t="str">
        <f t="shared" si="21"/>
        <v>MATCH</v>
      </c>
      <c r="W248" s="10"/>
      <c r="X248" s="76">
        <v>10</v>
      </c>
    </row>
    <row r="249" spans="12:24" x14ac:dyDescent="0.3">
      <c r="L249" s="89" t="s">
        <v>299</v>
      </c>
      <c r="M249" s="65">
        <v>32</v>
      </c>
      <c r="N249" s="65">
        <v>10</v>
      </c>
      <c r="O249" s="65">
        <v>8.51</v>
      </c>
      <c r="P249" s="65">
        <v>9</v>
      </c>
      <c r="Q249" s="44">
        <f t="shared" si="22"/>
        <v>537.4818742857143</v>
      </c>
      <c r="R249" s="70">
        <v>1</v>
      </c>
      <c r="S249" s="46">
        <f t="shared" si="18"/>
        <v>85.1</v>
      </c>
      <c r="T249" s="29">
        <f t="shared" si="20"/>
        <v>10</v>
      </c>
      <c r="U249" s="46">
        <f t="shared" si="19"/>
        <v>1</v>
      </c>
      <c r="V249" s="45" t="str">
        <f t="shared" si="21"/>
        <v>MATCH</v>
      </c>
      <c r="W249" s="10"/>
      <c r="X249" s="77">
        <v>10</v>
      </c>
    </row>
    <row r="250" spans="12:24" x14ac:dyDescent="0.3">
      <c r="L250" s="88" t="s">
        <v>300</v>
      </c>
      <c r="M250" s="65">
        <v>32</v>
      </c>
      <c r="N250" s="65">
        <v>10</v>
      </c>
      <c r="O250" s="65">
        <v>11.36</v>
      </c>
      <c r="P250" s="65">
        <v>12</v>
      </c>
      <c r="Q250" s="44">
        <f t="shared" si="22"/>
        <v>717.48461714285713</v>
      </c>
      <c r="R250" s="71">
        <v>1</v>
      </c>
      <c r="S250" s="46">
        <f t="shared" si="18"/>
        <v>113.6</v>
      </c>
      <c r="T250" s="29">
        <f t="shared" si="20"/>
        <v>10</v>
      </c>
      <c r="U250" s="46">
        <f t="shared" si="19"/>
        <v>1</v>
      </c>
      <c r="V250" s="45" t="str">
        <f t="shared" si="21"/>
        <v>MATCH</v>
      </c>
      <c r="W250" s="10"/>
      <c r="X250" s="76">
        <v>10</v>
      </c>
    </row>
    <row r="251" spans="12:24" x14ac:dyDescent="0.3">
      <c r="L251" s="89" t="s">
        <v>301</v>
      </c>
      <c r="M251" s="65">
        <v>32</v>
      </c>
      <c r="N251" s="65">
        <v>4</v>
      </c>
      <c r="O251" s="65">
        <v>8.51</v>
      </c>
      <c r="P251" s="65">
        <v>9</v>
      </c>
      <c r="Q251" s="44">
        <f t="shared" si="22"/>
        <v>214.99274971428571</v>
      </c>
      <c r="R251" s="70">
        <v>1</v>
      </c>
      <c r="S251" s="46">
        <f t="shared" si="18"/>
        <v>34.04</v>
      </c>
      <c r="T251" s="29">
        <f t="shared" si="20"/>
        <v>4</v>
      </c>
      <c r="U251" s="46">
        <f t="shared" si="19"/>
        <v>1</v>
      </c>
      <c r="V251" s="45" t="str">
        <f t="shared" si="21"/>
        <v>MATCH</v>
      </c>
      <c r="W251" s="10"/>
      <c r="X251" s="77">
        <v>4</v>
      </c>
    </row>
    <row r="252" spans="12:24" x14ac:dyDescent="0.3">
      <c r="L252" s="88" t="s">
        <v>302</v>
      </c>
      <c r="M252" s="65">
        <v>32</v>
      </c>
      <c r="N252" s="65">
        <v>4</v>
      </c>
      <c r="O252" s="65">
        <v>7.36</v>
      </c>
      <c r="P252" s="65">
        <v>7.5</v>
      </c>
      <c r="Q252" s="44">
        <f t="shared" si="22"/>
        <v>185.93967542857143</v>
      </c>
      <c r="R252" s="71">
        <v>1</v>
      </c>
      <c r="S252" s="46">
        <f t="shared" si="18"/>
        <v>29.44</v>
      </c>
      <c r="T252" s="29">
        <f t="shared" si="20"/>
        <v>4</v>
      </c>
      <c r="U252" s="46">
        <f t="shared" si="19"/>
        <v>1</v>
      </c>
      <c r="V252" s="45" t="str">
        <f t="shared" si="21"/>
        <v>MATCH</v>
      </c>
      <c r="W252" s="10"/>
      <c r="X252" s="76">
        <v>4</v>
      </c>
    </row>
    <row r="253" spans="12:24" x14ac:dyDescent="0.3">
      <c r="L253" s="89" t="s">
        <v>303</v>
      </c>
      <c r="M253" s="65">
        <v>32</v>
      </c>
      <c r="N253" s="65">
        <v>4</v>
      </c>
      <c r="O253" s="65">
        <v>12</v>
      </c>
      <c r="P253" s="65">
        <v>12</v>
      </c>
      <c r="Q253" s="44">
        <f t="shared" si="22"/>
        <v>303.16251428571428</v>
      </c>
      <c r="R253" s="70">
        <v>1</v>
      </c>
      <c r="S253" s="46">
        <f t="shared" si="18"/>
        <v>48</v>
      </c>
      <c r="T253" s="29">
        <f t="shared" si="20"/>
        <v>4</v>
      </c>
      <c r="U253" s="46">
        <f t="shared" si="19"/>
        <v>1</v>
      </c>
      <c r="V253" s="45" t="str">
        <f t="shared" si="21"/>
        <v>MATCH</v>
      </c>
      <c r="W253" s="10"/>
      <c r="X253" s="77">
        <v>4</v>
      </c>
    </row>
    <row r="254" spans="12:24" x14ac:dyDescent="0.3">
      <c r="L254" s="88" t="s">
        <v>304</v>
      </c>
      <c r="M254" s="65">
        <v>32</v>
      </c>
      <c r="N254" s="65">
        <v>4</v>
      </c>
      <c r="O254" s="65">
        <v>3.36</v>
      </c>
      <c r="P254" s="65">
        <v>8.5</v>
      </c>
      <c r="Q254" s="44">
        <f t="shared" si="22"/>
        <v>84.885503999999997</v>
      </c>
      <c r="R254" s="71">
        <v>1</v>
      </c>
      <c r="S254" s="46">
        <f t="shared" si="18"/>
        <v>13.44</v>
      </c>
      <c r="T254" s="29">
        <f t="shared" si="20"/>
        <v>2</v>
      </c>
      <c r="U254" s="46">
        <f t="shared" si="19"/>
        <v>2</v>
      </c>
      <c r="V254" s="45" t="str">
        <f t="shared" si="21"/>
        <v>MATCH</v>
      </c>
      <c r="W254" s="10"/>
      <c r="X254" s="76">
        <v>2</v>
      </c>
    </row>
    <row r="255" spans="12:24" x14ac:dyDescent="0.3">
      <c r="L255" s="89" t="s">
        <v>305</v>
      </c>
      <c r="M255" s="65">
        <v>32</v>
      </c>
      <c r="N255" s="65">
        <v>4</v>
      </c>
      <c r="O255" s="65">
        <v>6</v>
      </c>
      <c r="P255" s="65">
        <v>6</v>
      </c>
      <c r="Q255" s="44">
        <f>((22/(7*4))*(M255^2)/(1000^2))*S255*$B$24</f>
        <v>151.58125714285714</v>
      </c>
      <c r="R255" s="70">
        <v>1</v>
      </c>
      <c r="S255" s="46">
        <f t="shared" si="18"/>
        <v>24</v>
      </c>
      <c r="T255" s="29">
        <f t="shared" si="20"/>
        <v>4</v>
      </c>
      <c r="U255" s="46">
        <f t="shared" si="19"/>
        <v>1</v>
      </c>
      <c r="V255" s="45" t="str">
        <f t="shared" si="21"/>
        <v>MATCH</v>
      </c>
      <c r="W255" s="10"/>
      <c r="X255" s="77">
        <v>4</v>
      </c>
    </row>
    <row r="256" spans="12:24" x14ac:dyDescent="0.3">
      <c r="L256" s="88" t="s">
        <v>306</v>
      </c>
      <c r="M256" s="65">
        <v>10</v>
      </c>
      <c r="N256" s="65">
        <v>63</v>
      </c>
      <c r="O256" s="65">
        <v>2.72</v>
      </c>
      <c r="P256" s="65">
        <v>6</v>
      </c>
      <c r="Q256" s="44">
        <f>((22/(7*4))*(M256^2)/(1000^2))*S256*$B$24</f>
        <v>105.69240000000001</v>
      </c>
      <c r="R256" s="71">
        <v>1</v>
      </c>
      <c r="S256" s="46">
        <f t="shared" si="18"/>
        <v>171.36</v>
      </c>
      <c r="T256" s="29">
        <f t="shared" si="20"/>
        <v>32</v>
      </c>
      <c r="U256" s="46">
        <f t="shared" si="19"/>
        <v>2</v>
      </c>
      <c r="V256" s="45" t="str">
        <f t="shared" si="21"/>
        <v>MATCH</v>
      </c>
      <c r="W256" s="10"/>
      <c r="X256" s="76">
        <v>32</v>
      </c>
    </row>
    <row r="257" spans="12:24" x14ac:dyDescent="0.3">
      <c r="L257" s="89" t="s">
        <v>307</v>
      </c>
      <c r="M257" s="65">
        <v>10</v>
      </c>
      <c r="N257" s="65">
        <v>126</v>
      </c>
      <c r="O257" s="65">
        <v>1.82</v>
      </c>
      <c r="P257" s="65">
        <v>6</v>
      </c>
      <c r="Q257" s="44">
        <f>((22/(7*4))*(M256^2)/(1000^2))*S257*$B$24</f>
        <v>141.44129999999998</v>
      </c>
      <c r="R257" s="70">
        <v>1</v>
      </c>
      <c r="S257" s="46">
        <f t="shared" si="18"/>
        <v>229.32000000000002</v>
      </c>
      <c r="T257" s="29">
        <f t="shared" si="20"/>
        <v>42</v>
      </c>
      <c r="U257" s="46">
        <f t="shared" si="19"/>
        <v>3</v>
      </c>
      <c r="V257" s="45" t="str">
        <f t="shared" si="21"/>
        <v>MATCH</v>
      </c>
      <c r="W257" s="10"/>
      <c r="X257" s="77">
        <v>42</v>
      </c>
    </row>
    <row r="258" spans="12:24" x14ac:dyDescent="0.3">
      <c r="L258" s="88" t="s">
        <v>308</v>
      </c>
      <c r="M258" s="65">
        <v>10</v>
      </c>
      <c r="N258" s="65">
        <v>63</v>
      </c>
      <c r="O258" s="65">
        <v>2.02</v>
      </c>
      <c r="P258" s="65">
        <v>6</v>
      </c>
      <c r="Q258" s="44">
        <f>((22/(7*4))*(M257^2)/(1000^2))*S258*$B$24</f>
        <v>78.492149999999995</v>
      </c>
      <c r="R258" s="71">
        <v>1</v>
      </c>
      <c r="S258" s="46">
        <f t="shared" si="18"/>
        <v>127.26</v>
      </c>
      <c r="T258" s="29">
        <f t="shared" si="20"/>
        <v>32</v>
      </c>
      <c r="U258" s="46">
        <f t="shared" si="19"/>
        <v>2</v>
      </c>
      <c r="V258" s="45" t="str">
        <f t="shared" si="21"/>
        <v>MATCH</v>
      </c>
      <c r="W258" s="10"/>
      <c r="X258" s="76">
        <v>32</v>
      </c>
    </row>
    <row r="259" spans="12:24" x14ac:dyDescent="0.3">
      <c r="L259" s="89" t="s">
        <v>309</v>
      </c>
      <c r="M259" s="65">
        <v>10</v>
      </c>
      <c r="N259" s="65">
        <v>252</v>
      </c>
      <c r="O259" s="65">
        <v>0.77</v>
      </c>
      <c r="P259" s="65">
        <v>6</v>
      </c>
      <c r="Q259" s="44">
        <f>((22/(7*4))*(M258^2)/(1000^2))*S259*$B$24</f>
        <v>119.68109999999999</v>
      </c>
      <c r="R259" s="70">
        <v>1</v>
      </c>
      <c r="S259" s="46">
        <f t="shared" si="18"/>
        <v>194.04</v>
      </c>
      <c r="T259" s="29">
        <f t="shared" si="20"/>
        <v>36</v>
      </c>
      <c r="U259" s="46">
        <f t="shared" si="19"/>
        <v>7</v>
      </c>
      <c r="V259" s="45" t="str">
        <f t="shared" si="21"/>
        <v>MATCH</v>
      </c>
      <c r="W259" s="10"/>
      <c r="X259" s="77">
        <v>36</v>
      </c>
    </row>
    <row r="260" spans="12:24" x14ac:dyDescent="0.3">
      <c r="L260" s="88" t="s">
        <v>310</v>
      </c>
      <c r="M260" s="65">
        <v>12</v>
      </c>
      <c r="N260" s="65">
        <v>195</v>
      </c>
      <c r="O260" s="65">
        <v>2.77</v>
      </c>
      <c r="P260" s="65">
        <v>7.5</v>
      </c>
      <c r="Q260" s="44">
        <f>((22/(7*4))*(M259^2)/(1000^2))*S260*$B$24</f>
        <v>333.15680357142855</v>
      </c>
      <c r="R260" s="71">
        <v>1</v>
      </c>
      <c r="S260" s="46">
        <f t="shared" si="18"/>
        <v>540.15</v>
      </c>
      <c r="T260" s="29">
        <f t="shared" si="20"/>
        <v>98</v>
      </c>
      <c r="U260" s="46">
        <f t="shared" si="19"/>
        <v>2</v>
      </c>
      <c r="V260" s="45" t="str">
        <f t="shared" si="21"/>
        <v>MATCH</v>
      </c>
      <c r="W260" s="10"/>
      <c r="X260" s="76">
        <v>98</v>
      </c>
    </row>
    <row r="261" spans="12:24" x14ac:dyDescent="0.3">
      <c r="L261" s="89" t="s">
        <v>311</v>
      </c>
      <c r="M261" s="65">
        <v>12</v>
      </c>
      <c r="N261" s="65">
        <v>324</v>
      </c>
      <c r="O261" s="65">
        <v>2.08</v>
      </c>
      <c r="P261" s="65">
        <v>6</v>
      </c>
      <c r="Q261" s="44">
        <f>((22/(7*4))*(M260^2)/(1000^2))*S261*$B$24</f>
        <v>598.55648914285712</v>
      </c>
      <c r="R261" s="70">
        <v>1</v>
      </c>
      <c r="S261" s="46">
        <f t="shared" si="18"/>
        <v>673.92000000000007</v>
      </c>
      <c r="T261" s="29">
        <f t="shared" si="20"/>
        <v>162</v>
      </c>
      <c r="U261" s="46">
        <f t="shared" si="19"/>
        <v>2</v>
      </c>
      <c r="V261" s="45" t="str">
        <f t="shared" si="21"/>
        <v>MATCH</v>
      </c>
      <c r="W261" s="10"/>
      <c r="X261" s="77">
        <v>162</v>
      </c>
    </row>
    <row r="262" spans="12:24" x14ac:dyDescent="0.3">
      <c r="L262" s="88" t="s">
        <v>312</v>
      </c>
      <c r="M262" s="65">
        <v>12</v>
      </c>
      <c r="N262" s="65">
        <v>324</v>
      </c>
      <c r="O262" s="65">
        <v>0.8</v>
      </c>
      <c r="P262" s="65">
        <v>6</v>
      </c>
      <c r="Q262" s="44">
        <f>((22/(7*4))*(M260^2)/(1000^2))*S262*$B$24</f>
        <v>230.21403428571426</v>
      </c>
      <c r="R262" s="71">
        <v>1</v>
      </c>
      <c r="S262" s="46">
        <f t="shared" si="18"/>
        <v>259.2</v>
      </c>
      <c r="T262" s="29">
        <f t="shared" si="20"/>
        <v>47</v>
      </c>
      <c r="U262" s="46">
        <f t="shared" si="19"/>
        <v>7</v>
      </c>
      <c r="V262" s="45" t="str">
        <f t="shared" si="21"/>
        <v>MATCH</v>
      </c>
      <c r="W262" s="10"/>
      <c r="X262" s="76">
        <v>47</v>
      </c>
    </row>
    <row r="263" spans="12:24" x14ac:dyDescent="0.3">
      <c r="L263" s="91" t="s">
        <v>313</v>
      </c>
      <c r="M263" s="67">
        <v>12</v>
      </c>
      <c r="N263" s="67">
        <v>66</v>
      </c>
      <c r="O263" s="67">
        <v>1.66</v>
      </c>
      <c r="P263" s="67">
        <v>6</v>
      </c>
      <c r="Q263" s="49">
        <f>((22/(7*4))*(M261^2)/(1000^2))*S263*$B$24</f>
        <v>97.308061714285685</v>
      </c>
      <c r="R263" s="79">
        <v>1</v>
      </c>
      <c r="S263" s="51">
        <f t="shared" ref="S263:S290" si="23">N263*O263</f>
        <v>109.55999999999999</v>
      </c>
      <c r="T263" s="35">
        <f t="shared" si="20"/>
        <v>22</v>
      </c>
      <c r="U263" s="51">
        <f t="shared" ref="U263:U290" si="24">ROUNDDOWN(P263/O263, 0)</f>
        <v>3</v>
      </c>
      <c r="V263" s="50" t="str">
        <f t="shared" si="21"/>
        <v>MATCH</v>
      </c>
      <c r="W263" s="11"/>
      <c r="X263" s="84">
        <v>22</v>
      </c>
    </row>
    <row r="264" spans="12:24" x14ac:dyDescent="0.3">
      <c r="L264" s="72" t="s">
        <v>256</v>
      </c>
      <c r="M264" s="55">
        <v>32</v>
      </c>
      <c r="N264" s="55">
        <v>18</v>
      </c>
      <c r="O264" s="55">
        <v>4.2300000000000004</v>
      </c>
      <c r="P264" s="55">
        <v>6</v>
      </c>
      <c r="Q264" s="39">
        <f t="shared" ref="Q264:Q290" si="25">((22/(7*4))*(M264^2)/(1000^2))*S264*$B$24</f>
        <v>480.89153828571438</v>
      </c>
      <c r="R264" s="73">
        <v>1</v>
      </c>
      <c r="S264" s="41">
        <f t="shared" si="23"/>
        <v>76.140000000000015</v>
      </c>
      <c r="T264" s="23">
        <f t="shared" ref="T264:T327" si="26">IF(P264=0,0,ROUNDUP((N264/U264)*R264,0))</f>
        <v>18</v>
      </c>
      <c r="U264" s="41">
        <f t="shared" si="24"/>
        <v>1</v>
      </c>
      <c r="V264" s="40" t="str">
        <f t="shared" ref="V264:V327" si="27">IF(T264=X264, "MATCH", "RECHECK")</f>
        <v>MATCH</v>
      </c>
      <c r="W264" s="9"/>
      <c r="X264" s="74">
        <v>18</v>
      </c>
    </row>
    <row r="265" spans="12:24" x14ac:dyDescent="0.3">
      <c r="L265" s="75" t="s">
        <v>257</v>
      </c>
      <c r="M265" s="57">
        <v>32</v>
      </c>
      <c r="N265" s="57">
        <v>18</v>
      </c>
      <c r="O265" s="57">
        <v>12</v>
      </c>
      <c r="P265" s="57">
        <v>12</v>
      </c>
      <c r="Q265" s="44">
        <f t="shared" si="25"/>
        <v>1364.2313142857142</v>
      </c>
      <c r="R265" s="71">
        <v>1</v>
      </c>
      <c r="S265" s="46">
        <f t="shared" si="23"/>
        <v>216</v>
      </c>
      <c r="T265" s="29">
        <f t="shared" si="26"/>
        <v>18</v>
      </c>
      <c r="U265" s="46">
        <f t="shared" si="24"/>
        <v>1</v>
      </c>
      <c r="V265" s="45" t="str">
        <f t="shared" si="27"/>
        <v>MATCH</v>
      </c>
      <c r="W265" s="10"/>
      <c r="X265" s="76">
        <v>18</v>
      </c>
    </row>
    <row r="266" spans="12:24" x14ac:dyDescent="0.3">
      <c r="L266" s="75" t="s">
        <v>258</v>
      </c>
      <c r="M266" s="57">
        <v>25</v>
      </c>
      <c r="N266" s="57">
        <v>10</v>
      </c>
      <c r="O266" s="57">
        <v>4.3099999999999996</v>
      </c>
      <c r="P266" s="57">
        <v>6</v>
      </c>
      <c r="Q266" s="44">
        <f t="shared" si="25"/>
        <v>166.14665178571428</v>
      </c>
      <c r="R266" s="70">
        <v>1</v>
      </c>
      <c r="S266" s="46">
        <f t="shared" si="23"/>
        <v>43.099999999999994</v>
      </c>
      <c r="T266" s="29">
        <f t="shared" si="26"/>
        <v>10</v>
      </c>
      <c r="U266" s="46">
        <f t="shared" si="24"/>
        <v>1</v>
      </c>
      <c r="V266" s="45" t="str">
        <f t="shared" si="27"/>
        <v>MATCH</v>
      </c>
      <c r="W266" s="10"/>
      <c r="X266" s="77">
        <v>10</v>
      </c>
    </row>
    <row r="267" spans="12:24" x14ac:dyDescent="0.3">
      <c r="L267" s="75" t="s">
        <v>259</v>
      </c>
      <c r="M267" s="57">
        <v>32</v>
      </c>
      <c r="N267" s="57">
        <v>18</v>
      </c>
      <c r="O267" s="57">
        <v>8.5299999999999994</v>
      </c>
      <c r="P267" s="57">
        <v>9</v>
      </c>
      <c r="Q267" s="44">
        <f t="shared" si="25"/>
        <v>969.74109257142845</v>
      </c>
      <c r="R267" s="71">
        <v>1</v>
      </c>
      <c r="S267" s="46">
        <f t="shared" si="23"/>
        <v>153.54</v>
      </c>
      <c r="T267" s="29">
        <f t="shared" si="26"/>
        <v>18</v>
      </c>
      <c r="U267" s="46">
        <f t="shared" si="24"/>
        <v>1</v>
      </c>
      <c r="V267" s="45" t="str">
        <f t="shared" si="27"/>
        <v>MATCH</v>
      </c>
      <c r="W267" s="10"/>
      <c r="X267" s="76">
        <v>18</v>
      </c>
    </row>
    <row r="268" spans="12:24" x14ac:dyDescent="0.3">
      <c r="L268" s="75" t="s">
        <v>260</v>
      </c>
      <c r="M268" s="57">
        <v>32</v>
      </c>
      <c r="N268" s="57">
        <v>10</v>
      </c>
      <c r="O268" s="57">
        <v>9.6999999999999993</v>
      </c>
      <c r="P268" s="57">
        <v>10.5</v>
      </c>
      <c r="Q268" s="44">
        <f t="shared" si="25"/>
        <v>612.6409142857143</v>
      </c>
      <c r="R268" s="70">
        <v>1</v>
      </c>
      <c r="S268" s="46">
        <f t="shared" si="23"/>
        <v>97</v>
      </c>
      <c r="T268" s="29">
        <f t="shared" si="26"/>
        <v>10</v>
      </c>
      <c r="U268" s="46">
        <f t="shared" si="24"/>
        <v>1</v>
      </c>
      <c r="V268" s="45" t="str">
        <f t="shared" si="27"/>
        <v>MATCH</v>
      </c>
      <c r="W268" s="10"/>
      <c r="X268" s="77">
        <v>10</v>
      </c>
    </row>
    <row r="269" spans="12:24" x14ac:dyDescent="0.3">
      <c r="L269" s="75" t="s">
        <v>261</v>
      </c>
      <c r="M269" s="57">
        <v>25</v>
      </c>
      <c r="N269" s="57">
        <v>10</v>
      </c>
      <c r="O269" s="57">
        <v>3</v>
      </c>
      <c r="P269" s="57">
        <v>6</v>
      </c>
      <c r="Q269" s="44">
        <f t="shared" si="25"/>
        <v>115.64732142857144</v>
      </c>
      <c r="R269" s="71">
        <v>1</v>
      </c>
      <c r="S269" s="46">
        <f t="shared" si="23"/>
        <v>30</v>
      </c>
      <c r="T269" s="29">
        <f t="shared" si="26"/>
        <v>5</v>
      </c>
      <c r="U269" s="46">
        <f t="shared" si="24"/>
        <v>2</v>
      </c>
      <c r="V269" s="45" t="str">
        <f t="shared" si="27"/>
        <v>MATCH</v>
      </c>
      <c r="W269" s="10"/>
      <c r="X269" s="76">
        <v>5</v>
      </c>
    </row>
    <row r="270" spans="12:24" x14ac:dyDescent="0.3">
      <c r="L270" s="75" t="s">
        <v>262</v>
      </c>
      <c r="M270" s="57">
        <v>32</v>
      </c>
      <c r="N270" s="57">
        <v>8</v>
      </c>
      <c r="O270" s="57">
        <v>7.36</v>
      </c>
      <c r="P270" s="57">
        <v>7.5</v>
      </c>
      <c r="Q270" s="44">
        <f t="shared" si="25"/>
        <v>371.87935085714287</v>
      </c>
      <c r="R270" s="70">
        <v>1</v>
      </c>
      <c r="S270" s="46">
        <f t="shared" si="23"/>
        <v>58.88</v>
      </c>
      <c r="T270" s="29">
        <f t="shared" si="26"/>
        <v>8</v>
      </c>
      <c r="U270" s="46">
        <f t="shared" si="24"/>
        <v>1</v>
      </c>
      <c r="V270" s="45" t="str">
        <f t="shared" si="27"/>
        <v>MATCH</v>
      </c>
      <c r="W270" s="10"/>
      <c r="X270" s="77">
        <v>8</v>
      </c>
    </row>
    <row r="271" spans="12:24" x14ac:dyDescent="0.3">
      <c r="L271" s="75" t="s">
        <v>263</v>
      </c>
      <c r="M271" s="57">
        <v>12</v>
      </c>
      <c r="N271" s="57">
        <v>121</v>
      </c>
      <c r="O271" s="57">
        <v>2.75</v>
      </c>
      <c r="P271" s="57">
        <v>6</v>
      </c>
      <c r="Q271" s="44">
        <f t="shared" si="25"/>
        <v>295.53904285714282</v>
      </c>
      <c r="R271" s="71">
        <v>1</v>
      </c>
      <c r="S271" s="46">
        <f t="shared" si="23"/>
        <v>332.75</v>
      </c>
      <c r="T271" s="29">
        <f t="shared" si="26"/>
        <v>61</v>
      </c>
      <c r="U271" s="46">
        <f t="shared" si="24"/>
        <v>2</v>
      </c>
      <c r="V271" s="45" t="str">
        <f t="shared" si="27"/>
        <v>MATCH</v>
      </c>
      <c r="W271" s="10"/>
      <c r="X271" s="76">
        <v>61</v>
      </c>
    </row>
    <row r="272" spans="12:24" x14ac:dyDescent="0.3">
      <c r="L272" s="75" t="s">
        <v>264</v>
      </c>
      <c r="M272" s="57">
        <v>12</v>
      </c>
      <c r="N272" s="57">
        <v>186</v>
      </c>
      <c r="O272" s="57">
        <v>2.0699999999999998</v>
      </c>
      <c r="P272" s="57">
        <v>6</v>
      </c>
      <c r="Q272" s="44">
        <f t="shared" si="25"/>
        <v>341.96376342857138</v>
      </c>
      <c r="R272" s="70">
        <v>1</v>
      </c>
      <c r="S272" s="46">
        <f t="shared" si="23"/>
        <v>385.02</v>
      </c>
      <c r="T272" s="29">
        <f t="shared" si="26"/>
        <v>93</v>
      </c>
      <c r="U272" s="46">
        <f t="shared" si="24"/>
        <v>2</v>
      </c>
      <c r="V272" s="45" t="str">
        <f t="shared" si="27"/>
        <v>MATCH</v>
      </c>
      <c r="W272" s="10"/>
      <c r="X272" s="77">
        <v>93</v>
      </c>
    </row>
    <row r="273" spans="12:24" x14ac:dyDescent="0.3">
      <c r="L273" s="75" t="s">
        <v>265</v>
      </c>
      <c r="M273" s="57">
        <v>12</v>
      </c>
      <c r="N273" s="57">
        <v>186</v>
      </c>
      <c r="O273" s="57">
        <v>0.8</v>
      </c>
      <c r="P273" s="57">
        <v>6</v>
      </c>
      <c r="Q273" s="44">
        <f t="shared" si="25"/>
        <v>132.15990857142859</v>
      </c>
      <c r="R273" s="71">
        <v>1</v>
      </c>
      <c r="S273" s="46">
        <f t="shared" si="23"/>
        <v>148.80000000000001</v>
      </c>
      <c r="T273" s="29">
        <f t="shared" si="26"/>
        <v>27</v>
      </c>
      <c r="U273" s="46">
        <f t="shared" si="24"/>
        <v>7</v>
      </c>
      <c r="V273" s="45" t="str">
        <f t="shared" si="27"/>
        <v>MATCH</v>
      </c>
      <c r="W273" s="10"/>
      <c r="X273" s="76">
        <v>27</v>
      </c>
    </row>
    <row r="274" spans="12:24" x14ac:dyDescent="0.3">
      <c r="L274" s="75" t="s">
        <v>266</v>
      </c>
      <c r="M274" s="57">
        <v>16</v>
      </c>
      <c r="N274" s="57">
        <v>110</v>
      </c>
      <c r="O274" s="57">
        <v>2.83</v>
      </c>
      <c r="P274" s="57">
        <v>6</v>
      </c>
      <c r="Q274" s="44">
        <f t="shared" si="25"/>
        <v>491.53380571428573</v>
      </c>
      <c r="R274" s="70">
        <v>1</v>
      </c>
      <c r="S274" s="46">
        <f t="shared" si="23"/>
        <v>311.3</v>
      </c>
      <c r="T274" s="29">
        <f t="shared" si="26"/>
        <v>55</v>
      </c>
      <c r="U274" s="46">
        <f t="shared" si="24"/>
        <v>2</v>
      </c>
      <c r="V274" s="45" t="str">
        <f t="shared" si="27"/>
        <v>MATCH</v>
      </c>
      <c r="W274" s="10"/>
      <c r="X274" s="77">
        <v>55</v>
      </c>
    </row>
    <row r="275" spans="12:24" x14ac:dyDescent="0.3">
      <c r="L275" s="75" t="s">
        <v>267</v>
      </c>
      <c r="M275" s="57">
        <v>16</v>
      </c>
      <c r="N275" s="57">
        <v>220</v>
      </c>
      <c r="O275" s="57">
        <v>2.15</v>
      </c>
      <c r="P275" s="57">
        <v>9</v>
      </c>
      <c r="Q275" s="44">
        <f t="shared" si="25"/>
        <v>746.85348571428574</v>
      </c>
      <c r="R275" s="71">
        <v>1</v>
      </c>
      <c r="S275" s="46">
        <f t="shared" si="23"/>
        <v>473</v>
      </c>
      <c r="T275" s="29">
        <f t="shared" si="26"/>
        <v>55</v>
      </c>
      <c r="U275" s="46">
        <f t="shared" si="24"/>
        <v>4</v>
      </c>
      <c r="V275" s="45" t="str">
        <f t="shared" si="27"/>
        <v>MATCH</v>
      </c>
      <c r="W275" s="10"/>
      <c r="X275" s="76">
        <v>55</v>
      </c>
    </row>
    <row r="276" spans="12:24" x14ac:dyDescent="0.3">
      <c r="L276" s="75" t="s">
        <v>268</v>
      </c>
      <c r="M276" s="57">
        <v>16</v>
      </c>
      <c r="N276" s="57">
        <v>220</v>
      </c>
      <c r="O276" s="57">
        <v>0.86</v>
      </c>
      <c r="P276" s="57">
        <v>6</v>
      </c>
      <c r="Q276" s="44">
        <f t="shared" si="25"/>
        <v>298.74139428571425</v>
      </c>
      <c r="R276" s="70">
        <v>1</v>
      </c>
      <c r="S276" s="46">
        <f t="shared" si="23"/>
        <v>189.2</v>
      </c>
      <c r="T276" s="29">
        <f t="shared" si="26"/>
        <v>37</v>
      </c>
      <c r="U276" s="46">
        <f t="shared" si="24"/>
        <v>6</v>
      </c>
      <c r="V276" s="45" t="str">
        <f t="shared" si="27"/>
        <v>MATCH</v>
      </c>
      <c r="W276" s="10"/>
      <c r="X276" s="77">
        <v>37</v>
      </c>
    </row>
    <row r="277" spans="12:24" x14ac:dyDescent="0.3">
      <c r="L277" s="78" t="s">
        <v>269</v>
      </c>
      <c r="M277" s="59">
        <v>12</v>
      </c>
      <c r="N277" s="59">
        <v>56</v>
      </c>
      <c r="O277" s="59">
        <v>1.78</v>
      </c>
      <c r="P277" s="59">
        <v>6</v>
      </c>
      <c r="Q277" s="49">
        <f t="shared" si="25"/>
        <v>88.532927999999998</v>
      </c>
      <c r="R277" s="85">
        <v>1</v>
      </c>
      <c r="S277" s="51">
        <f t="shared" si="23"/>
        <v>99.68</v>
      </c>
      <c r="T277" s="35">
        <f t="shared" si="26"/>
        <v>19</v>
      </c>
      <c r="U277" s="51">
        <f t="shared" si="24"/>
        <v>3</v>
      </c>
      <c r="V277" s="50" t="str">
        <f t="shared" si="27"/>
        <v>MATCH</v>
      </c>
      <c r="W277" s="11"/>
      <c r="X277" s="80">
        <v>19</v>
      </c>
    </row>
    <row r="278" spans="12:24" x14ac:dyDescent="0.3">
      <c r="L278" s="86" t="s">
        <v>314</v>
      </c>
      <c r="M278" s="38">
        <v>32</v>
      </c>
      <c r="N278" s="38">
        <v>14</v>
      </c>
      <c r="O278" s="38">
        <v>8.5</v>
      </c>
      <c r="P278" s="38">
        <v>9</v>
      </c>
      <c r="Q278" s="39">
        <f t="shared" si="25"/>
        <v>751.59039999999993</v>
      </c>
      <c r="R278" s="73">
        <v>3</v>
      </c>
      <c r="S278" s="41">
        <f t="shared" si="23"/>
        <v>119</v>
      </c>
      <c r="T278" s="23">
        <f t="shared" si="26"/>
        <v>42</v>
      </c>
      <c r="U278" s="41">
        <f t="shared" si="24"/>
        <v>1</v>
      </c>
      <c r="V278" s="40" t="str">
        <f t="shared" si="27"/>
        <v>RECHECK</v>
      </c>
      <c r="W278" s="9"/>
      <c r="X278" s="74">
        <v>14</v>
      </c>
    </row>
    <row r="279" spans="12:24" x14ac:dyDescent="0.3">
      <c r="L279" s="88" t="s">
        <v>315</v>
      </c>
      <c r="M279" s="43">
        <v>32</v>
      </c>
      <c r="N279" s="43">
        <v>14</v>
      </c>
      <c r="O279" s="43">
        <v>7.95</v>
      </c>
      <c r="P279" s="43">
        <v>9</v>
      </c>
      <c r="Q279" s="44">
        <f t="shared" si="25"/>
        <v>702.95808</v>
      </c>
      <c r="R279" s="71">
        <v>3</v>
      </c>
      <c r="S279" s="46">
        <f t="shared" si="23"/>
        <v>111.3</v>
      </c>
      <c r="T279" s="29">
        <f t="shared" si="26"/>
        <v>42</v>
      </c>
      <c r="U279" s="46">
        <f t="shared" si="24"/>
        <v>1</v>
      </c>
      <c r="V279" s="45" t="str">
        <f t="shared" si="27"/>
        <v>RECHECK</v>
      </c>
      <c r="W279" s="10"/>
      <c r="X279" s="76">
        <v>14</v>
      </c>
    </row>
    <row r="280" spans="12:24" x14ac:dyDescent="0.3">
      <c r="L280" s="89" t="s">
        <v>316</v>
      </c>
      <c r="M280" s="43">
        <v>20</v>
      </c>
      <c r="N280" s="43">
        <v>10</v>
      </c>
      <c r="O280" s="43">
        <v>7.15</v>
      </c>
      <c r="P280" s="43">
        <v>7.5</v>
      </c>
      <c r="Q280" s="44">
        <f t="shared" si="25"/>
        <v>176.40071428571426</v>
      </c>
      <c r="R280" s="70">
        <v>3</v>
      </c>
      <c r="S280" s="46">
        <f t="shared" si="23"/>
        <v>71.5</v>
      </c>
      <c r="T280" s="29">
        <f t="shared" si="26"/>
        <v>30</v>
      </c>
      <c r="U280" s="46">
        <f t="shared" si="24"/>
        <v>1</v>
      </c>
      <c r="V280" s="45" t="str">
        <f t="shared" si="27"/>
        <v>RECHECK</v>
      </c>
      <c r="W280" s="10"/>
      <c r="X280" s="77">
        <v>10</v>
      </c>
    </row>
    <row r="281" spans="12:24" x14ac:dyDescent="0.3">
      <c r="L281" s="88" t="s">
        <v>317</v>
      </c>
      <c r="M281" s="43">
        <v>32</v>
      </c>
      <c r="N281" s="43">
        <v>14</v>
      </c>
      <c r="O281" s="43">
        <v>4.21</v>
      </c>
      <c r="P281" s="43">
        <v>9</v>
      </c>
      <c r="Q281" s="44">
        <f t="shared" si="25"/>
        <v>372.25830400000001</v>
      </c>
      <c r="R281" s="71">
        <v>3</v>
      </c>
      <c r="S281" s="46">
        <f t="shared" si="23"/>
        <v>58.94</v>
      </c>
      <c r="T281" s="29">
        <f t="shared" si="26"/>
        <v>21</v>
      </c>
      <c r="U281" s="46">
        <f t="shared" si="24"/>
        <v>2</v>
      </c>
      <c r="V281" s="45" t="str">
        <f t="shared" si="27"/>
        <v>RECHECK</v>
      </c>
      <c r="W281" s="10"/>
      <c r="X281" s="76">
        <v>7</v>
      </c>
    </row>
    <row r="282" spans="12:24" x14ac:dyDescent="0.3">
      <c r="L282" s="89" t="s">
        <v>318</v>
      </c>
      <c r="M282" s="43">
        <v>32</v>
      </c>
      <c r="N282" s="43">
        <v>14</v>
      </c>
      <c r="O282" s="43">
        <v>10.199999999999999</v>
      </c>
      <c r="P282" s="43">
        <v>10.5</v>
      </c>
      <c r="Q282" s="44">
        <f t="shared" si="25"/>
        <v>901.90847999999994</v>
      </c>
      <c r="R282" s="70">
        <v>3</v>
      </c>
      <c r="S282" s="46">
        <f t="shared" si="23"/>
        <v>142.79999999999998</v>
      </c>
      <c r="T282" s="29">
        <f t="shared" si="26"/>
        <v>42</v>
      </c>
      <c r="U282" s="46">
        <f t="shared" si="24"/>
        <v>1</v>
      </c>
      <c r="V282" s="45" t="str">
        <f t="shared" si="27"/>
        <v>RECHECK</v>
      </c>
      <c r="W282" s="10"/>
      <c r="X282" s="77">
        <v>14</v>
      </c>
    </row>
    <row r="283" spans="12:24" x14ac:dyDescent="0.3">
      <c r="L283" s="88" t="s">
        <v>319</v>
      </c>
      <c r="M283" s="43">
        <v>32</v>
      </c>
      <c r="N283" s="43">
        <v>14</v>
      </c>
      <c r="O283" s="43">
        <v>5.45</v>
      </c>
      <c r="P283" s="43">
        <v>6</v>
      </c>
      <c r="Q283" s="44">
        <f t="shared" si="25"/>
        <v>481.90208000000001</v>
      </c>
      <c r="R283" s="71">
        <v>3</v>
      </c>
      <c r="S283" s="46">
        <f t="shared" si="23"/>
        <v>76.3</v>
      </c>
      <c r="T283" s="29">
        <f t="shared" si="26"/>
        <v>42</v>
      </c>
      <c r="U283" s="46">
        <f t="shared" si="24"/>
        <v>1</v>
      </c>
      <c r="V283" s="45" t="str">
        <f t="shared" si="27"/>
        <v>RECHECK</v>
      </c>
      <c r="W283" s="10"/>
      <c r="X283" s="76">
        <v>14</v>
      </c>
    </row>
    <row r="284" spans="12:24" x14ac:dyDescent="0.3">
      <c r="L284" s="89" t="s">
        <v>320</v>
      </c>
      <c r="M284" s="43">
        <v>20</v>
      </c>
      <c r="N284" s="43">
        <v>10</v>
      </c>
      <c r="O284" s="43">
        <v>5.65</v>
      </c>
      <c r="P284" s="43">
        <v>6</v>
      </c>
      <c r="Q284" s="44">
        <f t="shared" si="25"/>
        <v>139.39357142857142</v>
      </c>
      <c r="R284" s="70">
        <v>3</v>
      </c>
      <c r="S284" s="46">
        <f t="shared" si="23"/>
        <v>56.5</v>
      </c>
      <c r="T284" s="29">
        <f t="shared" si="26"/>
        <v>30</v>
      </c>
      <c r="U284" s="46">
        <f t="shared" si="24"/>
        <v>1</v>
      </c>
      <c r="V284" s="45" t="str">
        <f t="shared" si="27"/>
        <v>RECHECK</v>
      </c>
      <c r="W284" s="10"/>
      <c r="X284" s="77">
        <v>10</v>
      </c>
    </row>
    <row r="285" spans="12:24" x14ac:dyDescent="0.3">
      <c r="L285" s="88" t="s">
        <v>321</v>
      </c>
      <c r="M285" s="43">
        <v>10</v>
      </c>
      <c r="N285" s="43">
        <v>214</v>
      </c>
      <c r="O285" s="43">
        <v>2.12</v>
      </c>
      <c r="P285" s="43">
        <v>7.5</v>
      </c>
      <c r="Q285" s="44">
        <f t="shared" si="25"/>
        <v>279.82334285714285</v>
      </c>
      <c r="R285" s="71">
        <v>3</v>
      </c>
      <c r="S285" s="46">
        <f t="shared" si="23"/>
        <v>453.68</v>
      </c>
      <c r="T285" s="29">
        <f t="shared" si="26"/>
        <v>214</v>
      </c>
      <c r="U285" s="46">
        <f t="shared" si="24"/>
        <v>3</v>
      </c>
      <c r="V285" s="45" t="str">
        <f t="shared" si="27"/>
        <v>MATCH</v>
      </c>
      <c r="W285" s="10"/>
      <c r="X285" s="76">
        <v>214</v>
      </c>
    </row>
    <row r="286" spans="12:24" x14ac:dyDescent="0.3">
      <c r="L286" s="89" t="s">
        <v>322</v>
      </c>
      <c r="M286" s="43">
        <v>10</v>
      </c>
      <c r="N286" s="43">
        <v>428</v>
      </c>
      <c r="O286" s="43">
        <v>1.61</v>
      </c>
      <c r="P286" s="43">
        <v>7.5</v>
      </c>
      <c r="Q286" s="44">
        <f t="shared" si="25"/>
        <v>425.0147</v>
      </c>
      <c r="R286" s="70">
        <v>3</v>
      </c>
      <c r="S286" s="46">
        <f t="shared" si="23"/>
        <v>689.08</v>
      </c>
      <c r="T286" s="29">
        <f t="shared" si="26"/>
        <v>321</v>
      </c>
      <c r="U286" s="46">
        <f t="shared" si="24"/>
        <v>4</v>
      </c>
      <c r="V286" s="45" t="str">
        <f t="shared" si="27"/>
        <v>MATCH</v>
      </c>
      <c r="W286" s="10"/>
      <c r="X286" s="77">
        <v>321</v>
      </c>
    </row>
    <row r="287" spans="12:24" x14ac:dyDescent="0.3">
      <c r="L287" s="88" t="s">
        <v>323</v>
      </c>
      <c r="M287" s="43">
        <v>10</v>
      </c>
      <c r="N287" s="43">
        <v>428</v>
      </c>
      <c r="O287" s="43">
        <v>0.62</v>
      </c>
      <c r="P287" s="43">
        <v>6</v>
      </c>
      <c r="Q287" s="44">
        <f t="shared" si="25"/>
        <v>163.67025714285714</v>
      </c>
      <c r="R287" s="71">
        <v>3</v>
      </c>
      <c r="S287" s="46">
        <f t="shared" si="23"/>
        <v>265.36</v>
      </c>
      <c r="T287" s="29">
        <f t="shared" si="26"/>
        <v>143</v>
      </c>
      <c r="U287" s="46">
        <f t="shared" si="24"/>
        <v>9</v>
      </c>
      <c r="V287" s="45" t="str">
        <f t="shared" si="27"/>
        <v>MATCH</v>
      </c>
      <c r="W287" s="10"/>
      <c r="X287" s="76">
        <v>143</v>
      </c>
    </row>
    <row r="288" spans="12:24" x14ac:dyDescent="0.3">
      <c r="L288" s="89" t="s">
        <v>324</v>
      </c>
      <c r="M288" s="43">
        <v>10</v>
      </c>
      <c r="N288" s="43">
        <v>82</v>
      </c>
      <c r="O288" s="43">
        <v>1.38</v>
      </c>
      <c r="P288" s="43">
        <v>6</v>
      </c>
      <c r="Q288" s="44">
        <f t="shared" si="25"/>
        <v>69.795471428571418</v>
      </c>
      <c r="R288" s="70">
        <v>3</v>
      </c>
      <c r="S288" s="46">
        <f t="shared" si="23"/>
        <v>113.16</v>
      </c>
      <c r="T288" s="29">
        <f t="shared" si="26"/>
        <v>62</v>
      </c>
      <c r="U288" s="46">
        <f t="shared" si="24"/>
        <v>4</v>
      </c>
      <c r="V288" s="45" t="str">
        <f t="shared" si="27"/>
        <v>MATCH</v>
      </c>
      <c r="W288" s="10"/>
      <c r="X288" s="77">
        <v>62</v>
      </c>
    </row>
    <row r="289" spans="12:24" x14ac:dyDescent="0.3">
      <c r="L289" s="88" t="s">
        <v>325</v>
      </c>
      <c r="M289" s="43">
        <v>10</v>
      </c>
      <c r="N289" s="43">
        <v>41</v>
      </c>
      <c r="O289" s="43">
        <v>1.32</v>
      </c>
      <c r="P289" s="43">
        <v>6</v>
      </c>
      <c r="Q289" s="44">
        <f t="shared" si="25"/>
        <v>33.38044285714286</v>
      </c>
      <c r="R289" s="71">
        <v>3</v>
      </c>
      <c r="S289" s="46">
        <f t="shared" si="23"/>
        <v>54.120000000000005</v>
      </c>
      <c r="T289" s="29">
        <f t="shared" si="26"/>
        <v>31</v>
      </c>
      <c r="U289" s="46">
        <f t="shared" si="24"/>
        <v>4</v>
      </c>
      <c r="V289" s="45" t="str">
        <f t="shared" si="27"/>
        <v>MATCH</v>
      </c>
      <c r="W289" s="10"/>
      <c r="X289" s="76">
        <v>31</v>
      </c>
    </row>
    <row r="290" spans="12:24" x14ac:dyDescent="0.3">
      <c r="L290" s="91" t="s">
        <v>326</v>
      </c>
      <c r="M290" s="48">
        <v>10</v>
      </c>
      <c r="N290" s="48">
        <v>41</v>
      </c>
      <c r="O290" s="48">
        <v>0.9</v>
      </c>
      <c r="P290" s="48">
        <v>6</v>
      </c>
      <c r="Q290" s="49">
        <f t="shared" si="25"/>
        <v>22.759392857142856</v>
      </c>
      <c r="R290" s="79">
        <v>3</v>
      </c>
      <c r="S290" s="51">
        <f t="shared" si="23"/>
        <v>36.9</v>
      </c>
      <c r="T290" s="35">
        <f t="shared" si="26"/>
        <v>21</v>
      </c>
      <c r="U290" s="51">
        <f t="shared" si="24"/>
        <v>6</v>
      </c>
      <c r="V290" s="50" t="str">
        <f t="shared" si="27"/>
        <v>MATCH</v>
      </c>
      <c r="W290" s="11"/>
      <c r="X290" s="84">
        <v>21</v>
      </c>
    </row>
    <row r="291" spans="12:24" x14ac:dyDescent="0.3">
      <c r="L291" s="86" t="s">
        <v>327</v>
      </c>
      <c r="M291" s="20">
        <v>32</v>
      </c>
      <c r="N291" s="20">
        <v>14</v>
      </c>
      <c r="O291" s="20">
        <v>7</v>
      </c>
      <c r="P291" s="20">
        <v>7.5</v>
      </c>
      <c r="Q291" s="21">
        <f>((22/(7*4))*(M291^2)/(1000^2))*S291*$B$24</f>
        <v>618.95680000000004</v>
      </c>
      <c r="R291" s="73">
        <v>1</v>
      </c>
      <c r="S291" s="22">
        <f>N291*O291</f>
        <v>98</v>
      </c>
      <c r="T291" s="23">
        <f t="shared" si="26"/>
        <v>14</v>
      </c>
      <c r="U291" s="41">
        <f>ROUNDDOWN(P291/O291, 0)</f>
        <v>1</v>
      </c>
      <c r="V291" s="40" t="str">
        <f t="shared" si="27"/>
        <v>MATCH</v>
      </c>
      <c r="W291" s="9"/>
      <c r="X291" s="74">
        <v>14</v>
      </c>
    </row>
    <row r="292" spans="12:24" x14ac:dyDescent="0.3">
      <c r="L292" s="88" t="s">
        <v>328</v>
      </c>
      <c r="M292" s="26">
        <v>25</v>
      </c>
      <c r="N292" s="26">
        <v>10</v>
      </c>
      <c r="O292" s="26">
        <v>11.95</v>
      </c>
      <c r="P292" s="26">
        <v>12</v>
      </c>
      <c r="Q292" s="27">
        <f t="shared" ref="Q292:Q306" si="28">((22/(7*4))*(M292^2)/(1000^2))*S292*$B$24</f>
        <v>460.66183035714289</v>
      </c>
      <c r="R292" s="71">
        <v>1</v>
      </c>
      <c r="S292" s="28">
        <f t="shared" ref="S292:S305" si="29">N292*O292</f>
        <v>119.5</v>
      </c>
      <c r="T292" s="29">
        <f t="shared" si="26"/>
        <v>10</v>
      </c>
      <c r="U292" s="46">
        <f t="shared" ref="U292:U329" si="30">ROUNDDOWN(P292/O292, 0)</f>
        <v>1</v>
      </c>
      <c r="V292" s="45" t="str">
        <f t="shared" si="27"/>
        <v>MATCH</v>
      </c>
      <c r="W292" s="10"/>
      <c r="X292" s="76">
        <v>10</v>
      </c>
    </row>
    <row r="293" spans="12:24" x14ac:dyDescent="0.3">
      <c r="L293" s="89" t="s">
        <v>329</v>
      </c>
      <c r="M293" s="26">
        <v>25</v>
      </c>
      <c r="N293" s="26">
        <v>10</v>
      </c>
      <c r="O293" s="26">
        <v>1.86</v>
      </c>
      <c r="P293" s="26">
        <v>7.5</v>
      </c>
      <c r="Q293" s="27">
        <f t="shared" si="28"/>
        <v>71.701339285714297</v>
      </c>
      <c r="R293" s="70">
        <v>1</v>
      </c>
      <c r="S293" s="28">
        <f t="shared" si="29"/>
        <v>18.600000000000001</v>
      </c>
      <c r="T293" s="29">
        <f t="shared" si="26"/>
        <v>3</v>
      </c>
      <c r="U293" s="46">
        <f t="shared" si="30"/>
        <v>4</v>
      </c>
      <c r="V293" s="45" t="str">
        <f t="shared" si="27"/>
        <v>MATCH</v>
      </c>
      <c r="W293" s="10"/>
      <c r="X293" s="77">
        <v>3</v>
      </c>
    </row>
    <row r="294" spans="12:24" x14ac:dyDescent="0.3">
      <c r="L294" s="88" t="s">
        <v>330</v>
      </c>
      <c r="M294" s="26">
        <v>32</v>
      </c>
      <c r="N294" s="26">
        <v>14</v>
      </c>
      <c r="O294" s="26">
        <v>8.2899999999999991</v>
      </c>
      <c r="P294" s="26">
        <v>9</v>
      </c>
      <c r="Q294" s="27">
        <f t="shared" si="28"/>
        <v>733.02169599999991</v>
      </c>
      <c r="R294" s="71">
        <v>1</v>
      </c>
      <c r="S294" s="28">
        <f t="shared" si="29"/>
        <v>116.05999999999999</v>
      </c>
      <c r="T294" s="29">
        <f t="shared" si="26"/>
        <v>14</v>
      </c>
      <c r="U294" s="46">
        <f t="shared" si="30"/>
        <v>1</v>
      </c>
      <c r="V294" s="45" t="str">
        <f t="shared" si="27"/>
        <v>MATCH</v>
      </c>
      <c r="W294" s="10"/>
      <c r="X294" s="76">
        <v>14</v>
      </c>
    </row>
    <row r="295" spans="12:24" x14ac:dyDescent="0.3">
      <c r="L295" s="89" t="s">
        <v>331</v>
      </c>
      <c r="M295" s="26">
        <v>25</v>
      </c>
      <c r="N295" s="26">
        <v>10</v>
      </c>
      <c r="O295" s="26">
        <v>11.02</v>
      </c>
      <c r="P295" s="26">
        <v>12</v>
      </c>
      <c r="Q295" s="27">
        <f t="shared" si="28"/>
        <v>424.81116071428573</v>
      </c>
      <c r="R295" s="70">
        <v>1</v>
      </c>
      <c r="S295" s="28">
        <f t="shared" si="29"/>
        <v>110.19999999999999</v>
      </c>
      <c r="T295" s="29">
        <f t="shared" si="26"/>
        <v>10</v>
      </c>
      <c r="U295" s="46">
        <f t="shared" si="30"/>
        <v>1</v>
      </c>
      <c r="V295" s="45" t="str">
        <f t="shared" si="27"/>
        <v>MATCH</v>
      </c>
      <c r="W295" s="10"/>
      <c r="X295" s="77">
        <v>10</v>
      </c>
    </row>
    <row r="296" spans="12:24" x14ac:dyDescent="0.3">
      <c r="L296" s="88" t="s">
        <v>332</v>
      </c>
      <c r="M296" s="26">
        <v>25</v>
      </c>
      <c r="N296" s="26">
        <v>4</v>
      </c>
      <c r="O296" s="26">
        <v>8.31</v>
      </c>
      <c r="P296" s="26">
        <v>9</v>
      </c>
      <c r="Q296" s="27">
        <f t="shared" si="28"/>
        <v>128.13723214285716</v>
      </c>
      <c r="R296" s="71">
        <v>1</v>
      </c>
      <c r="S296" s="28">
        <f t="shared" si="29"/>
        <v>33.24</v>
      </c>
      <c r="T296" s="29">
        <f t="shared" si="26"/>
        <v>4</v>
      </c>
      <c r="U296" s="46">
        <f t="shared" si="30"/>
        <v>1</v>
      </c>
      <c r="V296" s="45" t="str">
        <f t="shared" si="27"/>
        <v>MATCH</v>
      </c>
      <c r="W296" s="10"/>
      <c r="X296" s="76">
        <v>4</v>
      </c>
    </row>
    <row r="297" spans="12:24" x14ac:dyDescent="0.3">
      <c r="L297" s="89" t="s">
        <v>333</v>
      </c>
      <c r="M297" s="26">
        <v>25</v>
      </c>
      <c r="N297" s="26">
        <v>4</v>
      </c>
      <c r="O297" s="26">
        <v>7.03</v>
      </c>
      <c r="P297" s="26">
        <v>7.5</v>
      </c>
      <c r="Q297" s="27">
        <f t="shared" si="28"/>
        <v>108.4000892857143</v>
      </c>
      <c r="R297" s="70">
        <v>1</v>
      </c>
      <c r="S297" s="28">
        <f t="shared" si="29"/>
        <v>28.12</v>
      </c>
      <c r="T297" s="29">
        <f t="shared" si="26"/>
        <v>4</v>
      </c>
      <c r="U297" s="46">
        <f t="shared" si="30"/>
        <v>1</v>
      </c>
      <c r="V297" s="45" t="str">
        <f t="shared" si="27"/>
        <v>MATCH</v>
      </c>
      <c r="W297" s="10"/>
      <c r="X297" s="77">
        <v>4</v>
      </c>
    </row>
    <row r="298" spans="12:24" x14ac:dyDescent="0.3">
      <c r="L298" s="88" t="s">
        <v>334</v>
      </c>
      <c r="M298" s="26">
        <v>16</v>
      </c>
      <c r="N298" s="26">
        <v>20</v>
      </c>
      <c r="O298" s="26">
        <v>4.2549999999999999</v>
      </c>
      <c r="P298" s="26">
        <v>6</v>
      </c>
      <c r="Q298" s="27">
        <f t="shared" si="28"/>
        <v>134.37046857142857</v>
      </c>
      <c r="R298" s="71">
        <v>1</v>
      </c>
      <c r="S298" s="28">
        <f t="shared" si="29"/>
        <v>85.1</v>
      </c>
      <c r="T298" s="29">
        <f t="shared" si="26"/>
        <v>20</v>
      </c>
      <c r="U298" s="46">
        <f t="shared" si="30"/>
        <v>1</v>
      </c>
      <c r="V298" s="45" t="str">
        <f t="shared" si="27"/>
        <v>MATCH</v>
      </c>
      <c r="W298" s="10"/>
      <c r="X298" s="76">
        <v>20</v>
      </c>
    </row>
    <row r="299" spans="12:24" x14ac:dyDescent="0.3">
      <c r="L299" s="89" t="s">
        <v>335</v>
      </c>
      <c r="M299" s="26">
        <v>10</v>
      </c>
      <c r="N299" s="26">
        <v>201</v>
      </c>
      <c r="O299" s="26">
        <v>2.12</v>
      </c>
      <c r="P299" s="26">
        <v>6</v>
      </c>
      <c r="Q299" s="27">
        <f t="shared" si="28"/>
        <v>262.82472857142852</v>
      </c>
      <c r="R299" s="70">
        <v>1</v>
      </c>
      <c r="S299" s="28">
        <f t="shared" si="29"/>
        <v>426.12</v>
      </c>
      <c r="T299" s="29">
        <f t="shared" si="26"/>
        <v>101</v>
      </c>
      <c r="U299" s="46">
        <f t="shared" si="30"/>
        <v>2</v>
      </c>
      <c r="V299" s="45" t="str">
        <f t="shared" si="27"/>
        <v>MATCH</v>
      </c>
      <c r="W299" s="10"/>
      <c r="X299" s="77">
        <v>101</v>
      </c>
    </row>
    <row r="300" spans="12:24" x14ac:dyDescent="0.3">
      <c r="L300" s="88" t="s">
        <v>336</v>
      </c>
      <c r="M300" s="26">
        <v>10</v>
      </c>
      <c r="N300" s="26">
        <v>126</v>
      </c>
      <c r="O300" s="26">
        <v>1.61</v>
      </c>
      <c r="P300" s="26">
        <v>7.5</v>
      </c>
      <c r="Q300" s="27">
        <f t="shared" si="28"/>
        <v>125.12115000000001</v>
      </c>
      <c r="R300" s="71">
        <v>1</v>
      </c>
      <c r="S300" s="28">
        <f t="shared" si="29"/>
        <v>202.86</v>
      </c>
      <c r="T300" s="29">
        <f t="shared" si="26"/>
        <v>32</v>
      </c>
      <c r="U300" s="46">
        <f t="shared" si="30"/>
        <v>4</v>
      </c>
      <c r="V300" s="45" t="str">
        <f t="shared" si="27"/>
        <v>MATCH</v>
      </c>
      <c r="W300" s="10"/>
      <c r="X300" s="76">
        <v>32</v>
      </c>
    </row>
    <row r="301" spans="12:24" x14ac:dyDescent="0.3">
      <c r="L301" s="89" t="s">
        <v>337</v>
      </c>
      <c r="M301" s="26">
        <v>10</v>
      </c>
      <c r="N301" s="26">
        <v>126</v>
      </c>
      <c r="O301" s="26">
        <v>0.62</v>
      </c>
      <c r="P301" s="26">
        <v>6</v>
      </c>
      <c r="Q301" s="27">
        <f t="shared" si="28"/>
        <v>48.183300000000003</v>
      </c>
      <c r="R301" s="70">
        <v>1</v>
      </c>
      <c r="S301" s="28">
        <f t="shared" si="29"/>
        <v>78.12</v>
      </c>
      <c r="T301" s="29">
        <f t="shared" si="26"/>
        <v>14</v>
      </c>
      <c r="U301" s="46">
        <f t="shared" si="30"/>
        <v>9</v>
      </c>
      <c r="V301" s="45" t="str">
        <f t="shared" si="27"/>
        <v>MATCH</v>
      </c>
      <c r="W301" s="10"/>
      <c r="X301" s="77">
        <v>14</v>
      </c>
    </row>
    <row r="302" spans="12:24" x14ac:dyDescent="0.3">
      <c r="L302" s="88" t="s">
        <v>338</v>
      </c>
      <c r="M302" s="26">
        <v>10</v>
      </c>
      <c r="N302" s="26">
        <v>56</v>
      </c>
      <c r="O302" s="26">
        <v>1.6</v>
      </c>
      <c r="P302" s="26">
        <v>7.5</v>
      </c>
      <c r="Q302" s="27">
        <f t="shared" si="28"/>
        <v>55.264000000000003</v>
      </c>
      <c r="R302" s="71">
        <v>1</v>
      </c>
      <c r="S302" s="28">
        <f t="shared" si="29"/>
        <v>89.600000000000009</v>
      </c>
      <c r="T302" s="29">
        <f t="shared" si="26"/>
        <v>14</v>
      </c>
      <c r="U302" s="46">
        <f t="shared" si="30"/>
        <v>4</v>
      </c>
      <c r="V302" s="45" t="str">
        <f t="shared" si="27"/>
        <v>MATCH</v>
      </c>
      <c r="W302" s="10"/>
      <c r="X302" s="76">
        <v>14</v>
      </c>
    </row>
    <row r="303" spans="12:24" x14ac:dyDescent="0.3">
      <c r="L303" s="89" t="s">
        <v>339</v>
      </c>
      <c r="M303" s="26">
        <v>10</v>
      </c>
      <c r="N303" s="26">
        <v>166</v>
      </c>
      <c r="O303" s="26">
        <v>0.62</v>
      </c>
      <c r="P303" s="26">
        <v>7.5</v>
      </c>
      <c r="Q303" s="27">
        <f t="shared" si="28"/>
        <v>63.479585714285705</v>
      </c>
      <c r="R303" s="70">
        <v>1</v>
      </c>
      <c r="S303" s="28">
        <f t="shared" si="29"/>
        <v>102.92</v>
      </c>
      <c r="T303" s="29">
        <f t="shared" si="26"/>
        <v>14</v>
      </c>
      <c r="U303" s="46">
        <f t="shared" si="30"/>
        <v>12</v>
      </c>
      <c r="V303" s="45" t="str">
        <f t="shared" si="27"/>
        <v>MATCH</v>
      </c>
      <c r="W303" s="10"/>
      <c r="X303" s="77">
        <v>14</v>
      </c>
    </row>
    <row r="304" spans="12:24" x14ac:dyDescent="0.3">
      <c r="L304" s="88" t="s">
        <v>340</v>
      </c>
      <c r="M304" s="26">
        <v>10</v>
      </c>
      <c r="N304" s="26">
        <v>110</v>
      </c>
      <c r="O304" s="26">
        <v>1.39</v>
      </c>
      <c r="P304" s="26">
        <v>7.5</v>
      </c>
      <c r="Q304" s="27">
        <f t="shared" si="28"/>
        <v>94.306535714285687</v>
      </c>
      <c r="R304" s="71">
        <v>1</v>
      </c>
      <c r="S304" s="28">
        <f t="shared" si="29"/>
        <v>152.89999999999998</v>
      </c>
      <c r="T304" s="29">
        <f t="shared" si="26"/>
        <v>22</v>
      </c>
      <c r="U304" s="46">
        <f t="shared" si="30"/>
        <v>5</v>
      </c>
      <c r="V304" s="45" t="str">
        <f t="shared" si="27"/>
        <v>MATCH</v>
      </c>
      <c r="W304" s="10"/>
      <c r="X304" s="76">
        <v>22</v>
      </c>
    </row>
    <row r="305" spans="12:24" x14ac:dyDescent="0.3">
      <c r="L305" s="89" t="s">
        <v>341</v>
      </c>
      <c r="M305" s="26">
        <v>10</v>
      </c>
      <c r="N305" s="26">
        <v>40</v>
      </c>
      <c r="O305" s="26">
        <v>1.4</v>
      </c>
      <c r="P305" s="26">
        <v>6</v>
      </c>
      <c r="Q305" s="27">
        <f t="shared" si="28"/>
        <v>34.539999999999992</v>
      </c>
      <c r="R305" s="70">
        <v>1</v>
      </c>
      <c r="S305" s="28">
        <f t="shared" si="29"/>
        <v>56</v>
      </c>
      <c r="T305" s="29">
        <f t="shared" si="26"/>
        <v>10</v>
      </c>
      <c r="U305" s="46">
        <f t="shared" si="30"/>
        <v>4</v>
      </c>
      <c r="V305" s="45" t="str">
        <f t="shared" si="27"/>
        <v>MATCH</v>
      </c>
      <c r="W305" s="10"/>
      <c r="X305" s="77">
        <v>10</v>
      </c>
    </row>
    <row r="306" spans="12:24" x14ac:dyDescent="0.3">
      <c r="L306" s="90" t="s">
        <v>342</v>
      </c>
      <c r="M306" s="32">
        <v>10</v>
      </c>
      <c r="N306" s="32">
        <v>80</v>
      </c>
      <c r="O306" s="32">
        <v>0.95</v>
      </c>
      <c r="P306" s="32">
        <v>6</v>
      </c>
      <c r="Q306" s="33">
        <f t="shared" si="28"/>
        <v>46.875714285714281</v>
      </c>
      <c r="R306" s="85">
        <v>1</v>
      </c>
      <c r="S306" s="34">
        <f>N306*O306</f>
        <v>76</v>
      </c>
      <c r="T306" s="35">
        <f t="shared" si="26"/>
        <v>14</v>
      </c>
      <c r="U306" s="51">
        <f t="shared" si="30"/>
        <v>6</v>
      </c>
      <c r="V306" s="50" t="str">
        <f t="shared" si="27"/>
        <v>MATCH</v>
      </c>
      <c r="W306" s="11"/>
      <c r="X306" s="80">
        <v>14</v>
      </c>
    </row>
    <row r="307" spans="12:24" x14ac:dyDescent="0.3">
      <c r="L307" s="86" t="s">
        <v>343</v>
      </c>
      <c r="M307" s="38">
        <v>32</v>
      </c>
      <c r="N307" s="38">
        <v>14</v>
      </c>
      <c r="O307" s="38">
        <v>7</v>
      </c>
      <c r="P307" s="38">
        <v>9</v>
      </c>
      <c r="Q307" s="39">
        <f>((22/(7*4))*(M307^2)/(1000^2))*S307*$B$24</f>
        <v>618.95680000000004</v>
      </c>
      <c r="R307" s="73">
        <v>1</v>
      </c>
      <c r="S307" s="41">
        <f t="shared" ref="S307:S329" si="31">N307*O307</f>
        <v>98</v>
      </c>
      <c r="T307" s="23">
        <f t="shared" si="26"/>
        <v>14</v>
      </c>
      <c r="U307" s="41">
        <f t="shared" si="30"/>
        <v>1</v>
      </c>
      <c r="V307" s="40" t="str">
        <f t="shared" si="27"/>
        <v>MATCH</v>
      </c>
      <c r="W307" s="9"/>
      <c r="X307" s="74">
        <v>14</v>
      </c>
    </row>
    <row r="308" spans="12:24" x14ac:dyDescent="0.3">
      <c r="L308" s="88" t="s">
        <v>344</v>
      </c>
      <c r="M308" s="43">
        <v>25</v>
      </c>
      <c r="N308" s="43">
        <v>6</v>
      </c>
      <c r="O308" s="43">
        <v>11.95</v>
      </c>
      <c r="P308" s="43">
        <v>12</v>
      </c>
      <c r="Q308" s="44">
        <f t="shared" ref="Q308:Q329" si="32">((22/(7*4))*(M308^2)/(1000^2))*S308*$B$24</f>
        <v>276.39709821428568</v>
      </c>
      <c r="R308" s="71">
        <v>1</v>
      </c>
      <c r="S308" s="46">
        <f t="shared" si="31"/>
        <v>71.699999999999989</v>
      </c>
      <c r="T308" s="29">
        <f t="shared" si="26"/>
        <v>6</v>
      </c>
      <c r="U308" s="46">
        <f t="shared" si="30"/>
        <v>1</v>
      </c>
      <c r="V308" s="45" t="str">
        <f t="shared" si="27"/>
        <v>MATCH</v>
      </c>
      <c r="W308" s="10"/>
      <c r="X308" s="76">
        <v>6</v>
      </c>
    </row>
    <row r="309" spans="12:24" x14ac:dyDescent="0.3">
      <c r="L309" s="89" t="s">
        <v>345</v>
      </c>
      <c r="M309" s="43">
        <v>32</v>
      </c>
      <c r="N309" s="43">
        <v>14</v>
      </c>
      <c r="O309" s="43">
        <v>8.31</v>
      </c>
      <c r="P309" s="43">
        <v>9</v>
      </c>
      <c r="Q309" s="44">
        <f t="shared" si="32"/>
        <v>734.79014400000005</v>
      </c>
      <c r="R309" s="70">
        <v>1</v>
      </c>
      <c r="S309" s="46">
        <f t="shared" si="31"/>
        <v>116.34</v>
      </c>
      <c r="T309" s="29">
        <f t="shared" si="26"/>
        <v>14</v>
      </c>
      <c r="U309" s="46">
        <f t="shared" si="30"/>
        <v>1</v>
      </c>
      <c r="V309" s="45" t="str">
        <f t="shared" si="27"/>
        <v>MATCH</v>
      </c>
      <c r="W309" s="10"/>
      <c r="X309" s="77">
        <v>14</v>
      </c>
    </row>
    <row r="310" spans="12:24" x14ac:dyDescent="0.3">
      <c r="L310" s="88" t="s">
        <v>346</v>
      </c>
      <c r="M310" s="43">
        <v>25</v>
      </c>
      <c r="N310" s="43">
        <v>6</v>
      </c>
      <c r="O310" s="43">
        <v>11.11</v>
      </c>
      <c r="P310" s="43">
        <v>12</v>
      </c>
      <c r="Q310" s="44">
        <f t="shared" si="32"/>
        <v>256.96834821428575</v>
      </c>
      <c r="R310" s="71">
        <v>1</v>
      </c>
      <c r="S310" s="46">
        <f t="shared" si="31"/>
        <v>66.66</v>
      </c>
      <c r="T310" s="29">
        <f t="shared" si="26"/>
        <v>6</v>
      </c>
      <c r="U310" s="46">
        <f t="shared" si="30"/>
        <v>1</v>
      </c>
      <c r="V310" s="45" t="str">
        <f t="shared" si="27"/>
        <v>MATCH</v>
      </c>
      <c r="W310" s="10"/>
      <c r="X310" s="76">
        <v>6</v>
      </c>
    </row>
    <row r="311" spans="12:24" x14ac:dyDescent="0.3">
      <c r="L311" s="89" t="s">
        <v>347</v>
      </c>
      <c r="M311" s="43">
        <v>25</v>
      </c>
      <c r="N311" s="43">
        <v>8</v>
      </c>
      <c r="O311" s="43">
        <v>8.31</v>
      </c>
      <c r="P311" s="43">
        <v>9</v>
      </c>
      <c r="Q311" s="44">
        <f t="shared" si="32"/>
        <v>256.27446428571432</v>
      </c>
      <c r="R311" s="70">
        <v>1</v>
      </c>
      <c r="S311" s="46">
        <f t="shared" si="31"/>
        <v>66.48</v>
      </c>
      <c r="T311" s="29">
        <f t="shared" si="26"/>
        <v>8</v>
      </c>
      <c r="U311" s="46">
        <f t="shared" si="30"/>
        <v>1</v>
      </c>
      <c r="V311" s="45" t="str">
        <f t="shared" si="27"/>
        <v>MATCH</v>
      </c>
      <c r="W311" s="10"/>
      <c r="X311" s="77">
        <v>8</v>
      </c>
    </row>
    <row r="312" spans="12:24" x14ac:dyDescent="0.3">
      <c r="L312" s="88" t="s">
        <v>348</v>
      </c>
      <c r="M312" s="43">
        <v>25</v>
      </c>
      <c r="N312" s="43">
        <v>8</v>
      </c>
      <c r="O312" s="43">
        <v>7.06</v>
      </c>
      <c r="P312" s="43">
        <v>7.5</v>
      </c>
      <c r="Q312" s="44">
        <f t="shared" si="32"/>
        <v>217.72535714285715</v>
      </c>
      <c r="R312" s="71">
        <v>1</v>
      </c>
      <c r="S312" s="46">
        <f t="shared" si="31"/>
        <v>56.48</v>
      </c>
      <c r="T312" s="29">
        <f t="shared" si="26"/>
        <v>8</v>
      </c>
      <c r="U312" s="46">
        <f t="shared" si="30"/>
        <v>1</v>
      </c>
      <c r="V312" s="45" t="str">
        <f t="shared" si="27"/>
        <v>MATCH</v>
      </c>
      <c r="W312" s="10"/>
      <c r="X312" s="76">
        <v>8</v>
      </c>
    </row>
    <row r="313" spans="12:24" x14ac:dyDescent="0.3">
      <c r="L313" s="89" t="s">
        <v>349</v>
      </c>
      <c r="M313" s="43">
        <v>25</v>
      </c>
      <c r="N313" s="43">
        <v>6</v>
      </c>
      <c r="O313" s="43">
        <v>1.66</v>
      </c>
      <c r="P313" s="43">
        <v>6</v>
      </c>
      <c r="Q313" s="44">
        <f t="shared" si="32"/>
        <v>38.394910714285714</v>
      </c>
      <c r="R313" s="70">
        <v>1</v>
      </c>
      <c r="S313" s="46">
        <f t="shared" si="31"/>
        <v>9.9599999999999991</v>
      </c>
      <c r="T313" s="29">
        <f t="shared" si="26"/>
        <v>2</v>
      </c>
      <c r="U313" s="46">
        <f t="shared" si="30"/>
        <v>3</v>
      </c>
      <c r="V313" s="45" t="str">
        <f t="shared" si="27"/>
        <v>MATCH</v>
      </c>
      <c r="W313" s="10"/>
      <c r="X313" s="77">
        <v>2</v>
      </c>
    </row>
    <row r="314" spans="12:24" x14ac:dyDescent="0.3">
      <c r="L314" s="88" t="s">
        <v>350</v>
      </c>
      <c r="M314" s="43">
        <v>16</v>
      </c>
      <c r="N314" s="43">
        <v>12</v>
      </c>
      <c r="O314" s="43">
        <v>4.08</v>
      </c>
      <c r="P314" s="43">
        <v>9</v>
      </c>
      <c r="Q314" s="44">
        <f t="shared" si="32"/>
        <v>77.306441142857153</v>
      </c>
      <c r="R314" s="71">
        <v>1</v>
      </c>
      <c r="S314" s="46">
        <f t="shared" si="31"/>
        <v>48.96</v>
      </c>
      <c r="T314" s="29">
        <f t="shared" si="26"/>
        <v>6</v>
      </c>
      <c r="U314" s="46">
        <f t="shared" si="30"/>
        <v>2</v>
      </c>
      <c r="V314" s="45" t="str">
        <f t="shared" si="27"/>
        <v>MATCH</v>
      </c>
      <c r="W314" s="10"/>
      <c r="X314" s="76">
        <v>6</v>
      </c>
    </row>
    <row r="315" spans="12:24" x14ac:dyDescent="0.3">
      <c r="L315" s="89" t="s">
        <v>351</v>
      </c>
      <c r="M315" s="43">
        <v>10</v>
      </c>
      <c r="N315" s="43">
        <v>200</v>
      </c>
      <c r="O315" s="43">
        <v>2.12</v>
      </c>
      <c r="P315" s="43">
        <v>7.5</v>
      </c>
      <c r="Q315" s="44">
        <f t="shared" si="32"/>
        <v>261.51714285714286</v>
      </c>
      <c r="R315" s="70">
        <v>1</v>
      </c>
      <c r="S315" s="46">
        <f t="shared" si="31"/>
        <v>424</v>
      </c>
      <c r="T315" s="29">
        <f t="shared" si="26"/>
        <v>67</v>
      </c>
      <c r="U315" s="46">
        <f t="shared" si="30"/>
        <v>3</v>
      </c>
      <c r="V315" s="45" t="str">
        <f t="shared" si="27"/>
        <v>MATCH</v>
      </c>
      <c r="W315" s="10"/>
      <c r="X315" s="77">
        <v>67</v>
      </c>
    </row>
    <row r="316" spans="12:24" x14ac:dyDescent="0.3">
      <c r="L316" s="88" t="s">
        <v>352</v>
      </c>
      <c r="M316" s="43">
        <v>10</v>
      </c>
      <c r="N316" s="43">
        <v>126</v>
      </c>
      <c r="O316" s="43">
        <v>1.61</v>
      </c>
      <c r="P316" s="43">
        <v>7.5</v>
      </c>
      <c r="Q316" s="44">
        <f t="shared" si="32"/>
        <v>125.12115000000001</v>
      </c>
      <c r="R316" s="71">
        <v>1</v>
      </c>
      <c r="S316" s="46">
        <f t="shared" si="31"/>
        <v>202.86</v>
      </c>
      <c r="T316" s="29">
        <f t="shared" si="26"/>
        <v>32</v>
      </c>
      <c r="U316" s="46">
        <f t="shared" si="30"/>
        <v>4</v>
      </c>
      <c r="V316" s="45" t="str">
        <f t="shared" si="27"/>
        <v>MATCH</v>
      </c>
      <c r="W316" s="10"/>
      <c r="X316" s="76">
        <v>32</v>
      </c>
    </row>
    <row r="317" spans="12:24" x14ac:dyDescent="0.3">
      <c r="L317" s="89" t="s">
        <v>353</v>
      </c>
      <c r="M317" s="43">
        <v>10</v>
      </c>
      <c r="N317" s="43">
        <v>318</v>
      </c>
      <c r="O317" s="43">
        <v>0.62</v>
      </c>
      <c r="P317" s="43">
        <v>6</v>
      </c>
      <c r="Q317" s="44">
        <f t="shared" si="32"/>
        <v>121.60547142857142</v>
      </c>
      <c r="R317" s="70">
        <v>1</v>
      </c>
      <c r="S317" s="46">
        <f t="shared" si="31"/>
        <v>197.16</v>
      </c>
      <c r="T317" s="29">
        <f t="shared" si="26"/>
        <v>36</v>
      </c>
      <c r="U317" s="46">
        <f t="shared" si="30"/>
        <v>9</v>
      </c>
      <c r="V317" s="45" t="str">
        <f t="shared" si="27"/>
        <v>MATCH</v>
      </c>
      <c r="W317" s="10"/>
      <c r="X317" s="77">
        <v>36</v>
      </c>
    </row>
    <row r="318" spans="12:24" x14ac:dyDescent="0.3">
      <c r="L318" s="88" t="s">
        <v>354</v>
      </c>
      <c r="M318" s="43">
        <v>10</v>
      </c>
      <c r="N318" s="43">
        <v>192</v>
      </c>
      <c r="O318" s="43">
        <v>1.6</v>
      </c>
      <c r="P318" s="43">
        <v>7.5</v>
      </c>
      <c r="Q318" s="44">
        <f t="shared" si="32"/>
        <v>189.47657142857145</v>
      </c>
      <c r="R318" s="71">
        <v>1</v>
      </c>
      <c r="S318" s="46">
        <f t="shared" si="31"/>
        <v>307.20000000000005</v>
      </c>
      <c r="T318" s="29">
        <f t="shared" si="26"/>
        <v>48</v>
      </c>
      <c r="U318" s="46">
        <f t="shared" si="30"/>
        <v>4</v>
      </c>
      <c r="V318" s="45" t="str">
        <f t="shared" si="27"/>
        <v>MATCH</v>
      </c>
      <c r="W318" s="10"/>
      <c r="X318" s="76">
        <v>48</v>
      </c>
    </row>
    <row r="319" spans="12:24" x14ac:dyDescent="0.3">
      <c r="L319" s="89" t="s">
        <v>355</v>
      </c>
      <c r="M319" s="43">
        <v>10</v>
      </c>
      <c r="N319" s="43">
        <v>82</v>
      </c>
      <c r="O319" s="43">
        <v>1.67</v>
      </c>
      <c r="P319" s="43">
        <v>7.5</v>
      </c>
      <c r="Q319" s="44">
        <f t="shared" si="32"/>
        <v>84.46263571428571</v>
      </c>
      <c r="R319" s="70">
        <v>1</v>
      </c>
      <c r="S319" s="46">
        <f t="shared" si="31"/>
        <v>136.94</v>
      </c>
      <c r="T319" s="29">
        <f t="shared" si="26"/>
        <v>21</v>
      </c>
      <c r="U319" s="46">
        <f t="shared" si="30"/>
        <v>4</v>
      </c>
      <c r="V319" s="45" t="str">
        <f t="shared" si="27"/>
        <v>MATCH</v>
      </c>
      <c r="W319" s="10"/>
      <c r="X319" s="77">
        <v>21</v>
      </c>
    </row>
    <row r="320" spans="12:24" x14ac:dyDescent="0.3">
      <c r="L320" s="88" t="s">
        <v>356</v>
      </c>
      <c r="M320" s="43">
        <v>10</v>
      </c>
      <c r="N320" s="43">
        <v>40</v>
      </c>
      <c r="O320" s="43">
        <v>1.4</v>
      </c>
      <c r="P320" s="43">
        <v>6</v>
      </c>
      <c r="Q320" s="44">
        <f t="shared" si="32"/>
        <v>34.539999999999992</v>
      </c>
      <c r="R320" s="71">
        <v>1</v>
      </c>
      <c r="S320" s="46">
        <f t="shared" si="31"/>
        <v>56</v>
      </c>
      <c r="T320" s="29">
        <f t="shared" si="26"/>
        <v>10</v>
      </c>
      <c r="U320" s="46">
        <f t="shared" si="30"/>
        <v>4</v>
      </c>
      <c r="V320" s="45" t="str">
        <f t="shared" si="27"/>
        <v>MATCH</v>
      </c>
      <c r="W320" s="10"/>
      <c r="X320" s="76">
        <v>10</v>
      </c>
    </row>
    <row r="321" spans="12:24" x14ac:dyDescent="0.3">
      <c r="L321" s="91" t="s">
        <v>357</v>
      </c>
      <c r="M321" s="48">
        <v>10</v>
      </c>
      <c r="N321" s="48">
        <v>80</v>
      </c>
      <c r="O321" s="48">
        <v>1.02</v>
      </c>
      <c r="P321" s="48">
        <v>6</v>
      </c>
      <c r="Q321" s="49">
        <f t="shared" si="32"/>
        <v>50.329714285714282</v>
      </c>
      <c r="R321" s="79">
        <v>1</v>
      </c>
      <c r="S321" s="51">
        <f t="shared" si="31"/>
        <v>81.599999999999994</v>
      </c>
      <c r="T321" s="35">
        <f t="shared" si="26"/>
        <v>16</v>
      </c>
      <c r="U321" s="51">
        <f t="shared" si="30"/>
        <v>5</v>
      </c>
      <c r="V321" s="50" t="str">
        <f t="shared" si="27"/>
        <v>MATCH</v>
      </c>
      <c r="W321" s="11"/>
      <c r="X321" s="84">
        <v>16</v>
      </c>
    </row>
    <row r="322" spans="12:24" x14ac:dyDescent="0.3">
      <c r="L322" s="86" t="s">
        <v>358</v>
      </c>
      <c r="M322" s="38">
        <v>32</v>
      </c>
      <c r="N322" s="38">
        <v>14</v>
      </c>
      <c r="O322" s="38">
        <v>7</v>
      </c>
      <c r="P322" s="38">
        <v>7.5</v>
      </c>
      <c r="Q322" s="39">
        <f t="shared" si="32"/>
        <v>618.95680000000004</v>
      </c>
      <c r="R322" s="73">
        <v>1</v>
      </c>
      <c r="S322" s="41">
        <f t="shared" si="31"/>
        <v>98</v>
      </c>
      <c r="T322" s="23">
        <f t="shared" si="26"/>
        <v>14</v>
      </c>
      <c r="U322" s="41">
        <f t="shared" si="30"/>
        <v>1</v>
      </c>
      <c r="V322" s="40" t="str">
        <f t="shared" si="27"/>
        <v>MATCH</v>
      </c>
      <c r="W322" s="9"/>
      <c r="X322" s="74">
        <v>14</v>
      </c>
    </row>
    <row r="323" spans="12:24" x14ac:dyDescent="0.3">
      <c r="L323" s="88" t="s">
        <v>359</v>
      </c>
      <c r="M323" s="43">
        <v>25</v>
      </c>
      <c r="N323" s="43">
        <v>10</v>
      </c>
      <c r="O323" s="43">
        <v>11.95</v>
      </c>
      <c r="P323" s="43">
        <v>12</v>
      </c>
      <c r="Q323" s="44">
        <f t="shared" si="32"/>
        <v>460.66183035714289</v>
      </c>
      <c r="R323" s="71">
        <v>1</v>
      </c>
      <c r="S323" s="46">
        <f t="shared" si="31"/>
        <v>119.5</v>
      </c>
      <c r="T323" s="29">
        <f t="shared" si="26"/>
        <v>10</v>
      </c>
      <c r="U323" s="46">
        <f t="shared" si="30"/>
        <v>1</v>
      </c>
      <c r="V323" s="45" t="str">
        <f t="shared" si="27"/>
        <v>MATCH</v>
      </c>
      <c r="W323" s="10"/>
      <c r="X323" s="76">
        <v>10</v>
      </c>
    </row>
    <row r="324" spans="12:24" x14ac:dyDescent="0.3">
      <c r="L324" s="89" t="s">
        <v>360</v>
      </c>
      <c r="M324" s="43">
        <v>32</v>
      </c>
      <c r="N324" s="43">
        <v>14</v>
      </c>
      <c r="O324" s="43">
        <v>8.31</v>
      </c>
      <c r="P324" s="43">
        <v>9</v>
      </c>
      <c r="Q324" s="44">
        <f t="shared" si="32"/>
        <v>734.79014400000005</v>
      </c>
      <c r="R324" s="70">
        <v>1</v>
      </c>
      <c r="S324" s="46">
        <f t="shared" si="31"/>
        <v>116.34</v>
      </c>
      <c r="T324" s="29">
        <f t="shared" si="26"/>
        <v>14</v>
      </c>
      <c r="U324" s="46">
        <f t="shared" si="30"/>
        <v>1</v>
      </c>
      <c r="V324" s="45" t="str">
        <f t="shared" si="27"/>
        <v>MATCH</v>
      </c>
      <c r="W324" s="10"/>
      <c r="X324" s="77">
        <v>14</v>
      </c>
    </row>
    <row r="325" spans="12:24" x14ac:dyDescent="0.3">
      <c r="L325" s="88" t="s">
        <v>361</v>
      </c>
      <c r="M325" s="43">
        <v>25</v>
      </c>
      <c r="N325" s="43">
        <v>10</v>
      </c>
      <c r="O325" s="43">
        <v>11.06</v>
      </c>
      <c r="P325" s="43">
        <v>12</v>
      </c>
      <c r="Q325" s="44">
        <f t="shared" si="32"/>
        <v>426.35312500000003</v>
      </c>
      <c r="R325" s="71">
        <v>1</v>
      </c>
      <c r="S325" s="46">
        <f t="shared" si="31"/>
        <v>110.60000000000001</v>
      </c>
      <c r="T325" s="29">
        <f t="shared" si="26"/>
        <v>10</v>
      </c>
      <c r="U325" s="46">
        <f t="shared" si="30"/>
        <v>1</v>
      </c>
      <c r="V325" s="45" t="str">
        <f t="shared" si="27"/>
        <v>MATCH</v>
      </c>
      <c r="W325" s="10"/>
      <c r="X325" s="76">
        <v>10</v>
      </c>
    </row>
    <row r="326" spans="12:24" x14ac:dyDescent="0.3">
      <c r="L326" s="89" t="s">
        <v>362</v>
      </c>
      <c r="M326" s="43">
        <v>25</v>
      </c>
      <c r="N326" s="43">
        <v>4</v>
      </c>
      <c r="O326" s="43">
        <v>8.31</v>
      </c>
      <c r="P326" s="43">
        <v>9</v>
      </c>
      <c r="Q326" s="44">
        <f t="shared" si="32"/>
        <v>128.13723214285716</v>
      </c>
      <c r="R326" s="70">
        <v>1</v>
      </c>
      <c r="S326" s="46">
        <f t="shared" si="31"/>
        <v>33.24</v>
      </c>
      <c r="T326" s="29">
        <f t="shared" si="26"/>
        <v>4</v>
      </c>
      <c r="U326" s="46">
        <f t="shared" si="30"/>
        <v>1</v>
      </c>
      <c r="V326" s="45" t="str">
        <f t="shared" si="27"/>
        <v>MATCH</v>
      </c>
      <c r="W326" s="10"/>
      <c r="X326" s="77">
        <v>4</v>
      </c>
    </row>
    <row r="327" spans="12:24" x14ac:dyDescent="0.3">
      <c r="L327" s="88" t="s">
        <v>363</v>
      </c>
      <c r="M327" s="43">
        <v>25</v>
      </c>
      <c r="N327" s="43">
        <v>4</v>
      </c>
      <c r="O327" s="43">
        <v>7.06</v>
      </c>
      <c r="P327" s="43">
        <v>7.5</v>
      </c>
      <c r="Q327" s="44">
        <f t="shared" si="32"/>
        <v>108.86267857142857</v>
      </c>
      <c r="R327" s="71">
        <v>1</v>
      </c>
      <c r="S327" s="46">
        <f t="shared" si="31"/>
        <v>28.24</v>
      </c>
      <c r="T327" s="29">
        <f t="shared" si="26"/>
        <v>4</v>
      </c>
      <c r="U327" s="46">
        <f t="shared" si="30"/>
        <v>1</v>
      </c>
      <c r="V327" s="45" t="str">
        <f t="shared" si="27"/>
        <v>MATCH</v>
      </c>
      <c r="W327" s="10"/>
      <c r="X327" s="76">
        <v>4</v>
      </c>
    </row>
    <row r="328" spans="12:24" x14ac:dyDescent="0.3">
      <c r="L328" s="89" t="s">
        <v>364</v>
      </c>
      <c r="M328" s="43">
        <v>16</v>
      </c>
      <c r="N328" s="43">
        <v>12</v>
      </c>
      <c r="O328" s="43">
        <v>4.08</v>
      </c>
      <c r="P328" s="43">
        <v>6</v>
      </c>
      <c r="Q328" s="44">
        <f t="shared" si="32"/>
        <v>77.306441142857153</v>
      </c>
      <c r="R328" s="70">
        <v>1</v>
      </c>
      <c r="S328" s="46">
        <f t="shared" si="31"/>
        <v>48.96</v>
      </c>
      <c r="T328" s="29">
        <f t="shared" ref="T328:T329" si="33">IF(P328=0,0,ROUNDUP((N328/U328)*R328,0))</f>
        <v>12</v>
      </c>
      <c r="U328" s="46">
        <f t="shared" si="30"/>
        <v>1</v>
      </c>
      <c r="V328" s="45" t="str">
        <f t="shared" ref="V328:V329" si="34">IF(T328=X328, "MATCH", "RECHECK")</f>
        <v>MATCH</v>
      </c>
      <c r="W328" s="10"/>
      <c r="X328" s="77">
        <v>12</v>
      </c>
    </row>
    <row r="329" spans="12:24" x14ac:dyDescent="0.3">
      <c r="L329" s="90" t="s">
        <v>365</v>
      </c>
      <c r="M329" s="48">
        <v>25</v>
      </c>
      <c r="N329" s="48">
        <v>4</v>
      </c>
      <c r="O329" s="48">
        <v>1.66</v>
      </c>
      <c r="P329" s="48">
        <v>7.5</v>
      </c>
      <c r="Q329" s="49">
        <f t="shared" si="32"/>
        <v>25.596607142857142</v>
      </c>
      <c r="R329" s="85">
        <v>1</v>
      </c>
      <c r="S329" s="51">
        <f t="shared" si="31"/>
        <v>6.64</v>
      </c>
      <c r="T329" s="35">
        <f t="shared" si="33"/>
        <v>1</v>
      </c>
      <c r="U329" s="51">
        <f t="shared" si="30"/>
        <v>4</v>
      </c>
      <c r="V329" s="50" t="str">
        <f t="shared" si="34"/>
        <v>MATCH</v>
      </c>
      <c r="W329" s="11"/>
      <c r="X329" s="80">
        <v>1</v>
      </c>
    </row>
  </sheetData>
  <conditionalFormatting sqref="V7:V329">
    <cfRule type="containsText" dxfId="1" priority="1" operator="containsText" text="recheck">
      <formula>NOT(ISERROR(SEARCH("recheck",V7)))</formula>
    </cfRule>
    <cfRule type="containsText" dxfId="0" priority="2" operator="containsText" text="match">
      <formula>NOT(ISERROR(SEARCH("match",V7)))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</vt:lpstr>
      <vt:lpstr>backup</vt:lpstr>
      <vt:lpstr>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uy</dc:creator>
  <cp:lastModifiedBy>louis uy</cp:lastModifiedBy>
  <dcterms:created xsi:type="dcterms:W3CDTF">2026-06-30T02:57:18Z</dcterms:created>
  <dcterms:modified xsi:type="dcterms:W3CDTF">2026-07-02T00:24:12Z</dcterms:modified>
</cp:coreProperties>
</file>